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fpc" vbProcedure="false">Q!$G$22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In!$E$71</definedName>
    <definedName function="false" hidden="false" name="ai_abf_hi" vbProcedure="false">In!$F$71</definedName>
    <definedName function="false" hidden="false" name="ai_abf_lo" vbProcedure="false">In!$D$71</definedName>
    <definedName function="false" hidden="false" name="ai_pcb" vbProcedure="false">In!$E$72</definedName>
    <definedName function="false" hidden="false" name="ai_pcb_hi" vbProcedure="false">In!$F$72</definedName>
    <definedName function="false" hidden="false" name="ai_pcb_lo" vbProcedure="false">In!$D$72</definedName>
    <definedName function="false" hidden="false" name="bk_eps27" vbProcedure="false">In!$E$123</definedName>
    <definedName function="false" hidden="false" name="bk_eps27_hi" vbProcedure="false">In!$F$123</definedName>
    <definedName function="false" hidden="false" name="bk_eps27_lo" vbProcedure="false">In!$D$123</definedName>
    <definedName function="false" hidden="false" name="capex26" vbProcedure="false">In!$E$99</definedName>
    <definedName function="false" hidden="false" name="cap_27" vbProcedure="false">In!$E$76</definedName>
    <definedName function="false" hidden="false" name="cap_27_hi" vbProcedure="false">In!$F$76</definedName>
    <definedName function="false" hidden="false" name="cap_27_lo" vbProcedure="false">In!$D$76</definedName>
    <definedName function="false" hidden="false" name="cap_28" vbProcedure="false">In!$E$77</definedName>
    <definedName function="false" hidden="false" name="cap_28_hi" vbProcedure="false">In!$F$77</definedName>
    <definedName function="false" hidden="false" name="cap_28_lo" vbProcedure="false">In!$D$77</definedName>
    <definedName function="false" hidden="false" name="cap_29" vbProcedure="false">In!$E$78</definedName>
    <definedName function="false" hidden="false" name="cap_29_hi" vbProcedure="false">In!$F$78</definedName>
    <definedName function="false" hidden="false" name="cap_29_lo" vbProcedure="false">In!$D$78</definedName>
    <definedName function="false" hidden="false" name="carry" vbProcedure="false">In!$E$80</definedName>
    <definedName function="false" hidden="false" name="carry_hi" vbProcedure="false">In!$F$80</definedName>
    <definedName function="false" hidden="false" name="carry_lo" vbProcedure="false">In!$D$80</definedName>
    <definedName function="false" hidden="false" name="cons_eps26" vbProcedure="false">In!$E$118</definedName>
    <definedName function="false" hidden="false" name="cons_eps26_hi" vbProcedure="false">In!$F$118</definedName>
    <definedName function="false" hidden="false" name="cons_eps26_lo" vbProcedure="false">In!$D$118</definedName>
    <definedName function="false" hidden="false" name="cons_eps27" vbProcedure="false">In!$E$119</definedName>
    <definedName function="false" hidden="false" name="cons_eps27_hi" vbProcedure="false">In!$F$119</definedName>
    <definedName function="false" hidden="false" name="cons_eps27_lo" vbProcedure="false">In!$D$119</definedName>
    <definedName function="false" hidden="false" name="cons_eps28" vbProcedure="false">In!$E$120</definedName>
    <definedName function="false" hidden="false" name="cons_eps28_hi" vbProcedure="false">In!$F$120</definedName>
    <definedName function="false" hidden="false" name="cons_eps28_lo" vbProcedure="false">In!$D$120</definedName>
    <definedName function="false" hidden="false" name="cons_feps" vbProcedure="false">In!$E$128</definedName>
    <definedName function="false" hidden="false" name="cons_rev27" vbProcedure="false">In!$E$121</definedName>
    <definedName function="false" hidden="false" name="cons_rev27_hi" vbProcedure="false">In!$F$121</definedName>
    <definedName function="false" hidden="false" name="cons_rev27_lo" vbProcedure="false">In!$D$121</definedName>
    <definedName function="false" hidden="false" name="cons_rev28" vbProcedure="false">In!$E$122</definedName>
    <definedName function="false" hidden="false" name="cons_rev28_hi" vbProcedure="false">In!$F$122</definedName>
    <definedName function="false" hidden="false" name="cons_rev28_lo" vbProcedure="false">In!$D$122</definedName>
    <definedName function="false" hidden="false" name="cons_tp" vbProcedure="false">In!$E$129</definedName>
    <definedName function="false" hidden="false" name="cx27_A" vbProcedure="false">In!$E$90</definedName>
    <definedName function="false" hidden="false" name="cx27_B" vbProcedure="false">In!$E$93</definedName>
    <definedName function="false" hidden="false" name="cx27_C" vbProcedure="false">In!$E$96</definedName>
    <definedName function="false" hidden="false" name="cx28_A" vbProcedure="false">In!$E$91</definedName>
    <definedName function="false" hidden="false" name="cx28_B" vbProcedure="false">In!$E$94</definedName>
    <definedName function="false" hidden="false" name="cx28_C" vbProcedure="false">In!$E$97</definedName>
    <definedName function="false" hidden="false" name="cx29_A" vbProcedure="false">In!$E$92</definedName>
    <definedName function="false" hidden="false" name="cx29_B" vbProcedure="false">In!$E$95</definedName>
    <definedName function="false" hidden="false" name="cx29_C" vbProcedure="false">In!$E$98</definedName>
    <definedName function="false" hidden="false" name="da26" vbProcedure="false">In!$E$100</definedName>
    <definedName function="false" hidden="false" name="el_o" vbProcedure="false">In!$E$74</definedName>
    <definedName function="false" hidden="false" name="el_o_hi" vbProcedure="false">In!$F$74</definedName>
    <definedName function="false" hidden="false" name="el_o_lo" vbProcedure="false">In!$D$74</definedName>
    <definedName function="false" hidden="false" name="fade_gA" vbProcedure="false">In!$E$141</definedName>
    <definedName function="false" hidden="false" name="fade_gB" vbProcedure="false">In!$E$142</definedName>
    <definedName function="false" hidden="false" name="fade_gC" vbProcedure="false">In!$E$143</definedName>
    <definedName function="false" hidden="false" name="fade_mA" vbProcedure="false">In!$E$144</definedName>
    <definedName function="false" hidden="false" name="fade_mB" vbProcedure="false">In!$E$145</definedName>
    <definedName function="false" hidden="false" name="fade_mC" vbProcedure="false">In!$E$146</definedName>
    <definedName function="false" hidden="false" name="fpe" vbProcedure="false">In!$E$126</definedName>
    <definedName function="false" hidden="false" name="ft_abf" vbProcedure="false">In!$E$88</definedName>
    <definedName function="false" hidden="false" name="ft_abf_hi" vbProcedure="false">In!$F$88</definedName>
    <definedName function="false" hidden="false" name="ft_abf_lo" vbProcedure="false">In!$D$88</definedName>
    <definedName function="false" hidden="false" name="ft_oth" vbProcedure="false">In!$E$89</definedName>
    <definedName function="false" hidden="false" name="ft_oth_hi" vbProcedure="false">In!$F$89</definedName>
    <definedName function="false" hidden="false" name="ft_oth_lo" vbProcedure="false">In!$D$89</definedName>
    <definedName function="false" hidden="false" name="fx" vbProcedure="false">In!$E$130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In!$E$49</definedName>
    <definedName function="false" hidden="false" name="g_asp_hi" vbProcedure="false">In!$F$49</definedName>
    <definedName function="false" hidden="false" name="g_asp_lo" vbProcedure="false">In!$D$49</definedName>
    <definedName function="false" hidden="false" name="g_bt" vbProcedure="false">In!$E$81</definedName>
    <definedName function="false" hidden="false" name="g_bt_hi" vbProcedure="false">In!$F$81</definedName>
    <definedName function="false" hidden="false" name="g_bt_lo" vbProcedure="false">In!$D$81</definedName>
    <definedName function="false" hidden="false" name="g_fpc" vbProcedure="false">In!$E$86</definedName>
    <definedName function="false" hidden="false" name="g_fpc_hi" vbProcedure="false">In!$F$86</definedName>
    <definedName function="false" hidden="false" name="g_fpc_lo" vbProcedure="false">In!$D$86</definedName>
    <definedName function="false" hidden="false" name="g_mix" vbProcedure="false">In!$E$79</definedName>
    <definedName function="false" hidden="false" name="g_mix_hi" vbProcedure="false">In!$F$79</definedName>
    <definedName function="false" hidden="false" name="g_mix_lo" vbProcedure="false">In!$D$79</definedName>
    <definedName function="false" hidden="false" name="g_nai" vbProcedure="false">In!$E$75</definedName>
    <definedName function="false" hidden="false" name="g_nai_hi" vbProcedure="false">In!$F$75</definedName>
    <definedName function="false" hidden="false" name="g_nai_lo" vbProcedure="false">In!$D$75</definedName>
    <definedName function="false" hidden="false" name="g_pai_27" vbProcedure="false">In!$E$82</definedName>
    <definedName function="false" hidden="false" name="g_pai_27_hi" vbProcedure="false">In!$F$82</definedName>
    <definedName function="false" hidden="false" name="g_pai_27_lo" vbProcedure="false">In!$D$82</definedName>
    <definedName function="false" hidden="false" name="g_pai_28" vbProcedure="false">In!$E$83</definedName>
    <definedName function="false" hidden="false" name="g_pai_28_hi" vbProcedure="false">In!$F$83</definedName>
    <definedName function="false" hidden="false" name="g_pai_28_lo" vbProcedure="false">In!$D$83</definedName>
    <definedName function="false" hidden="false" name="g_pai_29" vbProcedure="false">In!$E$84</definedName>
    <definedName function="false" hidden="false" name="g_pai_29_hi" vbProcedure="false">In!$F$84</definedName>
    <definedName function="false" hidden="false" name="g_pai_29_lo" vbProcedure="false">In!$D$84</definedName>
    <definedName function="false" hidden="false" name="g_pcbn" vbProcedure="false">In!$E$85</definedName>
    <definedName function="false" hidden="false" name="g_pcbn_hi" vbProcedure="false">In!$F$85</definedName>
    <definedName function="false" hidden="false" name="g_pcbn_lo" vbProcedure="false">In!$D$85</definedName>
    <definedName function="false" hidden="false" name="ibpp_27" vbProcedure="false">In!$E$50</definedName>
    <definedName function="false" hidden="false" name="ibpp_27_hi" vbProcedure="false">In!$F$50</definedName>
    <definedName function="false" hidden="false" name="ibpp_27_lo" vbProcedure="false">In!$D$50</definedName>
    <definedName function="false" hidden="false" name="ibpp_28" vbProcedure="false">In!$E$52</definedName>
    <definedName function="false" hidden="false" name="ibpp_28_hi" vbProcedure="false">In!$F$52</definedName>
    <definedName function="false" hidden="false" name="ibpp_28_lo" vbProcedure="false">In!$D$52</definedName>
    <definedName function="false" hidden="false" name="ibpp_29" vbProcedure="false">In!$E$54</definedName>
    <definedName function="false" hidden="false" name="ibpp_29_hi" vbProcedure="false">In!$F$54</definedName>
    <definedName function="false" hidden="false" name="ibpp_29_lo" vbProcedure="false">In!$D$54</definedName>
    <definedName function="false" hidden="false" name="ibrel_27" vbProcedure="false">In!$E$51</definedName>
    <definedName function="false" hidden="false" name="ibrel_28" vbProcedure="false">In!$E$53</definedName>
    <definedName function="false" hidden="false" name="ibrel_29" vbProcedure="false">In!$E$55</definedName>
    <definedName function="false" hidden="false" name="ib_sh26" vbProcedure="false">In!$E$56</definedName>
    <definedName function="false" hidden="false" name="ib_sh26_hi" vbProcedure="false">In!$F$56</definedName>
    <definedName function="false" hidden="false" name="ib_sh26_lo" vbProcedure="false">In!$D$56</definedName>
    <definedName function="false" hidden="false" name="ib_w_ot" vbProcedure="false">In!$E$57</definedName>
    <definedName function="false" hidden="false" name="ib_w_ot_hi" vbProcedure="false">In!$F$57</definedName>
    <definedName function="false" hidden="false" name="ib_w_ot_lo" vbProcedure="false">In!$D$57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In!$E$101</definedName>
    <definedName function="false" hidden="false" name="life_hi" vbProcedure="false">In!$F$101</definedName>
    <definedName function="false" hidden="false" name="life_lo" vbProcedure="false">In!$D$101</definedName>
    <definedName function="false" hidden="false" name="mx_abf" vbProcedure="false">In!$E$68</definedName>
    <definedName function="false" hidden="false" name="mx_abf_hi" vbProcedure="false">In!$F$68</definedName>
    <definedName function="false" hidden="false" name="mx_abf_lo" vbProcedure="false">In!$D$68</definedName>
    <definedName function="false" hidden="false" name="mx_bt" vbProcedure="false">In!$E$69</definedName>
    <definedName function="false" hidden="false" name="mx_bt_hi" vbProcedure="false">In!$F$69</definedName>
    <definedName function="false" hidden="false" name="mx_bt_lo" vbProcedure="false">In!$D$69</definedName>
    <definedName function="false" hidden="false" name="mx_pcb" vbProcedure="false">In!$E$70</definedName>
    <definedName function="false" hidden="false" name="mx_pcb_hi" vbProcedure="false">In!$F$70</definedName>
    <definedName function="false" hidden="false" name="mx_pcb_lo" vbProcedure="false">In!$D$70</definedName>
    <definedName function="false" hidden="false" name="nim5" vbProcedure="false">In!$E$132</definedName>
    <definedName function="false" hidden="false" name="nonop27" vbProcedure="false">In!$E$103</definedName>
    <definedName function="false" hidden="false" name="nonop27_hi" vbProcedure="false">In!$F$103</definedName>
    <definedName function="false" hidden="false" name="nonop27_lo" vbProcedure="false">In!$D$103</definedName>
    <definedName function="false" hidden="false" name="nonop28" vbProcedure="false">In!$E$104</definedName>
    <definedName function="false" hidden="false" name="nonop28_hi" vbProcedure="false">In!$F$104</definedName>
    <definedName function="false" hidden="false" name="nonop28_lo" vbProcedure="false">In!$D$104</definedName>
    <definedName function="false" hidden="false" name="nonop29" vbProcedure="false">In!$E$105</definedName>
    <definedName function="false" hidden="false" name="nonop29_hi" vbProcedure="false">In!$F$105</definedName>
    <definedName function="false" hidden="false" name="nonop29_lo" vbProcedure="false">In!$D$105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In!$E$127</definedName>
    <definedName function="false" hidden="false" name="phi" vbProcedure="false">In!$E$102</definedName>
    <definedName function="false" hidden="false" name="phi_hi" vbProcedure="false">In!$F$102</definedName>
    <definedName function="false" hidden="false" name="phi_lo" vbProcedure="false">In!$D$102</definedName>
    <definedName function="false" hidden="false" name="px" vbProcedure="false">In!$E$125</definedName>
    <definedName function="false" hidden="false" name="q3_gm" vbProcedure="false">In!$E$110</definedName>
    <definedName function="false" hidden="false" name="q3_gm_hi" vbProcedure="false">In!$F$110</definedName>
    <definedName function="false" hidden="false" name="q3_gm_lo" vbProcedure="false">In!$D$110</definedName>
    <definedName function="false" hidden="false" name="q3_opx" vbProcedure="false">In!$E$111</definedName>
    <definedName function="false" hidden="false" name="q3_opx_hi" vbProcedure="false">In!$F$111</definedName>
    <definedName function="false" hidden="false" name="q3_opx_lo" vbProcedure="false">In!$D$111</definedName>
    <definedName function="false" hidden="false" name="q3_rev" vbProcedure="false">In!$E$109</definedName>
    <definedName function="false" hidden="false" name="q4_g" vbProcedure="false">In!$E$112</definedName>
    <definedName function="false" hidden="false" name="q4_gm" vbProcedure="false">In!$E$113</definedName>
    <definedName function="false" hidden="false" name="q4_gm_hi" vbProcedure="false">In!$F$113</definedName>
    <definedName function="false" hidden="false" name="q4_gm_lo" vbProcedure="false">In!$D$113</definedName>
    <definedName function="false" hidden="false" name="q4_g_hi" vbProcedure="false">In!$F$112</definedName>
    <definedName function="false" hidden="false" name="q4_g_lo" vbProcedure="false">In!$D$112</definedName>
    <definedName function="false" hidden="false" name="q4_opx" vbProcedure="false">In!$E$114</definedName>
    <definedName function="false" hidden="false" name="q4_opx_hi" vbProcedure="false">In!$F$114</definedName>
    <definedName function="false" hidden="false" name="q4_opx_lo" vbProcedure="false">In!$D$114</definedName>
    <definedName function="false" hidden="false" name="q_nonop" vbProcedure="false">In!$E$115</definedName>
    <definedName function="false" hidden="false" name="q_nonop_hi" vbProcedure="false">In!$F$115</definedName>
    <definedName function="false" hidden="false" name="q_nonop_lo" vbProcedure="false">In!$D$115</definedName>
    <definedName function="false" hidden="false" name="q_sh" vbProcedure="false">In!$E$116</definedName>
    <definedName function="false" hidden="false" name="sh_g" vbProcedure="false">In!$E$107</definedName>
    <definedName function="false" hidden="false" name="sh_g_hi" vbProcedure="false">In!$F$107</definedName>
    <definedName function="false" hidden="false" name="sh_g_lo" vbProcedure="false">In!$D$107</definedName>
    <definedName function="false" hidden="false" name="sh_nv_26" vbProcedure="false">In!$E$59</definedName>
    <definedName function="false" hidden="false" name="sh_nv_26_hi" vbProcedure="false">In!$F$59</definedName>
    <definedName function="false" hidden="false" name="sh_nv_26_lo" vbProcedure="false">In!$D$59</definedName>
    <definedName function="false" hidden="false" name="sh_nv_27" vbProcedure="false">In!$E$60</definedName>
    <definedName function="false" hidden="false" name="sh_nv_27_hi" vbProcedure="false">In!$F$60</definedName>
    <definedName function="false" hidden="false" name="sh_nv_27_lo" vbProcedure="false">In!$D$60</definedName>
    <definedName function="false" hidden="false" name="sh_nv_28" vbProcedure="false">In!$E$61</definedName>
    <definedName function="false" hidden="false" name="sh_nv_28_hi" vbProcedure="false">In!$F$61</definedName>
    <definedName function="false" hidden="false" name="sh_nv_28_lo" vbProcedure="false">In!$D$61</definedName>
    <definedName function="false" hidden="false" name="sh_nv_29" vbProcedure="false">In!$E$62</definedName>
    <definedName function="false" hidden="false" name="sh_nv_29_hi" vbProcedure="false">In!$F$62</definedName>
    <definedName function="false" hidden="false" name="sh_nv_29_lo" vbProcedure="false">In!$D$62</definedName>
    <definedName function="false" hidden="false" name="sh_ot_26" vbProcedure="false">In!$E$63</definedName>
    <definedName function="false" hidden="false" name="sh_ot_26_hi" vbProcedure="false">In!$F$63</definedName>
    <definedName function="false" hidden="false" name="sh_ot_26_lo" vbProcedure="false">In!$D$63</definedName>
    <definedName function="false" hidden="false" name="sh_ot_27" vbProcedure="false">In!$E$64</definedName>
    <definedName function="false" hidden="false" name="sh_ot_27_hi" vbProcedure="false">In!$F$64</definedName>
    <definedName function="false" hidden="false" name="sh_ot_27_lo" vbProcedure="false">In!$D$64</definedName>
    <definedName function="false" hidden="false" name="sh_ot_28" vbProcedure="false">In!$E$65</definedName>
    <definedName function="false" hidden="false" name="sh_ot_28_hi" vbProcedure="false">In!$F$65</definedName>
    <definedName function="false" hidden="false" name="sh_ot_28_lo" vbProcedure="false">In!$D$65</definedName>
    <definedName function="false" hidden="false" name="sh_ot_29" vbProcedure="false">In!$E$66</definedName>
    <definedName function="false" hidden="false" name="sh_ot_29_hi" vbProcedure="false">In!$F$66</definedName>
    <definedName function="false" hidden="false" name="sh_ot_29_lo" vbProcedure="false">In!$D$66</definedName>
    <definedName function="false" hidden="false" name="tax" vbProcedure="false">In!$E$106</definedName>
    <definedName function="false" hidden="false" name="tax_hi" vbProcedure="false">In!$F$106</definedName>
    <definedName function="false" hidden="false" name="tax_lo" vbProcedure="false">In!$D$106</definedName>
    <definedName function="false" hidden="false" name="tgt_abf_gap27" vbProcedure="false">In!$E$131</definedName>
    <definedName function="false" hidden="false" name="tp_g" vbProcedure="false">In!$E$138</definedName>
    <definedName function="false" hidden="false" name="tp_r" vbProcedure="false">In!$E$137</definedName>
    <definedName function="false" hidden="false" name="tp_roe" vbProcedure="false">In!$E$139</definedName>
    <definedName function="false" hidden="false" name="tp_wA" vbProcedure="false">In!$E$134</definedName>
    <definedName function="false" hidden="false" name="tp_wB" vbProcedure="false">In!$E$135</definedName>
    <definedName function="false" hidden="false" name="tp_wC" vbProcedure="false">In!$E$136</definedName>
    <definedName function="false" hidden="false" name="tp_w_dcf" vbProcedure="false">In!$E$140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In!$E$48</definedName>
    <definedName function="false" hidden="false" name="v_ot" vbProcedure="false">In!$E$58</definedName>
    <definedName function="false" hidden="false" name="v_ot_hi" vbProcedure="false">In!$F$58</definedName>
    <definedName function="false" hidden="false" name="v_ot_lo" vbProcedure="false">In!$D$58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<sst xmlns="http://schemas.openxmlformats.org/spreadsheetml/2006/main" count="5181" uniqueCount="1015">
  <si>
    <r>
      <rPr>
        <b val="true"/>
        <sz val="11"/>
        <rFont val="Noto Sans CJK SC"/>
        <family val="2"/>
      </rPr>
      <t xml:space="preserve">欣興電子（</t>
    </r>
    <r>
      <rPr>
        <b val="true"/>
        <sz val="11"/>
        <rFont val="Cambria"/>
        <family val="0"/>
        <charset val="1"/>
      </rPr>
      <t xml:space="preserve">3037.TW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</si>
  <si>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ibiden/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（本專案權威），欣興份額與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</si>
  <si>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模型命題：欣興的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每顆載板金額（面積與層數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欣興份額，加上交換器、伺服器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載板（隨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；產能依光復二廠、楊梅二廠時程擴張。</t>
    </r>
    <r>
      <rPr>
        <sz val="11"/>
        <rFont val="Cambria"/>
        <family val="0"/>
        <charset val="1"/>
      </rPr>
      <t xml:space="preserve">BT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</t>
    </r>
    <r>
      <rPr>
        <sz val="11"/>
        <rFont val="Noto Sans CJK SC"/>
        <family val="2"/>
      </rPr>
      <t xml:space="preserve">、軟板另推。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年資本支出 </t>
    </r>
    <r>
      <rPr>
        <sz val="11"/>
        <rFont val="Cambria"/>
        <family val="0"/>
        <charset val="1"/>
      </rPr>
      <t xml:space="preserve">537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年仍在 </t>
    </r>
    <r>
      <rPr>
        <sz val="11"/>
        <rFont val="Cambria"/>
        <family val="0"/>
        <charset val="1"/>
      </rPr>
      <t xml:space="preserve">400–550 </t>
    </r>
    <r>
      <rPr>
        <sz val="11"/>
        <rFont val="Noto Sans CJK SC"/>
        <family val="2"/>
      </rPr>
      <t xml:space="preserve">億，擴產折舊是毛利率的關鍵。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</si>
  <si>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短缺與漲價能不能抵過擴產折舊，讓毛利率從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25% </t>
    </r>
    <r>
      <rPr>
        <sz val="11"/>
        <rFont val="Noto Sans CJK SC"/>
        <family val="2"/>
      </rPr>
      <t xml:space="preserve">持續上升、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</si>
  <si>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</si>
  <si>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</si>
  <si>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欣興份額（</t>
    </r>
    <r>
      <rPr>
        <sz val="11"/>
        <rFont val="Cambria"/>
        <family val="0"/>
        <charset val="1"/>
      </rPr>
      <t xml:space="preserve">NVIDIA 25%→30%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30%→33%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每顆金額 ＝ </t>
    </r>
    <r>
      <rPr>
        <sz val="11"/>
        <rFont val="Cambria"/>
        <family val="0"/>
        <charset val="1"/>
      </rPr>
      <t xml:space="preserve">0.8 × 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1.05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</si>
  <si>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75%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AI IT </t>
    </r>
    <r>
      <rPr>
        <sz val="11"/>
        <rFont val="Noto Sans CJK SC"/>
        <family val="2"/>
      </rPr>
      <t xml:space="preserve">資本支出成長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溢價；營收＝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產能）。</t>
    </r>
    <r>
      <rPr>
        <sz val="11"/>
        <rFont val="Cambria"/>
        <family val="0"/>
        <charset val="1"/>
      </rPr>
      <t xml:space="preserve">BT +5%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顆數情境係數）、非 </t>
    </r>
    <r>
      <rPr>
        <sz val="11"/>
        <rFont val="Cambria"/>
        <family val="0"/>
        <charset val="1"/>
      </rPr>
      <t xml:space="preserve">AI HDI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PCB +2%</t>
    </r>
    <r>
      <rPr>
        <sz val="11"/>
        <rFont val="Noto Sans CJK SC"/>
        <family val="2"/>
      </rPr>
      <t xml:space="preserve">、軟板與其他持平。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</si>
  <si>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年；資本支出依情境。營業費用彈性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億；稅與少數股權 </t>
    </r>
    <r>
      <rPr>
        <sz val="11"/>
        <rFont val="Cambria"/>
        <family val="0"/>
        <charset val="1"/>
      </rPr>
      <t xml:space="preserve">18%</t>
    </r>
    <r>
      <rPr>
        <sz val="11"/>
        <rFont val="Noto Sans CJK SC"/>
        <family val="2"/>
      </rPr>
      <t xml:space="preserve">；股數持平（</t>
    </r>
    <r>
      <rPr>
        <sz val="11"/>
        <rFont val="Cambria"/>
        <family val="0"/>
        <charset val="1"/>
      </rPr>
      <t xml:space="preserve">GDR </t>
    </r>
    <r>
      <rPr>
        <sz val="11"/>
        <rFont val="Noto Sans CJK SC"/>
        <family val="2"/>
      </rPr>
      <t xml:space="preserve">後 </t>
    </r>
    <r>
      <rPr>
        <sz val="11"/>
        <rFont val="Cambria"/>
        <family val="0"/>
        <charset val="1"/>
      </rPr>
      <t xml:space="preserve">16.4 </t>
    </r>
    <r>
      <rPr>
        <sz val="11"/>
        <rFont val="Noto Sans CJK SC"/>
        <family val="2"/>
      </rPr>
      <t xml:space="preserve">億股）。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</si>
  <si>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11.70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一次性業外約 </t>
    </r>
    <r>
      <rPr>
        <sz val="11"/>
        <rFont val="Cambria"/>
        <family val="0"/>
        <charset val="1"/>
      </rPr>
      <t xml:space="preserve">89 </t>
    </r>
    <r>
      <rPr>
        <sz val="11"/>
        <rFont val="Noto Sans CJK SC"/>
        <family val="2"/>
      </rPr>
      <t xml:space="preserve">億）＋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526.5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27%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28.5%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</si>
  <si>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、景碩、南電、三星電機、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＝不如預期（原為顆數情境，另含資本支出路徑）。本版未做先驗，無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</si>
  <si>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達到；十年平均淨利率未找到，依工作單以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</si>
  <si>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未使用。公司數字經媒體與資料商轉載（公司原文待人工複核）；券商與資料商為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</si>
  <si>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加速器載板與其他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毛利用現金流通率近似，未建分廠稼動率與爬坡良率；</t>
    </r>
    <r>
      <rPr>
        <sz val="11"/>
        <rFont val="Cambria"/>
        <family val="0"/>
        <charset val="1"/>
      </rPr>
      <t xml:space="preserve">(4) DCF </t>
    </r>
    <r>
      <rPr>
        <sz val="11"/>
        <rFont val="Noto Sans CJK SC"/>
        <family val="2"/>
      </rPr>
      <t xml:space="preserve">未計客戶預付款（光復二廠、楊梅二廠全額預付）與營運資金，現金流偏低估；</t>
    </r>
    <r>
      <rPr>
        <sz val="11"/>
        <rFont val="Cambria"/>
        <family val="0"/>
        <charset val="1"/>
      </rPr>
      <t xml:space="preserve">(5) FY2026 </t>
    </r>
    <r>
      <rPr>
        <sz val="11"/>
        <rFont val="Noto Sans CJK SC"/>
        <family val="2"/>
      </rPr>
      <t xml:space="preserve">錨點含 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一次性業外，</t>
    </r>
    <r>
      <rPr>
        <sz val="11"/>
        <rFont val="Cambria"/>
        <family val="0"/>
        <charset val="1"/>
      </rPr>
      <t xml:space="preserve">FY2026 P/E </t>
    </r>
    <r>
      <rPr>
        <sz val="11"/>
        <rFont val="Noto Sans CJK SC"/>
        <family val="2"/>
      </rPr>
      <t xml:space="preserve">偏低；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循環、與盈餘反向；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FactSet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月只有兩家券商；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</si>
  <si>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</si>
  <si>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NT$727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1,065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33.0%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1.8%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24.54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25.66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4.4%</t>
    </r>
    <r>
      <rPr>
        <sz val="11"/>
        <color theme="1"/>
        <rFont val="Noto Sans CJK SC"/>
        <family val="2"/>
      </rPr>
      <t xml:space="preserve">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43.4 </t>
    </r>
    <r>
      <rPr>
        <sz val="11"/>
        <color theme="1"/>
        <rFont val="Noto Sans CJK SC"/>
        <family val="2"/>
      </rPr>
      <t xml:space="preserve">倍與現價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42.3 </t>
    </r>
    <r>
      <rPr>
        <sz val="11"/>
        <color theme="1"/>
        <rFont val="Noto Sans CJK SC"/>
        <family val="2"/>
      </rPr>
      <t xml:space="preserve">倍相近；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用每股（淨利＋折舊 − 資本支出），擴產期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每股現金流 </t>
    </r>
    <r>
      <rPr>
        <sz val="11"/>
        <color theme="1"/>
        <rFont val="Calibri"/>
        <family val="2"/>
        <charset val="1"/>
      </rPr>
      <t xml:space="preserve">9.16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 27.51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64.2%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）只有 </t>
    </r>
    <r>
      <rPr>
        <sz val="11"/>
        <color theme="1"/>
        <rFont val="Calibri"/>
        <family val="2"/>
        <charset val="1"/>
      </rPr>
      <t xml:space="preserve">249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8.6% </t>
    </r>
    <r>
      <rPr>
        <sz val="11"/>
        <color theme="1"/>
        <rFont val="Noto Sans CJK SC"/>
        <family val="2"/>
      </rPr>
      <t xml:space="preserve">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</si>
  <si>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−24.1%</t>
    </r>
    <r>
      <rPr>
        <sz val="11"/>
        <color theme="1"/>
        <rFont val="Noto Sans CJK SC"/>
        <family val="2"/>
      </rPr>
      <t xml:space="preserve">、取高值 </t>
    </r>
    <r>
      <rPr>
        <sz val="11"/>
        <color theme="1"/>
        <rFont val="Calibri"/>
        <family val="2"/>
        <charset val="1"/>
      </rPr>
      <t xml:space="preserve">+24.1%</t>
    </r>
    <r>
      <rPr>
        <sz val="11"/>
        <color theme="1"/>
        <rFont val="Noto Sans CJK SC"/>
        <family val="2"/>
      </rPr>
      <t xml:space="preserve">；漲價年度化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</si>
  <si>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開始：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三情境同為 </t>
    </r>
    <r>
      <rPr>
        <sz val="11"/>
        <color theme="1"/>
        <rFont val="Calibri"/>
        <family val="2"/>
        <charset val="1"/>
      </rPr>
      <t xml:space="preserve">27.51</t>
    </r>
    <r>
      <rPr>
        <sz val="11"/>
        <color theme="1"/>
        <rFont val="Noto Sans CJK SC"/>
        <family val="2"/>
      </rPr>
      <t xml:space="preserve">（比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30.37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9.4%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30.44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報價與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年資本支出。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</si>
  <si>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</si>
  <si>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未使用。公司原文＝公開資訊觀測站財報與法說會（經工商時報、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轉載）；公司說法與指引為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</si>
  <si>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</si>
  <si>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</si>
  <si>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</si>
  <si>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</si>
  <si>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</si>
  <si>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</si>
  <si>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</si>
  <si>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</si>
  <si>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</si>
  <si>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加速器顆數與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</si>
  <si>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</si>
  <si>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</si>
  <si>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</si>
  <si>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</si>
  <si>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</si>
  <si>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</si>
  <si>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</si>
  <si>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</si>
  <si>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</si>
  <si>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</si>
  <si>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</si>
  <si>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</si>
  <si>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</si>
  <si>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</si>
  <si>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</si>
  <si>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</si>
  <si>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</si>
  <si>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</si>
  <si>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</si>
  <si>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</si>
  <si>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</si>
  <si>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</si>
  <si>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</si>
  <si>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</si>
  <si>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</si>
  <si>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</si>
  <si>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</si>
  <si>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</si>
  <si>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</si>
  <si>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</si>
  <si>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</si>
  <si>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</si>
  <si>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</si>
  <si>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</si>
  <si>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</si>
  <si>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</si>
  <si>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</si>
  <si>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</si>
  <si>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</si>
  <si>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</si>
  <si>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</si>
  <si>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</si>
  <si>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</si>
  <si>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</si>
  <si>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</si>
  <si>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</si>
  <si>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</si>
  <si>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</si>
  <si>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</si>
  <si>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</si>
  <si>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</si>
  <si>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</si>
  <si>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</si>
  <si>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</si>
  <si>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</si>
  <si>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</si>
  <si>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</si>
  <si>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</si>
  <si>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</si>
  <si>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</si>
  <si>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</si>
  <si>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</si>
  <si>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</si>
  <si>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</si>
  <si>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</si>
  <si>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</si>
  <si>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</si>
  <si>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</si>
  <si>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</si>
  <si>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</si>
  <si>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</si>
  <si>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</si>
  <si>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</si>
  <si>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</si>
  <si>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</si>
  <si>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</si>
  <si>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</si>
  <si>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</si>
  <si>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</si>
  <si>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</si>
  <si>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</si>
  <si>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</si>
  <si>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</si>
  <si>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</si>
  <si>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</si>
  <si>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</si>
  <si>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</si>
  <si>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</si>
  <si>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</si>
  <si>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</si>
  <si>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</si>
  <si>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</si>
  <si>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</si>
  <si>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</si>
  <si>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</si>
  <si>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</si>
  <si>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</si>
  <si>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</si>
  <si>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</si>
  <si>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</si>
  <si>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</si>
  <si>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</si>
  <si>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</si>
  <si>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</si>
  <si>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</si>
  <si>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、網通）的成長依據；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</si>
  <si>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</si>
  <si>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</si>
  <si>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</si>
  <si>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</si>
  <si>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</si>
  <si>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</si>
  <si>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</si>
  <si>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</si>
  <si>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</si>
  <si>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</si>
  <si>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</si>
  <si>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</si>
  <si>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</si>
  <si>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</si>
  <si>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</si>
  <si>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</si>
  <si>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</si>
  <si>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</si>
  <si>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</si>
  <si>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</si>
  <si>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</si>
  <si>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</si>
  <si>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</si>
  <si>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</si>
  <si>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</si>
  <si>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</si>
  <si>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</si>
  <si>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數字唯讀取自 </t>
    </r>
    <r>
      <rPr>
        <b val="true"/>
        <sz val="11"/>
        <rFont val="Cambria"/>
        <family val="0"/>
        <charset val="1"/>
      </rPr>
      <t xml:space="preserve">ibiden/dist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</si>
  <si>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</si>
  <si>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</si>
  <si>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</si>
  <si>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</si>
  <si>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</si>
  <si>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</si>
  <si>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</si>
  <si>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</si>
  <si>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</si>
  <si>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</si>
  <si>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</si>
  <si>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</si>
  <si>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</si>
  <si>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</si>
  <si>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</si>
  <si>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</si>
  <si>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</si>
  <si>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</si>
  <si>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</si>
  <si>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</si>
  <si>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</si>
  <si>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</si>
  <si>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</si>
  <si>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</si>
  <si>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</si>
  <si>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</si>
  <si>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</si>
  <si>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</si>
  <si>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</si>
  <si>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</si>
  <si>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</si>
  <si>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</si>
  <si>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</si>
  <si>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</si>
  <si>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</si>
  <si>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</si>
  <si>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</si>
  <si>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</si>
  <si>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</si>
  <si>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</si>
  <si>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</si>
  <si>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</si>
  <si>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</si>
  <si>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sh_nv_26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</si>
  <si>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</si>
  <si>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</si>
  <si>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</si>
  <si>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</si>
  <si>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</si>
  <si>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</si>
  <si>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</si>
  <si>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sh_nv_28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</si>
  <si>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</si>
  <si>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</si>
  <si>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</si>
  <si>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</si>
  <si>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</si>
  <si>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</si>
  <si>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</si>
  <si>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</si>
  <si>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</si>
  <si>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—</t>
  </si>
  <si>
    <t xml:space="preserve">sh_ot_28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</si>
  <si>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</si>
  <si>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</si>
  <si>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</si>
  <si>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占比（公司說法；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組合推全年）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</si>
  <si>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</si>
  <si>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</si>
  <si>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ABF 52%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占比升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</si>
  <si>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59%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</si>
  <si>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</si>
  <si>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</si>
  <si>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BT 9%</t>
    </r>
  </si>
  <si>
    <t xml:space="preserve">mx_pcb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</si>
  <si>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</si>
  <si>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2Q26 HDI 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9%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</si>
  <si>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4Q25 HDI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11%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</si>
  <si>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</si>
  <si>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</si>
  <si>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</si>
  <si>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多為記憶體與手機，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集中在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0.66 × 62% ÷ 53% ≈ 0.77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</si>
  <si>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ai_pcb</t>
  </si>
  <si>
    <r>
      <rPr>
        <sz val="11"/>
        <color theme="1"/>
        <rFont val="Calibri"/>
        <family val="2"/>
        <charset val="1"/>
      </rPr>
      <t xml:space="preserve">FY2026 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</si>
  <si>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PCB 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65–70%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</si>
  <si>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55–60%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</si>
  <si>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</si>
  <si>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</si>
  <si>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</si>
  <si>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加速器載板（校準殘差）；隨部署規模成長但低於等比例</t>
    </r>
  </si>
  <si>
    <t xml:space="preserve">量化：未找到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</si>
  <si>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</si>
  <si>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、一般伺服器）年增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</si>
  <si>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、一般伺服器緩步成長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</si>
  <si>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</si>
  <si>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</si>
  <si>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</si>
  <si>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</si>
  <si>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</si>
  <si>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</si>
  <si>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</si>
  <si>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</si>
  <si>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</si>
  <si>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</si>
  <si>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</si>
  <si>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高層數載板每片金額高，但也占用較多製程時間；淨效果 </t>
    </r>
    <r>
      <rPr>
        <sz val="11"/>
        <color theme="1"/>
        <rFont val="Calibri"/>
        <family val="2"/>
        <charset val="1"/>
      </rPr>
      <t xml:space="preserve">Assumed</t>
    </r>
  </si>
  <si>
    <t xml:space="preserve">carry</t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</si>
  <si>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只反映約半年漲價；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</si>
  <si>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溢價指數以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）為基期，已含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下半年漲價；欣興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基期含上半年較低價格</t>
    </r>
  </si>
  <si>
    <r>
      <rPr>
        <sz val="11"/>
        <color theme="1"/>
        <rFont val="Noto Sans CJK SC"/>
        <family val="2"/>
      </rPr>
      <t xml:space="preserve">媒體與法人：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，外資估最高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（口袋學堂，非公司指引）</t>
    </r>
  </si>
  <si>
    <t xml:space="preserve">g_bt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</si>
  <si>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</si>
  <si>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</si>
  <si>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記憶體循環上行（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</si>
  <si>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g_pai_27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</si>
  <si>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（顆數情境係數另乘）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</si>
  <si>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HDI 2Q26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稼動率 </t>
    </r>
    <r>
      <rPr>
        <sz val="11"/>
        <color theme="1"/>
        <rFont val="Calibri"/>
        <family val="2"/>
        <charset val="1"/>
      </rPr>
      <t xml:space="preserve">85–90%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</si>
  <si>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伺服器加速器板、交換器板（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</si>
  <si>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g_pai_28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</si>
  <si>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</si>
  <si>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g_pai_29</t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</si>
  <si>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（顆數情境係數另乘）</t>
    </r>
  </si>
  <si>
    <t xml:space="preserve">g_pcbn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</si>
  <si>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年增（手機、消費、車用）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</si>
  <si>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IoT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、車用年減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應用別）</t>
    </r>
  </si>
  <si>
    <t xml:space="preserve">g_fpc</t>
  </si>
  <si>
    <t xml:space="preserve">軟板與其他年增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</si>
  <si>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占比、資本支出）：軟板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14%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</si>
  <si>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起）：擴產折舊是毛利率關鍵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</si>
  <si>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</si>
  <si>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</si>
  <si>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全公司現金毛利增量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頁（含漲價，偏高）</t>
    </r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</si>
  <si>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毛利率可能接近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（三立，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）；加回折舊約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</si>
  <si>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</si>
  <si>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、軟板）營收增量的現金毛利率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</si>
  <si>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全公司毛利率 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（現金毛利率約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</t>
    </r>
  </si>
  <si>
    <t xml:space="preserve">cx27_A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</si>
  <si>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</si>
  <si>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NT$B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</si>
  <si>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預估）：美系券商估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年資本支出均逾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</si>
  <si>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億（第三次上修；公司）；光復二廠設備 </t>
    </r>
    <r>
      <rPr>
        <sz val="11"/>
        <color theme="1"/>
        <rFont val="Calibri"/>
        <family val="2"/>
        <charset val="1"/>
      </rPr>
      <t xml:space="preserve">300–400 </t>
    </r>
    <r>
      <rPr>
        <sz val="11"/>
        <color theme="1"/>
        <rFont val="Noto Sans CJK SC"/>
        <family val="2"/>
      </rPr>
      <t xml:space="preserve">億（富果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</si>
  <si>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</si>
  <si>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</si>
  <si>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cx29_A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</si>
  <si>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</si>
  <si>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cx27_B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</si>
  <si>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</si>
  <si>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cx28_B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</si>
  <si>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</si>
  <si>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cx29_B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</si>
  <si>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</si>
  <si>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cx27_C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</si>
  <si>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</si>
  <si>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cx28_C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</si>
  <si>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</si>
  <si>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cx29_C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</si>
  <si>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</si>
  <si>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</si>
  <si>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資本支出（公司預算）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</si>
  <si>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財報：營收、營業利益、業外、淨利）：董事會由 </t>
    </r>
    <r>
      <rPr>
        <sz val="11"/>
        <color theme="1"/>
        <rFont val="Calibri"/>
        <family val="2"/>
        <charset val="1"/>
      </rPr>
      <t xml:space="preserve">340 </t>
    </r>
    <r>
      <rPr>
        <sz val="11"/>
        <color theme="1"/>
        <rFont val="Noto Sans CJK SC"/>
        <family val="2"/>
      </rPr>
      <t xml:space="preserve">億上修至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</si>
  <si>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口袋學堂同；長交期設備另追加 </t>
    </r>
    <r>
      <rPr>
        <sz val="11"/>
        <color theme="1"/>
        <rFont val="Calibri"/>
        <family val="2"/>
        <charset val="1"/>
      </rPr>
      <t xml:space="preserve">176 </t>
    </r>
    <r>
      <rPr>
        <sz val="11"/>
        <color theme="1"/>
        <rFont val="Noto Sans CJK SC"/>
        <family val="2"/>
      </rPr>
      <t xml:space="preserve">億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</si>
  <si>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</si>
  <si>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折舊攤提（公司預估）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</si>
  <si>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</t>
    </r>
  </si>
  <si>
    <t xml:space="preserve">資本支出上修後可能更高（未找到更新）</t>
  </si>
  <si>
    <t xml:space="preserve">life</t>
  </si>
  <si>
    <t xml:space="preserve">新增資產平均折舊年限</t>
  </si>
  <si>
    <t xml:space="preserve">年</t>
  </si>
  <si>
    <r>
      <rPr>
        <sz val="11"/>
        <color theme="1"/>
        <rFont val="Noto Sans CJK SC"/>
        <family val="2"/>
      </rPr>
      <t xml:space="preserve">載板設備與廠房混合；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188 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年資本支出約合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</si>
  <si>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</si>
  <si>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</si>
  <si>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</si>
  <si>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39.7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39.9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</si>
  <si>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</si>
  <si>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</si>
  <si>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89.2 </t>
    </r>
    <r>
      <rPr>
        <sz val="11"/>
        <color theme="1"/>
        <rFont val="Noto Sans CJK SC"/>
        <family val="2"/>
      </rPr>
      <t xml:space="preserve">億含金融資產評價利益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億等一次性項目（口袋學堂、工商時報）；不外推</t>
    </r>
  </si>
  <si>
    <r>
      <rPr>
        <sz val="11"/>
        <color theme="1"/>
        <rFont val="Noto Sans CJK SC"/>
        <family val="2"/>
      </rPr>
      <t xml:space="preserve">利息收入（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募資約 </t>
    </r>
    <r>
      <rPr>
        <sz val="11"/>
        <color theme="1"/>
        <rFont val="Calibri"/>
        <family val="2"/>
        <charset val="1"/>
      </rPr>
      <t xml:space="preserve">US$14 </t>
    </r>
    <r>
      <rPr>
        <sz val="11"/>
        <color theme="1"/>
        <rFont val="Noto Sans CJK SC"/>
        <family val="2"/>
      </rPr>
      <t xml:space="preserve">億）＋權益法（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</si>
  <si>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</si>
  <si>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</si>
  <si>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</si>
  <si>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</si>
  <si>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</si>
  <si>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所得稅與少數股權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</si>
  <si>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218.75</t>
    </r>
    <r>
      <rPr>
        <sz val="11"/>
        <color theme="1"/>
        <rFont val="Noto Sans CJK SC"/>
        <family val="2"/>
      </rPr>
      <t xml:space="preserve">、歸屬母公司 </t>
    </r>
    <r>
      <rPr>
        <sz val="11"/>
        <color theme="1"/>
        <rFont val="Calibri"/>
        <family val="2"/>
        <charset val="1"/>
      </rPr>
      <t xml:space="preserve">181.57 → 17.0%</t>
    </r>
    <r>
      <rPr>
        <sz val="11"/>
        <color theme="1"/>
        <rFont val="Noto Sans CJK SC"/>
        <family val="2"/>
      </rPr>
      <t xml:space="preserve">（工商時報）</t>
    </r>
  </si>
  <si>
    <r>
      <rPr>
        <sz val="11"/>
        <color theme="1"/>
        <rFont val="Calibri"/>
        <family val="2"/>
        <charset val="1"/>
      </rPr>
      <t xml:space="preserve">2Q26 15.8%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</si>
  <si>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</si>
  <si>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股數年變動（可轉債轉換、員工酬勞）</t>
  </si>
  <si>
    <r>
      <rPr>
        <sz val="11"/>
        <color theme="1"/>
        <rFont val="Noto Sans CJK SC"/>
        <family val="2"/>
      </rPr>
      <t xml:space="preserve">可轉債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）；轉換價：未找到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</si>
  <si>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</si>
  <si>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</si>
  <si>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</si>
  <si>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</si>
  <si>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1H26 803.36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</si>
  <si>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3Q26 526.5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22.8%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</si>
  <si>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</si>
  <si>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</si>
  <si>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毛利率可望優於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24.8%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</si>
  <si>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27.2%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</si>
  <si>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</si>
  <si>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</si>
  <si>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3.99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</si>
  <si>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</si>
  <si>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</si>
  <si>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4Q26 579.2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</si>
  <si>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公司未給指引</t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</si>
  <si>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</si>
  <si>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</si>
  <si>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預估、產能時程）：法人估 </t>
    </r>
    <r>
      <rPr>
        <sz val="11"/>
        <color theme="1"/>
        <rFont val="Calibri"/>
        <family val="2"/>
        <charset val="1"/>
      </rPr>
      <t xml:space="preserve">30.5%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</si>
  <si>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</si>
  <si>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</si>
  <si>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</si>
  <si>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</si>
  <si>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3.54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8.92</t>
    </r>
    <r>
      <rPr>
        <sz val="11"/>
        <color theme="1"/>
        <rFont val="Noto Sans CJK SC"/>
        <family val="2"/>
      </rPr>
      <t xml:space="preserve">（含一次性評價利益）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</si>
  <si>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前後公布（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估計）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</si>
  <si>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</si>
  <si>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</si>
  <si>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</si>
  <si>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1.64B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</si>
  <si>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萬單位、詢價）：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萬單位（每單位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股，以每單位 </t>
    </r>
    <r>
      <rPr>
        <sz val="11"/>
        <color theme="1"/>
        <rFont val="Calibri"/>
        <family val="2"/>
        <charset val="1"/>
      </rPr>
      <t xml:space="preserve">US$27 ÷ </t>
    </r>
    <r>
      <rPr>
        <sz val="11"/>
        <color theme="1"/>
        <rFont val="Noto Sans CJK SC"/>
        <family val="2"/>
      </rPr>
      <t xml:space="preserve">台股約 </t>
    </r>
    <r>
      <rPr>
        <sz val="11"/>
        <color theme="1"/>
        <rFont val="Calibri"/>
        <family val="2"/>
        <charset val="1"/>
      </rPr>
      <t xml:space="preserve">NT$880 </t>
    </r>
    <r>
      <rPr>
        <sz val="11"/>
        <color theme="1"/>
        <rFont val="Noto Sans CJK SC"/>
        <family val="2"/>
      </rPr>
      <t xml:space="preserve">推得）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</si>
  <si>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</si>
  <si>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</si>
  <si>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中位數，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</si>
  <si>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</si>
  <si>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</si>
  <si>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元）之前；本土法人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（三立）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</si>
  <si>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</si>
  <si>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</si>
  <si>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預估））；本土法人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（三立）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</si>
  <si>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</si>
  <si>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</si>
  <si>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（經濟日報）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</si>
  <si>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</si>
  <si>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</si>
  <si>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</si>
  <si>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</si>
  <si>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</si>
  <si>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兩家平均：美系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</si>
  <si>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</si>
  <si>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</si>
  <si>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</si>
  <si>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</si>
  <si>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</si>
  <si>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1,085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1,100</t>
    </r>
  </si>
  <si>
    <r>
      <rPr>
        <sz val="11"/>
        <color theme="1"/>
        <rFont val="Calibri"/>
        <family val="2"/>
        <charset val="1"/>
      </rPr>
      <t xml:space="preserve">HiStock 2026-10-25 </t>
    </r>
    <r>
      <rPr>
        <sz val="11"/>
        <color theme="1"/>
        <rFont val="Noto Sans CJK SC"/>
        <family val="2"/>
      </rPr>
      <t xml:space="preserve">頁面：</t>
    </r>
    <r>
      <rPr>
        <sz val="11"/>
        <color theme="1"/>
        <rFont val="Calibri"/>
        <family val="2"/>
        <charset val="1"/>
      </rPr>
      <t xml:space="preserve">1,085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</si>
  <si>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</si>
  <si>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</si>
  <si>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</si>
  <si>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</si>
  <si>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</si>
  <si>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</si>
  <si>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HiStock 72.24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</si>
  <si>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</si>
  <si>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</si>
  <si>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</si>
  <si>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</si>
  <si>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</si>
  <si>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</si>
  <si>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FactSet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1,000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</si>
  <si>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</si>
  <si>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</si>
  <si>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</si>
  <si>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鉅亨報價框：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</si>
  <si>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tgt_abf_gap27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</si>
  <si>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（外資報告）</t>
    </r>
  </si>
  <si>
    <r>
      <rPr>
        <sz val="11"/>
        <color theme="1"/>
        <rFont val="Noto Sans CJK SC"/>
        <family val="2"/>
      </rPr>
      <t xml:space="preserve">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</si>
  <si>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</si>
  <si>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</si>
  <si>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</si>
  <si>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</si>
  <si>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</si>
  <si>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</si>
  <si>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</si>
  <si>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</si>
  <si>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</si>
  <si>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</si>
  <si>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</si>
  <si>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</si>
  <si>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</si>
  <si>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</si>
  <si>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</si>
  <si>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</si>
  <si>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</si>
  <si>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</si>
  <si>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</si>
  <si>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</si>
  <si>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</si>
  <si>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</si>
  <si>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</si>
  <si>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3037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12.94%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5.67%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7.31%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</si>
  <si>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</si>
  <si>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</si>
  <si>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</si>
  <si>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</si>
  <si>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</si>
  <si>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</si>
  <si>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</si>
  <si>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</si>
  <si>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</si>
  <si>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</si>
  <si>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</si>
  <si>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</si>
  <si>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</si>
  <si>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</si>
  <si>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</si>
  <si>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</si>
  <si>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</si>
  <si>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</si>
  <si>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</si>
  <si>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</si>
  <si>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</si>
  <si>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</si>
  <si>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</si>
  <si>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</si>
  <si>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</si>
  <si>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</si>
  <si>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</si>
  <si>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</si>
  <si>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</si>
  <si>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</si>
  <si>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</si>
  <si>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</si>
  <si>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</si>
  <si>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損益表（公司財報）；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（公司財報）</t>
    </r>
  </si>
  <si>
    <r>
      <rPr>
        <sz val="11"/>
        <color theme="1"/>
        <rFont val="Calibri"/>
        <family val="2"/>
        <charset val="1"/>
      </rPr>
      <t xml:space="preserve">1Q26 374.46 </t>
    </r>
    <r>
      <rPr>
        <sz val="11"/>
        <color theme="1"/>
        <rFont val="Noto Sans CJK SC"/>
        <family val="2"/>
      </rPr>
      <t xml:space="preserve">億（永豐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2Q26 428.89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</si>
  <si>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</si>
  <si>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</si>
  <si>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1Q26 17.96%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24.8%</t>
    </r>
    <r>
      <rPr>
        <sz val="11"/>
        <color theme="1"/>
        <rFont val="Noto Sans CJK SC"/>
        <family val="2"/>
      </rPr>
      <t xml:space="preserve">（公司；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同）</t>
    </r>
  </si>
  <si>
    <t xml:space="preserve">毛利率</t>
  </si>
  <si>
    <t xml:space="preserve">FY2025 13.94%</t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</si>
  <si>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</si>
  <si>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</si>
  <si>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</si>
  <si>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</si>
  <si>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</si>
  <si>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1H26 94.08 </t>
    </r>
    <r>
      <rPr>
        <sz val="11"/>
        <color theme="1"/>
        <rFont val="Noto Sans CJK SC"/>
        <family val="2"/>
      </rPr>
      <t xml:space="preserve">億（口袋學堂；工商時報 </t>
    </r>
    <r>
      <rPr>
        <sz val="11"/>
        <color theme="1"/>
        <rFont val="Calibri"/>
        <family val="2"/>
        <charset val="1"/>
      </rPr>
      <t xml:space="preserve">94.07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</si>
  <si>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＝淨利 − 營業利益，近似）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</si>
  <si>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</si>
  <si>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含金融資產評價利益 </t>
    </r>
    <r>
      <rPr>
        <sz val="11"/>
        <color theme="1"/>
        <rFont val="Calibri"/>
        <family val="2"/>
        <charset val="1"/>
      </rPr>
      <t xml:space="preserve">92.1 </t>
    </r>
    <r>
      <rPr>
        <sz val="11"/>
        <color theme="1"/>
        <rFont val="Noto Sans CJK SC"/>
        <family val="2"/>
      </rPr>
      <t xml:space="preserve">億、湖口廠處分利益 </t>
    </r>
    <r>
      <rPr>
        <sz val="11"/>
        <color theme="1"/>
        <rFont val="Calibri"/>
        <family val="2"/>
        <charset val="1"/>
      </rPr>
      <t xml:space="preserve">5.6 </t>
    </r>
    <r>
      <rPr>
        <sz val="11"/>
        <color theme="1"/>
        <rFont val="Noto Sans CJK SC"/>
        <family val="2"/>
      </rPr>
      <t xml:space="preserve">億、欣興同泰減損 </t>
    </r>
    <r>
      <rPr>
        <sz val="11"/>
        <color theme="1"/>
        <rFont val="Calibri"/>
        <family val="2"/>
        <charset val="1"/>
      </rPr>
      <t xml:space="preserve">13.7 </t>
    </r>
    <r>
      <rPr>
        <sz val="11"/>
        <color theme="1"/>
        <rFont val="Noto Sans CJK SC"/>
        <family val="2"/>
      </rPr>
      <t xml:space="preserve">億（口袋學堂）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</si>
  <si>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</si>
  <si>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公布 </t>
    </r>
    <r>
      <rPr>
        <sz val="11"/>
        <color theme="1"/>
        <rFont val="Calibri"/>
        <family val="2"/>
        <charset val="1"/>
      </rPr>
      <t xml:space="preserve">218.75 </t>
    </r>
    <r>
      <rPr>
        <sz val="11"/>
        <color theme="1"/>
        <rFont val="Noto Sans CJK SC"/>
        <family val="2"/>
      </rPr>
      <t xml:space="preserve">億（核對見第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列）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</si>
  <si>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</si>
  <si>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50.43 </t>
    </r>
    <r>
      <rPr>
        <sz val="11"/>
        <color theme="1"/>
        <rFont val="Noto Sans CJK SC"/>
        <family val="2"/>
      </rPr>
      <t xml:space="preserve">億（永豐）；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業外與稅後淨利接近營業利益</t>
    </r>
  </si>
  <si>
    <t xml:space="preserve">所得稅與少數股權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</si>
  <si>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</si>
  <si>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</si>
  <si>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</si>
  <si>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1H26 11.70</t>
    </r>
    <r>
      <rPr>
        <sz val="11"/>
        <color theme="1"/>
        <rFont val="Noto Sans CJK SC"/>
        <family val="2"/>
      </rPr>
      <t xml:space="preserve">（工商時報）</t>
    </r>
  </si>
  <si>
    <t xml:space="preserve">折舊攤提（年度）</t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</si>
  <si>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2026-02-25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</si>
  <si>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 </t>
    </r>
    <r>
      <rPr>
        <sz val="11"/>
        <color theme="1"/>
        <rFont val="Calibri"/>
        <family val="2"/>
        <charset val="1"/>
      </rPr>
      <t xml:space="preserve">FY2025 18.46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</si>
  <si>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</si>
  <si>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</si>
  <si>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：公司預算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</si>
  <si>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</si>
  <si>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</si>
  <si>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</si>
  <si>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PCB</t>
    </r>
  </si>
  <si>
    <t xml:space="preserve">軟板與其他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</si>
  <si>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</si>
  <si>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稅前利益 自算 − 公司公布 </t>
    </r>
    <r>
      <rPr>
        <sz val="11"/>
        <color theme="1"/>
        <rFont val="Calibri"/>
        <family val="2"/>
        <charset val="1"/>
      </rPr>
      <t xml:space="preserve">21.875</t>
    </r>
    <r>
      <rPr>
        <sz val="11"/>
        <color theme="1"/>
        <rFont val="Noto Sans CJK SC"/>
        <family val="2"/>
      </rPr>
      <t xml:space="preserve">（應接近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</si>
  <si>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</si>
  <si>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</si>
  <si>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</si>
  <si>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57.92 − 1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</si>
  <si>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欣興在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）＋欣興，其餘為三星電機、景碩、南電、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</si>
  <si>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</si>
  <si>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</si>
  <si>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</si>
  <si>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</si>
  <si>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</si>
  <si>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</si>
  <si>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</si>
  <si>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</si>
  <si>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</si>
  <si>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</si>
  <si>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</si>
  <si>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</si>
  <si>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</si>
  <si>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</si>
  <si>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</si>
  <si>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</si>
  <si>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</si>
  <si>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模型的非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權重假設份額相對值與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同步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</si>
  <si>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</si>
  <si>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；其餘為景碩、南電、三星電機、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</si>
  <si>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</si>
  <si>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對照值見 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</t>
    </r>
  </si>
  <si>
    <t xml:space="preserve">欣興加速器載板營收</t>
  </si>
  <si>
    <t xml:space="preserve">US$M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</si>
  <si>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</si>
  <si>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</si>
  <si>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</si>
  <si>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</si>
  <si>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模型相同係數）</t>
    </r>
  </si>
  <si>
    <r>
      <rPr>
        <b val="true"/>
        <sz val="11"/>
        <rFont val="Noto Sans CJK SC"/>
        <family val="2"/>
      </rPr>
      <t xml:space="preserve">讀法：欣興在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加速器載板約占兩到三成、在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約三成；加速器載板只占欣興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載板約三成，其餘是交換器、伺服器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與網通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載板（校準殘差，公司未揭露）。份額合計留給三星電機、景碩、南電、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</si>
  <si>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欣興損益（十億新台幣；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</si>
  <si>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</si>
  <si>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</si>
  <si>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</si>
  <si>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</si>
  <si>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</si>
  <si>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</si>
  <si>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</si>
  <si>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</si>
  <si>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</si>
  <si>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</si>
  <si>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</si>
  <si>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</si>
  <si>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</si>
  <si>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</si>
  <si>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</si>
  <si>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</si>
  <si>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</si>
  <si>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</si>
  <si>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</si>
  <si>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</si>
  <si>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</si>
  <si>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</si>
  <si>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</si>
  <si>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</si>
  <si>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</si>
  <si>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（順利）：顆數基準；資本支出 </t>
    </r>
    <r>
      <rPr>
        <b val="true"/>
        <sz val="11"/>
        <rFont val="Cambria"/>
        <family val="0"/>
        <charset val="1"/>
      </rPr>
      <t xml:space="preserve">FY2027–29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550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450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</si>
  <si>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</si>
  <si>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</si>
  <si>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</si>
  <si>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</si>
  <si>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</si>
  <si>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</si>
  <si>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</si>
  <si>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</si>
  <si>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</si>
  <si>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欣興漲價年度化（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</si>
  <si>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</si>
  <si>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</si>
  <si>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</si>
  <si>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</si>
  <si>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</si>
  <si>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</si>
  <si>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欣興加速器載板營收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</si>
  <si>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欣興加速器載板營收（新台幣）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</si>
  <si>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</si>
  <si>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</si>
  <si>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公司：載板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占比上半年逾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、下半年 </t>
    </r>
    <r>
      <rPr>
        <sz val="11"/>
        <color theme="1"/>
        <rFont val="Calibri"/>
        <family val="2"/>
        <charset val="1"/>
      </rPr>
      <t xml:space="preserve">70%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</si>
  <si>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</si>
  <si>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</si>
  <si>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</si>
  <si>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</si>
  <si>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</si>
  <si>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</si>
  <si>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</si>
  <si>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</si>
  <si>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</si>
  <si>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</si>
  <si>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</si>
  <si>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</si>
  <si>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Noto Sans CJK SC"/>
        <family val="2"/>
      </rPr>
      <t xml:space="preserve">基準路徑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顆數情境係數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</si>
  <si>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</si>
  <si>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</si>
  <si>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</si>
  <si>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</si>
  <si>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（載板＋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</si>
  <si>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</si>
  <si>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擴產折舊、毛利與損益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</si>
  <si>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</si>
  <si>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</si>
  <si>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</si>
  <si>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</si>
  <si>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</si>
  <si>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</si>
  <si>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</si>
  <si>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</si>
  <si>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營業外淨額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</si>
  <si>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一次性評價利益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</si>
  <si>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</si>
  <si>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</si>
  <si>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</si>
  <si>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</si>
  <si>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</si>
  <si>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</si>
  <si>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不含客戶預付款（光復二廠、楊梅二廠由客戶全額預付）與營運資金變動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</si>
  <si>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</si>
  <si>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480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420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380 </t>
    </r>
    <r>
      <rPr>
        <b val="true"/>
        <sz val="11"/>
        <rFont val="Noto Sans CJK SC"/>
        <family val="2"/>
      </rPr>
      <t xml:space="preserve">億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</si>
  <si>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；資本支出 </t>
    </r>
    <r>
      <rPr>
        <b val="true"/>
        <sz val="11"/>
        <rFont val="Cambria"/>
        <family val="0"/>
        <charset val="1"/>
      </rPr>
      <t xml:space="preserve">400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280 </t>
    </r>
    <r>
      <rPr>
        <b val="true"/>
        <sz val="1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</si>
  <si>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</si>
  <si>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循環位置：欣興不是設備股，不套設備市場見頂年；以本模型營收最高的會計年度為見頂年（比照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</si>
  <si>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</si>
  <si>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</si>
  <si>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</si>
  <si>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</si>
  <si>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</si>
  <si>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</si>
  <si>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</si>
  <si>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</si>
  <si>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</si>
  <si>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</si>
  <si>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</si>
  <si>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</si>
  <si>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</si>
  <si>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</si>
  <si>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方法：欣興資本密集、模型有資本支出與折舊，改用每股（淨利＋折舊－資本支出）（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</si>
  <si>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</si>
  <si>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</si>
  <si>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</si>
  <si>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</si>
  <si>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</si>
  <si>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</si>
  <si>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</si>
  <si>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</si>
  <si>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9% → </t>
    </r>
    <r>
      <rPr>
        <sz val="11"/>
        <color theme="1"/>
        <rFont val="Noto Sans CJK SC"/>
        <family val="2"/>
      </rPr>
      <t xml:space="preserve">再投資率約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</si>
  <si>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</si>
  <si>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</si>
  <si>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</si>
  <si>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</si>
  <si>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</si>
  <si>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</si>
  <si>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</si>
  <si>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</si>
  <si>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</si>
  <si>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</si>
  <si>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</si>
  <si>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</si>
  <si>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t xml:space="preserve">2026-10-22</t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</si>
  <si>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</si>
  <si>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</si>
  <si>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</si>
  <si>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</si>
  <si>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</si>
  <si>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</si>
  <si>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</si>
  <si>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</si>
  <si>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</si>
  <si>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</si>
  <si>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</si>
  <si>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</si>
  <si>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</si>
  <si>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</si>
  <si>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</si>
  <si>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</si>
  <si>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</si>
  <si>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</si>
  <si>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</si>
  <si>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</si>
  <si>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</si>
  <si>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1,317.37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擷取）；本土法人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</si>
  <si>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</si>
  <si>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</si>
  <si>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</si>
  <si>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</si>
  <si>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</si>
  <si>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</si>
  <si>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</si>
  <si>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</si>
  <si>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</si>
  <si>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不計）的分位（超出十年區間時記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</si>
  <si>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</si>
  <si>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明確期＋永續；欣興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年資本支出 </t>
    </r>
    <r>
      <rPr>
        <sz val="11"/>
        <color theme="1"/>
        <rFont val="Calibri"/>
        <family val="2"/>
        <charset val="1"/>
      </rPr>
      <t xml:space="preserve">400–550 </t>
    </r>
    <r>
      <rPr>
        <sz val="11"/>
        <color theme="1"/>
        <rFont val="Noto Sans CJK SC"/>
        <family val="2"/>
      </rPr>
      <t xml:space="preserve">億，明確期現金流被擴產壓低，且未計客戶預付款（光復二廠、楊梅二廠全額預付），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短缺溢價期，倍數偏高、部分價格為 </t>
    </r>
    <r>
      <rPr>
        <sz val="11"/>
        <color theme="1"/>
        <rFont val="Calibri"/>
        <family val="2"/>
        <charset val="1"/>
      </rPr>
      <t xml:space="preserve">8–9 </t>
    </r>
    <r>
      <rPr>
        <sz val="11"/>
        <color theme="1"/>
        <rFont val="Noto Sans CJK SC"/>
        <family val="2"/>
      </rPr>
      <t xml:space="preserve">月。情境對應：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</si>
  <si>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</si>
  <si>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</si>
  <si>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</si>
  <si>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</si>
  <si>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</si>
  <si>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</si>
  <si>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三情境相同（錨點；含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</si>
  <si>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</si>
  <si>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開始；資本支出差異從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折舊起）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</si>
  <si>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</si>
  <si>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</si>
  <si>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</si>
  <si>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</si>
  <si>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</si>
  <si>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</si>
  <si>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</si>
  <si>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</si>
  <si>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</si>
  <si>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</si>
  <si>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</si>
  <si>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</si>
  <si>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</si>
  <si>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</si>
  <si>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</si>
  <si>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</si>
  <si>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</si>
  <si>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</si>
  <si>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</si>
  <si>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</si>
  <si>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</si>
  <si>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</si>
  <si>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</si>
  <si>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</si>
  <si>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短缺與漲價延續、擴產折舊被營收吸收」。本版未做先驗，無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</si>
  <si>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0.01 </t>
    </r>
    <r>
      <rPr>
        <b val="true"/>
        <sz val="11"/>
        <rFont val="Noto Sans CJK SC"/>
        <family val="2"/>
      </rPr>
      <t xml:space="preserve">元，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逾 </t>
    </r>
    <r>
      <rPr>
        <b val="true"/>
        <sz val="11"/>
        <rFont val="Cambria"/>
        <family val="0"/>
        <charset val="1"/>
      </rPr>
      <t xml:space="preserve">1,000 </t>
    </r>
    <r>
      <rPr>
        <b val="true"/>
        <sz val="11"/>
        <rFont val="Noto Sans CJK SC"/>
        <family val="2"/>
      </rPr>
      <t xml:space="preserve">倍無意義，不計）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</si>
  <si>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</si>
  <si>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</si>
  <si>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</si>
  <si>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</si>
  <si>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</si>
  <si>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0.01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</si>
  <si>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</si>
  <si>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</si>
  <si>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</si>
  <si>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</si>
  <si>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</si>
  <si>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</si>
  <si>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</si>
  <si>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</si>
  <si>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</si>
  <si>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</si>
  <si>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</si>
  <si>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依循環位置取分位，兩個來源分別取分位再平均。欣興的落後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42–58x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6x</t>
    </r>
    <r>
      <rPr>
        <sz val="11"/>
        <color theme="1"/>
        <rFont val="Noto Sans CJK SC"/>
        <family val="2"/>
      </rPr>
      <t xml:space="preserve">；十年多為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</si>
  <si>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</si>
  <si>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</si>
  <si>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</si>
  <si>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</si>
  <si>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倍不計）；自算（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無資料，改用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50.40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</si>
  <si>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</si>
  <si>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</si>
  <si>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</si>
  <si>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</si>
  <si>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</si>
  <si>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</si>
  <si>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</si>
  <si>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</si>
  <si>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</si>
  <si>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</si>
  <si>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</si>
  <si>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</si>
  <si>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</si>
  <si>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</si>
  <si>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</si>
  <si>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</si>
  <si>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</si>
  <si>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</si>
  <si>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</si>
  <si>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</si>
  <si>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</si>
  <si>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</si>
  <si>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</si>
  <si>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</si>
  <si>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</si>
  <si>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</si>
  <si>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</si>
  <si>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</si>
  <si>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月券商數字只有兩家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</si>
  <si>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</si>
  <si>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</si>
  <si>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</si>
  <si>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</si>
  <si>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</si>
  <si>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</si>
  <si>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</si>
  <si>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</si>
  <si>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</si>
  <si>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本土法人 </t>
    </r>
    <r>
      <rPr>
        <sz val="11"/>
        <color theme="1"/>
        <rFont val="Calibri"/>
        <family val="2"/>
        <charset val="1"/>
      </rPr>
      <t xml:space="preserve">23.42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</si>
  <si>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三立（本土法人）</t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</si>
  <si>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15.17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一次性業外之前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</si>
  <si>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</si>
  <si>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經濟日報（美系券商）</t>
  </si>
  <si>
    <r>
      <rPr>
        <sz val="11"/>
        <color theme="1"/>
        <rFont val="Calibri"/>
        <family val="2"/>
        <charset val="1"/>
      </rPr>
      <t xml:space="preserve">FY2027 EPS vs 2026-10 </t>
    </r>
    <r>
      <rPr>
        <sz val="11"/>
        <color theme="1"/>
        <rFont val="Noto Sans CJK SC"/>
        <family val="2"/>
      </rPr>
      <t xml:space="preserve">券商平均（美系 </t>
    </r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、本土 </t>
    </r>
    <r>
      <rPr>
        <sz val="11"/>
        <color theme="1"/>
        <rFont val="Calibri"/>
        <family val="2"/>
        <charset val="1"/>
      </rPr>
      <t xml:space="preserve">41.10</t>
    </r>
    <r>
      <rPr>
        <sz val="11"/>
        <color theme="1"/>
        <rFont val="Noto Sans CJK SC"/>
        <family val="2"/>
      </rPr>
      <t xml:space="preserve">）</t>
    </r>
  </si>
  <si>
    <t xml:space="preserve">經濟日報、三立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</si>
  <si>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</si>
  <si>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30.37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</si>
  <si>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</si>
  <si>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48.52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</si>
  <si>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</si>
  <si>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64.8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</si>
  <si>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64.8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</si>
  <si>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經濟日報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</si>
  <si>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</si>
  <si>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</si>
  <si>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</si>
  <si>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</si>
  <si>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</si>
  <si>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</si>
  <si>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</si>
  <si>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10-29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</si>
  <si>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本土法人估 </t>
    </r>
    <r>
      <rPr>
        <sz val="11"/>
        <color theme="1"/>
        <rFont val="Calibri"/>
        <family val="2"/>
        <charset val="1"/>
      </rPr>
      <t xml:space="preserve">579.2 </t>
    </r>
    <r>
      <rPr>
        <sz val="11"/>
        <color theme="1"/>
        <rFont val="Noto Sans CJK SC"/>
        <family val="2"/>
      </rPr>
      <t xml:space="preserve">億</t>
    </r>
  </si>
  <si>
    <t xml:space="preserve">三立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</si>
  <si>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4Q26 </t>
    </r>
    <r>
      <rPr>
        <sz val="11"/>
        <color theme="1"/>
        <rFont val="Noto Sans CJK SC"/>
        <family val="2"/>
      </rPr>
      <t xml:space="preserve">毛利率（假設）（百分點）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</si>
  <si>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</si>
  <si>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t xml:space="preserve">擴產折舊增量抵銷部分規模效益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</si>
  <si>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</si>
  <si>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</si>
  <si>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</si>
  <si>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</si>
  <si>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外資：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</si>
  <si>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</si>
  <si>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</si>
  <si>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</t>
    </r>
  </si>
  <si>
    <t xml:space="preserve">全年口徑低於下半年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</si>
  <si>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</si>
  <si>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</si>
  <si>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</si>
  <si>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</si>
  <si>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加速器的欣興營收（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</si>
  <si>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</si>
  <si>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</si>
  <si>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</si>
  <si>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</si>
  <si>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</si>
  <si>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美系券商「逾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億」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</si>
  <si>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</si>
  <si>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</si>
  <si>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</si>
  <si>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</si>
  <si>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</si>
  <si>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</si>
  <si>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</si>
  <si>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</si>
  <si>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</si>
  <si>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</si>
  <si>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</si>
  <si>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</si>
  <si>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</si>
  <si>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</si>
  <si>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</si>
  <si>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</si>
  <si>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</si>
  <si>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1.70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</si>
  <si>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</si>
  <si>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2.30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</si>
  <si>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</si>
  <si>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</si>
  <si>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</si>
  <si>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</si>
  <si>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</si>
  <si>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</si>
  <si>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</si>
  <si>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</si>
  <si>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</si>
  <si>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</si>
  <si>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</si>
  <si>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</si>
  <si>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</si>
  <si>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</si>
  <si>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</si>
  <si>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</si>
  <si>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資本支出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</si>
  <si>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280 </t>
    </r>
    <r>
      <rPr>
        <sz val="11"/>
        <color theme="1"/>
        <rFont val="Noto Sans CJK SC"/>
        <family val="2"/>
      </rPr>
      <t xml:space="preserve">億（折舊較低）</t>
    </r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</si>
  <si>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</si>
  <si>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20%→22%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</si>
  <si>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</si>
  <si>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30%→36%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</si>
  <si>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</si>
  <si>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22%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</si>
  <si>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</si>
  <si>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40%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</si>
  <si>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</si>
  <si>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</si>
  <si>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</si>
  <si>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</si>
  <si>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</si>
  <si>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HDI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</si>
  <si>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+10pt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</si>
  <si>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</si>
  <si>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</si>
  <si>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</si>
  <si>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</si>
  <si>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</si>
  <si>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</si>
  <si>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</si>
  <si>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；資本支出較低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</si>
  <si>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</si>
  <si>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；資本支出最低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</si>
  <si>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產能受限時，顆數與份額的上修只部分轉成營收（滿足率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），產能與價格的影響較大；折舊年限與資本支出路徑直接改變毛利率；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</si>
  <si>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</si>
  <si>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</si>
  <si>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</si>
  <si>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</si>
  <si>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</si>
  <si>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</si>
  <si>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</si>
  <si>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</si>
  <si>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</si>
  <si>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</si>
  <si>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</si>
  <si>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</si>
  <si>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</si>
  <si>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</si>
  <si>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</si>
  <si>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</si>
  <si>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</si>
  <si>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</si>
  <si>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</si>
  <si>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</si>
  <si>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</si>
  <si>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</si>
  <si>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</si>
  <si>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</si>
  <si>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</si>
  <si>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</si>
  <si>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</si>
  <si>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</si>
  <si>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</si>
  <si>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</si>
  <si>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</si>
  <si>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</si>
  <si>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</si>
  <si>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</si>
  <si>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案例區塊：欣興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</si>
  <si>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</si>
  <si>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</si>
  <si>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</si>
  <si>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HDI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</si>
  <si>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</si>
  <si>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</si>
  <si>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</si>
  <si>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來源（公司財報經媒體與資料商轉載；法說內容經媒體摘要；券商與資料商皆為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</si>
  <si>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財報（營收、營業利益、業外、淨利、資本支出）</t>
    </r>
  </si>
  <si>
    <t xml:space="preserve">https://www.ctee.com.tw/news/20260729700548-430201</t>
  </si>
  <si>
    <r>
      <rPr>
        <sz val="11"/>
        <color theme="1"/>
        <rFont val="Noto Sans CJK SC"/>
        <family val="2"/>
      </rPr>
      <t xml:space="preserve">公司（轉載）：工商時報 </t>
    </r>
    <r>
      <rPr>
        <sz val="11"/>
        <color theme="1"/>
        <rFont val="Calibri"/>
        <family val="2"/>
        <charset val="1"/>
      </rPr>
      <t xml:space="preserve">2026-07-29 2Q26 </t>
    </r>
    <r>
      <rPr>
        <sz val="11"/>
        <color theme="1"/>
        <rFont val="Noto Sans CJK SC"/>
        <family val="2"/>
      </rPr>
      <t xml:space="preserve">法說（產品組合、應用別、稼動率、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占比、產能時程）</t>
    </r>
  </si>
  <si>
    <t xml:space="preserve">https://www.ctee.com.tw/news/20260729701506-430201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</si>
  <si>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Quartr 2Q26 </t>
    </r>
    <r>
      <rPr>
        <sz val="11"/>
        <color theme="1"/>
        <rFont val="Noto Sans CJK SC"/>
        <family val="2"/>
      </rPr>
      <t xml:space="preserve">摘要（營收、毛利率、營業利益、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</si>
  <si>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https://quartr.com/events/unimicron-technology-corp-3037-q2-2026_F9DCOIJX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</si>
  <si>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、折舊 </t>
    </r>
    <r>
      <rPr>
        <sz val="11"/>
        <color theme="1"/>
        <rFont val="Calibri"/>
        <family val="2"/>
        <charset val="1"/>
      </rPr>
      <t xml:space="preserve">188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產品組合、光復二廠）</t>
    </r>
  </si>
  <si>
    <t xml:space="preserve">https://blog.fugle.tw/post/earnings-call-3037-2026-02-25</t>
  </si>
  <si>
    <r>
      <rPr>
        <sz val="11"/>
        <color theme="1"/>
        <rFont val="Noto Sans CJK SC"/>
        <family val="2"/>
      </rPr>
      <t xml:space="preserve">媒體：口袋學堂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法說（業外明細、</t>
    </r>
    <r>
      <rPr>
        <sz val="11"/>
        <color theme="1"/>
        <rFont val="Calibri"/>
        <family val="2"/>
        <charset val="1"/>
      </rPr>
      <t xml:space="preserve">ABF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</si>
  <si>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https://www.pocket.tw/school/articles/7708/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</si>
  <si>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537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</si>
  <si>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https://uanalyze.com.tw/articles/4246852366</t>
  </si>
  <si>
    <r>
      <rPr>
        <sz val="11"/>
        <color theme="1"/>
        <rFont val="Noto Sans CJK SC"/>
        <family val="2"/>
      </rPr>
      <t xml:space="preserve">媒體：永豐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供需缺口、私募與可轉債）</t>
    </r>
  </si>
  <si>
    <r>
      <rPr>
        <sz val="11"/>
        <color theme="1"/>
        <rFont val="Calibri"/>
        <family val="2"/>
        <charset val="1"/>
      </rPr>
      <t xml:space="preserve">https://www.sinotrade.com.tw/richclub/hotstock/</t>
    </r>
    <r>
      <rPr>
        <sz val="11"/>
        <color theme="1"/>
        <rFont val="Noto Sans CJK SC"/>
        <family val="2"/>
      </rPr>
      <t xml:space="preserve">欣興</t>
    </r>
    <r>
      <rPr>
        <sz val="11"/>
        <color theme="1"/>
        <rFont val="Calibri"/>
        <family val="2"/>
        <charset val="1"/>
      </rPr>
      <t xml:space="preserve">-3037--1Q26-EPS</t>
    </r>
    <r>
      <rPr>
        <sz val="11"/>
        <color theme="1"/>
        <rFont val="Noto Sans CJK SC"/>
        <family val="2"/>
      </rPr>
      <t xml:space="preserve">繳出</t>
    </r>
    <r>
      <rPr>
        <sz val="11"/>
        <color theme="1"/>
        <rFont val="Calibri"/>
        <family val="2"/>
        <charset val="1"/>
      </rPr>
      <t xml:space="preserve">3-28</t>
    </r>
    <r>
      <rPr>
        <sz val="11"/>
        <color theme="1"/>
        <rFont val="Noto Sans CJK SC"/>
        <family val="2"/>
      </rPr>
      <t xml:space="preserve">元改寫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季新高</t>
    </r>
    <r>
      <rPr>
        <sz val="11"/>
        <color theme="1"/>
        <rFont val="Calibri"/>
        <family val="2"/>
        <charset val="1"/>
      </rPr>
      <t xml:space="preserve">-T-glass</t>
    </r>
    <r>
      <rPr>
        <sz val="11"/>
        <color theme="1"/>
        <rFont val="Noto Sans CJK SC"/>
        <family val="2"/>
      </rPr>
      <t xml:space="preserve">缺料推升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漲價循環的預期差再放大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豐學</t>
    </r>
    <r>
      <rPr>
        <sz val="11"/>
        <color theme="1"/>
        <rFont val="Calibri"/>
        <family val="2"/>
        <charset val="1"/>
      </rPr>
      <t xml:space="preserve">PRIME</t>
    </r>
    <r>
      <rPr>
        <sz val="11"/>
        <color theme="1"/>
        <rFont val="Noto Sans CJK SC"/>
        <family val="2"/>
      </rPr>
      <t xml:space="preserve">盤後精選</t>
    </r>
    <r>
      <rPr>
        <sz val="11"/>
        <color theme="1"/>
        <rFont val="Calibri"/>
        <family val="2"/>
        <charset val="1"/>
      </rPr>
      <t xml:space="preserve">--69f16461f5cc3b01237ecb00</t>
    </r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</si>
  <si>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2026-04-10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董事會決議）</t>
    </r>
  </si>
  <si>
    <t xml:space="preserve">https://uanalyze.com.tw/articles/7364850419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</si>
  <si>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GDR 5,000 </t>
    </r>
    <r>
      <rPr>
        <sz val="11"/>
        <color theme="1"/>
        <rFont val="Noto Sans CJK SC"/>
        <family val="2"/>
      </rPr>
      <t xml:space="preserve">萬單位、每單位 </t>
    </r>
    <r>
      <rPr>
        <sz val="11"/>
        <color theme="1"/>
        <rFont val="Calibri"/>
        <family val="2"/>
        <charset val="1"/>
      </rPr>
      <t xml:space="preserve">US$26.96–27.76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</si>
  <si>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https://uanalyze.com.tw/articles/9347152010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</si>
  <si>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186.51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1,329.86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</si>
  <si>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https://finance.technews.tw/2026/10/08/unimicron-3037-202609-financial-report/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</si>
  <si>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2026-10-19 </t>
    </r>
    <r>
      <rPr>
        <sz val="11"/>
        <color theme="1"/>
        <rFont val="Noto Sans CJK SC"/>
        <family val="2"/>
      </rPr>
      <t xml:space="preserve">本土法人（目標價 </t>
    </r>
    <r>
      <rPr>
        <sz val="11"/>
        <color theme="1"/>
        <rFont val="Calibri"/>
        <family val="2"/>
        <charset val="1"/>
      </rPr>
      <t xml:space="preserve">1,500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 23.42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2027 41.10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</t>
    </r>
  </si>
  <si>
    <t xml:space="preserve">https://www.mirrormedia.mg/external/setn_1923649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</si>
  <si>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EPS 2026 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2027 37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2028 64.8</t>
    </r>
    <r>
      <rPr>
        <sz val="11"/>
        <color theme="1"/>
        <rFont val="Noto Sans CJK SC"/>
        <family val="2"/>
      </rPr>
      <t xml:space="preserve">、資本支出逾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</si>
  <si>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</si>
  <si>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</si>
  <si>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https://news.cnyes.com/news/id/6510190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</si>
  <si>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、現金流）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</si>
  <si>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</si>
  <si>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、景碩、南電、三星電機、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</si>
  <si>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</si>
  <si>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</si>
  <si>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https://companiesmarketcap.com/unimicron/pe-ratio/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</si>
  <si>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</si>
  <si>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https://www.digrin.com/stocks/detail/3037.TW/price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</si>
  <si>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2016–2025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</si>
  <si>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https://www.wantgoo.com/stock/3037/profitability/dividend-payout-ratio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</si>
  <si>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（現價核對）</t>
    </r>
  </si>
  <si>
    <t xml:space="preserve">https://histock.tw/stock/3037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</si>
  <si>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</si>
  <si>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</si>
  <si>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年度拆分；加速器與其他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載板拆分；份額量化；折舊會計年限；客戶預付款金額；可轉債轉換價；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</si>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</sst>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投資建議：放空（依上檔空間固定規則）</v>
      </c>
    </row>
    <row r="20" customFormat="false" ht="17.15" hidden="false" customHeight="false" outlineLevel="0" collapsed="false">
      <c r="A20" s="3" t="s">
        <v>15</v>
      </c>
    </row>
    <row r="21" customFormat="false" ht="17.15" hidden="false" customHeight="false" outlineLevel="0" collapsed="false">
      <c r="A21" s="3" t="s">
        <v>16</v>
      </c>
    </row>
    <row r="22" customFormat="false" ht="17.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3" t="s">
        <v>32</v>
      </c>
      <c r="E5" s="6" t="n">
        <v>5.4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3" t="s">
        <v>32</v>
      </c>
      <c r="E6" s="6" t="n">
        <v>2.4</v>
      </c>
      <c r="G6" s="7" t="s">
        <v>33</v>
      </c>
      <c r="H6" s="7" t="s">
        <v>38</v>
      </c>
      <c r="I6" s="3" t="s">
        <v>35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3" t="s">
        <v>32</v>
      </c>
      <c r="E7" s="6" t="n">
        <v>0.5</v>
      </c>
      <c r="G7" s="7" t="s">
        <v>33</v>
      </c>
      <c r="H7" s="7" t="s">
        <v>41</v>
      </c>
      <c r="I7" s="3" t="s">
        <v>35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6" t="n">
        <v>-0.5</v>
      </c>
      <c r="G8" s="7" t="s">
        <v>33</v>
      </c>
      <c r="H8" s="7" t="s">
        <v>45</v>
      </c>
      <c r="I8" s="3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3" t="s">
        <v>32</v>
      </c>
      <c r="E9" s="6" t="n">
        <v>1.7</v>
      </c>
      <c r="G9" s="7" t="s">
        <v>33</v>
      </c>
      <c r="H9" s="7" t="s">
        <v>49</v>
      </c>
      <c r="I9" s="3" t="s">
        <v>35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3" t="s">
        <v>32</v>
      </c>
      <c r="E10" s="6" t="n">
        <v>7</v>
      </c>
      <c r="G10" s="7" t="s">
        <v>33</v>
      </c>
      <c r="H10" s="7" t="s">
        <v>52</v>
      </c>
      <c r="I10" s="3" t="s">
        <v>35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3" t="s">
        <v>32</v>
      </c>
      <c r="E11" s="6" t="n">
        <v>7</v>
      </c>
      <c r="G11" s="7" t="s">
        <v>33</v>
      </c>
      <c r="H11" s="7" t="s">
        <v>55</v>
      </c>
      <c r="I11" s="3" t="s">
        <v>35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6" t="n">
        <v>0.15</v>
      </c>
      <c r="G12" s="7" t="s">
        <v>33</v>
      </c>
      <c r="H12" s="7" t="s">
        <v>58</v>
      </c>
      <c r="I12" s="3" t="s">
        <v>46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3" t="s">
        <v>32</v>
      </c>
      <c r="E13" s="6" t="n">
        <v>0</v>
      </c>
      <c r="G13" s="7" t="s">
        <v>33</v>
      </c>
      <c r="H13" s="7" t="s">
        <v>61</v>
      </c>
      <c r="I13" s="3" t="s">
        <v>35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3" t="s">
        <v>32</v>
      </c>
      <c r="E14" s="6" t="n">
        <v>0.3</v>
      </c>
      <c r="G14" s="7" t="s">
        <v>33</v>
      </c>
      <c r="H14" s="7" t="s">
        <v>64</v>
      </c>
      <c r="I14" s="3" t="s">
        <v>35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3" t="s">
        <v>32</v>
      </c>
      <c r="E15" s="6" t="n">
        <v>2</v>
      </c>
      <c r="G15" s="7" t="s">
        <v>33</v>
      </c>
      <c r="H15" s="7" t="s">
        <v>67</v>
      </c>
      <c r="I15" s="3" t="s">
        <v>35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44</v>
      </c>
      <c r="E16" s="6" t="n">
        <v>0.15</v>
      </c>
      <c r="G16" s="7" t="s">
        <v>33</v>
      </c>
      <c r="H16" s="7" t="s">
        <v>70</v>
      </c>
      <c r="I16" s="3" t="s">
        <v>46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3" t="s">
        <v>32</v>
      </c>
      <c r="E17" s="6" t="n">
        <v>0.5</v>
      </c>
      <c r="G17" s="7" t="s">
        <v>33</v>
      </c>
      <c r="H17" s="7" t="s">
        <v>73</v>
      </c>
      <c r="I17" s="3" t="s">
        <v>35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3" t="s">
        <v>32</v>
      </c>
      <c r="E18" s="6" t="n">
        <v>0</v>
      </c>
      <c r="G18" s="7" t="s">
        <v>33</v>
      </c>
      <c r="H18" s="7" t="s">
        <v>76</v>
      </c>
      <c r="I18" s="3" t="s">
        <v>35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3" t="s">
        <v>32</v>
      </c>
      <c r="E19" s="6" t="n">
        <v>0</v>
      </c>
      <c r="G19" s="7" t="s">
        <v>33</v>
      </c>
      <c r="H19" s="7" t="s">
        <v>79</v>
      </c>
      <c r="I19" s="3" t="s">
        <v>35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44</v>
      </c>
      <c r="E20" s="6" t="n">
        <v>0</v>
      </c>
      <c r="G20" s="7" t="s">
        <v>33</v>
      </c>
      <c r="H20" s="7" t="s">
        <v>82</v>
      </c>
      <c r="I20" s="3" t="s">
        <v>46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3" t="s">
        <v>32</v>
      </c>
      <c r="E21" s="6" t="n">
        <v>0.75</v>
      </c>
      <c r="G21" s="7" t="s">
        <v>33</v>
      </c>
      <c r="H21" s="7" t="s">
        <v>85</v>
      </c>
      <c r="I21" s="3" t="s">
        <v>35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3" t="s">
        <v>32</v>
      </c>
      <c r="E22" s="6" t="n">
        <v>1.5</v>
      </c>
      <c r="G22" s="7" t="s">
        <v>33</v>
      </c>
      <c r="H22" s="7" t="s">
        <v>88</v>
      </c>
      <c r="I22" s="3" t="s">
        <v>35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3" t="s">
        <v>32</v>
      </c>
      <c r="E23" s="6" t="n">
        <v>2</v>
      </c>
      <c r="G23" s="7" t="s">
        <v>33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44</v>
      </c>
      <c r="E24" s="6" t="n">
        <v>0.15</v>
      </c>
      <c r="G24" s="7" t="s">
        <v>33</v>
      </c>
      <c r="H24" s="7" t="s">
        <v>94</v>
      </c>
      <c r="I24" s="3" t="s">
        <v>46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3" t="s">
        <v>32</v>
      </c>
      <c r="E25" s="6" t="n">
        <v>3.85</v>
      </c>
      <c r="G25" s="7" t="s">
        <v>33</v>
      </c>
      <c r="H25" s="7" t="s">
        <v>97</v>
      </c>
      <c r="I25" s="3" t="s">
        <v>35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3" t="s">
        <v>32</v>
      </c>
      <c r="E26" s="6" t="n">
        <v>5.5</v>
      </c>
      <c r="G26" s="7" t="s">
        <v>33</v>
      </c>
      <c r="H26" s="7" t="s">
        <v>100</v>
      </c>
      <c r="I26" s="3" t="s">
        <v>35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3" t="s">
        <v>32</v>
      </c>
      <c r="E27" s="6" t="n">
        <v>7</v>
      </c>
      <c r="G27" s="7" t="s">
        <v>33</v>
      </c>
      <c r="H27" s="7" t="s">
        <v>103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44</v>
      </c>
      <c r="E28" s="6" t="n">
        <v>0.15</v>
      </c>
      <c r="G28" s="7" t="s">
        <v>33</v>
      </c>
      <c r="H28" s="7" t="s">
        <v>106</v>
      </c>
      <c r="I28" s="3" t="s">
        <v>46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3" t="s">
        <v>32</v>
      </c>
      <c r="E29" s="6" t="n">
        <v>2</v>
      </c>
      <c r="G29" s="7" t="s">
        <v>33</v>
      </c>
      <c r="H29" s="7" t="s">
        <v>109</v>
      </c>
      <c r="I29" s="3" t="s">
        <v>35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3" t="s">
        <v>32</v>
      </c>
      <c r="E30" s="6" t="n">
        <v>2.5</v>
      </c>
      <c r="G30" s="7" t="s">
        <v>33</v>
      </c>
      <c r="H30" s="7" t="s">
        <v>112</v>
      </c>
      <c r="I30" s="3" t="s">
        <v>35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3" t="s">
        <v>32</v>
      </c>
      <c r="E31" s="6" t="n">
        <v>3</v>
      </c>
      <c r="G31" s="7" t="s">
        <v>33</v>
      </c>
      <c r="H31" s="7" t="s">
        <v>115</v>
      </c>
      <c r="I31" s="3" t="s">
        <v>35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44</v>
      </c>
      <c r="E32" s="6" t="n">
        <v>0.15</v>
      </c>
      <c r="G32" s="7" t="s">
        <v>33</v>
      </c>
      <c r="H32" s="7" t="s">
        <v>118</v>
      </c>
      <c r="I32" s="3" t="s">
        <v>46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3" t="s">
        <v>32</v>
      </c>
      <c r="E33" s="6" t="n">
        <v>1</v>
      </c>
      <c r="G33" s="7" t="s">
        <v>33</v>
      </c>
      <c r="H33" s="7" t="s">
        <v>121</v>
      </c>
      <c r="I33" s="3" t="s">
        <v>35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3" t="s">
        <v>32</v>
      </c>
      <c r="E34" s="6" t="n">
        <v>4.5</v>
      </c>
      <c r="G34" s="7" t="s">
        <v>33</v>
      </c>
      <c r="H34" s="7" t="s">
        <v>124</v>
      </c>
      <c r="I34" s="3" t="s">
        <v>35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3" t="s">
        <v>32</v>
      </c>
      <c r="E35" s="6" t="n">
        <v>5</v>
      </c>
      <c r="G35" s="7" t="s">
        <v>33</v>
      </c>
      <c r="H35" s="7" t="s">
        <v>127</v>
      </c>
      <c r="I35" s="3" t="s">
        <v>35</v>
      </c>
    </row>
    <row r="36" customFormat="false" ht="17.15" hidden="false" customHeight="false" outlineLevel="0" collapsed="false">
      <c r="A36" s="0" t="s">
        <v>128</v>
      </c>
      <c r="B36" s="3" t="s">
        <v>129</v>
      </c>
      <c r="C36" s="0" t="s">
        <v>44</v>
      </c>
      <c r="E36" s="6" t="n">
        <v>0.15</v>
      </c>
      <c r="G36" s="7" t="s">
        <v>33</v>
      </c>
      <c r="H36" s="7" t="s">
        <v>130</v>
      </c>
      <c r="I36" s="3" t="s">
        <v>46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133</v>
      </c>
      <c r="E37" s="6" t="n">
        <v>781.872916666667</v>
      </c>
      <c r="G37" s="7" t="s">
        <v>33</v>
      </c>
      <c r="H37" s="7" t="s">
        <v>134</v>
      </c>
      <c r="I37" s="3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133</v>
      </c>
      <c r="E38" s="6" t="n">
        <v>1565.35</v>
      </c>
      <c r="G38" s="7" t="s">
        <v>33</v>
      </c>
      <c r="H38" s="7" t="s">
        <v>134</v>
      </c>
      <c r="I38" s="3" t="s">
        <v>46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133</v>
      </c>
      <c r="E39" s="6" t="n">
        <v>1984.26388888889</v>
      </c>
      <c r="G39" s="7" t="s">
        <v>33</v>
      </c>
      <c r="H39" s="7" t="s">
        <v>134</v>
      </c>
      <c r="I39" s="3" t="s">
        <v>46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133</v>
      </c>
      <c r="E40" s="6" t="n">
        <v>2260.39027777778</v>
      </c>
      <c r="G40" s="7" t="s">
        <v>33</v>
      </c>
      <c r="H40" s="7" t="s">
        <v>134</v>
      </c>
      <c r="I40" s="3" t="s">
        <v>46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144</v>
      </c>
      <c r="E41" s="6" t="n">
        <v>1</v>
      </c>
      <c r="G41" s="7" t="s">
        <v>145</v>
      </c>
      <c r="H41" s="7" t="s">
        <v>146</v>
      </c>
      <c r="I41" s="7" t="s">
        <v>147</v>
      </c>
    </row>
    <row r="42" customFormat="false" ht="17.15" hidden="false" customHeight="false" outlineLevel="0" collapsed="false">
      <c r="A42" s="0" t="s">
        <v>148</v>
      </c>
      <c r="B42" s="3" t="s">
        <v>149</v>
      </c>
      <c r="C42" s="0" t="s">
        <v>144</v>
      </c>
      <c r="E42" s="6" t="n">
        <v>1</v>
      </c>
      <c r="G42" s="7" t="s">
        <v>145</v>
      </c>
      <c r="H42" s="7" t="s">
        <v>150</v>
      </c>
      <c r="I42" s="3" t="s">
        <v>46</v>
      </c>
    </row>
    <row r="43" customFormat="false" ht="17.15" hidden="false" customHeight="false" outlineLevel="0" collapsed="false">
      <c r="A43" s="0" t="s">
        <v>151</v>
      </c>
      <c r="B43" s="3" t="s">
        <v>152</v>
      </c>
      <c r="C43" s="0" t="s">
        <v>144</v>
      </c>
      <c r="E43" s="6" t="n">
        <v>0.8</v>
      </c>
      <c r="G43" s="7" t="s">
        <v>145</v>
      </c>
      <c r="H43" s="7" t="s">
        <v>153</v>
      </c>
      <c r="I43" s="3" t="s">
        <v>46</v>
      </c>
    </row>
    <row r="44" customFormat="false" ht="17.15" hidden="false" customHeight="false" outlineLevel="0" collapsed="false">
      <c r="A44" s="0" t="s">
        <v>154</v>
      </c>
      <c r="B44" s="3" t="s">
        <v>155</v>
      </c>
      <c r="C44" s="0" t="s">
        <v>144</v>
      </c>
      <c r="E44" s="6" t="n">
        <v>0.85</v>
      </c>
      <c r="G44" s="7" t="s">
        <v>145</v>
      </c>
      <c r="H44" s="7" t="s">
        <v>156</v>
      </c>
      <c r="I44" s="3" t="s">
        <v>46</v>
      </c>
    </row>
    <row r="45" customFormat="false" ht="17.15" hidden="false" customHeight="false" outlineLevel="0" collapsed="false">
      <c r="A45" s="0" t="s">
        <v>157</v>
      </c>
      <c r="B45" s="3" t="s">
        <v>158</v>
      </c>
      <c r="C45" s="0" t="s">
        <v>144</v>
      </c>
      <c r="E45" s="6" t="n">
        <v>0.6</v>
      </c>
      <c r="G45" s="7" t="s">
        <v>145</v>
      </c>
      <c r="H45" s="7" t="s">
        <v>159</v>
      </c>
      <c r="I45" s="3" t="s">
        <v>46</v>
      </c>
    </row>
    <row r="46" customFormat="false" ht="17.15" hidden="false" customHeight="false" outlineLevel="0" collapsed="false">
      <c r="A46" s="0" t="s">
        <v>160</v>
      </c>
      <c r="B46" s="3" t="s">
        <v>161</v>
      </c>
      <c r="C46" s="0" t="s">
        <v>144</v>
      </c>
      <c r="E46" s="6" t="n">
        <v>0.6</v>
      </c>
      <c r="G46" s="7" t="s">
        <v>145</v>
      </c>
      <c r="H46" s="7" t="s">
        <v>162</v>
      </c>
      <c r="I46" s="3" t="s">
        <v>46</v>
      </c>
    </row>
    <row r="47" customFormat="false" ht="17.15" hidden="false" customHeight="false" outlineLevel="0" collapsed="false">
      <c r="A47" s="5" t="s">
        <v>163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0" t="s">
        <v>166</v>
      </c>
      <c r="E48" s="6" t="n">
        <v>215.308596</v>
      </c>
      <c r="G48" s="7" t="s">
        <v>33</v>
      </c>
      <c r="H48" s="7" t="s">
        <v>167</v>
      </c>
      <c r="I48" s="7" t="s">
        <v>168</v>
      </c>
    </row>
    <row r="49" customFormat="false" ht="17.15" hidden="false" customHeight="false" outlineLevel="0" collapsed="false">
      <c r="A49" s="0" t="s">
        <v>169</v>
      </c>
      <c r="B49" s="3" t="s">
        <v>170</v>
      </c>
      <c r="C49" s="0" t="s">
        <v>44</v>
      </c>
      <c r="D49" s="6" t="n">
        <v>0.1</v>
      </c>
      <c r="E49" s="6" t="n">
        <v>0.18</v>
      </c>
      <c r="F49" s="6" t="n">
        <v>0.22</v>
      </c>
      <c r="G49" s="7" t="s">
        <v>171</v>
      </c>
      <c r="H49" s="7" t="s">
        <v>172</v>
      </c>
      <c r="I49" s="7" t="s">
        <v>173</v>
      </c>
    </row>
    <row r="50" customFormat="false" ht="17.15" hidden="false" customHeight="false" outlineLevel="0" collapsed="false">
      <c r="A50" s="0" t="s">
        <v>174</v>
      </c>
      <c r="B50" s="0" t="s">
        <v>175</v>
      </c>
      <c r="C50" s="0" t="s">
        <v>144</v>
      </c>
      <c r="D50" s="6" t="n">
        <v>0.95</v>
      </c>
      <c r="E50" s="6" t="n">
        <v>1</v>
      </c>
      <c r="F50" s="6" t="n">
        <v>1.05</v>
      </c>
      <c r="G50" s="7" t="s">
        <v>145</v>
      </c>
      <c r="H50" s="7" t="s">
        <v>176</v>
      </c>
      <c r="I50" s="3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144</v>
      </c>
      <c r="E51" s="6" t="n">
        <v>0.95</v>
      </c>
      <c r="G51" s="7" t="s">
        <v>145</v>
      </c>
      <c r="H51" s="7" t="s">
        <v>180</v>
      </c>
      <c r="I51" s="7" t="s">
        <v>181</v>
      </c>
    </row>
    <row r="52" customFormat="false" ht="17.15" hidden="false" customHeight="false" outlineLevel="0" collapsed="false">
      <c r="A52" s="0" t="s">
        <v>182</v>
      </c>
      <c r="B52" s="0" t="s">
        <v>183</v>
      </c>
      <c r="C52" s="0" t="s">
        <v>144</v>
      </c>
      <c r="D52" s="6" t="n">
        <v>0.85</v>
      </c>
      <c r="E52" s="6" t="n">
        <v>0.95</v>
      </c>
      <c r="F52" s="6" t="n">
        <v>1.05</v>
      </c>
      <c r="G52" s="7" t="s">
        <v>145</v>
      </c>
      <c r="H52" s="7" t="s">
        <v>184</v>
      </c>
      <c r="I52" s="3" t="s">
        <v>46</v>
      </c>
    </row>
    <row r="53" customFormat="false" ht="17.15" hidden="false" customHeight="false" outlineLevel="0" collapsed="false">
      <c r="A53" s="0" t="s">
        <v>185</v>
      </c>
      <c r="B53" s="0" t="s">
        <v>186</v>
      </c>
      <c r="C53" s="0" t="s">
        <v>144</v>
      </c>
      <c r="E53" s="6" t="n">
        <v>0.88</v>
      </c>
      <c r="G53" s="7" t="s">
        <v>145</v>
      </c>
      <c r="H53" s="7" t="s">
        <v>187</v>
      </c>
      <c r="I53" s="7" t="s">
        <v>181</v>
      </c>
    </row>
    <row r="54" customFormat="false" ht="17.15" hidden="false" customHeight="false" outlineLevel="0" collapsed="false">
      <c r="A54" s="0" t="s">
        <v>188</v>
      </c>
      <c r="B54" s="0" t="s">
        <v>189</v>
      </c>
      <c r="C54" s="0" t="s">
        <v>144</v>
      </c>
      <c r="D54" s="6" t="n">
        <v>0.75</v>
      </c>
      <c r="E54" s="6" t="n">
        <v>0.9</v>
      </c>
      <c r="F54" s="6" t="n">
        <v>1</v>
      </c>
      <c r="G54" s="7" t="s">
        <v>145</v>
      </c>
      <c r="H54" s="7" t="s">
        <v>190</v>
      </c>
      <c r="I54" s="3" t="s">
        <v>46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0" t="s">
        <v>144</v>
      </c>
      <c r="E55" s="6" t="n">
        <v>0.85</v>
      </c>
      <c r="G55" s="7" t="s">
        <v>145</v>
      </c>
      <c r="H55" s="7" t="s">
        <v>193</v>
      </c>
      <c r="I55" s="7" t="s">
        <v>181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44</v>
      </c>
      <c r="D56" s="6" t="n">
        <v>0.7</v>
      </c>
      <c r="E56" s="6" t="n">
        <v>0.7</v>
      </c>
      <c r="F56" s="6" t="n">
        <v>0.8</v>
      </c>
      <c r="G56" s="7" t="s">
        <v>196</v>
      </c>
      <c r="H56" s="7" t="s">
        <v>197</v>
      </c>
      <c r="I56" s="7" t="s">
        <v>198</v>
      </c>
    </row>
    <row r="57" customFormat="false" ht="17.15" hidden="false" customHeight="false" outlineLevel="0" collapsed="false">
      <c r="A57" s="0" t="s">
        <v>199</v>
      </c>
      <c r="B57" s="0" t="s">
        <v>200</v>
      </c>
      <c r="C57" s="0" t="s">
        <v>144</v>
      </c>
      <c r="D57" s="6" t="n">
        <v>0.2</v>
      </c>
      <c r="E57" s="6" t="n">
        <v>0.4</v>
      </c>
      <c r="F57" s="6" t="n">
        <v>0.6</v>
      </c>
      <c r="G57" s="7" t="s">
        <v>145</v>
      </c>
      <c r="H57" s="7" t="s">
        <v>201</v>
      </c>
      <c r="I57" s="7" t="s">
        <v>202</v>
      </c>
    </row>
    <row r="58" customFormat="false" ht="17.15" hidden="false" customHeight="false" outlineLevel="0" collapsed="false">
      <c r="A58" s="0" t="s">
        <v>203</v>
      </c>
      <c r="B58" s="3" t="s">
        <v>204</v>
      </c>
      <c r="C58" s="0" t="s">
        <v>144</v>
      </c>
      <c r="D58" s="6" t="n">
        <v>0.6</v>
      </c>
      <c r="E58" s="6" t="n">
        <v>0.8</v>
      </c>
      <c r="F58" s="6" t="n">
        <v>1</v>
      </c>
      <c r="G58" s="7" t="s">
        <v>145</v>
      </c>
      <c r="H58" s="7" t="s">
        <v>205</v>
      </c>
      <c r="I58" s="7" t="s">
        <v>206</v>
      </c>
    </row>
    <row r="59" customFormat="false" ht="17.15" hidden="false" customHeight="false" outlineLevel="0" collapsed="false">
      <c r="A59" s="0" t="s">
        <v>207</v>
      </c>
      <c r="B59" s="3" t="s">
        <v>208</v>
      </c>
      <c r="C59" s="0" t="s">
        <v>44</v>
      </c>
      <c r="D59" s="6" t="n">
        <v>0.2</v>
      </c>
      <c r="E59" s="6" t="n">
        <v>0.25</v>
      </c>
      <c r="F59" s="6" t="n">
        <v>0.3</v>
      </c>
      <c r="G59" s="7" t="s">
        <v>145</v>
      </c>
      <c r="H59" s="3" t="s">
        <v>209</v>
      </c>
      <c r="I59" s="7" t="s">
        <v>210</v>
      </c>
    </row>
    <row r="60" customFormat="false" ht="17.15" hidden="false" customHeight="false" outlineLevel="0" collapsed="false">
      <c r="A60" s="0" t="s">
        <v>211</v>
      </c>
      <c r="B60" s="3" t="s">
        <v>212</v>
      </c>
      <c r="C60" s="0" t="s">
        <v>44</v>
      </c>
      <c r="D60" s="6" t="n">
        <v>0.22</v>
      </c>
      <c r="E60" s="6" t="n">
        <v>0.27</v>
      </c>
      <c r="F60" s="6" t="n">
        <v>0.32</v>
      </c>
      <c r="G60" s="7" t="s">
        <v>145</v>
      </c>
      <c r="H60" s="7" t="s">
        <v>213</v>
      </c>
      <c r="I60" s="3" t="s">
        <v>214</v>
      </c>
    </row>
    <row r="61" customFormat="false" ht="17.15" hidden="false" customHeight="false" outlineLevel="0" collapsed="false">
      <c r="A61" s="0" t="s">
        <v>215</v>
      </c>
      <c r="B61" s="3" t="s">
        <v>216</v>
      </c>
      <c r="C61" s="0" t="s">
        <v>44</v>
      </c>
      <c r="D61" s="6" t="n">
        <v>0.22</v>
      </c>
      <c r="E61" s="6" t="n">
        <v>0.29</v>
      </c>
      <c r="F61" s="6" t="n">
        <v>0.35</v>
      </c>
      <c r="G61" s="7" t="s">
        <v>145</v>
      </c>
      <c r="H61" s="7" t="s">
        <v>213</v>
      </c>
      <c r="I61" s="3" t="s">
        <v>214</v>
      </c>
    </row>
    <row r="62" customFormat="false" ht="17.15" hidden="false" customHeight="false" outlineLevel="0" collapsed="false">
      <c r="A62" s="0" t="s">
        <v>217</v>
      </c>
      <c r="B62" s="3" t="s">
        <v>218</v>
      </c>
      <c r="C62" s="0" t="s">
        <v>44</v>
      </c>
      <c r="D62" s="6" t="n">
        <v>0.22</v>
      </c>
      <c r="E62" s="6" t="n">
        <v>0.3</v>
      </c>
      <c r="F62" s="6" t="n">
        <v>0.36</v>
      </c>
      <c r="G62" s="7" t="s">
        <v>145</v>
      </c>
      <c r="H62" s="7" t="s">
        <v>213</v>
      </c>
      <c r="I62" s="3" t="s">
        <v>214</v>
      </c>
    </row>
    <row r="63" customFormat="false" ht="17.15" hidden="false" customHeight="false" outlineLevel="0" collapsed="false">
      <c r="A63" s="0" t="s">
        <v>219</v>
      </c>
      <c r="B63" s="3" t="s">
        <v>220</v>
      </c>
      <c r="C63" s="0" t="s">
        <v>44</v>
      </c>
      <c r="D63" s="6" t="n">
        <v>0.22</v>
      </c>
      <c r="E63" s="6" t="n">
        <v>0.3</v>
      </c>
      <c r="F63" s="6" t="n">
        <v>0.4</v>
      </c>
      <c r="G63" s="7" t="s">
        <v>145</v>
      </c>
      <c r="H63" s="3" t="s">
        <v>221</v>
      </c>
      <c r="I63" s="3" t="s">
        <v>222</v>
      </c>
    </row>
    <row r="64" customFormat="false" ht="17.15" hidden="false" customHeight="false" outlineLevel="0" collapsed="false">
      <c r="A64" s="0" t="s">
        <v>223</v>
      </c>
      <c r="B64" s="3" t="s">
        <v>224</v>
      </c>
      <c r="C64" s="0" t="s">
        <v>44</v>
      </c>
      <c r="D64" s="6" t="n">
        <v>0.22</v>
      </c>
      <c r="E64" s="6" t="n">
        <v>0.31</v>
      </c>
      <c r="F64" s="6" t="n">
        <v>0.4</v>
      </c>
      <c r="G64" s="7" t="s">
        <v>145</v>
      </c>
      <c r="H64" s="3" t="s">
        <v>46</v>
      </c>
      <c r="I64" s="7" t="s">
        <v>225</v>
      </c>
    </row>
    <row r="65" customFormat="false" ht="17.15" hidden="false" customHeight="false" outlineLevel="0" collapsed="false">
      <c r="A65" s="0" t="s">
        <v>226</v>
      </c>
      <c r="B65" s="3" t="s">
        <v>227</v>
      </c>
      <c r="C65" s="0" t="s">
        <v>44</v>
      </c>
      <c r="D65" s="6" t="n">
        <v>0.22</v>
      </c>
      <c r="E65" s="6" t="n">
        <v>0.32</v>
      </c>
      <c r="F65" s="6" t="n">
        <v>0.4</v>
      </c>
      <c r="G65" s="7" t="s">
        <v>145</v>
      </c>
      <c r="H65" s="3" t="s">
        <v>46</v>
      </c>
      <c r="I65" s="7" t="s">
        <v>225</v>
      </c>
    </row>
    <row r="66" customFormat="false" ht="17.15" hidden="false" customHeight="false" outlineLevel="0" collapsed="false">
      <c r="A66" s="0" t="s">
        <v>228</v>
      </c>
      <c r="B66" s="3" t="s">
        <v>229</v>
      </c>
      <c r="C66" s="0" t="s">
        <v>44</v>
      </c>
      <c r="D66" s="6" t="n">
        <v>0.22</v>
      </c>
      <c r="E66" s="6" t="n">
        <v>0.33</v>
      </c>
      <c r="F66" s="6" t="n">
        <v>0.4</v>
      </c>
      <c r="G66" s="7" t="s">
        <v>145</v>
      </c>
      <c r="H66" s="3" t="s">
        <v>46</v>
      </c>
      <c r="I66" s="7" t="s">
        <v>225</v>
      </c>
    </row>
    <row r="67" customFormat="false" ht="17.15" hidden="false" customHeight="false" outlineLevel="0" collapsed="false">
      <c r="A67" s="5" t="s">
        <v>230</v>
      </c>
    </row>
    <row r="68" customFormat="false" ht="17.15" hidden="false" customHeight="false" outlineLevel="0" collapsed="false">
      <c r="A68" s="0" t="s">
        <v>231</v>
      </c>
      <c r="B68" s="0" t="s">
        <v>232</v>
      </c>
      <c r="C68" s="0" t="s">
        <v>44</v>
      </c>
      <c r="D68" s="6" t="n">
        <v>0.5</v>
      </c>
      <c r="E68" s="6" t="n">
        <v>0.53</v>
      </c>
      <c r="F68" s="6" t="n">
        <v>0.56</v>
      </c>
      <c r="G68" s="7" t="s">
        <v>196</v>
      </c>
      <c r="H68" s="3" t="s">
        <v>233</v>
      </c>
      <c r="I68" s="3" t="s">
        <v>234</v>
      </c>
    </row>
    <row r="69" customFormat="false" ht="17.15" hidden="false" customHeight="false" outlineLevel="0" collapsed="false">
      <c r="A69" s="0" t="s">
        <v>235</v>
      </c>
      <c r="B69" s="0" t="s">
        <v>236</v>
      </c>
      <c r="C69" s="0" t="s">
        <v>44</v>
      </c>
      <c r="D69" s="6" t="n">
        <v>0.08</v>
      </c>
      <c r="E69" s="6" t="n">
        <v>0.09</v>
      </c>
      <c r="F69" s="6" t="n">
        <v>0.1</v>
      </c>
      <c r="G69" s="7" t="s">
        <v>196</v>
      </c>
      <c r="H69" s="3" t="s">
        <v>237</v>
      </c>
      <c r="I69" s="7" t="s">
        <v>225</v>
      </c>
    </row>
    <row r="70" customFormat="false" ht="17.15" hidden="false" customHeight="false" outlineLevel="0" collapsed="false">
      <c r="A70" s="0" t="s">
        <v>238</v>
      </c>
      <c r="B70" s="0" t="s">
        <v>239</v>
      </c>
      <c r="C70" s="0" t="s">
        <v>44</v>
      </c>
      <c r="D70" s="6" t="n">
        <v>0.29</v>
      </c>
      <c r="E70" s="6" t="n">
        <v>0.31</v>
      </c>
      <c r="F70" s="6" t="n">
        <v>0.33</v>
      </c>
      <c r="G70" s="7" t="s">
        <v>196</v>
      </c>
      <c r="H70" s="3" t="s">
        <v>240</v>
      </c>
      <c r="I70" s="3" t="s">
        <v>241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44</v>
      </c>
      <c r="D71" s="6" t="n">
        <v>0.65</v>
      </c>
      <c r="E71" s="6" t="n">
        <v>0.75</v>
      </c>
      <c r="F71" s="6" t="n">
        <v>0.85</v>
      </c>
      <c r="G71" s="7" t="s">
        <v>145</v>
      </c>
      <c r="H71" s="3" t="s">
        <v>244</v>
      </c>
      <c r="I71" s="7" t="s">
        <v>245</v>
      </c>
    </row>
    <row r="72" customFormat="false" ht="17.15" hidden="false" customHeight="false" outlineLevel="0" collapsed="false">
      <c r="A72" s="0" t="s">
        <v>246</v>
      </c>
      <c r="B72" s="0" t="s">
        <v>247</v>
      </c>
      <c r="C72" s="0" t="s">
        <v>44</v>
      </c>
      <c r="D72" s="6" t="n">
        <v>0.55</v>
      </c>
      <c r="E72" s="6" t="n">
        <v>0.65</v>
      </c>
      <c r="F72" s="6" t="n">
        <v>0.75</v>
      </c>
      <c r="G72" s="7" t="s">
        <v>196</v>
      </c>
      <c r="H72" s="3" t="s">
        <v>248</v>
      </c>
      <c r="I72" s="3" t="s">
        <v>249</v>
      </c>
    </row>
    <row r="73" customFormat="false" ht="17.15" hidden="false" customHeight="false" outlineLevel="0" collapsed="false">
      <c r="A73" s="5" t="s">
        <v>250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144</v>
      </c>
      <c r="D74" s="6" t="n">
        <v>0.3</v>
      </c>
      <c r="E74" s="6" t="n">
        <v>0.5</v>
      </c>
      <c r="F74" s="6" t="n">
        <v>0.8</v>
      </c>
      <c r="G74" s="7" t="s">
        <v>145</v>
      </c>
      <c r="H74" s="3" t="s">
        <v>253</v>
      </c>
      <c r="I74" s="3" t="s">
        <v>254</v>
      </c>
    </row>
    <row r="75" customFormat="false" ht="17.15" hidden="false" customHeight="false" outlineLevel="0" collapsed="false">
      <c r="A75" s="0" t="s">
        <v>255</v>
      </c>
      <c r="B75" s="3" t="s">
        <v>256</v>
      </c>
      <c r="C75" s="0" t="s">
        <v>44</v>
      </c>
      <c r="D75" s="6" t="n">
        <v>-0.02</v>
      </c>
      <c r="E75" s="6" t="n">
        <v>0.03</v>
      </c>
      <c r="F75" s="6" t="n">
        <v>0.06</v>
      </c>
      <c r="G75" s="7" t="s">
        <v>145</v>
      </c>
      <c r="H75" s="7" t="s">
        <v>257</v>
      </c>
      <c r="I75" s="7" t="s">
        <v>225</v>
      </c>
    </row>
    <row r="76" customFormat="false" ht="17.15" hidden="false" customHeight="false" outlineLevel="0" collapsed="false">
      <c r="A76" s="0" t="s">
        <v>258</v>
      </c>
      <c r="B76" s="0" t="s">
        <v>259</v>
      </c>
      <c r="C76" s="0" t="s">
        <v>144</v>
      </c>
      <c r="D76" s="6" t="n">
        <v>1.25</v>
      </c>
      <c r="E76" s="6" t="n">
        <v>1.35</v>
      </c>
      <c r="F76" s="6" t="n">
        <v>1.45</v>
      </c>
      <c r="G76" s="7" t="s">
        <v>145</v>
      </c>
      <c r="H76" s="3" t="s">
        <v>260</v>
      </c>
      <c r="I76" s="3" t="s">
        <v>261</v>
      </c>
    </row>
    <row r="77" customFormat="false" ht="17.15" hidden="false" customHeight="false" outlineLevel="0" collapsed="false">
      <c r="A77" s="0" t="s">
        <v>262</v>
      </c>
      <c r="B77" s="0" t="s">
        <v>263</v>
      </c>
      <c r="C77" s="0" t="s">
        <v>144</v>
      </c>
      <c r="D77" s="6" t="n">
        <v>1.5</v>
      </c>
      <c r="E77" s="6" t="n">
        <v>1.7</v>
      </c>
      <c r="F77" s="6" t="n">
        <v>1.9</v>
      </c>
      <c r="G77" s="7" t="s">
        <v>145</v>
      </c>
      <c r="H77" s="3" t="s">
        <v>46</v>
      </c>
      <c r="I77" s="3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144</v>
      </c>
      <c r="D78" s="6" t="n">
        <v>1.7</v>
      </c>
      <c r="E78" s="6" t="n">
        <v>2</v>
      </c>
      <c r="F78" s="6" t="n">
        <v>2.3</v>
      </c>
      <c r="G78" s="7" t="s">
        <v>145</v>
      </c>
      <c r="H78" s="3" t="s">
        <v>46</v>
      </c>
      <c r="I78" s="3" t="s">
        <v>264</v>
      </c>
    </row>
    <row r="79" customFormat="false" ht="17.15" hidden="false" customHeight="false" outlineLevel="0" collapsed="false">
      <c r="A79" s="0" t="s">
        <v>267</v>
      </c>
      <c r="B79" s="3" t="s">
        <v>268</v>
      </c>
      <c r="C79" s="0" t="s">
        <v>44</v>
      </c>
      <c r="D79" s="6" t="n">
        <v>0</v>
      </c>
      <c r="E79" s="6" t="n">
        <v>0.05</v>
      </c>
      <c r="F79" s="6" t="n">
        <v>0.08</v>
      </c>
      <c r="G79" s="7" t="s">
        <v>145</v>
      </c>
      <c r="H79" s="3" t="s">
        <v>269</v>
      </c>
      <c r="I79" s="7" t="s">
        <v>225</v>
      </c>
    </row>
    <row r="80" customFormat="false" ht="17.15" hidden="false" customHeight="false" outlineLevel="0" collapsed="false">
      <c r="A80" s="0" t="s">
        <v>270</v>
      </c>
      <c r="B80" s="3" t="s">
        <v>271</v>
      </c>
      <c r="C80" s="0" t="s">
        <v>44</v>
      </c>
      <c r="D80" s="6" t="n">
        <v>0</v>
      </c>
      <c r="E80" s="6" t="n">
        <v>0.05</v>
      </c>
      <c r="F80" s="6" t="n">
        <v>0.1</v>
      </c>
      <c r="G80" s="7" t="s">
        <v>145</v>
      </c>
      <c r="H80" s="7" t="s">
        <v>272</v>
      </c>
      <c r="I80" s="3" t="s">
        <v>273</v>
      </c>
    </row>
    <row r="81" customFormat="false" ht="17.15" hidden="false" customHeight="false" outlineLevel="0" collapsed="false">
      <c r="A81" s="0" t="s">
        <v>274</v>
      </c>
      <c r="B81" s="0" t="s">
        <v>275</v>
      </c>
      <c r="C81" s="0" t="s">
        <v>44</v>
      </c>
      <c r="D81" s="6" t="n">
        <v>0</v>
      </c>
      <c r="E81" s="6" t="n">
        <v>0.05</v>
      </c>
      <c r="F81" s="6" t="n">
        <v>0.1</v>
      </c>
      <c r="G81" s="7" t="s">
        <v>145</v>
      </c>
      <c r="H81" s="3" t="s">
        <v>276</v>
      </c>
      <c r="I81" s="3" t="s">
        <v>277</v>
      </c>
    </row>
    <row r="82" customFormat="false" ht="17.15" hidden="false" customHeight="false" outlineLevel="0" collapsed="false">
      <c r="A82" s="0" t="s">
        <v>278</v>
      </c>
      <c r="B82" s="0" t="s">
        <v>279</v>
      </c>
      <c r="C82" s="0" t="s">
        <v>44</v>
      </c>
      <c r="D82" s="6" t="n">
        <v>0.1</v>
      </c>
      <c r="E82" s="6" t="n">
        <v>0.2</v>
      </c>
      <c r="F82" s="6" t="n">
        <v>0.3</v>
      </c>
      <c r="G82" s="7" t="s">
        <v>145</v>
      </c>
      <c r="H82" s="3" t="s">
        <v>280</v>
      </c>
      <c r="I82" s="7" t="s">
        <v>281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44</v>
      </c>
      <c r="D83" s="6" t="n">
        <v>0.05</v>
      </c>
      <c r="E83" s="6" t="n">
        <v>0.15</v>
      </c>
      <c r="F83" s="6" t="n">
        <v>0.25</v>
      </c>
      <c r="G83" s="7" t="s">
        <v>145</v>
      </c>
      <c r="H83" s="3" t="s">
        <v>46</v>
      </c>
      <c r="I83" s="7" t="s">
        <v>225</v>
      </c>
    </row>
    <row r="84" customFormat="false" ht="17.15" hidden="false" customHeight="false" outlineLevel="0" collapsed="false">
      <c r="A84" s="0" t="s">
        <v>284</v>
      </c>
      <c r="B84" s="0" t="s">
        <v>285</v>
      </c>
      <c r="C84" s="0" t="s">
        <v>44</v>
      </c>
      <c r="D84" s="6" t="n">
        <v>0</v>
      </c>
      <c r="E84" s="6" t="n">
        <v>0.1</v>
      </c>
      <c r="F84" s="6" t="n">
        <v>0.2</v>
      </c>
      <c r="G84" s="7" t="s">
        <v>145</v>
      </c>
      <c r="H84" s="3" t="s">
        <v>46</v>
      </c>
      <c r="I84" s="7" t="s">
        <v>225</v>
      </c>
    </row>
    <row r="85" customFormat="false" ht="17.15" hidden="false" customHeight="false" outlineLevel="0" collapsed="false">
      <c r="A85" s="0" t="s">
        <v>286</v>
      </c>
      <c r="B85" s="3" t="s">
        <v>287</v>
      </c>
      <c r="C85" s="0" t="s">
        <v>44</v>
      </c>
      <c r="D85" s="6" t="n">
        <v>-0.03</v>
      </c>
      <c r="E85" s="6" t="n">
        <v>0.02</v>
      </c>
      <c r="F85" s="6" t="n">
        <v>0.05</v>
      </c>
      <c r="G85" s="7" t="s">
        <v>145</v>
      </c>
      <c r="H85" s="3" t="s">
        <v>288</v>
      </c>
      <c r="I85" s="7" t="s">
        <v>225</v>
      </c>
    </row>
    <row r="86" customFormat="false" ht="17.15" hidden="false" customHeight="false" outlineLevel="0" collapsed="false">
      <c r="A86" s="0" t="s">
        <v>289</v>
      </c>
      <c r="B86" s="3" t="s">
        <v>290</v>
      </c>
      <c r="C86" s="0" t="s">
        <v>44</v>
      </c>
      <c r="D86" s="6" t="n">
        <v>-0.05</v>
      </c>
      <c r="E86" s="6" t="n">
        <v>0</v>
      </c>
      <c r="F86" s="6" t="n">
        <v>0.03</v>
      </c>
      <c r="G86" s="7" t="s">
        <v>145</v>
      </c>
      <c r="H86" s="3" t="s">
        <v>291</v>
      </c>
      <c r="I86" s="7" t="s">
        <v>225</v>
      </c>
    </row>
    <row r="87" customFormat="false" ht="17.15" hidden="false" customHeight="false" outlineLevel="0" collapsed="false">
      <c r="A87" s="5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44</v>
      </c>
      <c r="D88" s="6" t="n">
        <v>0.4</v>
      </c>
      <c r="E88" s="6" t="n">
        <v>0.5</v>
      </c>
      <c r="F88" s="6" t="n">
        <v>0.6</v>
      </c>
      <c r="G88" s="7" t="s">
        <v>145</v>
      </c>
      <c r="H88" s="7" t="s">
        <v>295</v>
      </c>
      <c r="I88" s="3" t="s">
        <v>296</v>
      </c>
    </row>
    <row r="89" customFormat="false" ht="17.15" hidden="false" customHeight="false" outlineLevel="0" collapsed="false">
      <c r="A89" s="0" t="s">
        <v>297</v>
      </c>
      <c r="B89" s="3" t="s">
        <v>298</v>
      </c>
      <c r="C89" s="0" t="s">
        <v>44</v>
      </c>
      <c r="D89" s="6" t="n">
        <v>0.15</v>
      </c>
      <c r="E89" s="6" t="n">
        <v>0.25</v>
      </c>
      <c r="F89" s="6" t="n">
        <v>0.35</v>
      </c>
      <c r="G89" s="7" t="s">
        <v>145</v>
      </c>
      <c r="H89" s="7" t="s">
        <v>299</v>
      </c>
      <c r="I89" s="7" t="s">
        <v>225</v>
      </c>
    </row>
    <row r="90" customFormat="false" ht="17.15" hidden="false" customHeight="false" outlineLevel="0" collapsed="false">
      <c r="A90" s="0" t="s">
        <v>300</v>
      </c>
      <c r="B90" s="3" t="s">
        <v>301</v>
      </c>
      <c r="C90" s="0" t="s">
        <v>302</v>
      </c>
      <c r="E90" s="6" t="n">
        <v>55</v>
      </c>
      <c r="G90" s="7" t="s">
        <v>145</v>
      </c>
      <c r="H90" s="3" t="s">
        <v>303</v>
      </c>
      <c r="I90" s="7" t="s">
        <v>304</v>
      </c>
    </row>
    <row r="91" customFormat="false" ht="17.15" hidden="false" customHeight="false" outlineLevel="0" collapsed="false">
      <c r="A91" s="0" t="s">
        <v>305</v>
      </c>
      <c r="B91" s="3" t="s">
        <v>306</v>
      </c>
      <c r="C91" s="0" t="s">
        <v>302</v>
      </c>
      <c r="E91" s="6" t="n">
        <v>50</v>
      </c>
      <c r="G91" s="7" t="s">
        <v>145</v>
      </c>
      <c r="H91" s="3" t="s">
        <v>46</v>
      </c>
      <c r="I91" s="7" t="s">
        <v>225</v>
      </c>
    </row>
    <row r="92" customFormat="false" ht="17.15" hidden="false" customHeight="false" outlineLevel="0" collapsed="false">
      <c r="A92" s="0" t="s">
        <v>307</v>
      </c>
      <c r="B92" s="3" t="s">
        <v>308</v>
      </c>
      <c r="C92" s="0" t="s">
        <v>302</v>
      </c>
      <c r="E92" s="6" t="n">
        <v>45</v>
      </c>
      <c r="G92" s="7" t="s">
        <v>145</v>
      </c>
      <c r="H92" s="3" t="s">
        <v>46</v>
      </c>
      <c r="I92" s="7" t="s">
        <v>225</v>
      </c>
    </row>
    <row r="93" customFormat="false" ht="17.15" hidden="false" customHeight="false" outlineLevel="0" collapsed="false">
      <c r="A93" s="0" t="s">
        <v>309</v>
      </c>
      <c r="B93" s="3" t="s">
        <v>310</v>
      </c>
      <c r="C93" s="0" t="s">
        <v>302</v>
      </c>
      <c r="E93" s="6" t="n">
        <v>48</v>
      </c>
      <c r="G93" s="7" t="s">
        <v>145</v>
      </c>
      <c r="H93" s="3" t="s">
        <v>46</v>
      </c>
      <c r="I93" s="7" t="s">
        <v>225</v>
      </c>
    </row>
    <row r="94" customFormat="false" ht="17.15" hidden="false" customHeight="false" outlineLevel="0" collapsed="false">
      <c r="A94" s="0" t="s">
        <v>311</v>
      </c>
      <c r="B94" s="3" t="s">
        <v>312</v>
      </c>
      <c r="C94" s="0" t="s">
        <v>302</v>
      </c>
      <c r="E94" s="6" t="n">
        <v>42</v>
      </c>
      <c r="G94" s="7" t="s">
        <v>145</v>
      </c>
      <c r="H94" s="3" t="s">
        <v>46</v>
      </c>
      <c r="I94" s="7" t="s">
        <v>225</v>
      </c>
    </row>
    <row r="95" customFormat="false" ht="17.15" hidden="false" customHeight="false" outlineLevel="0" collapsed="false">
      <c r="A95" s="0" t="s">
        <v>313</v>
      </c>
      <c r="B95" s="3" t="s">
        <v>314</v>
      </c>
      <c r="C95" s="0" t="s">
        <v>302</v>
      </c>
      <c r="E95" s="6" t="n">
        <v>38</v>
      </c>
      <c r="G95" s="7" t="s">
        <v>145</v>
      </c>
      <c r="H95" s="3" t="s">
        <v>46</v>
      </c>
      <c r="I95" s="7" t="s">
        <v>225</v>
      </c>
    </row>
    <row r="96" customFormat="false" ht="17.15" hidden="false" customHeight="false" outlineLevel="0" collapsed="false">
      <c r="A96" s="0" t="s">
        <v>315</v>
      </c>
      <c r="B96" s="3" t="s">
        <v>316</v>
      </c>
      <c r="C96" s="0" t="s">
        <v>302</v>
      </c>
      <c r="E96" s="6" t="n">
        <v>40</v>
      </c>
      <c r="G96" s="7" t="s">
        <v>145</v>
      </c>
      <c r="H96" s="3" t="s">
        <v>46</v>
      </c>
      <c r="I96" s="7" t="s">
        <v>225</v>
      </c>
    </row>
    <row r="97" customFormat="false" ht="17.15" hidden="false" customHeight="false" outlineLevel="0" collapsed="false">
      <c r="A97" s="0" t="s">
        <v>317</v>
      </c>
      <c r="B97" s="3" t="s">
        <v>318</v>
      </c>
      <c r="C97" s="0" t="s">
        <v>302</v>
      </c>
      <c r="E97" s="6" t="n">
        <v>30</v>
      </c>
      <c r="G97" s="7" t="s">
        <v>145</v>
      </c>
      <c r="H97" s="3" t="s">
        <v>46</v>
      </c>
      <c r="I97" s="7" t="s">
        <v>225</v>
      </c>
    </row>
    <row r="98" customFormat="false" ht="17.15" hidden="false" customHeight="false" outlineLevel="0" collapsed="false">
      <c r="A98" s="0" t="s">
        <v>319</v>
      </c>
      <c r="B98" s="3" t="s">
        <v>320</v>
      </c>
      <c r="C98" s="0" t="s">
        <v>302</v>
      </c>
      <c r="E98" s="6" t="n">
        <v>28</v>
      </c>
      <c r="G98" s="7" t="s">
        <v>145</v>
      </c>
      <c r="H98" s="3" t="s">
        <v>46</v>
      </c>
      <c r="I98" s="7" t="s">
        <v>225</v>
      </c>
    </row>
    <row r="99" customFormat="false" ht="17.15" hidden="false" customHeight="false" outlineLevel="0" collapsed="false">
      <c r="A99" s="0" t="s">
        <v>321</v>
      </c>
      <c r="B99" s="0" t="s">
        <v>322</v>
      </c>
      <c r="C99" s="0" t="s">
        <v>302</v>
      </c>
      <c r="E99" s="6" t="n">
        <v>53.7</v>
      </c>
      <c r="G99" s="7" t="s">
        <v>196</v>
      </c>
      <c r="H99" s="3" t="s">
        <v>323</v>
      </c>
      <c r="I99" s="3" t="s">
        <v>324</v>
      </c>
    </row>
    <row r="100" customFormat="false" ht="17.15" hidden="false" customHeight="false" outlineLevel="0" collapsed="false">
      <c r="A100" s="0" t="s">
        <v>325</v>
      </c>
      <c r="B100" s="0" t="s">
        <v>326</v>
      </c>
      <c r="C100" s="0" t="s">
        <v>302</v>
      </c>
      <c r="E100" s="6" t="n">
        <v>20.8</v>
      </c>
      <c r="G100" s="7" t="s">
        <v>196</v>
      </c>
      <c r="H100" s="3" t="s">
        <v>327</v>
      </c>
      <c r="I100" s="3" t="s">
        <v>328</v>
      </c>
    </row>
    <row r="101" customFormat="false" ht="17.15" hidden="false" customHeight="false" outlineLevel="0" collapsed="false">
      <c r="A101" s="0" t="s">
        <v>329</v>
      </c>
      <c r="B101" s="3" t="s">
        <v>330</v>
      </c>
      <c r="C101" s="3" t="s">
        <v>331</v>
      </c>
      <c r="D101" s="6" t="n">
        <v>6</v>
      </c>
      <c r="E101" s="6" t="n">
        <v>8</v>
      </c>
      <c r="F101" s="6" t="n">
        <v>10</v>
      </c>
      <c r="G101" s="7" t="s">
        <v>145</v>
      </c>
      <c r="H101" s="3" t="s">
        <v>332</v>
      </c>
      <c r="I101" s="3" t="s">
        <v>333</v>
      </c>
    </row>
    <row r="102" customFormat="false" ht="17.15" hidden="false" customHeight="false" outlineLevel="0" collapsed="false">
      <c r="A102" s="0" t="s">
        <v>334</v>
      </c>
      <c r="B102" s="3" t="s">
        <v>335</v>
      </c>
      <c r="C102" s="0" t="s">
        <v>144</v>
      </c>
      <c r="D102" s="6" t="n">
        <v>0.3</v>
      </c>
      <c r="E102" s="6" t="n">
        <v>0.6</v>
      </c>
      <c r="F102" s="6" t="n">
        <v>1</v>
      </c>
      <c r="G102" s="7" t="s">
        <v>145</v>
      </c>
      <c r="H102" s="7" t="s">
        <v>336</v>
      </c>
      <c r="I102" s="7" t="s">
        <v>225</v>
      </c>
    </row>
    <row r="103" customFormat="false" ht="17.15" hidden="false" customHeight="false" outlineLevel="0" collapsed="false">
      <c r="A103" s="0" t="s">
        <v>337</v>
      </c>
      <c r="B103" s="3" t="s">
        <v>338</v>
      </c>
      <c r="C103" s="0" t="s">
        <v>302</v>
      </c>
      <c r="D103" s="6" t="n">
        <v>0</v>
      </c>
      <c r="E103" s="6" t="n">
        <v>2</v>
      </c>
      <c r="F103" s="6" t="n">
        <v>4</v>
      </c>
      <c r="G103" s="7" t="s">
        <v>145</v>
      </c>
      <c r="H103" s="7" t="s">
        <v>339</v>
      </c>
      <c r="I103" s="3" t="s">
        <v>340</v>
      </c>
    </row>
    <row r="104" customFormat="false" ht="17.15" hidden="false" customHeight="false" outlineLevel="0" collapsed="false">
      <c r="A104" s="0" t="s">
        <v>341</v>
      </c>
      <c r="B104" s="3" t="s">
        <v>342</v>
      </c>
      <c r="C104" s="0" t="s">
        <v>302</v>
      </c>
      <c r="D104" s="6" t="n">
        <v>0</v>
      </c>
      <c r="E104" s="6" t="n">
        <v>2</v>
      </c>
      <c r="F104" s="6" t="n">
        <v>4</v>
      </c>
      <c r="G104" s="7" t="s">
        <v>145</v>
      </c>
      <c r="H104" s="3" t="s">
        <v>46</v>
      </c>
      <c r="I104" s="7" t="s">
        <v>225</v>
      </c>
    </row>
    <row r="105" customFormat="false" ht="17.15" hidden="false" customHeight="false" outlineLevel="0" collapsed="false">
      <c r="A105" s="0" t="s">
        <v>343</v>
      </c>
      <c r="B105" s="3" t="s">
        <v>344</v>
      </c>
      <c r="C105" s="0" t="s">
        <v>302</v>
      </c>
      <c r="D105" s="6" t="n">
        <v>0</v>
      </c>
      <c r="E105" s="6" t="n">
        <v>2</v>
      </c>
      <c r="F105" s="6" t="n">
        <v>4</v>
      </c>
      <c r="G105" s="7" t="s">
        <v>145</v>
      </c>
      <c r="H105" s="3" t="s">
        <v>46</v>
      </c>
      <c r="I105" s="7" t="s">
        <v>225</v>
      </c>
    </row>
    <row r="106" customFormat="false" ht="17.15" hidden="false" customHeight="false" outlineLevel="0" collapsed="false">
      <c r="A106" s="0" t="s">
        <v>345</v>
      </c>
      <c r="B106" s="3" t="s">
        <v>346</v>
      </c>
      <c r="C106" s="0" t="s">
        <v>44</v>
      </c>
      <c r="D106" s="6" t="n">
        <v>0.15</v>
      </c>
      <c r="E106" s="6" t="n">
        <v>0.18</v>
      </c>
      <c r="F106" s="6" t="n">
        <v>0.22</v>
      </c>
      <c r="G106" s="7" t="s">
        <v>33</v>
      </c>
      <c r="H106" s="7" t="s">
        <v>347</v>
      </c>
      <c r="I106" s="7" t="s">
        <v>348</v>
      </c>
    </row>
    <row r="107" customFormat="false" ht="17.15" hidden="false" customHeight="false" outlineLevel="0" collapsed="false">
      <c r="A107" s="0" t="s">
        <v>349</v>
      </c>
      <c r="B107" s="3" t="s">
        <v>350</v>
      </c>
      <c r="C107" s="0" t="s">
        <v>44</v>
      </c>
      <c r="D107" s="6" t="n">
        <v>0</v>
      </c>
      <c r="E107" s="6" t="n">
        <v>0</v>
      </c>
      <c r="F107" s="6" t="n">
        <v>0.01</v>
      </c>
      <c r="G107" s="7" t="s">
        <v>145</v>
      </c>
      <c r="H107" s="3" t="s">
        <v>351</v>
      </c>
      <c r="I107" s="7" t="s">
        <v>225</v>
      </c>
    </row>
    <row r="108" customFormat="false" ht="17.15" hidden="false" customHeight="false" outlineLevel="0" collapsed="false">
      <c r="A108" s="5" t="s">
        <v>352</v>
      </c>
    </row>
    <row r="109" customFormat="false" ht="17.15" hidden="false" customHeight="false" outlineLevel="0" collapsed="false">
      <c r="A109" s="0" t="s">
        <v>353</v>
      </c>
      <c r="B109" s="0" t="s">
        <v>354</v>
      </c>
      <c r="C109" s="0" t="s">
        <v>302</v>
      </c>
      <c r="E109" s="6" t="n">
        <v>52.65</v>
      </c>
      <c r="G109" s="7" t="s">
        <v>355</v>
      </c>
      <c r="H109" s="7" t="s">
        <v>356</v>
      </c>
      <c r="I109" s="3" t="s">
        <v>357</v>
      </c>
    </row>
    <row r="110" customFormat="false" ht="17.15" hidden="false" customHeight="false" outlineLevel="0" collapsed="false">
      <c r="A110" s="0" t="s">
        <v>358</v>
      </c>
      <c r="B110" s="0" t="s">
        <v>359</v>
      </c>
      <c r="C110" s="0" t="s">
        <v>44</v>
      </c>
      <c r="D110" s="6" t="n">
        <v>0.255</v>
      </c>
      <c r="E110" s="6" t="n">
        <v>0.27</v>
      </c>
      <c r="F110" s="6" t="n">
        <v>0.285</v>
      </c>
      <c r="G110" s="7" t="s">
        <v>145</v>
      </c>
      <c r="H110" s="3" t="s">
        <v>360</v>
      </c>
      <c r="I110" s="3" t="s">
        <v>361</v>
      </c>
    </row>
    <row r="111" customFormat="false" ht="17.15" hidden="false" customHeight="false" outlineLevel="0" collapsed="false">
      <c r="A111" s="0" t="s">
        <v>362</v>
      </c>
      <c r="B111" s="0" t="s">
        <v>363</v>
      </c>
      <c r="C111" s="0" t="s">
        <v>302</v>
      </c>
      <c r="D111" s="6" t="n">
        <v>4</v>
      </c>
      <c r="E111" s="6" t="n">
        <v>4.3</v>
      </c>
      <c r="F111" s="6" t="n">
        <v>4.6</v>
      </c>
      <c r="G111" s="7" t="s">
        <v>145</v>
      </c>
      <c r="H111" s="7" t="s">
        <v>364</v>
      </c>
      <c r="I111" s="7" t="s">
        <v>225</v>
      </c>
    </row>
    <row r="112" customFormat="false" ht="17.15" hidden="false" customHeight="false" outlineLevel="0" collapsed="false">
      <c r="A112" s="0" t="s">
        <v>365</v>
      </c>
      <c r="B112" s="0" t="s">
        <v>366</v>
      </c>
      <c r="C112" s="0" t="s">
        <v>44</v>
      </c>
      <c r="D112" s="6" t="n">
        <v>0</v>
      </c>
      <c r="E112" s="6" t="n">
        <v>0.05</v>
      </c>
      <c r="F112" s="6" t="n">
        <v>0.1</v>
      </c>
      <c r="G112" s="7" t="s">
        <v>145</v>
      </c>
      <c r="H112" s="3" t="s">
        <v>367</v>
      </c>
      <c r="I112" s="3" t="s">
        <v>368</v>
      </c>
    </row>
    <row r="113" customFormat="false" ht="17.15" hidden="false" customHeight="false" outlineLevel="0" collapsed="false">
      <c r="A113" s="0" t="s">
        <v>369</v>
      </c>
      <c r="B113" s="0" t="s">
        <v>370</v>
      </c>
      <c r="C113" s="0" t="s">
        <v>44</v>
      </c>
      <c r="D113" s="6" t="n">
        <v>0.265</v>
      </c>
      <c r="E113" s="6" t="n">
        <v>0.285</v>
      </c>
      <c r="F113" s="6" t="n">
        <v>0.305</v>
      </c>
      <c r="G113" s="7" t="s">
        <v>145</v>
      </c>
      <c r="H113" s="3" t="s">
        <v>371</v>
      </c>
      <c r="I113" s="7" t="s">
        <v>225</v>
      </c>
    </row>
    <row r="114" customFormat="false" ht="17.15" hidden="false" customHeight="false" outlineLevel="0" collapsed="false">
      <c r="A114" s="0" t="s">
        <v>372</v>
      </c>
      <c r="B114" s="0" t="s">
        <v>373</v>
      </c>
      <c r="C114" s="0" t="s">
        <v>302</v>
      </c>
      <c r="D114" s="6" t="n">
        <v>4.1</v>
      </c>
      <c r="E114" s="6" t="n">
        <v>4.4</v>
      </c>
      <c r="F114" s="6" t="n">
        <v>4.8</v>
      </c>
      <c r="G114" s="7" t="s">
        <v>145</v>
      </c>
      <c r="H114" s="3" t="s">
        <v>46</v>
      </c>
      <c r="I114" s="7" t="s">
        <v>225</v>
      </c>
    </row>
    <row r="115" customFormat="false" ht="17.15" hidden="false" customHeight="false" outlineLevel="0" collapsed="false">
      <c r="A115" s="0" t="s">
        <v>374</v>
      </c>
      <c r="B115" s="0" t="s">
        <v>375</v>
      </c>
      <c r="C115" s="0" t="s">
        <v>302</v>
      </c>
      <c r="D115" s="6" t="n">
        <v>0</v>
      </c>
      <c r="E115" s="6" t="n">
        <v>1</v>
      </c>
      <c r="F115" s="6" t="n">
        <v>3</v>
      </c>
      <c r="G115" s="7" t="s">
        <v>145</v>
      </c>
      <c r="H115" s="7" t="s">
        <v>376</v>
      </c>
      <c r="I115" s="7" t="s">
        <v>377</v>
      </c>
    </row>
    <row r="116" customFormat="false" ht="17.15" hidden="false" customHeight="false" outlineLevel="0" collapsed="false">
      <c r="A116" s="0" t="s">
        <v>378</v>
      </c>
      <c r="B116" s="0" t="s">
        <v>379</v>
      </c>
      <c r="C116" s="3" t="s">
        <v>380</v>
      </c>
      <c r="E116" s="6" t="n">
        <v>1.64</v>
      </c>
      <c r="G116" s="7" t="s">
        <v>196</v>
      </c>
      <c r="H116" s="7" t="s">
        <v>381</v>
      </c>
      <c r="I116" s="3" t="s">
        <v>382</v>
      </c>
    </row>
    <row r="117" customFormat="false" ht="17.15" hidden="false" customHeight="false" outlineLevel="0" collapsed="false">
      <c r="A117" s="5" t="s">
        <v>383</v>
      </c>
    </row>
    <row r="118" customFormat="false" ht="17.15" hidden="false" customHeight="false" outlineLevel="0" collapsed="false">
      <c r="A118" s="0" t="s">
        <v>384</v>
      </c>
      <c r="B118" s="3" t="s">
        <v>385</v>
      </c>
      <c r="C118" s="0" t="s">
        <v>386</v>
      </c>
      <c r="D118" s="6" t="n">
        <v>10.5</v>
      </c>
      <c r="E118" s="6" t="n">
        <v>15.17</v>
      </c>
      <c r="F118" s="6" t="n">
        <v>18.55</v>
      </c>
      <c r="G118" s="7" t="s">
        <v>196</v>
      </c>
      <c r="H118" s="3" t="s">
        <v>387</v>
      </c>
      <c r="I118" s="7" t="s">
        <v>388</v>
      </c>
    </row>
    <row r="119" customFormat="false" ht="17.15" hidden="false" customHeight="false" outlineLevel="0" collapsed="false">
      <c r="A119" s="0" t="s">
        <v>389</v>
      </c>
      <c r="B119" s="3" t="s">
        <v>390</v>
      </c>
      <c r="C119" s="0" t="s">
        <v>386</v>
      </c>
      <c r="D119" s="6" t="n">
        <v>21.27</v>
      </c>
      <c r="E119" s="6" t="n">
        <v>30.37</v>
      </c>
      <c r="F119" s="6" t="n">
        <v>41.37</v>
      </c>
      <c r="G119" s="7" t="s">
        <v>196</v>
      </c>
      <c r="H119" s="3" t="s">
        <v>387</v>
      </c>
      <c r="I119" s="3" t="s">
        <v>391</v>
      </c>
    </row>
    <row r="120" customFormat="false" ht="17.15" hidden="false" customHeight="false" outlineLevel="0" collapsed="false">
      <c r="A120" s="0" t="s">
        <v>392</v>
      </c>
      <c r="B120" s="3" t="s">
        <v>393</v>
      </c>
      <c r="C120" s="0" t="s">
        <v>386</v>
      </c>
      <c r="D120" s="6" t="n">
        <v>36.59</v>
      </c>
      <c r="E120" s="6" t="n">
        <v>48.52</v>
      </c>
      <c r="F120" s="6" t="n">
        <v>60.83</v>
      </c>
      <c r="G120" s="7" t="s">
        <v>196</v>
      </c>
      <c r="H120" s="3" t="s">
        <v>387</v>
      </c>
      <c r="I120" s="3" t="s">
        <v>394</v>
      </c>
    </row>
    <row r="121" customFormat="false" ht="17.15" hidden="false" customHeight="false" outlineLevel="0" collapsed="false">
      <c r="A121" s="0" t="s">
        <v>395</v>
      </c>
      <c r="B121" s="3" t="s">
        <v>396</v>
      </c>
      <c r="C121" s="0" t="s">
        <v>302</v>
      </c>
      <c r="D121" s="6" t="n">
        <v>193.5</v>
      </c>
      <c r="E121" s="6" t="n">
        <v>255.2</v>
      </c>
      <c r="F121" s="6" t="n">
        <v>320.2</v>
      </c>
      <c r="G121" s="7" t="s">
        <v>196</v>
      </c>
      <c r="H121" s="3" t="s">
        <v>387</v>
      </c>
      <c r="I121" s="7" t="s">
        <v>225</v>
      </c>
    </row>
    <row r="122" customFormat="false" ht="17.15" hidden="false" customHeight="false" outlineLevel="0" collapsed="false">
      <c r="A122" s="0" t="s">
        <v>397</v>
      </c>
      <c r="B122" s="3" t="s">
        <v>398</v>
      </c>
      <c r="C122" s="0" t="s">
        <v>302</v>
      </c>
      <c r="D122" s="6" t="n">
        <v>259.7</v>
      </c>
      <c r="E122" s="6" t="n">
        <v>326.5</v>
      </c>
      <c r="F122" s="6" t="n">
        <v>402.5</v>
      </c>
      <c r="G122" s="7" t="s">
        <v>196</v>
      </c>
      <c r="H122" s="3" t="s">
        <v>387</v>
      </c>
      <c r="I122" s="7" t="s">
        <v>225</v>
      </c>
    </row>
    <row r="123" customFormat="false" ht="17.15" hidden="false" customHeight="false" outlineLevel="0" collapsed="false">
      <c r="A123" s="0" t="s">
        <v>399</v>
      </c>
      <c r="B123" s="3" t="s">
        <v>400</v>
      </c>
      <c r="C123" s="0" t="s">
        <v>386</v>
      </c>
      <c r="D123" s="6" t="n">
        <v>37</v>
      </c>
      <c r="E123" s="6" t="n">
        <v>39.05</v>
      </c>
      <c r="F123" s="6" t="n">
        <v>41.1</v>
      </c>
      <c r="G123" s="7" t="s">
        <v>196</v>
      </c>
      <c r="H123" s="3" t="s">
        <v>401</v>
      </c>
      <c r="I123" s="3" t="s">
        <v>402</v>
      </c>
    </row>
    <row r="124" customFormat="false" ht="17.15" hidden="false" customHeight="false" outlineLevel="0" collapsed="false">
      <c r="A124" s="5" t="s">
        <v>403</v>
      </c>
    </row>
    <row r="125" customFormat="false" ht="17.15" hidden="false" customHeight="false" outlineLevel="0" collapsed="false">
      <c r="A125" s="0" t="s">
        <v>404</v>
      </c>
      <c r="B125" s="3" t="s">
        <v>405</v>
      </c>
      <c r="C125" s="0" t="s">
        <v>386</v>
      </c>
      <c r="E125" s="6" t="n">
        <v>1085</v>
      </c>
      <c r="G125" s="7" t="s">
        <v>196</v>
      </c>
      <c r="H125" s="7" t="s">
        <v>406</v>
      </c>
      <c r="I125" s="7" t="s">
        <v>407</v>
      </c>
    </row>
    <row r="126" customFormat="false" ht="17.15" hidden="false" customHeight="false" outlineLevel="0" collapsed="false">
      <c r="A126" s="0" t="s">
        <v>408</v>
      </c>
      <c r="B126" s="3" t="s">
        <v>409</v>
      </c>
      <c r="C126" s="0" t="s">
        <v>144</v>
      </c>
      <c r="E126" s="6" t="n">
        <v>42.28</v>
      </c>
      <c r="G126" s="7" t="s">
        <v>196</v>
      </c>
      <c r="H126" s="7" t="s">
        <v>410</v>
      </c>
      <c r="I126" s="3" t="s">
        <v>411</v>
      </c>
    </row>
    <row r="127" customFormat="false" ht="17.15" hidden="false" customHeight="false" outlineLevel="0" collapsed="false">
      <c r="A127" s="0" t="s">
        <v>412</v>
      </c>
      <c r="B127" s="3" t="s">
        <v>413</v>
      </c>
      <c r="C127" s="0" t="s">
        <v>144</v>
      </c>
      <c r="E127" s="6" t="n">
        <v>70.74</v>
      </c>
      <c r="G127" s="7" t="s">
        <v>196</v>
      </c>
      <c r="H127" s="7" t="s">
        <v>410</v>
      </c>
      <c r="I127" s="7" t="s">
        <v>414</v>
      </c>
    </row>
    <row r="128" customFormat="false" ht="17.15" hidden="false" customHeight="false" outlineLevel="0" collapsed="false">
      <c r="A128" s="0" t="s">
        <v>415</v>
      </c>
      <c r="B128" s="3" t="s">
        <v>416</v>
      </c>
      <c r="C128" s="0" t="s">
        <v>386</v>
      </c>
      <c r="E128" s="0" t="n">
        <f aca="false">px/fpe</f>
        <v>25.6622516556291</v>
      </c>
      <c r="G128" s="0" t="s">
        <v>33</v>
      </c>
      <c r="H128" s="0" t="s">
        <v>410</v>
      </c>
      <c r="I128" s="3" t="s">
        <v>417</v>
      </c>
    </row>
    <row r="129" customFormat="false" ht="17.15" hidden="false" customHeight="false" outlineLevel="0" collapsed="false">
      <c r="A129" s="0" t="s">
        <v>418</v>
      </c>
      <c r="B129" s="3" t="s">
        <v>419</v>
      </c>
      <c r="C129" s="0" t="s">
        <v>386</v>
      </c>
      <c r="E129" s="6" t="n">
        <v>1317.37</v>
      </c>
      <c r="G129" s="7" t="s">
        <v>196</v>
      </c>
      <c r="H129" s="7" t="s">
        <v>420</v>
      </c>
      <c r="I129" s="3" t="s">
        <v>421</v>
      </c>
    </row>
    <row r="130" customFormat="false" ht="17.15" hidden="false" customHeight="false" outlineLevel="0" collapsed="false">
      <c r="A130" s="0" t="s">
        <v>422</v>
      </c>
      <c r="B130" s="3" t="s">
        <v>423</v>
      </c>
      <c r="C130" s="0" t="s">
        <v>424</v>
      </c>
      <c r="E130" s="6" t="n">
        <v>32.5</v>
      </c>
      <c r="G130" s="7" t="s">
        <v>196</v>
      </c>
      <c r="H130" s="3" t="s">
        <v>425</v>
      </c>
      <c r="I130" s="7" t="s">
        <v>225</v>
      </c>
    </row>
    <row r="131" customFormat="false" ht="17.15" hidden="false" customHeight="false" outlineLevel="0" collapsed="false">
      <c r="A131" s="0" t="s">
        <v>426</v>
      </c>
      <c r="B131" s="0" t="s">
        <v>427</v>
      </c>
      <c r="C131" s="0" t="s">
        <v>44</v>
      </c>
      <c r="E131" s="6" t="n">
        <v>0.27</v>
      </c>
      <c r="G131" s="7" t="s">
        <v>196</v>
      </c>
      <c r="H131" s="3" t="s">
        <v>428</v>
      </c>
      <c r="I131" s="7" t="s">
        <v>429</v>
      </c>
    </row>
    <row r="132" customFormat="false" ht="17.15" hidden="false" customHeight="false" outlineLevel="0" collapsed="false">
      <c r="A132" s="0" t="s">
        <v>430</v>
      </c>
      <c r="B132" s="3" t="s">
        <v>431</v>
      </c>
      <c r="C132" s="0" t="s">
        <v>44</v>
      </c>
      <c r="E132" s="0" t="n">
        <f aca="false">AVERAGE(13.222/104.563,29.619/140.489,11.98/104.036,5.082/115.373,6.673/131.241)</f>
        <v>0.109464849893187</v>
      </c>
      <c r="G132" s="0" t="s">
        <v>33</v>
      </c>
      <c r="H132" s="0" t="s">
        <v>432</v>
      </c>
      <c r="I132" s="3" t="s">
        <v>433</v>
      </c>
    </row>
    <row r="133" customFormat="false" ht="17.15" hidden="false" customHeight="false" outlineLevel="0" collapsed="false">
      <c r="A133" s="5" t="s">
        <v>434</v>
      </c>
    </row>
    <row r="134" customFormat="false" ht="17.15" hidden="false" customHeight="false" outlineLevel="0" collapsed="false">
      <c r="A134" s="8" t="s">
        <v>435</v>
      </c>
      <c r="B134" s="9" t="s">
        <v>436</v>
      </c>
      <c r="C134" s="8" t="s">
        <v>44</v>
      </c>
      <c r="D134" s="8"/>
      <c r="E134" s="10" t="n">
        <v>0.3</v>
      </c>
      <c r="F134" s="8"/>
      <c r="G134" s="8" t="s">
        <v>145</v>
      </c>
      <c r="H134" s="8" t="s">
        <v>437</v>
      </c>
      <c r="I134" s="9" t="s">
        <v>438</v>
      </c>
    </row>
    <row r="135" customFormat="false" ht="17.15" hidden="false" customHeight="false" outlineLevel="0" collapsed="false">
      <c r="A135" s="8" t="s">
        <v>439</v>
      </c>
      <c r="B135" s="9" t="s">
        <v>440</v>
      </c>
      <c r="C135" s="8" t="s">
        <v>44</v>
      </c>
      <c r="D135" s="8"/>
      <c r="E135" s="10" t="n">
        <v>0.5</v>
      </c>
      <c r="F135" s="8"/>
      <c r="G135" s="8" t="s">
        <v>145</v>
      </c>
      <c r="H135" s="8" t="s">
        <v>437</v>
      </c>
      <c r="I135" s="9" t="s">
        <v>438</v>
      </c>
    </row>
    <row r="136" customFormat="false" ht="17.15" hidden="false" customHeight="false" outlineLevel="0" collapsed="false">
      <c r="A136" s="8" t="s">
        <v>441</v>
      </c>
      <c r="B136" s="9" t="s">
        <v>442</v>
      </c>
      <c r="C136" s="8" t="s">
        <v>44</v>
      </c>
      <c r="D136" s="8"/>
      <c r="E136" s="10" t="n">
        <v>0.2</v>
      </c>
      <c r="F136" s="8"/>
      <c r="G136" s="8" t="s">
        <v>145</v>
      </c>
      <c r="H136" s="8" t="s">
        <v>437</v>
      </c>
      <c r="I136" s="9" t="s">
        <v>438</v>
      </c>
    </row>
    <row r="137" customFormat="false" ht="17.15" hidden="false" customHeight="false" outlineLevel="0" collapsed="false">
      <c r="A137" s="8" t="s">
        <v>443</v>
      </c>
      <c r="B137" s="9" t="s">
        <v>444</v>
      </c>
      <c r="C137" s="8" t="s">
        <v>44</v>
      </c>
      <c r="D137" s="8"/>
      <c r="E137" s="10" t="n">
        <v>0.1</v>
      </c>
      <c r="F137" s="8"/>
      <c r="G137" s="8" t="s">
        <v>145</v>
      </c>
      <c r="H137" s="8" t="s">
        <v>445</v>
      </c>
      <c r="I137" s="8" t="s">
        <v>225</v>
      </c>
    </row>
    <row r="138" customFormat="false" ht="17.15" hidden="false" customHeight="false" outlineLevel="0" collapsed="false">
      <c r="A138" s="8" t="s">
        <v>446</v>
      </c>
      <c r="B138" s="9" t="s">
        <v>447</v>
      </c>
      <c r="C138" s="8" t="s">
        <v>44</v>
      </c>
      <c r="D138" s="8"/>
      <c r="E138" s="10" t="n">
        <v>0.04</v>
      </c>
      <c r="F138" s="8"/>
      <c r="G138" s="8" t="s">
        <v>145</v>
      </c>
      <c r="H138" s="8" t="s">
        <v>448</v>
      </c>
      <c r="I138" s="9" t="s">
        <v>449</v>
      </c>
    </row>
    <row r="139" customFormat="false" ht="17.15" hidden="false" customHeight="false" outlineLevel="0" collapsed="false">
      <c r="A139" s="8" t="s">
        <v>450</v>
      </c>
      <c r="B139" s="8" t="s">
        <v>451</v>
      </c>
      <c r="C139" s="8" t="s">
        <v>44</v>
      </c>
      <c r="D139" s="8"/>
      <c r="E139" s="8" t="n">
        <f aca="false">AVERAGE(0.1294,0.0567,0.0731)</f>
        <v>0.0864</v>
      </c>
      <c r="F139" s="8"/>
      <c r="G139" s="8" t="s">
        <v>33</v>
      </c>
      <c r="H139" s="8" t="s">
        <v>452</v>
      </c>
      <c r="I139" s="9" t="s">
        <v>453</v>
      </c>
    </row>
    <row r="140" customFormat="false" ht="17.15" hidden="false" customHeight="false" outlineLevel="0" collapsed="false">
      <c r="A140" s="8" t="s">
        <v>454</v>
      </c>
      <c r="B140" s="9" t="s">
        <v>455</v>
      </c>
      <c r="C140" s="8" t="s">
        <v>44</v>
      </c>
      <c r="D140" s="8"/>
      <c r="E140" s="10" t="n">
        <v>0.5</v>
      </c>
      <c r="F140" s="8"/>
      <c r="G140" s="8" t="s">
        <v>145</v>
      </c>
      <c r="H140" s="8" t="s">
        <v>456</v>
      </c>
      <c r="I140" s="8" t="s">
        <v>225</v>
      </c>
    </row>
    <row r="141" customFormat="false" ht="17.15" hidden="false" customHeight="false" outlineLevel="0" collapsed="false">
      <c r="A141" s="8" t="s">
        <v>457</v>
      </c>
      <c r="B141" s="9" t="s">
        <v>458</v>
      </c>
      <c r="C141" s="8" t="s">
        <v>44</v>
      </c>
      <c r="D141" s="8"/>
      <c r="E141" s="8" t="n">
        <f aca="false">tp_g+0.02</f>
        <v>0.06</v>
      </c>
      <c r="F141" s="8"/>
      <c r="G141" s="8" t="s">
        <v>145</v>
      </c>
      <c r="H141" s="9" t="s">
        <v>459</v>
      </c>
      <c r="I141" s="8" t="s">
        <v>460</v>
      </c>
    </row>
    <row r="142" customFormat="false" ht="17.15" hidden="false" customHeight="false" outlineLevel="0" collapsed="false">
      <c r="A142" s="8" t="s">
        <v>461</v>
      </c>
      <c r="B142" s="9" t="s">
        <v>462</v>
      </c>
      <c r="C142" s="8" t="s">
        <v>44</v>
      </c>
      <c r="D142" s="8"/>
      <c r="E142" s="8" t="n">
        <f aca="false">tp_g</f>
        <v>0.04</v>
      </c>
      <c r="F142" s="8"/>
      <c r="G142" s="8" t="s">
        <v>145</v>
      </c>
      <c r="H142" s="9" t="s">
        <v>46</v>
      </c>
      <c r="I142" s="8" t="s">
        <v>225</v>
      </c>
    </row>
    <row r="143" customFormat="false" ht="17.15" hidden="false" customHeight="false" outlineLevel="0" collapsed="false">
      <c r="A143" s="8" t="s">
        <v>463</v>
      </c>
      <c r="B143" s="9" t="s">
        <v>464</v>
      </c>
      <c r="C143" s="8" t="s">
        <v>44</v>
      </c>
      <c r="D143" s="8"/>
      <c r="E143" s="8" t="n">
        <f aca="false">tp_g-0.02</f>
        <v>0.02</v>
      </c>
      <c r="F143" s="8"/>
      <c r="G143" s="8" t="s">
        <v>145</v>
      </c>
      <c r="H143" s="9" t="s">
        <v>46</v>
      </c>
      <c r="I143" s="8" t="s">
        <v>225</v>
      </c>
    </row>
    <row r="144" customFormat="false" ht="17.15" hidden="false" customHeight="false" outlineLevel="0" collapsed="false">
      <c r="A144" s="8" t="s">
        <v>465</v>
      </c>
      <c r="B144" s="9" t="s">
        <v>466</v>
      </c>
      <c r="C144" s="8" t="s">
        <v>44</v>
      </c>
      <c r="D144" s="8"/>
      <c r="E144" s="11" t="n">
        <f aca="false">PL!G14</f>
        <v>0.17383007482613</v>
      </c>
      <c r="F144" s="8"/>
      <c r="G144" s="8" t="s">
        <v>33</v>
      </c>
      <c r="H144" s="8" t="s">
        <v>467</v>
      </c>
      <c r="I144" s="8" t="s">
        <v>225</v>
      </c>
    </row>
    <row r="145" customFormat="false" ht="17.15" hidden="false" customHeight="false" outlineLevel="0" collapsed="false">
      <c r="A145" s="8" t="s">
        <v>468</v>
      </c>
      <c r="B145" s="9" t="s">
        <v>469</v>
      </c>
      <c r="C145" s="8" t="s">
        <v>44</v>
      </c>
      <c r="D145" s="8"/>
      <c r="E145" s="12" t="n">
        <f aca="false">(PL!G28+PL!G28*0.8)/2</f>
        <v>0.146819079175095</v>
      </c>
      <c r="F145" s="8"/>
      <c r="G145" s="8" t="s">
        <v>145</v>
      </c>
      <c r="H145" s="9" t="s">
        <v>470</v>
      </c>
      <c r="I145" s="9" t="s">
        <v>471</v>
      </c>
    </row>
    <row r="146" customFormat="false" ht="17.15" hidden="false" customHeight="false" outlineLevel="0" collapsed="false">
      <c r="A146" s="8" t="s">
        <v>472</v>
      </c>
      <c r="B146" s="9" t="s">
        <v>473</v>
      </c>
      <c r="C146" s="8" t="s">
        <v>44</v>
      </c>
      <c r="D146" s="8"/>
      <c r="E146" s="12" t="n">
        <f aca="false">PL!G42*0.8</f>
        <v>0.108838196661023</v>
      </c>
      <c r="F146" s="8"/>
      <c r="G146" s="8" t="s">
        <v>145</v>
      </c>
      <c r="H146" s="9" t="s">
        <v>474</v>
      </c>
      <c r="I146" s="8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475</v>
      </c>
    </row>
    <row r="2" customFormat="false" ht="17.15" hidden="false" customHeight="false" outlineLevel="0" collapsed="false">
      <c r="A2" s="0" t="s">
        <v>476</v>
      </c>
    </row>
    <row r="3" customFormat="false" ht="17.15" hidden="false" customHeight="false" outlineLevel="0" collapsed="false">
      <c r="A3" s="4" t="s">
        <v>21</v>
      </c>
      <c r="B3" s="13" t="s">
        <v>477</v>
      </c>
      <c r="C3" s="13" t="s">
        <v>478</v>
      </c>
      <c r="D3" s="13" t="s">
        <v>479</v>
      </c>
      <c r="E3" s="13" t="s">
        <v>480</v>
      </c>
      <c r="F3" s="13" t="s">
        <v>481</v>
      </c>
      <c r="G3" s="13" t="s">
        <v>482</v>
      </c>
      <c r="H3" s="4" t="s">
        <v>26</v>
      </c>
      <c r="I3" s="4" t="s">
        <v>483</v>
      </c>
      <c r="J3" s="4" t="s">
        <v>28</v>
      </c>
    </row>
    <row r="4" customFormat="false" ht="17.15" hidden="false" customHeight="false" outlineLevel="0" collapsed="false">
      <c r="A4" s="3" t="s">
        <v>484</v>
      </c>
      <c r="B4" s="14" t="n">
        <v>131.241</v>
      </c>
      <c r="C4" s="15" t="n">
        <f aca="false">80.336-D4</f>
        <v>37.447</v>
      </c>
      <c r="D4" s="14" t="n">
        <v>42.889</v>
      </c>
      <c r="E4" s="15" t="n">
        <f aca="false">q3_rev</f>
        <v>52.65</v>
      </c>
      <c r="F4" s="15" t="n">
        <f aca="false">E4*(1+q4_g)</f>
        <v>55.2825</v>
      </c>
      <c r="G4" s="15" t="n">
        <f aca="false">SUM(C4:F4)</f>
        <v>188.2685</v>
      </c>
      <c r="H4" s="7" t="s">
        <v>485</v>
      </c>
      <c r="I4" s="7" t="s">
        <v>486</v>
      </c>
      <c r="J4" s="7" t="s">
        <v>487</v>
      </c>
    </row>
    <row r="5" customFormat="false" ht="17.15" hidden="false" customHeight="false" outlineLevel="0" collapsed="false">
      <c r="A5" s="3" t="s">
        <v>488</v>
      </c>
      <c r="B5" s="14" t="n">
        <v>18.292</v>
      </c>
      <c r="C5" s="15" t="n">
        <f aca="false">C4*0.1796</f>
        <v>6.7254812</v>
      </c>
      <c r="D5" s="15" t="n">
        <f aca="false">D4*0.248</f>
        <v>10.636472</v>
      </c>
      <c r="E5" s="15" t="n">
        <f aca="false">E4*q3_gm</f>
        <v>14.2155</v>
      </c>
      <c r="F5" s="15" t="n">
        <f aca="false">F4*q4_gm</f>
        <v>15.7555125</v>
      </c>
      <c r="G5" s="15" t="n">
        <f aca="false">SUM(C5:F5)</f>
        <v>47.3329657</v>
      </c>
      <c r="H5" s="7" t="s">
        <v>489</v>
      </c>
      <c r="I5" s="7" t="s">
        <v>486</v>
      </c>
      <c r="J5" s="3" t="s">
        <v>490</v>
      </c>
    </row>
    <row r="6" customFormat="false" ht="15" hidden="false" customHeight="false" outlineLevel="0" collapsed="false">
      <c r="A6" s="3" t="s">
        <v>491</v>
      </c>
      <c r="B6" s="16" t="n">
        <f aca="false">B5/B4</f>
        <v>0.139377176339711</v>
      </c>
      <c r="C6" s="16" t="n">
        <f aca="false">C5/C4</f>
        <v>0.1796</v>
      </c>
      <c r="D6" s="16" t="n">
        <f aca="false">D5/D4</f>
        <v>0.248</v>
      </c>
      <c r="E6" s="16" t="n">
        <f aca="false">E5/E4</f>
        <v>0.27</v>
      </c>
      <c r="F6" s="16" t="n">
        <f aca="false">F5/F4</f>
        <v>0.285</v>
      </c>
      <c r="G6" s="16" t="n">
        <f aca="false">G5/G4</f>
        <v>0.251412029627899</v>
      </c>
      <c r="H6" s="7" t="s">
        <v>33</v>
      </c>
      <c r="I6" s="7" t="s">
        <v>225</v>
      </c>
      <c r="J6" s="7" t="s">
        <v>492</v>
      </c>
    </row>
    <row r="7" customFormat="false" ht="17.15" hidden="false" customHeight="false" outlineLevel="0" collapsed="false">
      <c r="A7" s="3" t="s">
        <v>493</v>
      </c>
      <c r="B7" s="15" t="n">
        <f aca="false">B5-B8</f>
        <v>11.618</v>
      </c>
      <c r="C7" s="15" t="n">
        <f aca="false">C5-C8</f>
        <v>3.9684812</v>
      </c>
      <c r="D7" s="15" t="n">
        <f aca="false">D5-D8</f>
        <v>3.985472</v>
      </c>
      <c r="E7" s="15" t="n">
        <f aca="false">q3_opx</f>
        <v>4.3</v>
      </c>
      <c r="F7" s="15" t="n">
        <f aca="false">q4_opx</f>
        <v>4.4</v>
      </c>
      <c r="G7" s="15" t="n">
        <f aca="false">SUM(C7:F7)</f>
        <v>16.6539532</v>
      </c>
      <c r="H7" s="7" t="s">
        <v>494</v>
      </c>
      <c r="I7" s="3" t="s">
        <v>495</v>
      </c>
      <c r="J7" s="7" t="s">
        <v>225</v>
      </c>
    </row>
    <row r="8" customFormat="false" ht="17.15" hidden="false" customHeight="false" outlineLevel="0" collapsed="false">
      <c r="A8" s="3" t="s">
        <v>496</v>
      </c>
      <c r="B8" s="14" t="n">
        <v>6.674</v>
      </c>
      <c r="C8" s="15" t="n">
        <f aca="false">9.408-D8</f>
        <v>2.757</v>
      </c>
      <c r="D8" s="14" t="n">
        <v>6.651</v>
      </c>
      <c r="E8" s="15" t="n">
        <f aca="false">E5-E7</f>
        <v>9.9155</v>
      </c>
      <c r="F8" s="15" t="n">
        <f aca="false">F5-F7</f>
        <v>11.3555125</v>
      </c>
      <c r="G8" s="15" t="n">
        <f aca="false">SUM(C8:F8)</f>
        <v>30.6790125</v>
      </c>
      <c r="H8" s="7" t="s">
        <v>497</v>
      </c>
      <c r="I8" s="7" t="s">
        <v>486</v>
      </c>
      <c r="J8" s="7" t="s">
        <v>498</v>
      </c>
    </row>
    <row r="9" customFormat="false" ht="17.15" hidden="false" customHeight="false" outlineLevel="0" collapsed="false">
      <c r="A9" s="3" t="s">
        <v>499</v>
      </c>
      <c r="B9" s="15" t="n">
        <f aca="false">B11-B8</f>
        <v>-0.00100000000000033</v>
      </c>
      <c r="C9" s="15" t="n">
        <f aca="false">12.466-D9</f>
        <v>3.542</v>
      </c>
      <c r="D9" s="14" t="n">
        <v>8.924</v>
      </c>
      <c r="E9" s="15" t="n">
        <f aca="false">q_nonop</f>
        <v>1</v>
      </c>
      <c r="F9" s="15" t="n">
        <f aca="false">q_nonop</f>
        <v>1</v>
      </c>
      <c r="G9" s="15" t="n">
        <f aca="false">SUM(C9:F9)</f>
        <v>14.466</v>
      </c>
      <c r="H9" s="7" t="s">
        <v>500</v>
      </c>
      <c r="I9" s="7" t="s">
        <v>486</v>
      </c>
      <c r="J9" s="7" t="s">
        <v>501</v>
      </c>
    </row>
    <row r="10" customFormat="false" ht="17.15" hidden="false" customHeight="false" outlineLevel="0" collapsed="false">
      <c r="A10" s="3" t="s">
        <v>502</v>
      </c>
      <c r="C10" s="15" t="n">
        <f aca="false">C8+C9</f>
        <v>6.299</v>
      </c>
      <c r="D10" s="15" t="n">
        <f aca="false">D8+D9</f>
        <v>15.575</v>
      </c>
      <c r="E10" s="15" t="n">
        <f aca="false">E8+E9</f>
        <v>10.9155</v>
      </c>
      <c r="F10" s="15" t="n">
        <f aca="false">F8+F9</f>
        <v>12.3555125</v>
      </c>
      <c r="G10" s="15" t="n">
        <f aca="false">SUM(C10:F10)</f>
        <v>45.1450125</v>
      </c>
      <c r="H10" s="7" t="s">
        <v>33</v>
      </c>
      <c r="I10" s="7" t="s">
        <v>225</v>
      </c>
      <c r="J10" s="7" t="s">
        <v>503</v>
      </c>
    </row>
    <row r="11" customFormat="false" ht="17.15" hidden="false" customHeight="false" outlineLevel="0" collapsed="false">
      <c r="A11" s="3" t="s">
        <v>504</v>
      </c>
      <c r="B11" s="14" t="n">
        <v>6.673</v>
      </c>
      <c r="C11" s="15" t="n">
        <f aca="false">18.157-D11</f>
        <v>5.043</v>
      </c>
      <c r="D11" s="14" t="n">
        <v>13.114</v>
      </c>
      <c r="E11" s="15" t="n">
        <f aca="false">E10*(1-tax)</f>
        <v>8.95071</v>
      </c>
      <c r="F11" s="15" t="n">
        <f aca="false">F10*(1-tax)</f>
        <v>10.13152025</v>
      </c>
      <c r="G11" s="15" t="n">
        <f aca="false">SUM(C11:F11)</f>
        <v>37.23923025</v>
      </c>
      <c r="H11" s="7" t="s">
        <v>497</v>
      </c>
      <c r="I11" s="7" t="s">
        <v>486</v>
      </c>
      <c r="J11" s="7" t="s">
        <v>505</v>
      </c>
    </row>
    <row r="12" customFormat="false" ht="15" hidden="false" customHeight="false" outlineLevel="0" collapsed="false">
      <c r="A12" s="3" t="s">
        <v>506</v>
      </c>
      <c r="C12" s="15" t="n">
        <f aca="false">C10-C11</f>
        <v>1.256</v>
      </c>
      <c r="D12" s="15" t="n">
        <f aca="false">D10-D11</f>
        <v>2.461</v>
      </c>
      <c r="E12" s="15" t="n">
        <f aca="false">E10-E11</f>
        <v>1.96479</v>
      </c>
      <c r="F12" s="15" t="n">
        <f aca="false">F10-F11</f>
        <v>2.22399225</v>
      </c>
      <c r="G12" s="15" t="n">
        <f aca="false">SUM(C12:F12)</f>
        <v>7.90578225</v>
      </c>
      <c r="H12" s="7" t="s">
        <v>33</v>
      </c>
      <c r="I12" s="7" t="s">
        <v>225</v>
      </c>
      <c r="J12" s="7" t="s">
        <v>225</v>
      </c>
    </row>
    <row r="13" customFormat="false" ht="17.15" hidden="false" customHeight="false" outlineLevel="0" collapsed="false">
      <c r="A13" s="3" t="s">
        <v>507</v>
      </c>
      <c r="B13" s="15" t="n">
        <f aca="false">B11/B14</f>
        <v>1.52351598173516</v>
      </c>
      <c r="C13" s="15" t="n">
        <f aca="false">C11/C14</f>
        <v>1.5375</v>
      </c>
      <c r="D13" s="15" t="n">
        <f aca="false">D11/D14</f>
        <v>1.55195266272189</v>
      </c>
      <c r="E13" s="15" t="n">
        <f aca="false">q_sh</f>
        <v>1.64</v>
      </c>
      <c r="F13" s="15" t="n">
        <f aca="false">q_sh</f>
        <v>1.64</v>
      </c>
      <c r="G13" s="15" t="n">
        <f aca="false">AVERAGE(C13:F13)</f>
        <v>1.59236316568047</v>
      </c>
      <c r="H13" s="7" t="s">
        <v>33</v>
      </c>
      <c r="I13" s="3" t="s">
        <v>508</v>
      </c>
      <c r="J13" s="7" t="s">
        <v>225</v>
      </c>
    </row>
    <row r="14" customFormat="false" ht="17.15" hidden="false" customHeight="false" outlineLevel="0" collapsed="false">
      <c r="A14" s="0" t="s">
        <v>509</v>
      </c>
      <c r="B14" s="17" t="n">
        <v>4.38</v>
      </c>
      <c r="C14" s="17" t="n">
        <v>3.28</v>
      </c>
      <c r="D14" s="17" t="n">
        <v>8.45</v>
      </c>
      <c r="E14" s="18" t="n">
        <f aca="false">E11/E13</f>
        <v>5.45775</v>
      </c>
      <c r="F14" s="18" t="n">
        <f aca="false">F11/F13</f>
        <v>6.17775625</v>
      </c>
      <c r="G14" s="18" t="n">
        <f aca="false">G11/G13</f>
        <v>23.3861414610695</v>
      </c>
      <c r="H14" s="7" t="s">
        <v>497</v>
      </c>
      <c r="I14" s="7" t="s">
        <v>486</v>
      </c>
      <c r="J14" s="7" t="s">
        <v>510</v>
      </c>
    </row>
    <row r="15" customFormat="false" ht="17.15" hidden="false" customHeight="false" outlineLevel="0" collapsed="false">
      <c r="A15" s="3" t="s">
        <v>511</v>
      </c>
      <c r="B15" s="14" t="n">
        <v>18.8</v>
      </c>
      <c r="G15" s="15" t="n">
        <f aca="false">da26</f>
        <v>20.8</v>
      </c>
      <c r="H15" s="7" t="s">
        <v>196</v>
      </c>
      <c r="I15" s="3" t="s">
        <v>512</v>
      </c>
      <c r="J15" s="7" t="s">
        <v>513</v>
      </c>
    </row>
    <row r="16" customFormat="false" ht="17.15" hidden="false" customHeight="false" outlineLevel="0" collapsed="false">
      <c r="A16" s="3" t="s">
        <v>514</v>
      </c>
      <c r="B16" s="14" t="n">
        <v>25.617</v>
      </c>
      <c r="G16" s="15" t="n">
        <f aca="false">capex26</f>
        <v>53.7</v>
      </c>
      <c r="H16" s="7" t="s">
        <v>515</v>
      </c>
      <c r="I16" s="7" t="s">
        <v>516</v>
      </c>
      <c r="J16" s="7" t="s">
        <v>225</v>
      </c>
    </row>
    <row r="18" customFormat="false" ht="17.15" hidden="false" customHeight="false" outlineLevel="0" collapsed="false">
      <c r="A18" s="5" t="s">
        <v>517</v>
      </c>
    </row>
    <row r="19" customFormat="false" ht="17.15" hidden="false" customHeight="false" outlineLevel="0" collapsed="false">
      <c r="A19" s="0" t="s">
        <v>518</v>
      </c>
      <c r="G19" s="15" t="n">
        <f aca="false">G4*mx_abf</f>
        <v>99.782305</v>
      </c>
      <c r="H19" s="7" t="s">
        <v>33</v>
      </c>
    </row>
    <row r="20" customFormat="false" ht="17.15" hidden="false" customHeight="false" outlineLevel="0" collapsed="false">
      <c r="A20" s="0" t="s">
        <v>519</v>
      </c>
      <c r="G20" s="15" t="n">
        <f aca="false">G4*mx_bt</f>
        <v>16.944165</v>
      </c>
      <c r="H20" s="7" t="s">
        <v>33</v>
      </c>
    </row>
    <row r="21" customFormat="false" ht="17.15" hidden="false" customHeight="false" outlineLevel="0" collapsed="false">
      <c r="A21" s="0" t="s">
        <v>520</v>
      </c>
      <c r="G21" s="15" t="n">
        <f aca="false">G4*mx_pcb</f>
        <v>58.363235</v>
      </c>
      <c r="H21" s="7" t="s">
        <v>33</v>
      </c>
    </row>
    <row r="22" customFormat="false" ht="15" hidden="false" customHeight="false" outlineLevel="0" collapsed="false">
      <c r="A22" s="3" t="s">
        <v>521</v>
      </c>
      <c r="G22" s="15" t="n">
        <f aca="false">G4*(1-mx_abf-mx_bt-mx_pcb)</f>
        <v>13.178795</v>
      </c>
      <c r="H22" s="7" t="s">
        <v>33</v>
      </c>
    </row>
    <row r="23" customFormat="false" ht="15" hidden="false" customHeight="false" outlineLevel="0" collapsed="false">
      <c r="A23" s="1" t="s">
        <v>522</v>
      </c>
    </row>
    <row r="24" customFormat="false" ht="17.15" hidden="false" customHeight="false" outlineLevel="0" collapsed="false">
      <c r="A24" s="0" t="s">
        <v>523</v>
      </c>
      <c r="B24" s="19" t="n">
        <f aca="false">C10+D10-21.875</f>
        <v>-0.00100000000000122</v>
      </c>
    </row>
    <row r="25" customFormat="false" ht="17.15" hidden="false" customHeight="false" outlineLevel="0" collapsed="false">
      <c r="A25" s="0" t="s">
        <v>524</v>
      </c>
      <c r="B25" s="20" t="n">
        <f aca="false">G4/B4-1</f>
        <v>0.434525034097576</v>
      </c>
    </row>
    <row r="26" customFormat="false" ht="17.15" hidden="false" customHeight="false" outlineLevel="0" collapsed="false">
      <c r="A26" s="0" t="s">
        <v>525</v>
      </c>
      <c r="B26" s="20" t="n">
        <f aca="false">((G5+G15)-(B5+B15))/(G4-B4)</f>
        <v>0.54431573714436</v>
      </c>
    </row>
    <row r="27" customFormat="false" ht="17.15" hidden="false" customHeight="false" outlineLevel="0" collapsed="false">
      <c r="A27" s="0" t="s">
        <v>526</v>
      </c>
      <c r="B27" s="20" t="n">
        <f aca="false">G14/23.42-1</f>
        <v>-0.00144571045817676</v>
      </c>
    </row>
    <row r="28" customFormat="false" ht="17.15" hidden="false" customHeight="false" outlineLevel="0" collapsed="false">
      <c r="A28" s="0" t="s">
        <v>527</v>
      </c>
      <c r="B28" s="20" t="n">
        <f aca="false">F4/57.92-1</f>
        <v>-0.0455369475138122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528</v>
      </c>
    </row>
    <row r="3" customFormat="false" ht="15" hidden="false" customHeight="false" outlineLevel="0" collapsed="false">
      <c r="A3" s="4" t="s">
        <v>21</v>
      </c>
      <c r="B3" s="4" t="s">
        <v>22</v>
      </c>
      <c r="C3" s="13" t="s">
        <v>529</v>
      </c>
      <c r="D3" s="13" t="s">
        <v>530</v>
      </c>
      <c r="E3" s="13" t="s">
        <v>531</v>
      </c>
      <c r="F3" s="13" t="s">
        <v>532</v>
      </c>
      <c r="G3" s="4" t="s">
        <v>533</v>
      </c>
    </row>
    <row r="4" customFormat="false" ht="17.15" hidden="false" customHeight="false" outlineLevel="0" collapsed="false">
      <c r="A4" s="0" t="s">
        <v>534</v>
      </c>
      <c r="B4" s="3" t="s">
        <v>32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535</v>
      </c>
    </row>
    <row r="5" customFormat="false" ht="17.15" hidden="false" customHeight="false" outlineLevel="0" collapsed="false">
      <c r="A5" s="3" t="s">
        <v>536</v>
      </c>
      <c r="B5" s="3" t="s">
        <v>32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537</v>
      </c>
      <c r="B6" s="0" t="s">
        <v>166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538</v>
      </c>
    </row>
    <row r="7" customFormat="false" ht="17.15" hidden="false" customHeight="false" outlineLevel="0" collapsed="false">
      <c r="A7" s="3" t="s">
        <v>539</v>
      </c>
      <c r="B7" s="0" t="s">
        <v>44</v>
      </c>
      <c r="C7" s="20" t="n">
        <f aca="false">PL!D69</f>
        <v>0.25</v>
      </c>
      <c r="D7" s="20" t="n">
        <f aca="false">PL!E69</f>
        <v>0.27</v>
      </c>
      <c r="E7" s="20" t="n">
        <f aca="false">PL!F69</f>
        <v>0.29</v>
      </c>
      <c r="F7" s="20" t="n">
        <f aca="false">PL!G69</f>
        <v>0.3</v>
      </c>
      <c r="G7" s="7" t="s">
        <v>145</v>
      </c>
    </row>
    <row r="8" customFormat="false" ht="17.15" hidden="false" customHeight="false" outlineLevel="0" collapsed="false">
      <c r="A8" s="0" t="s">
        <v>540</v>
      </c>
      <c r="B8" s="0" t="s">
        <v>44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541</v>
      </c>
    </row>
    <row r="9" customFormat="false" ht="17.15" hidden="false" customHeight="false" outlineLevel="0" collapsed="false">
      <c r="A9" s="3" t="s">
        <v>542</v>
      </c>
      <c r="B9" s="0" t="s">
        <v>44</v>
      </c>
      <c r="C9" s="20" t="n">
        <f aca="false">C7+C8</f>
        <v>0.95</v>
      </c>
      <c r="D9" s="20" t="n">
        <f aca="false">D7+D8</f>
        <v>0.935</v>
      </c>
      <c r="E9" s="20" t="n">
        <f aca="false">E7+E8</f>
        <v>0.906</v>
      </c>
      <c r="F9" s="20" t="n">
        <f aca="false">F7+F8</f>
        <v>0.895</v>
      </c>
      <c r="G9" s="3" t="s">
        <v>543</v>
      </c>
    </row>
    <row r="10" customFormat="false" ht="17.15" hidden="false" customHeight="false" outlineLevel="0" collapsed="false">
      <c r="A10" s="3" t="s">
        <v>544</v>
      </c>
      <c r="B10" s="0" t="s">
        <v>44</v>
      </c>
      <c r="C10" s="20" t="n">
        <f aca="false">PL!D70</f>
        <v>0.3</v>
      </c>
      <c r="D10" s="20" t="n">
        <f aca="false">PL!E70</f>
        <v>0.31</v>
      </c>
      <c r="E10" s="20" t="n">
        <f aca="false">PL!F70</f>
        <v>0.32</v>
      </c>
      <c r="F10" s="20" t="n">
        <f aca="false">PL!G70</f>
        <v>0.33</v>
      </c>
      <c r="G10" s="7" t="s">
        <v>145</v>
      </c>
    </row>
    <row r="11" customFormat="false" ht="17.15" hidden="false" customHeight="false" outlineLevel="0" collapsed="false">
      <c r="A11" s="0" t="s">
        <v>545</v>
      </c>
      <c r="B11" s="0" t="s">
        <v>44</v>
      </c>
      <c r="C11" s="20" t="n">
        <f aca="false">ib_w_ot*1/v_ot</f>
        <v>0.5</v>
      </c>
      <c r="D11" s="20" t="n">
        <f aca="false">ib_w_ot*ibrel_27/v_ot</f>
        <v>0.475</v>
      </c>
      <c r="E11" s="20" t="n">
        <f aca="false">ib_w_ot*ibrel_28/v_ot</f>
        <v>0.44</v>
      </c>
      <c r="F11" s="20" t="n">
        <f aca="false">ib_w_ot*ibrel_29/v_ot</f>
        <v>0.425</v>
      </c>
      <c r="G11" s="7" t="s">
        <v>546</v>
      </c>
    </row>
    <row r="12" customFormat="false" ht="17.15" hidden="false" customHeight="false" outlineLevel="0" collapsed="false">
      <c r="A12" s="3" t="s">
        <v>547</v>
      </c>
      <c r="B12" s="0" t="s">
        <v>44</v>
      </c>
      <c r="C12" s="20" t="n">
        <f aca="false">C10+C11</f>
        <v>0.8</v>
      </c>
      <c r="D12" s="20" t="n">
        <f aca="false">D10+D11</f>
        <v>0.785</v>
      </c>
      <c r="E12" s="20" t="n">
        <f aca="false">E10+E11</f>
        <v>0.76</v>
      </c>
      <c r="F12" s="20" t="n">
        <f aca="false">F10+F11</f>
        <v>0.755</v>
      </c>
      <c r="G12" s="3" t="s">
        <v>548</v>
      </c>
    </row>
    <row r="13" customFormat="false" ht="17.15" hidden="false" customHeight="false" outlineLevel="0" collapsed="false">
      <c r="A13" s="3" t="s">
        <v>549</v>
      </c>
      <c r="B13" s="0" t="s">
        <v>166</v>
      </c>
      <c r="C13" s="22" t="n">
        <f aca="false">PL!D68*PL!D69*PL!D67</f>
        <v>53.827149</v>
      </c>
      <c r="D13" s="22" t="n">
        <f aca="false">PL!E68*PL!E69*PL!E67</f>
        <v>72.02718461988</v>
      </c>
      <c r="E13" s="22" t="n">
        <f aca="false">PL!F68*PL!F69*PL!F67</f>
        <v>86.72339795584</v>
      </c>
      <c r="F13" s="22" t="n">
        <f aca="false">PL!G68*PL!G69*PL!G67</f>
        <v>100.290651864721</v>
      </c>
      <c r="G13" s="7" t="s">
        <v>550</v>
      </c>
    </row>
    <row r="14" customFormat="false" ht="15" hidden="false" customHeight="false" outlineLevel="0" collapsed="false">
      <c r="A14" s="3" t="s">
        <v>551</v>
      </c>
      <c r="B14" s="0" t="s">
        <v>552</v>
      </c>
      <c r="C14" s="22" t="n">
        <f aca="false">PL!D71</f>
        <v>801.809211504</v>
      </c>
      <c r="D14" s="22" t="n">
        <f aca="false">PL!E71</f>
        <v>1624.8799315544</v>
      </c>
      <c r="E14" s="22" t="n">
        <f aca="false">PL!F71</f>
        <v>2125.32134231777</v>
      </c>
      <c r="F14" s="22" t="n">
        <f aca="false">PL!G71</f>
        <v>2788.4812844467</v>
      </c>
    </row>
    <row r="15" customFormat="false" ht="17.15" hidden="false" customHeight="false" outlineLevel="0" collapsed="false">
      <c r="A15" s="3" t="s">
        <v>553</v>
      </c>
      <c r="B15" s="0" t="s">
        <v>302</v>
      </c>
      <c r="C15" s="23" t="n">
        <f aca="false">PL!D81</f>
        <v>74.83672875</v>
      </c>
      <c r="D15" s="23" t="n">
        <f aca="false">PL!E81</f>
        <v>123.237827407204</v>
      </c>
      <c r="E15" s="23" t="n">
        <f aca="false">PL!F81</f>
        <v>146.584756495071</v>
      </c>
      <c r="F15" s="23" t="n">
        <f aca="false">PL!G81</f>
        <v>169.00086654078</v>
      </c>
    </row>
    <row r="16" customFormat="false" ht="17.15" hidden="false" customHeight="false" outlineLevel="0" collapsed="false">
      <c r="A16" s="3" t="s">
        <v>554</v>
      </c>
      <c r="B16" s="0" t="s">
        <v>44</v>
      </c>
      <c r="C16" s="24" t="n">
        <f aca="false">PL!D81/fx/itc_26</f>
        <v>0.00294506757791275</v>
      </c>
      <c r="D16" s="24" t="n">
        <f aca="false">PL!E81/fx/itc_27</f>
        <v>0.00242241872487999</v>
      </c>
      <c r="E16" s="24" t="n">
        <f aca="false">PL!F81/fx/itc_28</f>
        <v>0.00227303446134573</v>
      </c>
      <c r="F16" s="24" t="n">
        <f aca="false">PL!G81/fx/itc_29</f>
        <v>0.0023004994818441</v>
      </c>
      <c r="G16" s="7" t="s">
        <v>555</v>
      </c>
    </row>
    <row r="17" customFormat="false" ht="17.15" hidden="false" customHeight="false" outlineLevel="0" collapsed="false">
      <c r="A17" s="3" t="s">
        <v>556</v>
      </c>
      <c r="B17" s="0" t="s">
        <v>552</v>
      </c>
      <c r="C17" s="22" t="n">
        <f aca="false">PL!D81/fx/itc_26*37.59*1000</f>
        <v>110.70509025374</v>
      </c>
      <c r="D17" s="22" t="n">
        <f aca="false">PL!E81/fx/itc_27*37.59*1000</f>
        <v>91.0587198682387</v>
      </c>
      <c r="E17" s="22" t="n">
        <f aca="false">PL!F81/fx/itc_28*37.59*1000</f>
        <v>85.443365401986</v>
      </c>
      <c r="F17" s="22" t="n">
        <f aca="false">PL!G81/fx/itc_29*37.59*1000</f>
        <v>86.4757755225197</v>
      </c>
      <c r="G17" s="7" t="s">
        <v>557</v>
      </c>
    </row>
    <row r="19" customFormat="false" ht="17.15" hidden="false" customHeight="false" outlineLevel="0" collapsed="false">
      <c r="A19" s="1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559</v>
      </c>
    </row>
    <row r="2" customFormat="false" ht="17.15" hidden="false" customHeight="false" outlineLevel="0" collapsed="false">
      <c r="A2" s="3" t="s">
        <v>560</v>
      </c>
    </row>
    <row r="3" customFormat="false" ht="17.15" hidden="false" customHeight="false" outlineLevel="0" collapsed="false">
      <c r="A3" s="4" t="s">
        <v>561</v>
      </c>
      <c r="B3" s="4" t="s">
        <v>22</v>
      </c>
      <c r="C3" s="13" t="s">
        <v>477</v>
      </c>
      <c r="D3" s="13" t="s">
        <v>562</v>
      </c>
      <c r="E3" s="13" t="s">
        <v>563</v>
      </c>
      <c r="F3" s="13" t="s">
        <v>564</v>
      </c>
      <c r="G3" s="13" t="s">
        <v>565</v>
      </c>
      <c r="H3" s="13" t="s">
        <v>566</v>
      </c>
      <c r="I3" s="13" t="s">
        <v>567</v>
      </c>
      <c r="J3" s="13" t="s">
        <v>568</v>
      </c>
      <c r="K3" s="4" t="s">
        <v>533</v>
      </c>
    </row>
    <row r="4" customFormat="false" ht="17.15" hidden="false" customHeight="false" outlineLevel="0" collapsed="false">
      <c r="A4" s="1" t="s">
        <v>569</v>
      </c>
    </row>
    <row r="5" customFormat="false" ht="15" hidden="false" customHeight="false" outlineLevel="0" collapsed="false">
      <c r="A5" s="3" t="s">
        <v>484</v>
      </c>
      <c r="B5" s="0" t="s">
        <v>302</v>
      </c>
      <c r="C5" s="23" t="n">
        <f aca="false">C88</f>
        <v>131.241</v>
      </c>
      <c r="D5" s="23" t="n">
        <f aca="false">D88</f>
        <v>188.2685</v>
      </c>
      <c r="E5" s="23" t="n">
        <f aca="false">E88</f>
        <v>245.842654649375</v>
      </c>
      <c r="F5" s="23" t="n">
        <f aca="false">F88</f>
        <v>278.513465439096</v>
      </c>
      <c r="G5" s="23" t="n">
        <f aca="false">G88</f>
        <v>308.317795383097</v>
      </c>
      <c r="H5" s="25" t="n">
        <f aca="false">H88</f>
        <v>336.479988575722</v>
      </c>
      <c r="I5" s="25" t="n">
        <f aca="false">I88</f>
        <v>361.941672550702</v>
      </c>
      <c r="J5" s="25" t="n">
        <f aca="false">J88</f>
        <v>383.658172903744</v>
      </c>
    </row>
    <row r="6" customFormat="false" ht="15" hidden="false" customHeight="false" outlineLevel="0" collapsed="false">
      <c r="A6" s="3" t="s">
        <v>570</v>
      </c>
      <c r="B6" s="0" t="s">
        <v>44</v>
      </c>
      <c r="D6" s="20" t="n">
        <f aca="false">D89</f>
        <v>0.434525034097576</v>
      </c>
      <c r="E6" s="20" t="n">
        <f aca="false">E89</f>
        <v>0.30580875</v>
      </c>
      <c r="F6" s="20" t="n">
        <f aca="false">F89</f>
        <v>0.132893174442478</v>
      </c>
      <c r="G6" s="20" t="n">
        <f aca="false">G89</f>
        <v>0.107012168682803</v>
      </c>
      <c r="H6" s="26" t="n">
        <f aca="false">H89</f>
        <v>0.091341445788535</v>
      </c>
      <c r="I6" s="26" t="n">
        <f aca="false">I89</f>
        <v>0.0756707228942675</v>
      </c>
      <c r="J6" s="26" t="n">
        <f aca="false">J89</f>
        <v>0.06</v>
      </c>
    </row>
    <row r="7" customFormat="false" ht="17.15" hidden="false" customHeight="false" outlineLevel="0" collapsed="false">
      <c r="A7" s="0" t="s">
        <v>571</v>
      </c>
      <c r="B7" s="0" t="s">
        <v>302</v>
      </c>
      <c r="D7" s="23" t="n">
        <f aca="false">D79</f>
        <v>99.782305</v>
      </c>
      <c r="E7" s="23" t="n">
        <f aca="false">E79</f>
        <v>148.513488204375</v>
      </c>
      <c r="F7" s="23" t="n">
        <f aca="false">F79</f>
        <v>173.049518338696</v>
      </c>
      <c r="G7" s="23" t="n">
        <f aca="false">G79</f>
        <v>196.259571239714</v>
      </c>
    </row>
    <row r="8" customFormat="false" ht="17.15" hidden="false" customHeight="false" outlineLevel="0" collapsed="false">
      <c r="A8" s="0" t="s">
        <v>572</v>
      </c>
      <c r="B8" s="0" t="s">
        <v>302</v>
      </c>
      <c r="D8" s="23" t="n">
        <f aca="false">D81</f>
        <v>74.83672875</v>
      </c>
      <c r="E8" s="23" t="n">
        <f aca="false">E81</f>
        <v>123.237827407204</v>
      </c>
      <c r="F8" s="23" t="n">
        <f aca="false">F81</f>
        <v>146.584756495071</v>
      </c>
      <c r="G8" s="23" t="n">
        <f aca="false">G81</f>
        <v>169.00086654078</v>
      </c>
    </row>
    <row r="9" customFormat="false" ht="17.15" hidden="false" customHeight="false" outlineLevel="0" collapsed="false">
      <c r="A9" s="0" t="s">
        <v>573</v>
      </c>
      <c r="B9" s="0" t="s">
        <v>44</v>
      </c>
      <c r="D9" s="20" t="n">
        <f aca="false">D80</f>
        <v>1</v>
      </c>
      <c r="E9" s="20" t="n">
        <f aca="false">E80</f>
        <v>0.983720570580444</v>
      </c>
      <c r="F9" s="20" t="n">
        <f aca="false">F80</f>
        <v>1</v>
      </c>
      <c r="G9" s="20" t="n">
        <f aca="false">G80</f>
        <v>1</v>
      </c>
    </row>
    <row r="10" customFormat="false" ht="15" hidden="false" customHeight="false" outlineLevel="0" collapsed="false">
      <c r="A10" s="3" t="s">
        <v>491</v>
      </c>
      <c r="B10" s="0" t="s">
        <v>44</v>
      </c>
      <c r="C10" s="16" t="n">
        <f aca="false">C98</f>
        <v>0.139377176339711</v>
      </c>
      <c r="D10" s="16" t="n">
        <f aca="false">D98</f>
        <v>0.251412029627899</v>
      </c>
      <c r="E10" s="16" t="n">
        <f aca="false">E98</f>
        <v>0.295843836591553</v>
      </c>
      <c r="F10" s="16" t="n">
        <f aca="false">F98</f>
        <v>0.287791768333475</v>
      </c>
      <c r="G10" s="16" t="n">
        <f aca="false">G98</f>
        <v>0.278956761323331</v>
      </c>
    </row>
    <row r="11" customFormat="false" ht="15" hidden="false" customHeight="false" outlineLevel="0" collapsed="false">
      <c r="A11" s="3" t="s">
        <v>574</v>
      </c>
      <c r="B11" s="0" t="s">
        <v>302</v>
      </c>
      <c r="C11" s="23" t="n">
        <f aca="false">C94</f>
        <v>18.8</v>
      </c>
      <c r="D11" s="23" t="n">
        <f aca="false">D94</f>
        <v>20.8</v>
      </c>
      <c r="E11" s="23" t="n">
        <f aca="false">E94</f>
        <v>24.9125</v>
      </c>
      <c r="F11" s="23" t="n">
        <f aca="false">F94</f>
        <v>28.6734375</v>
      </c>
      <c r="G11" s="23" t="n">
        <f aca="false">G94</f>
        <v>31.3392578125</v>
      </c>
      <c r="H11" s="25" t="n">
        <f aca="false">H94</f>
        <v>34.2018309310334</v>
      </c>
      <c r="I11" s="25" t="n">
        <f aca="false">I94</f>
        <v>36.7899082018922</v>
      </c>
      <c r="J11" s="25" t="n">
        <f aca="false">J94</f>
        <v>38.9973026940057</v>
      </c>
    </row>
    <row r="12" customFormat="false" ht="15" hidden="false" customHeight="false" outlineLevel="0" collapsed="false">
      <c r="A12" s="3" t="s">
        <v>575</v>
      </c>
      <c r="B12" s="0" t="s">
        <v>44</v>
      </c>
      <c r="C12" s="16" t="n">
        <f aca="false">C101</f>
        <v>0.0508530108731265</v>
      </c>
      <c r="D12" s="16" t="n">
        <f aca="false">D101</f>
        <v>0.162953507888999</v>
      </c>
      <c r="E12" s="16" t="n">
        <f aca="false">E101</f>
        <v>0.215671793239269</v>
      </c>
      <c r="F12" s="16" t="n">
        <f aca="false">F101</f>
        <v>0.211381533272734</v>
      </c>
      <c r="G12" s="16" t="n">
        <f aca="false">G101</f>
        <v>0.205501082750669</v>
      </c>
    </row>
    <row r="13" customFormat="false" ht="15" hidden="false" customHeight="false" outlineLevel="0" collapsed="false">
      <c r="A13" s="3" t="s">
        <v>504</v>
      </c>
      <c r="B13" s="0" t="s">
        <v>302</v>
      </c>
      <c r="C13" s="23" t="n">
        <f aca="false">C105</f>
        <v>6.673</v>
      </c>
      <c r="D13" s="23" t="n">
        <f aca="false">D105</f>
        <v>37.23923025</v>
      </c>
      <c r="E13" s="23" t="n">
        <f aca="false">E105</f>
        <v>45.1174874700051</v>
      </c>
      <c r="F13" s="23" t="n">
        <f aca="false">F105</f>
        <v>49.9155347565273</v>
      </c>
      <c r="G13" s="23" t="n">
        <f aca="false">G105</f>
        <v>53.594905441671</v>
      </c>
      <c r="H13" s="25" t="n">
        <f aca="false">H105</f>
        <v>58.490341591613</v>
      </c>
      <c r="I13" s="25" t="n">
        <f aca="false">I105</f>
        <v>62.916348022183</v>
      </c>
      <c r="J13" s="25" t="n">
        <f aca="false">J105</f>
        <v>66.691328903514</v>
      </c>
    </row>
    <row r="14" customFormat="false" ht="15" hidden="false" customHeight="false" outlineLevel="0" collapsed="false">
      <c r="A14" s="3" t="s">
        <v>576</v>
      </c>
      <c r="B14" s="0" t="s">
        <v>44</v>
      </c>
      <c r="C14" s="16" t="n">
        <f aca="false">C109</f>
        <v>0.0508453913030227</v>
      </c>
      <c r="D14" s="16" t="n">
        <f aca="false">D109</f>
        <v>0.197798517808343</v>
      </c>
      <c r="E14" s="16" t="n">
        <f aca="false">E109</f>
        <v>0.18352180395364</v>
      </c>
      <c r="F14" s="16" t="n">
        <f aca="false">F109</f>
        <v>0.179221261987574</v>
      </c>
      <c r="G14" s="16" t="n">
        <f aca="false">G109</f>
        <v>0.17383007482613</v>
      </c>
      <c r="H14" s="27" t="n">
        <f aca="false">H109</f>
        <v>0.17383007482613</v>
      </c>
      <c r="I14" s="27" t="n">
        <f aca="false">I109</f>
        <v>0.17383007482613</v>
      </c>
      <c r="J14" s="27" t="n">
        <f aca="false">J109</f>
        <v>0.17383007482613</v>
      </c>
    </row>
    <row r="15" customFormat="false" ht="15" hidden="false" customHeight="false" outlineLevel="0" collapsed="false">
      <c r="A15" s="0" t="s">
        <v>577</v>
      </c>
      <c r="B15" s="0" t="s">
        <v>386</v>
      </c>
      <c r="C15" s="18" t="n">
        <f aca="false">C107</f>
        <v>4.38</v>
      </c>
      <c r="D15" s="18" t="n">
        <f aca="false">D107</f>
        <v>23.3861414610695</v>
      </c>
      <c r="E15" s="18" t="n">
        <f aca="false">E107</f>
        <v>27.5106630914665</v>
      </c>
      <c r="F15" s="18" t="n">
        <f aca="false">F107</f>
        <v>30.4363016808093</v>
      </c>
      <c r="G15" s="18" t="n">
        <f aca="false">G107</f>
        <v>32.6798203912628</v>
      </c>
      <c r="H15" s="28" t="n">
        <f aca="false">H107</f>
        <v>35.6648424339104</v>
      </c>
      <c r="I15" s="28" t="n">
        <f aca="false">I107</f>
        <v>38.3636268427945</v>
      </c>
      <c r="J15" s="28" t="n">
        <f aca="false">J107</f>
        <v>40.6654444533622</v>
      </c>
    </row>
    <row r="16" customFormat="false" ht="17.15" hidden="false" customHeight="false" outlineLevel="0" collapsed="false">
      <c r="A16" s="0" t="s">
        <v>578</v>
      </c>
      <c r="B16" s="0" t="s">
        <v>44</v>
      </c>
      <c r="D16" s="20" t="n">
        <f aca="false">D108</f>
        <v>4.33930170344053</v>
      </c>
      <c r="E16" s="20" t="n">
        <f aca="false">E108</f>
        <v>0.176366060098585</v>
      </c>
      <c r="F16" s="20" t="n">
        <f aca="false">F108</f>
        <v>0.106345622408873</v>
      </c>
      <c r="G16" s="20" t="n">
        <f aca="false">G108</f>
        <v>0.0737119356346787</v>
      </c>
      <c r="H16" s="26" t="n">
        <f aca="false">H108</f>
        <v>0.0913414457885349</v>
      </c>
      <c r="I16" s="26" t="n">
        <f aca="false">I108</f>
        <v>0.0756707228942677</v>
      </c>
      <c r="J16" s="26" t="n">
        <f aca="false">J108</f>
        <v>0.0599999999999998</v>
      </c>
    </row>
    <row r="18" customFormat="false" ht="17.15" hidden="false" customHeight="false" outlineLevel="0" collapsed="false">
      <c r="A18" s="1" t="s">
        <v>579</v>
      </c>
    </row>
    <row r="19" customFormat="false" ht="15" hidden="false" customHeight="false" outlineLevel="0" collapsed="false">
      <c r="A19" s="3" t="s">
        <v>484</v>
      </c>
      <c r="B19" s="0" t="s">
        <v>302</v>
      </c>
      <c r="C19" s="23" t="n">
        <f aca="false">C143</f>
        <v>131.241</v>
      </c>
      <c r="D19" s="23" t="n">
        <f aca="false">D143</f>
        <v>188.2685</v>
      </c>
      <c r="E19" s="23" t="n">
        <f aca="false">E143</f>
        <v>245.842654649375</v>
      </c>
      <c r="F19" s="23" t="n">
        <f aca="false">F143</f>
        <v>238.726149781082</v>
      </c>
      <c r="G19" s="23" t="n">
        <f aca="false">G143</f>
        <v>274.329614805805</v>
      </c>
      <c r="H19" s="25" t="n">
        <f aca="false">H143</f>
        <v>305.262904994618</v>
      </c>
      <c r="I19" s="25" t="n">
        <f aca="false">I143</f>
        <v>328.578820483365</v>
      </c>
      <c r="J19" s="25" t="n">
        <f aca="false">J143</f>
        <v>341.7219733027</v>
      </c>
    </row>
    <row r="20" customFormat="false" ht="15" hidden="false" customHeight="false" outlineLevel="0" collapsed="false">
      <c r="A20" s="3" t="s">
        <v>570</v>
      </c>
      <c r="B20" s="0" t="s">
        <v>44</v>
      </c>
      <c r="D20" s="20" t="n">
        <f aca="false">D144</f>
        <v>0.434525034097576</v>
      </c>
      <c r="E20" s="20" t="n">
        <f aca="false">E144</f>
        <v>0.30580875</v>
      </c>
      <c r="F20" s="20" t="n">
        <f aca="false">F144</f>
        <v>-0.0289473967747489</v>
      </c>
      <c r="G20" s="20" t="n">
        <f aca="false">G144</f>
        <v>0.149139359292528</v>
      </c>
      <c r="H20" s="26" t="n">
        <f aca="false">H144</f>
        <v>0.112759572861685</v>
      </c>
      <c r="I20" s="26" t="n">
        <f aca="false">I144</f>
        <v>0.0763797864308426</v>
      </c>
      <c r="J20" s="26" t="n">
        <f aca="false">J144</f>
        <v>0.04</v>
      </c>
    </row>
    <row r="21" customFormat="false" ht="17.15" hidden="false" customHeight="false" outlineLevel="0" collapsed="false">
      <c r="A21" s="0" t="s">
        <v>571</v>
      </c>
      <c r="B21" s="0" t="s">
        <v>302</v>
      </c>
      <c r="D21" s="23" t="n">
        <f aca="false">D134</f>
        <v>99.782305</v>
      </c>
      <c r="E21" s="23" t="n">
        <f aca="false">E134</f>
        <v>148.513488204375</v>
      </c>
      <c r="F21" s="23" t="n">
        <f aca="false">F134</f>
        <v>143.732567039682</v>
      </c>
      <c r="G21" s="23" t="n">
        <f aca="false">G134</f>
        <v>170.909441258597</v>
      </c>
    </row>
    <row r="22" customFormat="false" ht="17.15" hidden="false" customHeight="false" outlineLevel="0" collapsed="false">
      <c r="A22" s="0" t="s">
        <v>572</v>
      </c>
      <c r="B22" s="0" t="s">
        <v>302</v>
      </c>
      <c r="D22" s="23" t="n">
        <f aca="false">D136</f>
        <v>74.83672875</v>
      </c>
      <c r="E22" s="23" t="n">
        <f aca="false">E136</f>
        <v>123.237827407204</v>
      </c>
      <c r="F22" s="23" t="n">
        <f aca="false">F136</f>
        <v>117.267805196057</v>
      </c>
      <c r="G22" s="23" t="n">
        <f aca="false">G136</f>
        <v>143.650736559663</v>
      </c>
    </row>
    <row r="23" customFormat="false" ht="17.15" hidden="false" customHeight="false" outlineLevel="0" collapsed="false">
      <c r="A23" s="0" t="s">
        <v>573</v>
      </c>
      <c r="B23" s="0" t="s">
        <v>44</v>
      </c>
      <c r="D23" s="20" t="n">
        <f aca="false">D135</f>
        <v>1</v>
      </c>
      <c r="E23" s="20" t="n">
        <f aca="false">E135</f>
        <v>0.983720570580444</v>
      </c>
      <c r="F23" s="20" t="n">
        <f aca="false">F135</f>
        <v>1</v>
      </c>
      <c r="G23" s="20" t="n">
        <f aca="false">G135</f>
        <v>1</v>
      </c>
    </row>
    <row r="24" customFormat="false" ht="15" hidden="false" customHeight="false" outlineLevel="0" collapsed="false">
      <c r="A24" s="3" t="s">
        <v>491</v>
      </c>
      <c r="B24" s="0" t="s">
        <v>44</v>
      </c>
      <c r="C24" s="16" t="n">
        <f aca="false">C153</f>
        <v>0.139377176339711</v>
      </c>
      <c r="D24" s="16" t="n">
        <f aca="false">D153</f>
        <v>0.251412029627899</v>
      </c>
      <c r="E24" s="16" t="n">
        <f aca="false">E153</f>
        <v>0.295843836591553</v>
      </c>
      <c r="F24" s="16" t="n">
        <f aca="false">F153</f>
        <v>0.267208071159571</v>
      </c>
      <c r="G24" s="16" t="n">
        <f aca="false">G153</f>
        <v>0.268567734716458</v>
      </c>
    </row>
    <row r="25" customFormat="false" ht="15" hidden="false" customHeight="false" outlineLevel="0" collapsed="false">
      <c r="A25" s="3" t="s">
        <v>574</v>
      </c>
      <c r="B25" s="0" t="s">
        <v>302</v>
      </c>
      <c r="C25" s="23" t="n">
        <f aca="false">C149</f>
        <v>18.8</v>
      </c>
      <c r="D25" s="23" t="n">
        <f aca="false">D149</f>
        <v>20.8</v>
      </c>
      <c r="E25" s="23" t="n">
        <f aca="false">E149</f>
        <v>24.9125</v>
      </c>
      <c r="F25" s="23" t="n">
        <f aca="false">F149</f>
        <v>27.7984375</v>
      </c>
      <c r="G25" s="23" t="n">
        <f aca="false">G149</f>
        <v>29.5736328125</v>
      </c>
      <c r="H25" s="25" t="n">
        <f aca="false">H149</f>
        <v>32.9083430164058</v>
      </c>
      <c r="I25" s="25" t="n">
        <f aca="false">I149</f>
        <v>35.4218752277918</v>
      </c>
      <c r="J25" s="25" t="n">
        <f aca="false">J149</f>
        <v>36.8387502369035</v>
      </c>
    </row>
    <row r="26" customFormat="false" ht="15" hidden="false" customHeight="false" outlineLevel="0" collapsed="false">
      <c r="A26" s="3" t="s">
        <v>575</v>
      </c>
      <c r="B26" s="0" t="s">
        <v>44</v>
      </c>
      <c r="C26" s="16" t="n">
        <f aca="false">C156</f>
        <v>0.0508530108731265</v>
      </c>
      <c r="D26" s="16" t="n">
        <f aca="false">D156</f>
        <v>0.162953507888999</v>
      </c>
      <c r="E26" s="16" t="n">
        <f aca="false">E156</f>
        <v>0.215671793239269</v>
      </c>
      <c r="F26" s="16" t="n">
        <f aca="false">F156</f>
        <v>0.186080045838256</v>
      </c>
      <c r="G26" s="16" t="n">
        <f aca="false">G156</f>
        <v>0.191651341907508</v>
      </c>
    </row>
    <row r="27" customFormat="false" ht="15" hidden="false" customHeight="false" outlineLevel="0" collapsed="false">
      <c r="A27" s="3" t="s">
        <v>504</v>
      </c>
      <c r="B27" s="0" t="s">
        <v>302</v>
      </c>
      <c r="C27" s="23" t="n">
        <f aca="false">C160</f>
        <v>6.673</v>
      </c>
      <c r="D27" s="23" t="n">
        <f aca="false">D160</f>
        <v>37.23923025</v>
      </c>
      <c r="E27" s="23" t="n">
        <f aca="false">E160</f>
        <v>45.1174874700051</v>
      </c>
      <c r="F27" s="23" t="n">
        <f aca="false">F160</f>
        <v>38.0661817731243</v>
      </c>
      <c r="G27" s="23" t="n">
        <f aca="false">G160</f>
        <v>44.7520238180519</v>
      </c>
      <c r="H27" s="25" t="n">
        <f aca="false">H160</f>
        <v>48.138301478189</v>
      </c>
      <c r="I27" s="25" t="n">
        <f aca="false">I160</f>
        <v>50.0283672620215</v>
      </c>
      <c r="J27" s="25" t="n">
        <f aca="false">J160</f>
        <v>50.1713054541987</v>
      </c>
    </row>
    <row r="28" customFormat="false" ht="15" hidden="false" customHeight="false" outlineLevel="0" collapsed="false">
      <c r="A28" s="3" t="s">
        <v>576</v>
      </c>
      <c r="B28" s="0" t="s">
        <v>44</v>
      </c>
      <c r="C28" s="16" t="n">
        <f aca="false">C164</f>
        <v>0.0508453913030227</v>
      </c>
      <c r="D28" s="16" t="n">
        <f aca="false">D164</f>
        <v>0.197798517808343</v>
      </c>
      <c r="E28" s="16" t="n">
        <f aca="false">E164</f>
        <v>0.18352180395364</v>
      </c>
      <c r="F28" s="16" t="n">
        <f aca="false">F164</f>
        <v>0.159455433801584</v>
      </c>
      <c r="G28" s="16" t="n">
        <f aca="false">G164</f>
        <v>0.16313231019455</v>
      </c>
      <c r="H28" s="27" t="n">
        <f aca="false">H164</f>
        <v>0.157694566521398</v>
      </c>
      <c r="I28" s="27" t="n">
        <f aca="false">I164</f>
        <v>0.152256822848246</v>
      </c>
      <c r="J28" s="27" t="n">
        <f aca="false">J164</f>
        <v>0.146819079175095</v>
      </c>
    </row>
    <row r="29" customFormat="false" ht="15" hidden="false" customHeight="false" outlineLevel="0" collapsed="false">
      <c r="A29" s="0" t="s">
        <v>577</v>
      </c>
      <c r="B29" s="0" t="s">
        <v>386</v>
      </c>
      <c r="C29" s="18" t="n">
        <f aca="false">C162</f>
        <v>4.38</v>
      </c>
      <c r="D29" s="18" t="n">
        <f aca="false">D162</f>
        <v>23.3861414610695</v>
      </c>
      <c r="E29" s="18" t="n">
        <f aca="false">E162</f>
        <v>27.5106630914665</v>
      </c>
      <c r="F29" s="18" t="n">
        <f aca="false">F162</f>
        <v>23.211086447027</v>
      </c>
      <c r="G29" s="18" t="n">
        <f aca="false">G162</f>
        <v>27.2878194012511</v>
      </c>
      <c r="H29" s="28" t="n">
        <f aca="false">H162</f>
        <v>29.3526228525542</v>
      </c>
      <c r="I29" s="28" t="n">
        <f aca="false">I162</f>
        <v>30.5051019890375</v>
      </c>
      <c r="J29" s="28" t="n">
        <f aca="false">J162</f>
        <v>30.5922594232919</v>
      </c>
    </row>
    <row r="30" customFormat="false" ht="17.15" hidden="false" customHeight="false" outlineLevel="0" collapsed="false">
      <c r="A30" s="0" t="s">
        <v>578</v>
      </c>
      <c r="B30" s="0" t="s">
        <v>44</v>
      </c>
      <c r="D30" s="20" t="n">
        <f aca="false">D163</f>
        <v>4.33930170344053</v>
      </c>
      <c r="E30" s="20" t="n">
        <f aca="false">E163</f>
        <v>0.176366060098585</v>
      </c>
      <c r="F30" s="20" t="n">
        <f aca="false">F163</f>
        <v>-0.156287641273655</v>
      </c>
      <c r="G30" s="20" t="n">
        <f aca="false">G163</f>
        <v>0.175637317259068</v>
      </c>
      <c r="H30" s="26" t="n">
        <f aca="false">H163</f>
        <v>0.0756675870996291</v>
      </c>
      <c r="I30" s="26" t="n">
        <f aca="false">I163</f>
        <v>0.0392632420711585</v>
      </c>
      <c r="J30" s="26" t="n">
        <f aca="false">J163</f>
        <v>0.00285714285714267</v>
      </c>
    </row>
    <row r="32" customFormat="false" ht="17.15" hidden="false" customHeight="false" outlineLevel="0" collapsed="false">
      <c r="A32" s="1" t="s">
        <v>580</v>
      </c>
    </row>
    <row r="33" customFormat="false" ht="15" hidden="false" customHeight="false" outlineLevel="0" collapsed="false">
      <c r="A33" s="3" t="s">
        <v>484</v>
      </c>
      <c r="B33" s="0" t="s">
        <v>302</v>
      </c>
      <c r="C33" s="23" t="n">
        <f aca="false">C198</f>
        <v>131.241</v>
      </c>
      <c r="D33" s="23" t="n">
        <f aca="false">D198</f>
        <v>188.2685</v>
      </c>
      <c r="E33" s="23" t="n">
        <f aca="false">E198</f>
        <v>245.842654649375</v>
      </c>
      <c r="F33" s="23" t="n">
        <f aca="false">F198</f>
        <v>198.938834123068</v>
      </c>
      <c r="G33" s="23" t="n">
        <f aca="false">G198</f>
        <v>217.682647176985</v>
      </c>
      <c r="H33" s="25" t="n">
        <f aca="false">H198</f>
        <v>232.807088764082</v>
      </c>
      <c r="I33" s="25" t="n">
        <f aca="false">I198</f>
        <v>243.222798378873</v>
      </c>
      <c r="J33" s="25" t="n">
        <f aca="false">J198</f>
        <v>248.087254346451</v>
      </c>
    </row>
    <row r="34" customFormat="false" ht="15" hidden="false" customHeight="false" outlineLevel="0" collapsed="false">
      <c r="A34" s="3" t="s">
        <v>570</v>
      </c>
      <c r="B34" s="0" t="s">
        <v>44</v>
      </c>
      <c r="D34" s="20" t="n">
        <f aca="false">D199</f>
        <v>0.434525034097576</v>
      </c>
      <c r="E34" s="20" t="n">
        <f aca="false">E199</f>
        <v>0.30580875</v>
      </c>
      <c r="F34" s="20" t="n">
        <f aca="false">F199</f>
        <v>-0.190787967991976</v>
      </c>
      <c r="G34" s="20" t="n">
        <f aca="false">G199</f>
        <v>0.0942189750761364</v>
      </c>
      <c r="H34" s="26" t="n">
        <f aca="false">H199</f>
        <v>0.0694793167174243</v>
      </c>
      <c r="I34" s="26" t="n">
        <f aca="false">I199</f>
        <v>0.0447396583587121</v>
      </c>
      <c r="J34" s="26" t="n">
        <f aca="false">J199</f>
        <v>0.02</v>
      </c>
    </row>
    <row r="35" customFormat="false" ht="17.15" hidden="false" customHeight="false" outlineLevel="0" collapsed="false">
      <c r="A35" s="0" t="s">
        <v>571</v>
      </c>
      <c r="B35" s="0" t="s">
        <v>302</v>
      </c>
      <c r="D35" s="23" t="n">
        <f aca="false">D189</f>
        <v>99.782305</v>
      </c>
      <c r="E35" s="23" t="n">
        <f aca="false">E189</f>
        <v>148.513488204375</v>
      </c>
      <c r="F35" s="23" t="n">
        <f aca="false">F189</f>
        <v>114.415615740668</v>
      </c>
      <c r="G35" s="23" t="n">
        <f aca="false">G189</f>
        <v>128.659224623402</v>
      </c>
    </row>
    <row r="36" customFormat="false" ht="17.15" hidden="false" customHeight="false" outlineLevel="0" collapsed="false">
      <c r="A36" s="0" t="s">
        <v>572</v>
      </c>
      <c r="B36" s="0" t="s">
        <v>302</v>
      </c>
      <c r="D36" s="23" t="n">
        <f aca="false">D191</f>
        <v>74.83672875</v>
      </c>
      <c r="E36" s="23" t="n">
        <f aca="false">E191</f>
        <v>123.237827407204</v>
      </c>
      <c r="F36" s="23" t="n">
        <f aca="false">F191</f>
        <v>87.9508538970427</v>
      </c>
      <c r="G36" s="23" t="n">
        <f aca="false">G191</f>
        <v>101.400519924468</v>
      </c>
    </row>
    <row r="37" customFormat="false" ht="17.15" hidden="false" customHeight="false" outlineLevel="0" collapsed="false">
      <c r="A37" s="0" t="s">
        <v>573</v>
      </c>
      <c r="B37" s="0" t="s">
        <v>44</v>
      </c>
      <c r="D37" s="20" t="n">
        <f aca="false">D190</f>
        <v>1</v>
      </c>
      <c r="E37" s="20" t="n">
        <f aca="false">E190</f>
        <v>0.983720570580444</v>
      </c>
      <c r="F37" s="20" t="n">
        <f aca="false">F190</f>
        <v>1</v>
      </c>
      <c r="G37" s="20" t="n">
        <f aca="false">G190</f>
        <v>1</v>
      </c>
    </row>
    <row r="38" customFormat="false" ht="15" hidden="false" customHeight="false" outlineLevel="0" collapsed="false">
      <c r="A38" s="3" t="s">
        <v>491</v>
      </c>
      <c r="B38" s="0" t="s">
        <v>44</v>
      </c>
      <c r="C38" s="16" t="n">
        <f aca="false">C208</f>
        <v>0.139377176339711</v>
      </c>
      <c r="D38" s="16" t="n">
        <f aca="false">D208</f>
        <v>0.251412029627899</v>
      </c>
      <c r="E38" s="16" t="n">
        <f aca="false">E208</f>
        <v>0.295843836591553</v>
      </c>
      <c r="F38" s="16" t="n">
        <f aca="false">F208</f>
        <v>0.239019322310346</v>
      </c>
      <c r="G38" s="16" t="n">
        <f aca="false">G208</f>
        <v>0.241435371575555</v>
      </c>
    </row>
    <row r="39" customFormat="false" ht="15" hidden="false" customHeight="false" outlineLevel="0" collapsed="false">
      <c r="A39" s="3" t="s">
        <v>574</v>
      </c>
      <c r="B39" s="0" t="s">
        <v>302</v>
      </c>
      <c r="C39" s="23" t="n">
        <f aca="false">C204</f>
        <v>18.8</v>
      </c>
      <c r="D39" s="23" t="n">
        <f aca="false">D204</f>
        <v>20.8</v>
      </c>
      <c r="E39" s="23" t="n">
        <f aca="false">E204</f>
        <v>24.9125</v>
      </c>
      <c r="F39" s="23" t="n">
        <f aca="false">F204</f>
        <v>26.7984375</v>
      </c>
      <c r="G39" s="23" t="n">
        <f aca="false">G204</f>
        <v>27.1986328125</v>
      </c>
      <c r="H39" s="25" t="n">
        <f aca="false">H204</f>
        <v>29.0883752359606</v>
      </c>
      <c r="I39" s="25" t="n">
        <f aca="false">I204</f>
        <v>30.3897792062275</v>
      </c>
      <c r="J39" s="25" t="n">
        <f aca="false">J204</f>
        <v>30.9975747903521</v>
      </c>
    </row>
    <row r="40" customFormat="false" ht="15" hidden="false" customHeight="false" outlineLevel="0" collapsed="false">
      <c r="A40" s="3" t="s">
        <v>575</v>
      </c>
      <c r="B40" s="0" t="s">
        <v>44</v>
      </c>
      <c r="C40" s="16" t="n">
        <f aca="false">C211</f>
        <v>0.0508530108731265</v>
      </c>
      <c r="D40" s="16" t="n">
        <f aca="false">D211</f>
        <v>0.162953507888999</v>
      </c>
      <c r="E40" s="16" t="n">
        <f aca="false">E211</f>
        <v>0.215671793239269</v>
      </c>
      <c r="F40" s="16" t="n">
        <f aca="false">F211</f>
        <v>0.151286412022858</v>
      </c>
      <c r="G40" s="16" t="n">
        <f aca="false">G211</f>
        <v>0.15672419828076</v>
      </c>
    </row>
    <row r="41" customFormat="false" ht="15" hidden="false" customHeight="false" outlineLevel="0" collapsed="false">
      <c r="A41" s="3" t="s">
        <v>504</v>
      </c>
      <c r="B41" s="0" t="s">
        <v>302</v>
      </c>
      <c r="C41" s="23" t="n">
        <f aca="false">C215</f>
        <v>6.673</v>
      </c>
      <c r="D41" s="23" t="n">
        <f aca="false">D215</f>
        <v>37.23923025</v>
      </c>
      <c r="E41" s="23" t="n">
        <f aca="false">E215</f>
        <v>45.1174874700051</v>
      </c>
      <c r="F41" s="23" t="n">
        <f aca="false">F215</f>
        <v>26.3193287897213</v>
      </c>
      <c r="G41" s="23" t="n">
        <f aca="false">G215</f>
        <v>29.615233453926</v>
      </c>
      <c r="H41" s="25" t="n">
        <f aca="false">H215</f>
        <v>29.561354329483</v>
      </c>
      <c r="I41" s="25" t="n">
        <f aca="false">I215</f>
        <v>28.6779249926046</v>
      </c>
      <c r="J41" s="25" t="n">
        <f aca="false">J215</f>
        <v>27.0013693776523</v>
      </c>
    </row>
    <row r="42" customFormat="false" ht="15" hidden="false" customHeight="false" outlineLevel="0" collapsed="false">
      <c r="A42" s="3" t="s">
        <v>576</v>
      </c>
      <c r="B42" s="0" t="s">
        <v>44</v>
      </c>
      <c r="C42" s="16" t="n">
        <f aca="false">C219</f>
        <v>0.0508453913030227</v>
      </c>
      <c r="D42" s="16" t="n">
        <f aca="false">D219</f>
        <v>0.197798517808343</v>
      </c>
      <c r="E42" s="16" t="n">
        <f aca="false">E219</f>
        <v>0.18352180395364</v>
      </c>
      <c r="F42" s="16" t="n">
        <f aca="false">F219</f>
        <v>0.132298597736024</v>
      </c>
      <c r="G42" s="16" t="n">
        <f aca="false">G219</f>
        <v>0.136047745826279</v>
      </c>
      <c r="H42" s="27" t="n">
        <f aca="false">H219</f>
        <v>0.126977896104527</v>
      </c>
      <c r="I42" s="27" t="n">
        <f aca="false">I219</f>
        <v>0.117908046382775</v>
      </c>
      <c r="J42" s="27" t="n">
        <f aca="false">J219</f>
        <v>0.108838196661023</v>
      </c>
    </row>
    <row r="43" customFormat="false" ht="15" hidden="false" customHeight="false" outlineLevel="0" collapsed="false">
      <c r="A43" s="0" t="s">
        <v>577</v>
      </c>
      <c r="B43" s="0" t="s">
        <v>386</v>
      </c>
      <c r="C43" s="18" t="n">
        <f aca="false">C217</f>
        <v>4.38</v>
      </c>
      <c r="D43" s="18" t="n">
        <f aca="false">D217</f>
        <v>23.3861414610695</v>
      </c>
      <c r="E43" s="18" t="n">
        <f aca="false">E217</f>
        <v>27.5106630914665</v>
      </c>
      <c r="F43" s="18" t="n">
        <f aca="false">F217</f>
        <v>16.0483712132447</v>
      </c>
      <c r="G43" s="18" t="n">
        <f aca="false">G217</f>
        <v>18.0580691792232</v>
      </c>
      <c r="H43" s="28" t="n">
        <f aca="false">H217</f>
        <v>18.0252160545628</v>
      </c>
      <c r="I43" s="28" t="n">
        <f aca="false">I217</f>
        <v>17.486539629637</v>
      </c>
      <c r="J43" s="28" t="n">
        <f aca="false">J217</f>
        <v>16.4642496205197</v>
      </c>
    </row>
    <row r="44" customFormat="false" ht="17.15" hidden="false" customHeight="false" outlineLevel="0" collapsed="false">
      <c r="A44" s="0" t="s">
        <v>578</v>
      </c>
      <c r="B44" s="0" t="s">
        <v>44</v>
      </c>
      <c r="D44" s="20" t="n">
        <f aca="false">D218</f>
        <v>4.33930170344053</v>
      </c>
      <c r="E44" s="20" t="n">
        <f aca="false">E218</f>
        <v>0.176366060098585</v>
      </c>
      <c r="F44" s="20" t="n">
        <f aca="false">F218</f>
        <v>-0.416649058589115</v>
      </c>
      <c r="G44" s="20" t="n">
        <f aca="false">G218</f>
        <v>0.125227534886526</v>
      </c>
      <c r="H44" s="26" t="n">
        <f aca="false">H218</f>
        <v>-0.00181930439707045</v>
      </c>
      <c r="I44" s="26" t="n">
        <f aca="false">I218</f>
        <v>-0.0298846029526244</v>
      </c>
      <c r="J44" s="26" t="n">
        <f aca="false">J218</f>
        <v>-0.0584615384615383</v>
      </c>
    </row>
    <row r="46" customFormat="false" ht="17.15" hidden="false" customHeight="false" outlineLevel="0" collapsed="false">
      <c r="A46" s="1" t="s">
        <v>581</v>
      </c>
    </row>
    <row r="47" customFormat="false" ht="17.15" hidden="false" customHeight="false" outlineLevel="0" collapsed="false">
      <c r="A47" s="3" t="s">
        <v>582</v>
      </c>
      <c r="D47" s="29" t="n">
        <f aca="false">ABS(D88-a26_rev)+ABS(D143-a26_rev)+ABS(D198-a26_rev)</f>
        <v>0</v>
      </c>
    </row>
    <row r="48" customFormat="false" ht="17.15" hidden="false" customHeight="false" outlineLevel="0" collapsed="false">
      <c r="A48" s="3" t="s">
        <v>583</v>
      </c>
      <c r="D48" s="29" t="n">
        <f aca="false">ABS(D107-a26_eps)+ABS(D162-a26_eps)+ABS(D217-a26_eps)</f>
        <v>0</v>
      </c>
    </row>
    <row r="49" customFormat="false" ht="17.15" hidden="false" customHeight="false" outlineLevel="0" collapsed="false">
      <c r="A49" s="3" t="s">
        <v>584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585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3" t="s">
        <v>477</v>
      </c>
      <c r="D61" s="13" t="s">
        <v>562</v>
      </c>
      <c r="E61" s="13" t="s">
        <v>563</v>
      </c>
      <c r="F61" s="13" t="s">
        <v>564</v>
      </c>
      <c r="G61" s="13" t="s">
        <v>565</v>
      </c>
      <c r="H61" s="13" t="s">
        <v>566</v>
      </c>
      <c r="I61" s="13" t="s">
        <v>567</v>
      </c>
      <c r="J61" s="13" t="s">
        <v>568</v>
      </c>
      <c r="K61" s="4" t="s">
        <v>533</v>
      </c>
    </row>
    <row r="62" customFormat="false" ht="17.15" hidden="false" customHeight="false" outlineLevel="0" collapsed="false">
      <c r="A62" s="5" t="s">
        <v>586</v>
      </c>
    </row>
    <row r="63" customFormat="false" ht="17.15" hidden="false" customHeight="false" outlineLevel="0" collapsed="false">
      <c r="A63" s="0" t="s">
        <v>587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588</v>
      </c>
    </row>
    <row r="64" customFormat="false" ht="17.15" hidden="false" customHeight="false" outlineLevel="0" collapsed="false">
      <c r="A64" s="3" t="s">
        <v>589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590</v>
      </c>
    </row>
    <row r="65" customFormat="false" ht="17.15" hidden="false" customHeight="false" outlineLevel="0" collapsed="false">
      <c r="A65" s="3" t="s">
        <v>591</v>
      </c>
      <c r="B65" s="0" t="s">
        <v>144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592</v>
      </c>
    </row>
    <row r="66" customFormat="false" ht="17.15" hidden="false" customHeight="false" outlineLevel="0" collapsed="false">
      <c r="A66" s="0" t="s">
        <v>593</v>
      </c>
      <c r="B66" s="0" t="s">
        <v>144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594</v>
      </c>
    </row>
    <row r="67" customFormat="false" ht="17.15" hidden="false" customHeight="false" outlineLevel="0" collapsed="false">
      <c r="A67" s="3" t="s">
        <v>595</v>
      </c>
      <c r="B67" s="0" t="s">
        <v>144</v>
      </c>
      <c r="D67" s="18" t="n">
        <f aca="false">1</f>
        <v>1</v>
      </c>
      <c r="E67" s="18" t="n">
        <f aca="false">1+carry</f>
        <v>1.05</v>
      </c>
      <c r="F67" s="18" t="n">
        <f aca="false">1+carry</f>
        <v>1.05</v>
      </c>
      <c r="G67" s="18" t="n">
        <f aca="false">1+carry</f>
        <v>1.05</v>
      </c>
      <c r="K67" s="7" t="s">
        <v>596</v>
      </c>
    </row>
    <row r="68" customFormat="false" ht="17.15" hidden="false" customHeight="false" outlineLevel="0" collapsed="false">
      <c r="A68" s="3" t="s">
        <v>597</v>
      </c>
      <c r="B68" s="0" t="s">
        <v>598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599</v>
      </c>
    </row>
    <row r="69" customFormat="false" ht="17.15" hidden="false" customHeight="false" outlineLevel="0" collapsed="false">
      <c r="A69" s="3" t="s">
        <v>600</v>
      </c>
      <c r="B69" s="0" t="s">
        <v>44</v>
      </c>
      <c r="D69" s="20" t="n">
        <f aca="false">sh_nv_26</f>
        <v>0.25</v>
      </c>
      <c r="E69" s="20" t="n">
        <f aca="false">sh_nv_27</f>
        <v>0.27</v>
      </c>
      <c r="F69" s="20" t="n">
        <f aca="false">sh_nv_28</f>
        <v>0.29</v>
      </c>
      <c r="G69" s="20" t="n">
        <f aca="false">sh_nv_29</f>
        <v>0.3</v>
      </c>
    </row>
    <row r="70" customFormat="false" ht="17.15" hidden="false" customHeight="false" outlineLevel="0" collapsed="false">
      <c r="A70" s="3" t="s">
        <v>601</v>
      </c>
      <c r="B70" s="0" t="s">
        <v>44</v>
      </c>
      <c r="D70" s="20" t="n">
        <f aca="false">sh_ot_26</f>
        <v>0.3</v>
      </c>
      <c r="E70" s="20" t="n">
        <f aca="false">sh_ot_27</f>
        <v>0.31</v>
      </c>
      <c r="F70" s="20" t="n">
        <f aca="false">sh_ot_28</f>
        <v>0.32</v>
      </c>
      <c r="G70" s="20" t="n">
        <f aca="false">sh_ot_29</f>
        <v>0.33</v>
      </c>
    </row>
    <row r="71" customFormat="false" ht="17.15" hidden="false" customHeight="false" outlineLevel="0" collapsed="false">
      <c r="A71" s="3" t="s">
        <v>602</v>
      </c>
      <c r="B71" s="0" t="s">
        <v>552</v>
      </c>
      <c r="D71" s="22" t="n">
        <f aca="false">(D63*D68*D69+D64*D68*v_ot*D70)*D67</f>
        <v>801.809211504</v>
      </c>
      <c r="E71" s="22" t="n">
        <f aca="false">(E63*E68*E69+E64*E68*v_ot*E70)*E67</f>
        <v>1624.8799315544</v>
      </c>
      <c r="F71" s="22" t="n">
        <f aca="false">(F63*F68*F69+F64*F68*v_ot*F70)*F67</f>
        <v>2125.32134231777</v>
      </c>
      <c r="G71" s="22" t="n">
        <f aca="false">(G63*G68*G69+G64*G68*v_ot*G70)*G67</f>
        <v>2788.4812844467</v>
      </c>
    </row>
    <row r="72" customFormat="false" ht="15" hidden="false" customHeight="false" outlineLevel="0" collapsed="false">
      <c r="A72" s="3" t="s">
        <v>603</v>
      </c>
      <c r="B72" s="0" t="s">
        <v>302</v>
      </c>
      <c r="D72" s="21" t="n">
        <f aca="false">D71*fx/1000</f>
        <v>26.05879937388</v>
      </c>
      <c r="E72" s="21" t="n">
        <f aca="false">E71*fx/1000</f>
        <v>52.8085977755181</v>
      </c>
      <c r="F72" s="21" t="n">
        <f aca="false">F71*fx/1000</f>
        <v>69.0729436253277</v>
      </c>
      <c r="G72" s="21" t="n">
        <f aca="false">G71*fx/1000</f>
        <v>90.6256417445177</v>
      </c>
    </row>
    <row r="73" customFormat="false" ht="17.15" hidden="false" customHeight="false" outlineLevel="0" collapsed="false">
      <c r="A73" s="5" t="s">
        <v>604</v>
      </c>
    </row>
    <row r="74" customFormat="false" ht="17.15" hidden="false" customHeight="false" outlineLevel="0" collapsed="false">
      <c r="A74" s="0" t="s">
        <v>605</v>
      </c>
      <c r="B74" s="0" t="s">
        <v>302</v>
      </c>
      <c r="D74" s="21" t="n">
        <f aca="false">a26_abf*ai_abf</f>
        <v>74.83672875</v>
      </c>
      <c r="K74" s="3" t="s">
        <v>606</v>
      </c>
    </row>
    <row r="75" customFormat="false" ht="17.15" hidden="false" customHeight="false" outlineLevel="0" collapsed="false">
      <c r="A75" s="3" t="s">
        <v>607</v>
      </c>
      <c r="B75" s="0" t="s">
        <v>302</v>
      </c>
      <c r="D75" s="21" t="n">
        <f aca="false">D74-D72</f>
        <v>48.77792937612</v>
      </c>
      <c r="E75" s="21" t="n">
        <f aca="false">$D75*(itc_27/itc_26)^el_o*1*1*E66*E67</f>
        <v>72.4686721045733</v>
      </c>
      <c r="F75" s="21" t="n">
        <f aca="false">$D75*(itc_28/itc_26)^el_o*um28_A*1*F66*F67</f>
        <v>77.5118128697435</v>
      </c>
      <c r="G75" s="21" t="n">
        <f aca="false">$D75*(itc_29/itc_26)^el_o*um29_A*1*G66*G67</f>
        <v>78.3752247962621</v>
      </c>
      <c r="K75" s="7" t="s">
        <v>608</v>
      </c>
    </row>
    <row r="76" customFormat="false" ht="17.15" hidden="false" customHeight="false" outlineLevel="0" collapsed="false">
      <c r="A76" s="3" t="s">
        <v>609</v>
      </c>
      <c r="B76" s="0" t="s">
        <v>302</v>
      </c>
      <c r="D76" s="21" t="n">
        <f aca="false">a26_abf-D74</f>
        <v>24.94557625</v>
      </c>
      <c r="E76" s="21" t="n">
        <f aca="false">D76*(1+g_nai)</f>
        <v>25.6939435375</v>
      </c>
      <c r="F76" s="21" t="n">
        <f aca="false">E76*(1+g_nai)</f>
        <v>26.464761843625</v>
      </c>
      <c r="G76" s="21" t="n">
        <f aca="false">F76*(1+g_nai)</f>
        <v>27.2587046989338</v>
      </c>
    </row>
    <row r="77" customFormat="false" ht="17.15" hidden="false" customHeight="false" outlineLevel="0" collapsed="false">
      <c r="A77" s="0" t="s">
        <v>610</v>
      </c>
      <c r="B77" s="0" t="s">
        <v>302</v>
      </c>
      <c r="D77" s="21" t="n">
        <f aca="false">D72+D75+D76</f>
        <v>99.782305</v>
      </c>
      <c r="E77" s="21" t="n">
        <f aca="false">E72+E75+E76</f>
        <v>150.971213417591</v>
      </c>
      <c r="F77" s="21" t="n">
        <f aca="false">F72+F75+F76</f>
        <v>173.049518338696</v>
      </c>
      <c r="G77" s="21" t="n">
        <f aca="false">G72+G75+G76</f>
        <v>196.259571239714</v>
      </c>
    </row>
    <row r="78" customFormat="false" ht="17.15" hidden="false" customHeight="false" outlineLevel="0" collapsed="false">
      <c r="A78" s="0" t="s">
        <v>611</v>
      </c>
      <c r="B78" s="0" t="s">
        <v>302</v>
      </c>
      <c r="D78" s="21" t="n">
        <f aca="false">a26_abf</f>
        <v>99.782305</v>
      </c>
      <c r="E78" s="21" t="n">
        <f aca="false">$D77*cap_27*(1+g_mix)^1*E66*E67</f>
        <v>148.513488204375</v>
      </c>
      <c r="F78" s="21" t="n">
        <f aca="false">$D77*cap_28*(1+g_mix)^2*F66*F67</f>
        <v>186.549442683384</v>
      </c>
      <c r="G78" s="21" t="n">
        <f aca="false">$D77*cap_29*(1+g_mix)^3*G66*G67</f>
        <v>218.314827660431</v>
      </c>
      <c r="K78" s="7" t="s">
        <v>612</v>
      </c>
    </row>
    <row r="79" customFormat="false" ht="17.15" hidden="false" customHeight="false" outlineLevel="0" collapsed="false">
      <c r="A79" s="0" t="s">
        <v>613</v>
      </c>
      <c r="B79" s="0" t="s">
        <v>302</v>
      </c>
      <c r="D79" s="21" t="n">
        <f aca="false">a26_abf</f>
        <v>99.782305</v>
      </c>
      <c r="E79" s="21" t="n">
        <f aca="false">MIN(E77,E78)</f>
        <v>148.513488204375</v>
      </c>
      <c r="F79" s="21" t="n">
        <f aca="false">MIN(F77,F78)</f>
        <v>173.049518338696</v>
      </c>
      <c r="G79" s="21" t="n">
        <f aca="false">MIN(G77,G78)</f>
        <v>196.259571239714</v>
      </c>
    </row>
    <row r="80" customFormat="false" ht="17.15" hidden="false" customHeight="false" outlineLevel="0" collapsed="false">
      <c r="A80" s="3" t="s">
        <v>614</v>
      </c>
      <c r="B80" s="0" t="s">
        <v>44</v>
      </c>
      <c r="D80" s="20" t="n">
        <f aca="false">D79/D77</f>
        <v>1</v>
      </c>
      <c r="E80" s="20" t="n">
        <f aca="false">E79/E77</f>
        <v>0.983720570580444</v>
      </c>
      <c r="F80" s="20" t="n">
        <f aca="false">F79/F77</f>
        <v>1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615</v>
      </c>
      <c r="B81" s="0" t="s">
        <v>302</v>
      </c>
      <c r="D81" s="21" t="n">
        <f aca="false">(D72+D75)*D80</f>
        <v>74.83672875</v>
      </c>
      <c r="E81" s="21" t="n">
        <f aca="false">(E72+E75)*E80</f>
        <v>123.237827407204</v>
      </c>
      <c r="F81" s="21" t="n">
        <f aca="false">(F72+F75)*F80</f>
        <v>146.584756495071</v>
      </c>
      <c r="G81" s="21" t="n">
        <f aca="false">(G72+G75)*G80</f>
        <v>169.00086654078</v>
      </c>
    </row>
    <row r="82" customFormat="false" ht="17.15" hidden="false" customHeight="false" outlineLevel="0" collapsed="false">
      <c r="A82" s="3" t="s">
        <v>616</v>
      </c>
      <c r="B82" s="0" t="s">
        <v>44</v>
      </c>
      <c r="D82" s="20" t="n">
        <f aca="false">D72/(D72+D75)</f>
        <v>0.348208691228771</v>
      </c>
      <c r="E82" s="20" t="n">
        <f aca="false">E72/(E72+E75)</f>
        <v>0.421533753298293</v>
      </c>
      <c r="F82" s="20" t="n">
        <f aca="false">F72/(F72+F75)</f>
        <v>0.471215051802813</v>
      </c>
      <c r="G82" s="20" t="n">
        <f aca="false">G72/(G72+G75)</f>
        <v>0.536243651287136</v>
      </c>
    </row>
    <row r="83" customFormat="false" ht="17.15" hidden="false" customHeight="false" outlineLevel="0" collapsed="false">
      <c r="A83" s="5" t="s">
        <v>617</v>
      </c>
    </row>
    <row r="84" customFormat="false" ht="17.15" hidden="false" customHeight="false" outlineLevel="0" collapsed="false">
      <c r="A84" s="0" t="s">
        <v>519</v>
      </c>
      <c r="B84" s="0" t="s">
        <v>302</v>
      </c>
      <c r="D84" s="21" t="n">
        <f aca="false">a26_bt</f>
        <v>16.944165</v>
      </c>
      <c r="E84" s="21" t="n">
        <f aca="false">D84*(1+g_bt)</f>
        <v>17.79137325</v>
      </c>
      <c r="F84" s="21" t="n">
        <f aca="false">E84*(1+g_bt)</f>
        <v>18.6809419125</v>
      </c>
      <c r="G84" s="21" t="n">
        <f aca="false">F84*(1+g_bt)</f>
        <v>19.614989008125</v>
      </c>
    </row>
    <row r="85" customFormat="false" ht="17.15" hidden="false" customHeight="false" outlineLevel="0" collapsed="false">
      <c r="A85" s="0" t="s">
        <v>618</v>
      </c>
      <c r="B85" s="0" t="s">
        <v>302</v>
      </c>
      <c r="D85" s="21" t="n">
        <f aca="false">a26_pcb*ai_pcb</f>
        <v>37.93610275</v>
      </c>
      <c r="E85" s="21" t="n">
        <f aca="false">D85*(1+g_pai_27)</f>
        <v>45.5233233</v>
      </c>
      <c r="F85" s="21" t="n">
        <f aca="false">D85*(1+g_pai_27)*(1+g_pai_28)*um28_A</f>
        <v>52.351821795</v>
      </c>
      <c r="G85" s="21" t="n">
        <f aca="false">D85*(1+g_pai_27)*(1+g_pai_28)*(1+g_pai_29)*um29_A</f>
        <v>57.5870039745</v>
      </c>
      <c r="K85" s="3" t="s">
        <v>619</v>
      </c>
    </row>
    <row r="86" customFormat="false" ht="17.15" hidden="false" customHeight="false" outlineLevel="0" collapsed="false">
      <c r="A86" s="3" t="s">
        <v>620</v>
      </c>
      <c r="B86" s="0" t="s">
        <v>302</v>
      </c>
      <c r="D86" s="21" t="n">
        <f aca="false">a26_pcb*(1-ai_pcb)</f>
        <v>20.42713225</v>
      </c>
      <c r="E86" s="21" t="n">
        <f aca="false">D86*(1+g_pcbn)</f>
        <v>20.835674895</v>
      </c>
      <c r="F86" s="21" t="n">
        <f aca="false">E86*(1+g_pcbn)</f>
        <v>21.2523883929</v>
      </c>
      <c r="G86" s="21" t="n">
        <f aca="false">F86*(1+g_pcbn)</f>
        <v>21.677436160758</v>
      </c>
    </row>
    <row r="87" customFormat="false" ht="15" hidden="false" customHeight="false" outlineLevel="0" collapsed="false">
      <c r="A87" s="3" t="s">
        <v>521</v>
      </c>
      <c r="B87" s="0" t="s">
        <v>302</v>
      </c>
      <c r="D87" s="21" t="n">
        <f aca="false">a26_fpc</f>
        <v>13.178795</v>
      </c>
      <c r="E87" s="21" t="n">
        <f aca="false">D87*(1+g_fpc)</f>
        <v>13.178795</v>
      </c>
      <c r="F87" s="21" t="n">
        <f aca="false">E87*(1+g_fpc)</f>
        <v>13.178795</v>
      </c>
      <c r="G87" s="21" t="n">
        <f aca="false">F87*(1+g_fpc)</f>
        <v>13.178795</v>
      </c>
    </row>
    <row r="88" customFormat="false" ht="17.15" hidden="false" customHeight="false" outlineLevel="0" collapsed="false">
      <c r="A88" s="3" t="s">
        <v>484</v>
      </c>
      <c r="B88" s="0" t="s">
        <v>302</v>
      </c>
      <c r="C88" s="23" t="n">
        <f aca="false">a25_rev</f>
        <v>131.241</v>
      </c>
      <c r="D88" s="23" t="n">
        <f aca="false">D79+D84+D85+D86+D87</f>
        <v>188.2685</v>
      </c>
      <c r="E88" s="23" t="n">
        <f aca="false">E79+E84+E85+E86+E87</f>
        <v>245.842654649375</v>
      </c>
      <c r="F88" s="23" t="n">
        <f aca="false">F79+F84+F85+F86+F87</f>
        <v>278.513465439096</v>
      </c>
      <c r="G88" s="23" t="n">
        <f aca="false">G79+G84+G85+G86+G87</f>
        <v>308.317795383097</v>
      </c>
      <c r="H88" s="25" t="n">
        <f aca="false">G88*(1+H89)</f>
        <v>336.479988575722</v>
      </c>
      <c r="I88" s="25" t="n">
        <f aca="false">H88*(1+I89)</f>
        <v>361.941672550702</v>
      </c>
      <c r="J88" s="25" t="n">
        <f aca="false">I88*(1+J89)</f>
        <v>383.658172903744</v>
      </c>
      <c r="K88" s="7" t="s">
        <v>621</v>
      </c>
    </row>
    <row r="89" customFormat="false" ht="15" hidden="false" customHeight="false" outlineLevel="0" collapsed="false">
      <c r="A89" s="3" t="s">
        <v>622</v>
      </c>
      <c r="B89" s="0" t="s">
        <v>44</v>
      </c>
      <c r="D89" s="20" t="n">
        <f aca="false">D88/C88-1</f>
        <v>0.434525034097576</v>
      </c>
      <c r="E89" s="20" t="n">
        <f aca="false">E88/D88-1</f>
        <v>0.30580875</v>
      </c>
      <c r="F89" s="20" t="n">
        <f aca="false">F88/E88-1</f>
        <v>0.132893174442478</v>
      </c>
      <c r="G89" s="20" t="n">
        <f aca="false">G88/F88-1</f>
        <v>0.107012168682803</v>
      </c>
      <c r="H89" s="26" t="n">
        <f aca="false">$G89+(fade_gA-$G89)*1/3</f>
        <v>0.091341445788535</v>
      </c>
      <c r="I89" s="26" t="n">
        <f aca="false">$G89+(fade_gA-$G89)*2/3</f>
        <v>0.0756707228942675</v>
      </c>
      <c r="J89" s="26" t="n">
        <f aca="false">$G89+(fade_gA-$G89)*3/3</f>
        <v>0.06</v>
      </c>
    </row>
    <row r="90" customFormat="false" ht="17.15" hidden="false" customHeight="false" outlineLevel="0" collapsed="false">
      <c r="A90" s="0" t="s">
        <v>623</v>
      </c>
      <c r="B90" s="0" t="s">
        <v>44</v>
      </c>
      <c r="D90" s="20" t="n">
        <f aca="false">D79/D88</f>
        <v>0.53</v>
      </c>
      <c r="E90" s="20" t="n">
        <f aca="false">E79/E88</f>
        <v>0.604099758100105</v>
      </c>
      <c r="F90" s="20" t="n">
        <f aca="false">F79/F88</f>
        <v>0.62133268158461</v>
      </c>
      <c r="G90" s="20" t="n">
        <f aca="false">G79/G88</f>
        <v>0.636549606213464</v>
      </c>
    </row>
    <row r="91" customFormat="false" ht="17.15" hidden="false" customHeight="false" outlineLevel="0" collapsed="false">
      <c r="A91" s="0" t="s">
        <v>624</v>
      </c>
      <c r="B91" s="0" t="s">
        <v>44</v>
      </c>
      <c r="D91" s="20" t="n">
        <f aca="false">(D81+D85)/D88</f>
        <v>0.599</v>
      </c>
      <c r="E91" s="20" t="n">
        <f aca="false">(E81+E85)/E88</f>
        <v>0.68646000812143</v>
      </c>
      <c r="F91" s="20" t="n">
        <f aca="false">(F81+F85)/F88</f>
        <v>0.714279928894761</v>
      </c>
      <c r="G91" s="20" t="n">
        <f aca="false">(G81+G85)/G88</f>
        <v>0.734916614961312</v>
      </c>
      <c r="K91" s="3" t="s">
        <v>625</v>
      </c>
    </row>
    <row r="92" customFormat="false" ht="17.15" hidden="false" customHeight="false" outlineLevel="0" collapsed="false">
      <c r="A92" s="5" t="s">
        <v>626</v>
      </c>
    </row>
    <row r="93" customFormat="false" ht="15" hidden="false" customHeight="false" outlineLevel="0" collapsed="false">
      <c r="A93" s="3" t="s">
        <v>627</v>
      </c>
      <c r="B93" s="0" t="s">
        <v>302</v>
      </c>
      <c r="C93" s="23" t="n">
        <f aca="false">a25_cx</f>
        <v>25.617</v>
      </c>
      <c r="D93" s="23" t="n">
        <f aca="false">capex26</f>
        <v>53.7</v>
      </c>
      <c r="E93" s="23" t="n">
        <f aca="false">cx27_A</f>
        <v>55</v>
      </c>
      <c r="F93" s="23" t="n">
        <f aca="false">cx28_A</f>
        <v>50</v>
      </c>
      <c r="G93" s="23" t="n">
        <f aca="false">cx29_A</f>
        <v>45</v>
      </c>
      <c r="H93" s="25" t="n">
        <f aca="false">H88*H110</f>
        <v>46.0773449344368</v>
      </c>
      <c r="I93" s="25" t="n">
        <f aca="false">I88*I110</f>
        <v>46.301519983136</v>
      </c>
      <c r="J93" s="25" t="n">
        <f aca="false">J88*J110</f>
        <v>45.6213283734937</v>
      </c>
    </row>
    <row r="94" customFormat="false" ht="17.15" hidden="false" customHeight="false" outlineLevel="0" collapsed="false">
      <c r="A94" s="3" t="s">
        <v>628</v>
      </c>
      <c r="B94" s="0" t="s">
        <v>302</v>
      </c>
      <c r="C94" s="23" t="n">
        <f aca="false">a25_da</f>
        <v>18.8</v>
      </c>
      <c r="D94" s="23" t="n">
        <f aca="false">da26</f>
        <v>20.8</v>
      </c>
      <c r="E94" s="23" t="n">
        <f aca="false">D94*(1-1/life)+D93/life</f>
        <v>24.9125</v>
      </c>
      <c r="F94" s="23" t="n">
        <f aca="false">E94*(1-1/life)+E93/life</f>
        <v>28.6734375</v>
      </c>
      <c r="G94" s="23" t="n">
        <f aca="false">F94*(1-1/life)+F93/life</f>
        <v>31.3392578125</v>
      </c>
      <c r="H94" s="25" t="n">
        <f aca="false">H88*H95</f>
        <v>34.2018309310334</v>
      </c>
      <c r="I94" s="25" t="n">
        <f aca="false">I88*I95</f>
        <v>36.7899082018922</v>
      </c>
      <c r="J94" s="25" t="n">
        <f aca="false">J88*J95</f>
        <v>38.9973026940057</v>
      </c>
      <c r="K94" s="3" t="s">
        <v>629</v>
      </c>
    </row>
    <row r="95" customFormat="false" ht="17.15" hidden="false" customHeight="false" outlineLevel="0" collapsed="false">
      <c r="A95" s="3" t="s">
        <v>630</v>
      </c>
      <c r="B95" s="0" t="s">
        <v>44</v>
      </c>
      <c r="C95" s="20" t="n">
        <f aca="false">C94/C88</f>
        <v>0.143247917952469</v>
      </c>
      <c r="D95" s="20" t="n">
        <f aca="false">D94/D88</f>
        <v>0.110480510547436</v>
      </c>
      <c r="E95" s="20" t="n">
        <f aca="false">E94/E88</f>
        <v>0.101335140704247</v>
      </c>
      <c r="F95" s="20" t="n">
        <f aca="false">F94/F88</f>
        <v>0.102951709910307</v>
      </c>
      <c r="G95" s="20" t="n">
        <f aca="false">G94/G88</f>
        <v>0.101645958429223</v>
      </c>
      <c r="H95" s="26" t="n">
        <f aca="false">$G95</f>
        <v>0.101645958429223</v>
      </c>
      <c r="I95" s="26" t="n">
        <f aca="false">$G95</f>
        <v>0.101645958429223</v>
      </c>
      <c r="J95" s="26" t="n">
        <f aca="false">$G95</f>
        <v>0.101645958429223</v>
      </c>
    </row>
    <row r="96" customFormat="false" ht="17.15" hidden="false" customHeight="false" outlineLevel="0" collapsed="false">
      <c r="A96" s="3" t="s">
        <v>631</v>
      </c>
      <c r="B96" s="0" t="s">
        <v>302</v>
      </c>
      <c r="E96" s="21" t="n">
        <f aca="false">E81*(1-1/(E66*E67))</f>
        <v>5.86846797177161</v>
      </c>
      <c r="F96" s="21" t="n">
        <f aca="false">F81*(1-1/(F66*F67))</f>
        <v>-0.367380342092935</v>
      </c>
      <c r="G96" s="21" t="n">
        <f aca="false">G81*(1-1/(G66*G67))</f>
        <v>-9.83602926956918</v>
      </c>
      <c r="K96" s="7" t="s">
        <v>632</v>
      </c>
    </row>
    <row r="97" customFormat="false" ht="17.15" hidden="false" customHeight="false" outlineLevel="0" collapsed="false">
      <c r="A97" s="3" t="s">
        <v>633</v>
      </c>
      <c r="B97" s="0" t="s">
        <v>302</v>
      </c>
      <c r="C97" s="21" t="n">
        <f aca="false">a25_gp</f>
        <v>18.292</v>
      </c>
      <c r="D97" s="21" t="n">
        <f aca="false">a26_gp</f>
        <v>47.3329657</v>
      </c>
      <c r="E97" s="21" t="n">
        <f aca="false">$D97+ft_abf*(E79-E96-$D79)+ft_oth*((E88-E79)-($D88-$D79))+E96-(E94-$D94)</f>
        <v>72.7310341493233</v>
      </c>
      <c r="F97" s="21" t="n">
        <f aca="false">$D97+ft_abf*(F79-F96-$D79)+ft_oth*((F88-F79)-($D88-$D79))+F96-(F94-$D94)</f>
        <v>80.1538827234016</v>
      </c>
      <c r="G97" s="21" t="n">
        <f aca="false">$D97+ft_abf*(G79-G96-$D79)+ft_oth*((G88-G79)-($D88-$D79))+G96-(G94-$D94)</f>
        <v>86.0073336584179</v>
      </c>
      <c r="K97" s="3" t="s">
        <v>634</v>
      </c>
    </row>
    <row r="98" customFormat="false" ht="15" hidden="false" customHeight="false" outlineLevel="0" collapsed="false">
      <c r="A98" s="3" t="s">
        <v>491</v>
      </c>
      <c r="B98" s="0" t="s">
        <v>44</v>
      </c>
      <c r="C98" s="16" t="n">
        <f aca="false">C97/C88</f>
        <v>0.139377176339711</v>
      </c>
      <c r="D98" s="16" t="n">
        <f aca="false">D97/D88</f>
        <v>0.251412029627899</v>
      </c>
      <c r="E98" s="16" t="n">
        <f aca="false">E97/E88</f>
        <v>0.295843836591553</v>
      </c>
      <c r="F98" s="16" t="n">
        <f aca="false">F97/F88</f>
        <v>0.287791768333475</v>
      </c>
      <c r="G98" s="16" t="n">
        <f aca="false">G97/G88</f>
        <v>0.278956761323331</v>
      </c>
    </row>
    <row r="99" customFormat="false" ht="15" hidden="false" customHeight="false" outlineLevel="0" collapsed="false">
      <c r="A99" s="3" t="s">
        <v>493</v>
      </c>
      <c r="B99" s="0" t="s">
        <v>302</v>
      </c>
      <c r="C99" s="21" t="n">
        <f aca="false">a25_opx</f>
        <v>11.618</v>
      </c>
      <c r="D99" s="21" t="n">
        <f aca="false">a26_opx</f>
        <v>16.6539532</v>
      </c>
      <c r="E99" s="21" t="n">
        <f aca="false">D99*(1+phi*E89)</f>
        <v>19.7097079663903</v>
      </c>
      <c r="F99" s="21" t="n">
        <f aca="false">E99*(1+phi*F89)</f>
        <v>21.281279361783</v>
      </c>
      <c r="G99" s="21" t="n">
        <f aca="false">F99*(1+phi*G89)</f>
        <v>22.6476928758924</v>
      </c>
    </row>
    <row r="100" customFormat="false" ht="15" hidden="false" customHeight="false" outlineLevel="0" collapsed="false">
      <c r="A100" s="3" t="s">
        <v>496</v>
      </c>
      <c r="B100" s="0" t="s">
        <v>302</v>
      </c>
      <c r="C100" s="21" t="n">
        <f aca="false">C97-C99</f>
        <v>6.674</v>
      </c>
      <c r="D100" s="21" t="n">
        <f aca="false">D97-D99</f>
        <v>30.6790125</v>
      </c>
      <c r="E100" s="21" t="n">
        <f aca="false">E97-E99</f>
        <v>53.021326182933</v>
      </c>
      <c r="F100" s="21" t="n">
        <f aca="false">F97-F99</f>
        <v>58.8726033616186</v>
      </c>
      <c r="G100" s="21" t="n">
        <f aca="false">G97-G99</f>
        <v>63.3596407825256</v>
      </c>
    </row>
    <row r="101" customFormat="false" ht="15" hidden="false" customHeight="false" outlineLevel="0" collapsed="false">
      <c r="A101" s="3" t="s">
        <v>575</v>
      </c>
      <c r="B101" s="0" t="s">
        <v>44</v>
      </c>
      <c r="C101" s="16" t="n">
        <f aca="false">C100/C88</f>
        <v>0.0508530108731265</v>
      </c>
      <c r="D101" s="16" t="n">
        <f aca="false">D100/D88</f>
        <v>0.162953507888999</v>
      </c>
      <c r="E101" s="16" t="n">
        <f aca="false">E100/E88</f>
        <v>0.215671793239269</v>
      </c>
      <c r="F101" s="16" t="n">
        <f aca="false">F100/F88</f>
        <v>0.211381533272734</v>
      </c>
      <c r="G101" s="16" t="n">
        <f aca="false">G100/G88</f>
        <v>0.205501082750669</v>
      </c>
    </row>
    <row r="102" customFormat="false" ht="17.15" hidden="false" customHeight="false" outlineLevel="0" collapsed="false">
      <c r="A102" s="3" t="s">
        <v>635</v>
      </c>
      <c r="B102" s="0" t="s">
        <v>302</v>
      </c>
      <c r="C102" s="21" t="n">
        <f aca="false">a25_nonop</f>
        <v>-0.00100000000000033</v>
      </c>
      <c r="D102" s="21" t="n">
        <f aca="false">a26_nonop</f>
        <v>14.466</v>
      </c>
      <c r="E102" s="21" t="n">
        <f aca="false">nonop27</f>
        <v>2</v>
      </c>
      <c r="F102" s="21" t="n">
        <f aca="false">nonop28</f>
        <v>2</v>
      </c>
      <c r="G102" s="21" t="n">
        <f aca="false">nonop29</f>
        <v>2</v>
      </c>
      <c r="K102" s="7" t="s">
        <v>636</v>
      </c>
    </row>
    <row r="103" customFormat="false" ht="15" hidden="false" customHeight="false" outlineLevel="0" collapsed="false">
      <c r="A103" s="3" t="s">
        <v>502</v>
      </c>
      <c r="B103" s="0" t="s">
        <v>302</v>
      </c>
      <c r="C103" s="21" t="n">
        <f aca="false">C100+C102</f>
        <v>6.673</v>
      </c>
      <c r="D103" s="21" t="n">
        <f aca="false">D100+D102</f>
        <v>45.1450125</v>
      </c>
      <c r="E103" s="21" t="n">
        <f aca="false">E100+E102</f>
        <v>55.021326182933</v>
      </c>
      <c r="F103" s="21" t="n">
        <f aca="false">F100+F102</f>
        <v>60.8726033616186</v>
      </c>
      <c r="G103" s="21" t="n">
        <f aca="false">G100+G102</f>
        <v>65.3596407825256</v>
      </c>
    </row>
    <row r="104" customFormat="false" ht="15" hidden="false" customHeight="false" outlineLevel="0" collapsed="false">
      <c r="A104" s="3" t="s">
        <v>506</v>
      </c>
      <c r="B104" s="0" t="s">
        <v>302</v>
      </c>
      <c r="E104" s="21" t="n">
        <f aca="false">E103*tax</f>
        <v>9.90383871292794</v>
      </c>
      <c r="F104" s="21" t="n">
        <f aca="false">F103*tax</f>
        <v>10.9570686050914</v>
      </c>
      <c r="G104" s="21" t="n">
        <f aca="false">G103*tax</f>
        <v>11.7647353408546</v>
      </c>
    </row>
    <row r="105" customFormat="false" ht="15" hidden="false" customHeight="false" outlineLevel="0" collapsed="false">
      <c r="A105" s="3" t="s">
        <v>504</v>
      </c>
      <c r="B105" s="0" t="s">
        <v>302</v>
      </c>
      <c r="C105" s="21" t="n">
        <f aca="false">a25_ni</f>
        <v>6.673</v>
      </c>
      <c r="D105" s="21" t="n">
        <f aca="false">a26_ni</f>
        <v>37.23923025</v>
      </c>
      <c r="E105" s="21" t="n">
        <f aca="false">E103-E104</f>
        <v>45.1174874700051</v>
      </c>
      <c r="F105" s="21" t="n">
        <f aca="false">F103-F104</f>
        <v>49.9155347565273</v>
      </c>
      <c r="G105" s="21" t="n">
        <f aca="false">G103-G104</f>
        <v>53.594905441671</v>
      </c>
      <c r="H105" s="30" t="n">
        <f aca="false">H88*H109</f>
        <v>58.490341591613</v>
      </c>
      <c r="I105" s="30" t="n">
        <f aca="false">I88*I109</f>
        <v>62.916348022183</v>
      </c>
      <c r="J105" s="30" t="n">
        <f aca="false">J88*J109</f>
        <v>66.691328903514</v>
      </c>
    </row>
    <row r="106" customFormat="false" ht="15" hidden="false" customHeight="false" outlineLevel="0" collapsed="false">
      <c r="A106" s="3" t="s">
        <v>637</v>
      </c>
      <c r="B106" s="3" t="s">
        <v>380</v>
      </c>
      <c r="C106" s="29" t="n">
        <f aca="false">a25_sh</f>
        <v>1.52351598173516</v>
      </c>
      <c r="D106" s="29" t="n">
        <f aca="false">a26_sh</f>
        <v>1.59236316568047</v>
      </c>
      <c r="E106" s="29" t="n">
        <f aca="false">a26_shend*(1+sh_g)</f>
        <v>1.64</v>
      </c>
      <c r="F106" s="29" t="n">
        <f aca="false">E106*(1+sh_g)</f>
        <v>1.64</v>
      </c>
      <c r="G106" s="29" t="n">
        <f aca="false">F106*(1+sh_g)</f>
        <v>1.64</v>
      </c>
      <c r="H106" s="31" t="n">
        <f aca="false">G106*(1+sh_g)</f>
        <v>1.64</v>
      </c>
      <c r="I106" s="31" t="n">
        <f aca="false">H106*(1+sh_g)</f>
        <v>1.64</v>
      </c>
      <c r="J106" s="31" t="n">
        <f aca="false">I106*(1+sh_g)</f>
        <v>1.64</v>
      </c>
    </row>
    <row r="107" customFormat="false" ht="17.15" hidden="false" customHeight="false" outlineLevel="0" collapsed="false">
      <c r="A107" s="0" t="s">
        <v>509</v>
      </c>
      <c r="B107" s="0" t="s">
        <v>386</v>
      </c>
      <c r="C107" s="18" t="n">
        <f aca="false">C105/C106</f>
        <v>4.38</v>
      </c>
      <c r="D107" s="18" t="n">
        <f aca="false">D105/D106</f>
        <v>23.3861414610695</v>
      </c>
      <c r="E107" s="18" t="n">
        <f aca="false">E105/E106</f>
        <v>27.5106630914665</v>
      </c>
      <c r="F107" s="18" t="n">
        <f aca="false">F105/F106</f>
        <v>30.4363016808093</v>
      </c>
      <c r="G107" s="18" t="n">
        <f aca="false">G105/G106</f>
        <v>32.6798203912628</v>
      </c>
      <c r="H107" s="28" t="n">
        <f aca="false">H105/H106</f>
        <v>35.6648424339104</v>
      </c>
      <c r="I107" s="28" t="n">
        <f aca="false">I105/I106</f>
        <v>38.3636268427945</v>
      </c>
      <c r="J107" s="28" t="n">
        <f aca="false">J105/J106</f>
        <v>40.6654444533622</v>
      </c>
    </row>
    <row r="108" customFormat="false" ht="17.15" hidden="false" customHeight="false" outlineLevel="0" collapsed="false">
      <c r="A108" s="0" t="s">
        <v>638</v>
      </c>
      <c r="B108" s="0" t="s">
        <v>44</v>
      </c>
      <c r="D108" s="20" t="n">
        <f aca="false">D107/C107-1</f>
        <v>4.33930170344053</v>
      </c>
      <c r="E108" s="20" t="n">
        <f aca="false">E107/D107-1</f>
        <v>0.176366060098585</v>
      </c>
      <c r="F108" s="20" t="n">
        <f aca="false">F107/E107-1</f>
        <v>0.106345622408873</v>
      </c>
      <c r="G108" s="20" t="n">
        <f aca="false">G107/F107-1</f>
        <v>0.0737119356346787</v>
      </c>
      <c r="H108" s="26" t="n">
        <f aca="false">H107/G107-1</f>
        <v>0.0913414457885349</v>
      </c>
      <c r="I108" s="26" t="n">
        <f aca="false">I107/H107-1</f>
        <v>0.0756707228942677</v>
      </c>
      <c r="J108" s="26" t="n">
        <f aca="false">J107/I107-1</f>
        <v>0.0599999999999998</v>
      </c>
    </row>
    <row r="109" customFormat="false" ht="17.15" hidden="false" customHeight="false" outlineLevel="0" collapsed="false">
      <c r="A109" s="3" t="s">
        <v>639</v>
      </c>
      <c r="B109" s="0" t="s">
        <v>44</v>
      </c>
      <c r="C109" s="16" t="n">
        <f aca="false">C105/C88</f>
        <v>0.0508453913030227</v>
      </c>
      <c r="D109" s="16" t="n">
        <f aca="false">D105/D88</f>
        <v>0.197798517808343</v>
      </c>
      <c r="E109" s="16" t="n">
        <f aca="false">E105/E88</f>
        <v>0.18352180395364</v>
      </c>
      <c r="F109" s="16" t="n">
        <f aca="false">F105/F88</f>
        <v>0.179221261987574</v>
      </c>
      <c r="G109" s="16" t="n">
        <f aca="false">G105/G88</f>
        <v>0.17383007482613</v>
      </c>
      <c r="H109" s="27" t="n">
        <f aca="false">$G109+(fade_mA-$G109)*1/3</f>
        <v>0.17383007482613</v>
      </c>
      <c r="I109" s="27" t="n">
        <f aca="false">$G109+(fade_mA-$G109)*2/3</f>
        <v>0.17383007482613</v>
      </c>
      <c r="J109" s="27" t="n">
        <f aca="false">$G109+(fade_mA-$G109)*3/3</f>
        <v>0.17383007482613</v>
      </c>
    </row>
    <row r="110" customFormat="false" ht="17.15" hidden="false" customHeight="false" outlineLevel="0" collapsed="false">
      <c r="A110" s="3" t="s">
        <v>640</v>
      </c>
      <c r="B110" s="0" t="s">
        <v>44</v>
      </c>
      <c r="C110" s="20" t="n">
        <f aca="false">C93/C88</f>
        <v>0.195190527350447</v>
      </c>
      <c r="D110" s="20" t="n">
        <f aca="false">D93/D88</f>
        <v>0.285230933480641</v>
      </c>
      <c r="E110" s="20" t="n">
        <f aca="false">E93/E88</f>
        <v>0.223720330706817</v>
      </c>
      <c r="F110" s="20" t="n">
        <f aca="false">F93/F88</f>
        <v>0.179524533656466</v>
      </c>
      <c r="G110" s="20" t="n">
        <f aca="false">G93/G88</f>
        <v>0.145953301022037</v>
      </c>
      <c r="H110" s="26" t="n">
        <f aca="false">$G110+($G95*(1+tp_g)^(life/2)-$G110)*1/3</f>
        <v>0.136939332200635</v>
      </c>
      <c r="I110" s="26" t="n">
        <f aca="false">$G110+($G95*(1+tp_g)^(life/2)-$G110)*2/3</f>
        <v>0.127925363379233</v>
      </c>
      <c r="J110" s="26" t="n">
        <f aca="false">$G110+($G95*(1+tp_g)^(life/2)-$G110)*3/3</f>
        <v>0.118911394557831</v>
      </c>
      <c r="K110" s="7" t="s">
        <v>641</v>
      </c>
    </row>
    <row r="111" customFormat="false" ht="15" hidden="false" customHeight="false" outlineLevel="0" collapsed="false">
      <c r="A111" s="3" t="s">
        <v>642</v>
      </c>
      <c r="B111" s="0" t="s">
        <v>302</v>
      </c>
      <c r="E111" s="21" t="n">
        <f aca="false">E105+E94-E93</f>
        <v>15.0299874700051</v>
      </c>
      <c r="F111" s="21" t="n">
        <f aca="false">F105+F94-F93</f>
        <v>28.5889722565273</v>
      </c>
      <c r="G111" s="21" t="n">
        <f aca="false">G105+G94-G93</f>
        <v>39.934163254171</v>
      </c>
      <c r="H111" s="30" t="n">
        <f aca="false">H105+H94-H93</f>
        <v>46.6148275882096</v>
      </c>
      <c r="I111" s="30" t="n">
        <f aca="false">I105+I94-I93</f>
        <v>53.4047362409393</v>
      </c>
      <c r="J111" s="30" t="n">
        <f aca="false">J105+J94-J93</f>
        <v>60.0673032240261</v>
      </c>
      <c r="K111" s="3" t="s">
        <v>643</v>
      </c>
    </row>
    <row r="112" customFormat="false" ht="15" hidden="false" customHeight="false" outlineLevel="0" collapsed="false">
      <c r="A112" s="3" t="s">
        <v>644</v>
      </c>
      <c r="B112" s="0" t="s">
        <v>386</v>
      </c>
      <c r="E112" s="18" t="n">
        <f aca="false">E111/E106</f>
        <v>9.16462650610065</v>
      </c>
      <c r="F112" s="18" t="n">
        <f aca="false">F111/F106</f>
        <v>17.4323001564191</v>
      </c>
      <c r="G112" s="18" t="n">
        <f aca="false">G111/G106</f>
        <v>24.3500995452262</v>
      </c>
      <c r="H112" s="28" t="n">
        <f aca="false">H111/H106</f>
        <v>28.4236753586644</v>
      </c>
      <c r="I112" s="28" t="n">
        <f aca="false">I111/I106</f>
        <v>32.5638635615483</v>
      </c>
      <c r="J112" s="28" t="n">
        <f aca="false">J111/J106</f>
        <v>36.6264044048939</v>
      </c>
    </row>
    <row r="115" customFormat="false" ht="17.15" hidden="false" customHeight="false" outlineLevel="0" collapsed="false">
      <c r="A115" s="1" t="s">
        <v>645</v>
      </c>
    </row>
    <row r="116" customFormat="false" ht="17.15" hidden="false" customHeight="false" outlineLevel="0" collapsed="false">
      <c r="A116" s="4" t="s">
        <v>21</v>
      </c>
      <c r="B116" s="4" t="s">
        <v>22</v>
      </c>
      <c r="C116" s="13" t="s">
        <v>477</v>
      </c>
      <c r="D116" s="13" t="s">
        <v>562</v>
      </c>
      <c r="E116" s="13" t="s">
        <v>563</v>
      </c>
      <c r="F116" s="13" t="s">
        <v>564</v>
      </c>
      <c r="G116" s="13" t="s">
        <v>565</v>
      </c>
      <c r="H116" s="13" t="s">
        <v>566</v>
      </c>
      <c r="I116" s="13" t="s">
        <v>567</v>
      </c>
      <c r="J116" s="13" t="s">
        <v>568</v>
      </c>
      <c r="K116" s="4" t="s">
        <v>533</v>
      </c>
    </row>
    <row r="117" customFormat="false" ht="17.15" hidden="false" customHeight="false" outlineLevel="0" collapsed="false">
      <c r="A117" s="5" t="s">
        <v>586</v>
      </c>
    </row>
    <row r="118" customFormat="false" ht="17.15" hidden="false" customHeight="false" outlineLevel="0" collapsed="false">
      <c r="A118" s="0" t="s">
        <v>587</v>
      </c>
      <c r="B118" s="3" t="s">
        <v>32</v>
      </c>
      <c r="D118" s="21" t="n">
        <f aca="false">(u_bw_26+u_rb_26+u_ru_26+u_hp_26)*1</f>
        <v>7.6</v>
      </c>
      <c r="E118" s="21" t="n">
        <f aca="false">(u_bw_27+u_rb_27+u_ru_27+u_hp_27)*1*1</f>
        <v>9.7</v>
      </c>
      <c r="F118" s="21" t="n">
        <f aca="false">(u_bw_28+u_rb_28+u_ru_28+u_hp_28)*um28_B*1</f>
        <v>7.6</v>
      </c>
      <c r="G118" s="21" t="n">
        <f aca="false">(u_bw_28*(1+g29_bw)+u_rb_28*(1+g29_rb)+u_ru_28*(1+g29_ru)+u_hp_28*(1+g29_hp))*um29_B*1</f>
        <v>9.01</v>
      </c>
      <c r="K118" s="7" t="s">
        <v>588</v>
      </c>
    </row>
    <row r="119" customFormat="false" ht="17.15" hidden="false" customHeight="false" outlineLevel="0" collapsed="false">
      <c r="A119" s="3" t="s">
        <v>589</v>
      </c>
      <c r="B119" s="3" t="s">
        <v>32</v>
      </c>
      <c r="D119" s="21" t="n">
        <f aca="false">(u_amd_26+u_tpu_26+u_trn_26+u_oth_26)*1</f>
        <v>7.6</v>
      </c>
      <c r="E119" s="21" t="n">
        <f aca="false">(u_amd_27+u_tpu_27+u_trn_27+u_oth_27)*1*1</f>
        <v>14</v>
      </c>
      <c r="F119" s="21" t="n">
        <f aca="false">(u_amd_28+u_tpu_28+u_trn_28+u_oth_28)*um28_B*1</f>
        <v>13.6</v>
      </c>
      <c r="G119" s="21" t="n">
        <f aca="false">(u_amd_28*(1+g29_amd)+u_tpu_28*(1+g29_tpu)+u_trn_28*(1+g29_trn)+u_oth_28*(1+g29_oth))*um29_B*1</f>
        <v>16.6175</v>
      </c>
      <c r="K119" s="7" t="s">
        <v>590</v>
      </c>
    </row>
    <row r="120" customFormat="false" ht="17.15" hidden="false" customHeight="false" outlineLevel="0" collapsed="false">
      <c r="A120" s="3" t="s">
        <v>591</v>
      </c>
      <c r="B120" s="0" t="s">
        <v>144</v>
      </c>
      <c r="D120" s="19" t="n">
        <f aca="false">1</f>
        <v>1</v>
      </c>
      <c r="E120" s="19" t="n">
        <f aca="false">D120*(1+g_asp)</f>
        <v>1.18</v>
      </c>
      <c r="F120" s="19" t="n">
        <f aca="false">E120*(1+g_asp)</f>
        <v>1.3924</v>
      </c>
      <c r="G120" s="19" t="n">
        <f aca="false">F120*(1+g_asp)</f>
        <v>1.643032</v>
      </c>
      <c r="K120" s="7" t="s">
        <v>592</v>
      </c>
    </row>
    <row r="121" customFormat="false" ht="17.15" hidden="false" customHeight="false" outlineLevel="0" collapsed="false">
      <c r="A121" s="0" t="s">
        <v>593</v>
      </c>
      <c r="B121" s="0" t="s">
        <v>144</v>
      </c>
      <c r="D121" s="18" t="n">
        <f aca="false">1</f>
        <v>1</v>
      </c>
      <c r="E121" s="18" t="n">
        <f aca="false">ibpp_27</f>
        <v>1</v>
      </c>
      <c r="F121" s="18" t="n">
        <f aca="false">ibpp_28</f>
        <v>0.95</v>
      </c>
      <c r="G121" s="18" t="n">
        <f aca="false">ibpp_29</f>
        <v>0.9</v>
      </c>
      <c r="K121" s="7" t="s">
        <v>594</v>
      </c>
    </row>
    <row r="122" customFormat="false" ht="17.15" hidden="false" customHeight="false" outlineLevel="0" collapsed="false">
      <c r="A122" s="3" t="s">
        <v>595</v>
      </c>
      <c r="B122" s="0" t="s">
        <v>144</v>
      </c>
      <c r="D122" s="18" t="n">
        <f aca="false">1</f>
        <v>1</v>
      </c>
      <c r="E122" s="18" t="n">
        <f aca="false">1+carry</f>
        <v>1.05</v>
      </c>
      <c r="F122" s="18" t="n">
        <f aca="false">1+carry</f>
        <v>1.05</v>
      </c>
      <c r="G122" s="18" t="n">
        <f aca="false">1+carry</f>
        <v>1.05</v>
      </c>
      <c r="K122" s="7" t="s">
        <v>596</v>
      </c>
    </row>
    <row r="123" customFormat="false" ht="17.15" hidden="false" customHeight="false" outlineLevel="0" collapsed="false">
      <c r="A123" s="3" t="s">
        <v>597</v>
      </c>
      <c r="B123" s="0" t="s">
        <v>598</v>
      </c>
      <c r="D123" s="23" t="n">
        <f aca="false">v26*D120*D121</f>
        <v>215.308596</v>
      </c>
      <c r="E123" s="23" t="n">
        <f aca="false">v26*E120*E121</f>
        <v>254.06414328</v>
      </c>
      <c r="F123" s="23" t="n">
        <f aca="false">v26*F120*F121</f>
        <v>284.80590461688</v>
      </c>
      <c r="G123" s="23" t="n">
        <f aca="false">v26*G120*G121</f>
        <v>318.383021792765</v>
      </c>
      <c r="K123" s="7" t="s">
        <v>599</v>
      </c>
    </row>
    <row r="124" customFormat="false" ht="17.15" hidden="false" customHeight="false" outlineLevel="0" collapsed="false">
      <c r="A124" s="3" t="s">
        <v>600</v>
      </c>
      <c r="B124" s="0" t="s">
        <v>44</v>
      </c>
      <c r="D124" s="20" t="n">
        <f aca="false">sh_nv_26</f>
        <v>0.25</v>
      </c>
      <c r="E124" s="20" t="n">
        <f aca="false">sh_nv_27</f>
        <v>0.27</v>
      </c>
      <c r="F124" s="20" t="n">
        <f aca="false">sh_nv_28</f>
        <v>0.29</v>
      </c>
      <c r="G124" s="20" t="n">
        <f aca="false">sh_nv_29</f>
        <v>0.3</v>
      </c>
    </row>
    <row r="125" customFormat="false" ht="17.15" hidden="false" customHeight="false" outlineLevel="0" collapsed="false">
      <c r="A125" s="3" t="s">
        <v>601</v>
      </c>
      <c r="B125" s="0" t="s">
        <v>44</v>
      </c>
      <c r="D125" s="20" t="n">
        <f aca="false">sh_ot_26</f>
        <v>0.3</v>
      </c>
      <c r="E125" s="20" t="n">
        <f aca="false">sh_ot_27</f>
        <v>0.31</v>
      </c>
      <c r="F125" s="20" t="n">
        <f aca="false">sh_ot_28</f>
        <v>0.32</v>
      </c>
      <c r="G125" s="20" t="n">
        <f aca="false">sh_ot_29</f>
        <v>0.33</v>
      </c>
    </row>
    <row r="126" customFormat="false" ht="17.15" hidden="false" customHeight="false" outlineLevel="0" collapsed="false">
      <c r="A126" s="3" t="s">
        <v>602</v>
      </c>
      <c r="B126" s="0" t="s">
        <v>552</v>
      </c>
      <c r="D126" s="22" t="n">
        <f aca="false">(D118*D123*D124+D119*D123*v_ot*D125)*D122</f>
        <v>801.809211504</v>
      </c>
      <c r="E126" s="22" t="n">
        <f aca="false">(E118*E123*E124+E119*E123*v_ot*E125)*E122</f>
        <v>1624.8799315544</v>
      </c>
      <c r="F126" s="22" t="n">
        <f aca="false">(F118*F123*F124+F119*F123*v_ot*F125)*F122</f>
        <v>1700.25707385422</v>
      </c>
      <c r="G126" s="22" t="n">
        <f aca="false">(G118*G123*G124+G119*G123*v_ot*G125)*G122</f>
        <v>2370.20909177969</v>
      </c>
    </row>
    <row r="127" customFormat="false" ht="15" hidden="false" customHeight="false" outlineLevel="0" collapsed="false">
      <c r="A127" s="3" t="s">
        <v>603</v>
      </c>
      <c r="B127" s="0" t="s">
        <v>302</v>
      </c>
      <c r="D127" s="21" t="n">
        <f aca="false">D126*fx/1000</f>
        <v>26.05879937388</v>
      </c>
      <c r="E127" s="21" t="n">
        <f aca="false">E126*fx/1000</f>
        <v>52.8085977755181</v>
      </c>
      <c r="F127" s="21" t="n">
        <f aca="false">F126*fx/1000</f>
        <v>55.2583549002621</v>
      </c>
      <c r="G127" s="21" t="n">
        <f aca="false">G126*fx/1000</f>
        <v>77.0317954828401</v>
      </c>
    </row>
    <row r="128" customFormat="false" ht="17.15" hidden="false" customHeight="false" outlineLevel="0" collapsed="false">
      <c r="A128" s="5" t="s">
        <v>604</v>
      </c>
    </row>
    <row r="129" customFormat="false" ht="17.15" hidden="false" customHeight="false" outlineLevel="0" collapsed="false">
      <c r="A129" s="0" t="s">
        <v>605</v>
      </c>
      <c r="B129" s="0" t="s">
        <v>302</v>
      </c>
      <c r="D129" s="21" t="n">
        <f aca="false">a26_abf*ai_abf</f>
        <v>74.83672875</v>
      </c>
      <c r="K129" s="3" t="s">
        <v>606</v>
      </c>
    </row>
    <row r="130" customFormat="false" ht="17.15" hidden="false" customHeight="false" outlineLevel="0" collapsed="false">
      <c r="A130" s="3" t="s">
        <v>607</v>
      </c>
      <c r="B130" s="0" t="s">
        <v>302</v>
      </c>
      <c r="D130" s="21" t="n">
        <f aca="false">D129-D127</f>
        <v>48.77792937612</v>
      </c>
      <c r="E130" s="21" t="n">
        <f aca="false">$D130*(itc_27/itc_26)^el_o*1*1*E121*E122</f>
        <v>72.4686721045733</v>
      </c>
      <c r="F130" s="21" t="n">
        <f aca="false">$D130*(itc_28/itc_26)^el_o*um28_B*1*F121*F122</f>
        <v>62.0094502957948</v>
      </c>
      <c r="G130" s="21" t="n">
        <f aca="false">$D130*(itc_29/itc_26)^el_o*um29_B*1*G121*G122</f>
        <v>66.6189410768228</v>
      </c>
      <c r="K130" s="7" t="s">
        <v>608</v>
      </c>
    </row>
    <row r="131" customFormat="false" ht="17.15" hidden="false" customHeight="false" outlineLevel="0" collapsed="false">
      <c r="A131" s="3" t="s">
        <v>609</v>
      </c>
      <c r="B131" s="0" t="s">
        <v>302</v>
      </c>
      <c r="D131" s="21" t="n">
        <f aca="false">a26_abf-D129</f>
        <v>24.94557625</v>
      </c>
      <c r="E131" s="21" t="n">
        <f aca="false">D131*(1+g_nai)</f>
        <v>25.6939435375</v>
      </c>
      <c r="F131" s="21" t="n">
        <f aca="false">E131*(1+g_nai)</f>
        <v>26.464761843625</v>
      </c>
      <c r="G131" s="21" t="n">
        <f aca="false">F131*(1+g_nai)</f>
        <v>27.2587046989338</v>
      </c>
    </row>
    <row r="132" customFormat="false" ht="17.15" hidden="false" customHeight="false" outlineLevel="0" collapsed="false">
      <c r="A132" s="0" t="s">
        <v>610</v>
      </c>
      <c r="B132" s="0" t="s">
        <v>302</v>
      </c>
      <c r="D132" s="21" t="n">
        <f aca="false">D127+D130+D131</f>
        <v>99.782305</v>
      </c>
      <c r="E132" s="21" t="n">
        <f aca="false">E127+E130+E131</f>
        <v>150.971213417591</v>
      </c>
      <c r="F132" s="21" t="n">
        <f aca="false">F127+F130+F131</f>
        <v>143.732567039682</v>
      </c>
      <c r="G132" s="21" t="n">
        <f aca="false">G127+G130+G131</f>
        <v>170.909441258597</v>
      </c>
    </row>
    <row r="133" customFormat="false" ht="17.15" hidden="false" customHeight="false" outlineLevel="0" collapsed="false">
      <c r="A133" s="0" t="s">
        <v>611</v>
      </c>
      <c r="B133" s="0" t="s">
        <v>302</v>
      </c>
      <c r="D133" s="21" t="n">
        <f aca="false">a26_abf</f>
        <v>99.782305</v>
      </c>
      <c r="E133" s="21" t="n">
        <f aca="false">$D132*cap_27*(1+g_mix)^1*E121*E122</f>
        <v>148.513488204375</v>
      </c>
      <c r="F133" s="21" t="n">
        <f aca="false">$D132*cap_28*(1+g_mix)^2*F121*F122</f>
        <v>186.549442683384</v>
      </c>
      <c r="G133" s="21" t="n">
        <f aca="false">$D132*cap_29*(1+g_mix)^3*G121*G122</f>
        <v>218.314827660431</v>
      </c>
      <c r="K133" s="7" t="s">
        <v>612</v>
      </c>
    </row>
    <row r="134" customFormat="false" ht="17.15" hidden="false" customHeight="false" outlineLevel="0" collapsed="false">
      <c r="A134" s="0" t="s">
        <v>613</v>
      </c>
      <c r="B134" s="0" t="s">
        <v>302</v>
      </c>
      <c r="D134" s="21" t="n">
        <f aca="false">a26_abf</f>
        <v>99.782305</v>
      </c>
      <c r="E134" s="21" t="n">
        <f aca="false">MIN(E132,E133)</f>
        <v>148.513488204375</v>
      </c>
      <c r="F134" s="21" t="n">
        <f aca="false">MIN(F132,F133)</f>
        <v>143.732567039682</v>
      </c>
      <c r="G134" s="21" t="n">
        <f aca="false">MIN(G132,G133)</f>
        <v>170.909441258597</v>
      </c>
    </row>
    <row r="135" customFormat="false" ht="17.15" hidden="false" customHeight="false" outlineLevel="0" collapsed="false">
      <c r="A135" s="3" t="s">
        <v>614</v>
      </c>
      <c r="B135" s="0" t="s">
        <v>44</v>
      </c>
      <c r="D135" s="20" t="n">
        <f aca="false">D134/D132</f>
        <v>1</v>
      </c>
      <c r="E135" s="20" t="n">
        <f aca="false">E134/E132</f>
        <v>0.983720570580444</v>
      </c>
      <c r="F135" s="20" t="n">
        <f aca="false">F134/F132</f>
        <v>1</v>
      </c>
      <c r="G135" s="20" t="n">
        <f aca="false">G134/G132</f>
        <v>1</v>
      </c>
    </row>
    <row r="136" customFormat="false" ht="17.15" hidden="false" customHeight="false" outlineLevel="0" collapsed="false">
      <c r="A136" s="0" t="s">
        <v>615</v>
      </c>
      <c r="B136" s="0" t="s">
        <v>302</v>
      </c>
      <c r="D136" s="21" t="n">
        <f aca="false">(D127+D130)*D135</f>
        <v>74.83672875</v>
      </c>
      <c r="E136" s="21" t="n">
        <f aca="false">(E127+E130)*E135</f>
        <v>123.237827407204</v>
      </c>
      <c r="F136" s="21" t="n">
        <f aca="false">(F127+F130)*F135</f>
        <v>117.267805196057</v>
      </c>
      <c r="G136" s="21" t="n">
        <f aca="false">(G127+G130)*G135</f>
        <v>143.650736559663</v>
      </c>
    </row>
    <row r="137" customFormat="false" ht="17.15" hidden="false" customHeight="false" outlineLevel="0" collapsed="false">
      <c r="A137" s="3" t="s">
        <v>616</v>
      </c>
      <c r="B137" s="0" t="s">
        <v>44</v>
      </c>
      <c r="D137" s="20" t="n">
        <f aca="false">D127/(D127+D130)</f>
        <v>0.348208691228771</v>
      </c>
      <c r="E137" s="20" t="n">
        <f aca="false">E127/(E127+E130)</f>
        <v>0.421533753298293</v>
      </c>
      <c r="F137" s="20" t="n">
        <f aca="false">F127/(F127+F130)</f>
        <v>0.471215051802813</v>
      </c>
      <c r="G137" s="20" t="n">
        <f aca="false">G127/(G127+G130)</f>
        <v>0.536243651287136</v>
      </c>
    </row>
    <row r="138" customFormat="false" ht="17.15" hidden="false" customHeight="false" outlineLevel="0" collapsed="false">
      <c r="A138" s="5" t="s">
        <v>617</v>
      </c>
    </row>
    <row r="139" customFormat="false" ht="17.15" hidden="false" customHeight="false" outlineLevel="0" collapsed="false">
      <c r="A139" s="0" t="s">
        <v>519</v>
      </c>
      <c r="B139" s="0" t="s">
        <v>302</v>
      </c>
      <c r="D139" s="21" t="n">
        <f aca="false">a26_bt</f>
        <v>16.944165</v>
      </c>
      <c r="E139" s="21" t="n">
        <f aca="false">D139*(1+g_bt)</f>
        <v>17.79137325</v>
      </c>
      <c r="F139" s="21" t="n">
        <f aca="false">E139*(1+g_bt)</f>
        <v>18.6809419125</v>
      </c>
      <c r="G139" s="21" t="n">
        <f aca="false">F139*(1+g_bt)</f>
        <v>19.614989008125</v>
      </c>
    </row>
    <row r="140" customFormat="false" ht="17.15" hidden="false" customHeight="false" outlineLevel="0" collapsed="false">
      <c r="A140" s="0" t="s">
        <v>618</v>
      </c>
      <c r="B140" s="0" t="s">
        <v>302</v>
      </c>
      <c r="D140" s="21" t="n">
        <f aca="false">a26_pcb*ai_pcb</f>
        <v>37.93610275</v>
      </c>
      <c r="E140" s="21" t="n">
        <f aca="false">D140*(1+g_pai_27)</f>
        <v>45.5233233</v>
      </c>
      <c r="F140" s="21" t="n">
        <f aca="false">D140*(1+g_pai_27)*(1+g_pai_28)*um28_B</f>
        <v>41.881457436</v>
      </c>
      <c r="G140" s="21" t="n">
        <f aca="false">D140*(1+g_pai_27)*(1+g_pai_28)*(1+g_pai_29)*um29_B</f>
        <v>48.948953378325</v>
      </c>
      <c r="K140" s="3" t="s">
        <v>619</v>
      </c>
    </row>
    <row r="141" customFormat="false" ht="17.15" hidden="false" customHeight="false" outlineLevel="0" collapsed="false">
      <c r="A141" s="3" t="s">
        <v>620</v>
      </c>
      <c r="B141" s="0" t="s">
        <v>302</v>
      </c>
      <c r="D141" s="21" t="n">
        <f aca="false">a26_pcb*(1-ai_pcb)</f>
        <v>20.42713225</v>
      </c>
      <c r="E141" s="21" t="n">
        <f aca="false">D141*(1+g_pcbn)</f>
        <v>20.835674895</v>
      </c>
      <c r="F141" s="21" t="n">
        <f aca="false">E141*(1+g_pcbn)</f>
        <v>21.2523883929</v>
      </c>
      <c r="G141" s="21" t="n">
        <f aca="false">F141*(1+g_pcbn)</f>
        <v>21.677436160758</v>
      </c>
    </row>
    <row r="142" customFormat="false" ht="15" hidden="false" customHeight="false" outlineLevel="0" collapsed="false">
      <c r="A142" s="3" t="s">
        <v>521</v>
      </c>
      <c r="B142" s="0" t="s">
        <v>302</v>
      </c>
      <c r="D142" s="21" t="n">
        <f aca="false">a26_fpc</f>
        <v>13.178795</v>
      </c>
      <c r="E142" s="21" t="n">
        <f aca="false">D142*(1+g_fpc)</f>
        <v>13.178795</v>
      </c>
      <c r="F142" s="21" t="n">
        <f aca="false">E142*(1+g_fpc)</f>
        <v>13.178795</v>
      </c>
      <c r="G142" s="21" t="n">
        <f aca="false">F142*(1+g_fpc)</f>
        <v>13.178795</v>
      </c>
    </row>
    <row r="143" customFormat="false" ht="17.15" hidden="false" customHeight="false" outlineLevel="0" collapsed="false">
      <c r="A143" s="3" t="s">
        <v>484</v>
      </c>
      <c r="B143" s="0" t="s">
        <v>302</v>
      </c>
      <c r="C143" s="23" t="n">
        <f aca="false">a25_rev</f>
        <v>131.241</v>
      </c>
      <c r="D143" s="23" t="n">
        <f aca="false">D134+D139+D140+D141+D142</f>
        <v>188.2685</v>
      </c>
      <c r="E143" s="23" t="n">
        <f aca="false">E134+E139+E140+E141+E142</f>
        <v>245.842654649375</v>
      </c>
      <c r="F143" s="23" t="n">
        <f aca="false">F134+F139+F140+F141+F142</f>
        <v>238.726149781082</v>
      </c>
      <c r="G143" s="23" t="n">
        <f aca="false">G134+G139+G140+G141+G142</f>
        <v>274.329614805805</v>
      </c>
      <c r="H143" s="25" t="n">
        <f aca="false">G143*(1+H144)</f>
        <v>305.262904994618</v>
      </c>
      <c r="I143" s="25" t="n">
        <f aca="false">H143*(1+I144)</f>
        <v>328.578820483365</v>
      </c>
      <c r="J143" s="25" t="n">
        <f aca="false">I143*(1+J144)</f>
        <v>341.7219733027</v>
      </c>
      <c r="K143" s="7" t="s">
        <v>621</v>
      </c>
    </row>
    <row r="144" customFormat="false" ht="15" hidden="false" customHeight="false" outlineLevel="0" collapsed="false">
      <c r="A144" s="3" t="s">
        <v>622</v>
      </c>
      <c r="B144" s="0" t="s">
        <v>44</v>
      </c>
      <c r="D144" s="20" t="n">
        <f aca="false">D143/C143-1</f>
        <v>0.434525034097576</v>
      </c>
      <c r="E144" s="20" t="n">
        <f aca="false">E143/D143-1</f>
        <v>0.30580875</v>
      </c>
      <c r="F144" s="20" t="n">
        <f aca="false">F143/E143-1</f>
        <v>-0.0289473967747489</v>
      </c>
      <c r="G144" s="20" t="n">
        <f aca="false">G143/F143-1</f>
        <v>0.149139359292528</v>
      </c>
      <c r="H144" s="26" t="n">
        <f aca="false">$G144+(fade_gB-$G144)*1/3</f>
        <v>0.112759572861685</v>
      </c>
      <c r="I144" s="26" t="n">
        <f aca="false">$G144+(fade_gB-$G144)*2/3</f>
        <v>0.0763797864308426</v>
      </c>
      <c r="J144" s="26" t="n">
        <f aca="false">$G144+(fade_gB-$G144)*3/3</f>
        <v>0.04</v>
      </c>
    </row>
    <row r="145" customFormat="false" ht="17.15" hidden="false" customHeight="false" outlineLevel="0" collapsed="false">
      <c r="A145" s="0" t="s">
        <v>623</v>
      </c>
      <c r="B145" s="0" t="s">
        <v>44</v>
      </c>
      <c r="D145" s="20" t="n">
        <f aca="false">D134/D143</f>
        <v>0.53</v>
      </c>
      <c r="E145" s="20" t="n">
        <f aca="false">E134/E143</f>
        <v>0.604099758100105</v>
      </c>
      <c r="F145" s="20" t="n">
        <f aca="false">F134/F143</f>
        <v>0.60208136884664</v>
      </c>
      <c r="G145" s="20" t="n">
        <f aca="false">G134/G143</f>
        <v>0.623007623072638</v>
      </c>
    </row>
    <row r="146" customFormat="false" ht="17.15" hidden="false" customHeight="false" outlineLevel="0" collapsed="false">
      <c r="A146" s="0" t="s">
        <v>624</v>
      </c>
      <c r="B146" s="0" t="s">
        <v>44</v>
      </c>
      <c r="D146" s="20" t="n">
        <f aca="false">(D136+D140)/D143</f>
        <v>0.599</v>
      </c>
      <c r="E146" s="20" t="n">
        <f aca="false">(E136+E140)/E143</f>
        <v>0.68646000812143</v>
      </c>
      <c r="F146" s="20" t="n">
        <f aca="false">(F136+F140)/F143</f>
        <v>0.666660367027244</v>
      </c>
      <c r="G146" s="20" t="n">
        <f aca="false">(G136+G140)/G143</f>
        <v>0.702073999828008</v>
      </c>
      <c r="K146" s="3" t="s">
        <v>625</v>
      </c>
    </row>
    <row r="147" customFormat="false" ht="17.15" hidden="false" customHeight="false" outlineLevel="0" collapsed="false">
      <c r="A147" s="5" t="s">
        <v>626</v>
      </c>
    </row>
    <row r="148" customFormat="false" ht="15" hidden="false" customHeight="false" outlineLevel="0" collapsed="false">
      <c r="A148" s="3" t="s">
        <v>627</v>
      </c>
      <c r="B148" s="0" t="s">
        <v>302</v>
      </c>
      <c r="C148" s="23" t="n">
        <f aca="false">a25_cx</f>
        <v>25.617</v>
      </c>
      <c r="D148" s="23" t="n">
        <f aca="false">capex26</f>
        <v>53.7</v>
      </c>
      <c r="E148" s="23" t="n">
        <f aca="false">cx27_B</f>
        <v>48</v>
      </c>
      <c r="F148" s="23" t="n">
        <f aca="false">cx28_B</f>
        <v>42</v>
      </c>
      <c r="G148" s="23" t="n">
        <f aca="false">cx29_B</f>
        <v>38</v>
      </c>
      <c r="H148" s="25" t="n">
        <f aca="false">H143*H165</f>
        <v>41.0226114368822</v>
      </c>
      <c r="I148" s="25" t="n">
        <f aca="false">I143*I165</f>
        <v>42.7972468418755</v>
      </c>
      <c r="J148" s="25" t="n">
        <f aca="false">J143*J165</f>
        <v>43.0961273043436</v>
      </c>
    </row>
    <row r="149" customFormat="false" ht="17.15" hidden="false" customHeight="false" outlineLevel="0" collapsed="false">
      <c r="A149" s="3" t="s">
        <v>628</v>
      </c>
      <c r="B149" s="0" t="s">
        <v>302</v>
      </c>
      <c r="C149" s="23" t="n">
        <f aca="false">a25_da</f>
        <v>18.8</v>
      </c>
      <c r="D149" s="23" t="n">
        <f aca="false">da26</f>
        <v>20.8</v>
      </c>
      <c r="E149" s="23" t="n">
        <f aca="false">D149*(1-1/life)+D148/life</f>
        <v>24.9125</v>
      </c>
      <c r="F149" s="23" t="n">
        <f aca="false">E149*(1-1/life)+E148/life</f>
        <v>27.7984375</v>
      </c>
      <c r="G149" s="23" t="n">
        <f aca="false">F149*(1-1/life)+F148/life</f>
        <v>29.5736328125</v>
      </c>
      <c r="H149" s="25" t="n">
        <f aca="false">H143*H150</f>
        <v>32.9083430164058</v>
      </c>
      <c r="I149" s="25" t="n">
        <f aca="false">I143*I150</f>
        <v>35.4218752277918</v>
      </c>
      <c r="J149" s="25" t="n">
        <f aca="false">J143*J150</f>
        <v>36.8387502369035</v>
      </c>
      <c r="K149" s="3" t="s">
        <v>629</v>
      </c>
    </row>
    <row r="150" customFormat="false" ht="17.15" hidden="false" customHeight="false" outlineLevel="0" collapsed="false">
      <c r="A150" s="3" t="s">
        <v>630</v>
      </c>
      <c r="B150" s="0" t="s">
        <v>44</v>
      </c>
      <c r="C150" s="20" t="n">
        <f aca="false">C149/C143</f>
        <v>0.143247917952469</v>
      </c>
      <c r="D150" s="20" t="n">
        <f aca="false">D149/D143</f>
        <v>0.110480510547436</v>
      </c>
      <c r="E150" s="20" t="n">
        <f aca="false">E149/E143</f>
        <v>0.101335140704247</v>
      </c>
      <c r="F150" s="20" t="n">
        <f aca="false">F149/F143</f>
        <v>0.116444878474737</v>
      </c>
      <c r="G150" s="20" t="n">
        <f aca="false">G149/G143</f>
        <v>0.107803281951294</v>
      </c>
      <c r="H150" s="26" t="n">
        <f aca="false">$G150</f>
        <v>0.107803281951294</v>
      </c>
      <c r="I150" s="26" t="n">
        <f aca="false">$G150</f>
        <v>0.107803281951294</v>
      </c>
      <c r="J150" s="26" t="n">
        <f aca="false">$G150</f>
        <v>0.107803281951294</v>
      </c>
    </row>
    <row r="151" customFormat="false" ht="17.15" hidden="false" customHeight="false" outlineLevel="0" collapsed="false">
      <c r="A151" s="3" t="s">
        <v>631</v>
      </c>
      <c r="B151" s="0" t="s">
        <v>302</v>
      </c>
      <c r="E151" s="21" t="n">
        <f aca="false">E136*(1-1/(E121*E122))</f>
        <v>5.86846797177161</v>
      </c>
      <c r="F151" s="21" t="n">
        <f aca="false">F136*(1-1/(F121*F122))</f>
        <v>-0.293904273674348</v>
      </c>
      <c r="G151" s="21" t="n">
        <f aca="false">G136*(1-1/(G121*G122))</f>
        <v>-8.36062487913381</v>
      </c>
      <c r="K151" s="7" t="s">
        <v>632</v>
      </c>
    </row>
    <row r="152" customFormat="false" ht="17.15" hidden="false" customHeight="false" outlineLevel="0" collapsed="false">
      <c r="A152" s="3" t="s">
        <v>633</v>
      </c>
      <c r="B152" s="0" t="s">
        <v>302</v>
      </c>
      <c r="C152" s="21" t="n">
        <f aca="false">a25_gp</f>
        <v>18.292</v>
      </c>
      <c r="D152" s="21" t="n">
        <f aca="false">a26_gp</f>
        <v>47.3329657</v>
      </c>
      <c r="E152" s="21" t="n">
        <f aca="false">$D152+ft_abf*(E134-E151-$D134)+ft_oth*((E143-E134)-($D143-$D134))+E151-(E149-$D149)</f>
        <v>72.7310341493233</v>
      </c>
      <c r="F152" s="21" t="n">
        <f aca="false">$D152+ft_abf*(F134-F151-$D134)+ft_oth*((F143-F134)-($D143-$D134))+F151-(F149-$D149)</f>
        <v>63.7895540183538</v>
      </c>
      <c r="G152" s="21" t="n">
        <f aca="false">$D152+ft_abf*(G134-G151-$D134)+ft_oth*((G143-G134)-($D143-$D134))+G151-(G149-$D149)</f>
        <v>73.6760832140334</v>
      </c>
      <c r="K152" s="3" t="s">
        <v>634</v>
      </c>
    </row>
    <row r="153" customFormat="false" ht="15" hidden="false" customHeight="false" outlineLevel="0" collapsed="false">
      <c r="A153" s="3" t="s">
        <v>491</v>
      </c>
      <c r="B153" s="0" t="s">
        <v>44</v>
      </c>
      <c r="C153" s="16" t="n">
        <f aca="false">C152/C143</f>
        <v>0.139377176339711</v>
      </c>
      <c r="D153" s="16" t="n">
        <f aca="false">D152/D143</f>
        <v>0.251412029627899</v>
      </c>
      <c r="E153" s="16" t="n">
        <f aca="false">E152/E143</f>
        <v>0.295843836591553</v>
      </c>
      <c r="F153" s="16" t="n">
        <f aca="false">F152/F143</f>
        <v>0.267208071159571</v>
      </c>
      <c r="G153" s="16" t="n">
        <f aca="false">G152/G143</f>
        <v>0.268567734716458</v>
      </c>
    </row>
    <row r="154" customFormat="false" ht="15" hidden="false" customHeight="false" outlineLevel="0" collapsed="false">
      <c r="A154" s="3" t="s">
        <v>493</v>
      </c>
      <c r="B154" s="0" t="s">
        <v>302</v>
      </c>
      <c r="C154" s="21" t="n">
        <f aca="false">a25_opx</f>
        <v>11.618</v>
      </c>
      <c r="D154" s="21" t="n">
        <f aca="false">a26_opx</f>
        <v>16.6539532</v>
      </c>
      <c r="E154" s="21" t="n">
        <f aca="false">D154*(1+phi*E144)</f>
        <v>19.7097079663903</v>
      </c>
      <c r="F154" s="21" t="n">
        <f aca="false">E154*(1+phi*F144)</f>
        <v>19.3673811242998</v>
      </c>
      <c r="G154" s="21" t="n">
        <f aca="false">F154*(1+phi*G144)</f>
        <v>21.1004444115311</v>
      </c>
    </row>
    <row r="155" customFormat="false" ht="15" hidden="false" customHeight="false" outlineLevel="0" collapsed="false">
      <c r="A155" s="3" t="s">
        <v>496</v>
      </c>
      <c r="B155" s="0" t="s">
        <v>302</v>
      </c>
      <c r="C155" s="21" t="n">
        <f aca="false">C152-C154</f>
        <v>6.674</v>
      </c>
      <c r="D155" s="21" t="n">
        <f aca="false">D152-D154</f>
        <v>30.6790125</v>
      </c>
      <c r="E155" s="21" t="n">
        <f aca="false">E152-E154</f>
        <v>53.021326182933</v>
      </c>
      <c r="F155" s="21" t="n">
        <f aca="false">F152-F154</f>
        <v>44.422172894054</v>
      </c>
      <c r="G155" s="21" t="n">
        <f aca="false">G152-G154</f>
        <v>52.5756388025023</v>
      </c>
    </row>
    <row r="156" customFormat="false" ht="15" hidden="false" customHeight="false" outlineLevel="0" collapsed="false">
      <c r="A156" s="3" t="s">
        <v>575</v>
      </c>
      <c r="B156" s="0" t="s">
        <v>44</v>
      </c>
      <c r="C156" s="16" t="n">
        <f aca="false">C155/C143</f>
        <v>0.0508530108731265</v>
      </c>
      <c r="D156" s="16" t="n">
        <f aca="false">D155/D143</f>
        <v>0.162953507888999</v>
      </c>
      <c r="E156" s="16" t="n">
        <f aca="false">E155/E143</f>
        <v>0.215671793239269</v>
      </c>
      <c r="F156" s="16" t="n">
        <f aca="false">F155/F143</f>
        <v>0.186080045838256</v>
      </c>
      <c r="G156" s="16" t="n">
        <f aca="false">G155/G143</f>
        <v>0.191651341907508</v>
      </c>
    </row>
    <row r="157" customFormat="false" ht="17.15" hidden="false" customHeight="false" outlineLevel="0" collapsed="false">
      <c r="A157" s="3" t="s">
        <v>635</v>
      </c>
      <c r="B157" s="0" t="s">
        <v>302</v>
      </c>
      <c r="C157" s="21" t="n">
        <f aca="false">a25_nonop</f>
        <v>-0.00100000000000033</v>
      </c>
      <c r="D157" s="21" t="n">
        <f aca="false">a26_nonop</f>
        <v>14.466</v>
      </c>
      <c r="E157" s="21" t="n">
        <f aca="false">nonop27</f>
        <v>2</v>
      </c>
      <c r="F157" s="21" t="n">
        <f aca="false">nonop28</f>
        <v>2</v>
      </c>
      <c r="G157" s="21" t="n">
        <f aca="false">nonop29</f>
        <v>2</v>
      </c>
      <c r="K157" s="7" t="s">
        <v>636</v>
      </c>
    </row>
    <row r="158" customFormat="false" ht="15" hidden="false" customHeight="false" outlineLevel="0" collapsed="false">
      <c r="A158" s="3" t="s">
        <v>502</v>
      </c>
      <c r="B158" s="0" t="s">
        <v>302</v>
      </c>
      <c r="C158" s="21" t="n">
        <f aca="false">C155+C157</f>
        <v>6.673</v>
      </c>
      <c r="D158" s="21" t="n">
        <f aca="false">D155+D157</f>
        <v>45.1450125</v>
      </c>
      <c r="E158" s="21" t="n">
        <f aca="false">E155+E157</f>
        <v>55.021326182933</v>
      </c>
      <c r="F158" s="21" t="n">
        <f aca="false">F155+F157</f>
        <v>46.422172894054</v>
      </c>
      <c r="G158" s="21" t="n">
        <f aca="false">G155+G157</f>
        <v>54.5756388025023</v>
      </c>
    </row>
    <row r="159" customFormat="false" ht="15" hidden="false" customHeight="false" outlineLevel="0" collapsed="false">
      <c r="A159" s="3" t="s">
        <v>506</v>
      </c>
      <c r="B159" s="0" t="s">
        <v>302</v>
      </c>
      <c r="E159" s="21" t="n">
        <f aca="false">E158*tax</f>
        <v>9.90383871292794</v>
      </c>
      <c r="F159" s="21" t="n">
        <f aca="false">F158*tax</f>
        <v>8.35599112092972</v>
      </c>
      <c r="G159" s="21" t="n">
        <f aca="false">G158*tax</f>
        <v>9.82361498445041</v>
      </c>
    </row>
    <row r="160" customFormat="false" ht="15" hidden="false" customHeight="false" outlineLevel="0" collapsed="false">
      <c r="A160" s="3" t="s">
        <v>504</v>
      </c>
      <c r="B160" s="0" t="s">
        <v>302</v>
      </c>
      <c r="C160" s="21" t="n">
        <f aca="false">a25_ni</f>
        <v>6.673</v>
      </c>
      <c r="D160" s="21" t="n">
        <f aca="false">a26_ni</f>
        <v>37.23923025</v>
      </c>
      <c r="E160" s="21" t="n">
        <f aca="false">E158-E159</f>
        <v>45.1174874700051</v>
      </c>
      <c r="F160" s="21" t="n">
        <f aca="false">F158-F159</f>
        <v>38.0661817731243</v>
      </c>
      <c r="G160" s="21" t="n">
        <f aca="false">G158-G159</f>
        <v>44.7520238180519</v>
      </c>
      <c r="H160" s="30" t="n">
        <f aca="false">H143*H164</f>
        <v>48.138301478189</v>
      </c>
      <c r="I160" s="30" t="n">
        <f aca="false">I143*I164</f>
        <v>50.0283672620215</v>
      </c>
      <c r="J160" s="30" t="n">
        <f aca="false">J143*J164</f>
        <v>50.1713054541987</v>
      </c>
    </row>
    <row r="161" customFormat="false" ht="15" hidden="false" customHeight="false" outlineLevel="0" collapsed="false">
      <c r="A161" s="3" t="s">
        <v>637</v>
      </c>
      <c r="B161" s="3" t="s">
        <v>380</v>
      </c>
      <c r="C161" s="29" t="n">
        <f aca="false">a25_sh</f>
        <v>1.52351598173516</v>
      </c>
      <c r="D161" s="29" t="n">
        <f aca="false">a26_sh</f>
        <v>1.59236316568047</v>
      </c>
      <c r="E161" s="29" t="n">
        <f aca="false">a26_shend*(1+sh_g)</f>
        <v>1.64</v>
      </c>
      <c r="F161" s="29" t="n">
        <f aca="false">E161*(1+sh_g)</f>
        <v>1.64</v>
      </c>
      <c r="G161" s="29" t="n">
        <f aca="false">F161*(1+sh_g)</f>
        <v>1.64</v>
      </c>
      <c r="H161" s="31" t="n">
        <f aca="false">G161*(1+sh_g)</f>
        <v>1.64</v>
      </c>
      <c r="I161" s="31" t="n">
        <f aca="false">H161*(1+sh_g)</f>
        <v>1.64</v>
      </c>
      <c r="J161" s="31" t="n">
        <f aca="false">I161*(1+sh_g)</f>
        <v>1.64</v>
      </c>
    </row>
    <row r="162" customFormat="false" ht="17.15" hidden="false" customHeight="false" outlineLevel="0" collapsed="false">
      <c r="A162" s="0" t="s">
        <v>509</v>
      </c>
      <c r="B162" s="0" t="s">
        <v>386</v>
      </c>
      <c r="C162" s="18" t="n">
        <f aca="false">C160/C161</f>
        <v>4.38</v>
      </c>
      <c r="D162" s="18" t="n">
        <f aca="false">D160/D161</f>
        <v>23.3861414610695</v>
      </c>
      <c r="E162" s="18" t="n">
        <f aca="false">E160/E161</f>
        <v>27.5106630914665</v>
      </c>
      <c r="F162" s="18" t="n">
        <f aca="false">F160/F161</f>
        <v>23.211086447027</v>
      </c>
      <c r="G162" s="18" t="n">
        <f aca="false">G160/G161</f>
        <v>27.2878194012511</v>
      </c>
      <c r="H162" s="28" t="n">
        <f aca="false">H160/H161</f>
        <v>29.3526228525542</v>
      </c>
      <c r="I162" s="28" t="n">
        <f aca="false">I160/I161</f>
        <v>30.5051019890375</v>
      </c>
      <c r="J162" s="28" t="n">
        <f aca="false">J160/J161</f>
        <v>30.5922594232919</v>
      </c>
    </row>
    <row r="163" customFormat="false" ht="17.15" hidden="false" customHeight="false" outlineLevel="0" collapsed="false">
      <c r="A163" s="0" t="s">
        <v>638</v>
      </c>
      <c r="B163" s="0" t="s">
        <v>44</v>
      </c>
      <c r="D163" s="20" t="n">
        <f aca="false">D162/C162-1</f>
        <v>4.33930170344053</v>
      </c>
      <c r="E163" s="20" t="n">
        <f aca="false">E162/D162-1</f>
        <v>0.176366060098585</v>
      </c>
      <c r="F163" s="20" t="n">
        <f aca="false">F162/E162-1</f>
        <v>-0.156287641273655</v>
      </c>
      <c r="G163" s="20" t="n">
        <f aca="false">G162/F162-1</f>
        <v>0.175637317259068</v>
      </c>
      <c r="H163" s="26" t="n">
        <f aca="false">H162/G162-1</f>
        <v>0.0756675870996291</v>
      </c>
      <c r="I163" s="26" t="n">
        <f aca="false">I162/H162-1</f>
        <v>0.0392632420711585</v>
      </c>
      <c r="J163" s="26" t="n">
        <f aca="false">J162/I162-1</f>
        <v>0.00285714285714267</v>
      </c>
    </row>
    <row r="164" customFormat="false" ht="17.15" hidden="false" customHeight="false" outlineLevel="0" collapsed="false">
      <c r="A164" s="3" t="s">
        <v>639</v>
      </c>
      <c r="B164" s="0" t="s">
        <v>44</v>
      </c>
      <c r="C164" s="16" t="n">
        <f aca="false">C160/C143</f>
        <v>0.0508453913030227</v>
      </c>
      <c r="D164" s="16" t="n">
        <f aca="false">D160/D143</f>
        <v>0.197798517808343</v>
      </c>
      <c r="E164" s="16" t="n">
        <f aca="false">E160/E143</f>
        <v>0.18352180395364</v>
      </c>
      <c r="F164" s="16" t="n">
        <f aca="false">F160/F143</f>
        <v>0.159455433801584</v>
      </c>
      <c r="G164" s="16" t="n">
        <f aca="false">G160/G143</f>
        <v>0.16313231019455</v>
      </c>
      <c r="H164" s="27" t="n">
        <f aca="false">$G164+(fade_mB-$G164)*1/3</f>
        <v>0.157694566521398</v>
      </c>
      <c r="I164" s="27" t="n">
        <f aca="false">$G164+(fade_mB-$G164)*2/3</f>
        <v>0.152256822848246</v>
      </c>
      <c r="J164" s="27" t="n">
        <f aca="false">$G164+(fade_mB-$G164)*3/3</f>
        <v>0.146819079175095</v>
      </c>
    </row>
    <row r="165" customFormat="false" ht="17.15" hidden="false" customHeight="false" outlineLevel="0" collapsed="false">
      <c r="A165" s="3" t="s">
        <v>640</v>
      </c>
      <c r="B165" s="0" t="s">
        <v>44</v>
      </c>
      <c r="C165" s="20" t="n">
        <f aca="false">C148/C143</f>
        <v>0.195190527350447</v>
      </c>
      <c r="D165" s="20" t="n">
        <f aca="false">D148/D143</f>
        <v>0.285230933480641</v>
      </c>
      <c r="E165" s="20" t="n">
        <f aca="false">E148/E143</f>
        <v>0.195246834071404</v>
      </c>
      <c r="F165" s="20" t="n">
        <f aca="false">F148/F143</f>
        <v>0.175933805485972</v>
      </c>
      <c r="G165" s="20" t="n">
        <f aca="false">G148/G143</f>
        <v>0.138519496070083</v>
      </c>
      <c r="H165" s="26" t="n">
        <f aca="false">$G165+($G150*(1+tp_g)^(life/2)-$G165)*1/3</f>
        <v>0.134384528108994</v>
      </c>
      <c r="I165" s="26" t="n">
        <f aca="false">$G165+($G150*(1+tp_g)^(life/2)-$G165)*2/3</f>
        <v>0.130249560147904</v>
      </c>
      <c r="J165" s="26" t="n">
        <f aca="false">$G165+($G150*(1+tp_g)^(life/2)-$G165)*3/3</f>
        <v>0.126114592186815</v>
      </c>
      <c r="K165" s="7" t="s">
        <v>641</v>
      </c>
    </row>
    <row r="166" customFormat="false" ht="15" hidden="false" customHeight="false" outlineLevel="0" collapsed="false">
      <c r="A166" s="3" t="s">
        <v>642</v>
      </c>
      <c r="B166" s="0" t="s">
        <v>302</v>
      </c>
      <c r="E166" s="21" t="n">
        <f aca="false">E160+E149-E148</f>
        <v>22.0299874700051</v>
      </c>
      <c r="F166" s="21" t="n">
        <f aca="false">F160+F149-F148</f>
        <v>23.8646192731243</v>
      </c>
      <c r="G166" s="21" t="n">
        <f aca="false">G160+G149-G148</f>
        <v>36.3256566305519</v>
      </c>
      <c r="H166" s="30" t="n">
        <f aca="false">H160+H149-H148</f>
        <v>40.0240330577126</v>
      </c>
      <c r="I166" s="30" t="n">
        <f aca="false">I160+I149-I148</f>
        <v>42.6529956479379</v>
      </c>
      <c r="J166" s="30" t="n">
        <f aca="false">J160+J149-J148</f>
        <v>43.9139283867586</v>
      </c>
      <c r="K166" s="3" t="s">
        <v>643</v>
      </c>
    </row>
    <row r="167" customFormat="false" ht="15" hidden="false" customHeight="false" outlineLevel="0" collapsed="false">
      <c r="A167" s="3" t="s">
        <v>644</v>
      </c>
      <c r="B167" s="0" t="s">
        <v>386</v>
      </c>
      <c r="E167" s="18" t="n">
        <f aca="false">E166/E161</f>
        <v>13.4329191890275</v>
      </c>
      <c r="F167" s="18" t="n">
        <f aca="false">F166/F161</f>
        <v>14.5515971177587</v>
      </c>
      <c r="G167" s="18" t="n">
        <f aca="false">G166/G161</f>
        <v>22.1497906283853</v>
      </c>
      <c r="H167" s="28" t="n">
        <f aca="false">H166/H161</f>
        <v>24.4048982059223</v>
      </c>
      <c r="I167" s="28" t="n">
        <f aca="false">I166/I161</f>
        <v>26.0079241755719</v>
      </c>
      <c r="J167" s="28" t="n">
        <f aca="false">J166/J161</f>
        <v>26.7767856016821</v>
      </c>
    </row>
    <row r="170" customFormat="false" ht="17.15" hidden="false" customHeight="false" outlineLevel="0" collapsed="false">
      <c r="A170" s="1" t="s">
        <v>646</v>
      </c>
    </row>
    <row r="171" customFormat="false" ht="17.15" hidden="false" customHeight="false" outlineLevel="0" collapsed="false">
      <c r="A171" s="4" t="s">
        <v>21</v>
      </c>
      <c r="B171" s="4" t="s">
        <v>22</v>
      </c>
      <c r="C171" s="13" t="s">
        <v>477</v>
      </c>
      <c r="D171" s="13" t="s">
        <v>562</v>
      </c>
      <c r="E171" s="13" t="s">
        <v>563</v>
      </c>
      <c r="F171" s="13" t="s">
        <v>564</v>
      </c>
      <c r="G171" s="13" t="s">
        <v>565</v>
      </c>
      <c r="H171" s="13" t="s">
        <v>566</v>
      </c>
      <c r="I171" s="13" t="s">
        <v>567</v>
      </c>
      <c r="J171" s="13" t="s">
        <v>568</v>
      </c>
      <c r="K171" s="4" t="s">
        <v>533</v>
      </c>
    </row>
    <row r="172" customFormat="false" ht="17.15" hidden="false" customHeight="false" outlineLevel="0" collapsed="false">
      <c r="A172" s="5" t="s">
        <v>586</v>
      </c>
    </row>
    <row r="173" customFormat="false" ht="17.15" hidden="false" customHeight="false" outlineLevel="0" collapsed="false">
      <c r="A173" s="0" t="s">
        <v>587</v>
      </c>
      <c r="B173" s="3" t="s">
        <v>32</v>
      </c>
      <c r="D173" s="21" t="n">
        <f aca="false">(u_bw_26+u_rb_26+u_ru_26+u_hp_26)*1</f>
        <v>7.6</v>
      </c>
      <c r="E173" s="21" t="n">
        <f aca="false">(u_bw_27+u_rb_27+u_ru_27+u_hp_27)*1*1</f>
        <v>9.7</v>
      </c>
      <c r="F173" s="21" t="n">
        <f aca="false">(u_bw_28+u_rb_28+u_ru_28+u_hp_28)*um28_C*1</f>
        <v>5.7</v>
      </c>
      <c r="G173" s="21" t="n">
        <f aca="false">(u_bw_28*(1+g29_bw)+u_rb_28*(1+g29_rb)+u_ru_28*(1+g29_ru)+u_hp_28*(1+g29_hp))*um29_C*1</f>
        <v>6.36</v>
      </c>
      <c r="K173" s="7" t="s">
        <v>588</v>
      </c>
    </row>
    <row r="174" customFormat="false" ht="17.15" hidden="false" customHeight="false" outlineLevel="0" collapsed="false">
      <c r="A174" s="3" t="s">
        <v>589</v>
      </c>
      <c r="B174" s="3" t="s">
        <v>32</v>
      </c>
      <c r="D174" s="21" t="n">
        <f aca="false">(u_amd_26+u_tpu_26+u_trn_26+u_oth_26)*1</f>
        <v>7.6</v>
      </c>
      <c r="E174" s="21" t="n">
        <f aca="false">(u_amd_27+u_tpu_27+u_trn_27+u_oth_27)*1*1</f>
        <v>14</v>
      </c>
      <c r="F174" s="21" t="n">
        <f aca="false">(u_amd_28+u_tpu_28+u_trn_28+u_oth_28)*um28_C*1</f>
        <v>10.2</v>
      </c>
      <c r="G174" s="21" t="n">
        <f aca="false">(u_amd_28*(1+g29_amd)+u_tpu_28*(1+g29_tpu)+u_trn_28*(1+g29_trn)+u_oth_28*(1+g29_oth))*um29_C*1</f>
        <v>11.73</v>
      </c>
      <c r="K174" s="7" t="s">
        <v>590</v>
      </c>
    </row>
    <row r="175" customFormat="false" ht="17.15" hidden="false" customHeight="false" outlineLevel="0" collapsed="false">
      <c r="A175" s="3" t="s">
        <v>591</v>
      </c>
      <c r="B175" s="0" t="s">
        <v>144</v>
      </c>
      <c r="D175" s="19" t="n">
        <f aca="false">1</f>
        <v>1</v>
      </c>
      <c r="E175" s="19" t="n">
        <f aca="false">D175*(1+g_asp)</f>
        <v>1.18</v>
      </c>
      <c r="F175" s="19" t="n">
        <f aca="false">E175*(1+g_asp)</f>
        <v>1.3924</v>
      </c>
      <c r="G175" s="19" t="n">
        <f aca="false">F175*(1+g_asp)</f>
        <v>1.643032</v>
      </c>
      <c r="K175" s="7" t="s">
        <v>592</v>
      </c>
    </row>
    <row r="176" customFormat="false" ht="17.15" hidden="false" customHeight="false" outlineLevel="0" collapsed="false">
      <c r="A176" s="0" t="s">
        <v>593</v>
      </c>
      <c r="B176" s="0" t="s">
        <v>144</v>
      </c>
      <c r="D176" s="18" t="n">
        <f aca="false">1</f>
        <v>1</v>
      </c>
      <c r="E176" s="18" t="n">
        <f aca="false">ibpp_27</f>
        <v>1</v>
      </c>
      <c r="F176" s="18" t="n">
        <f aca="false">ibpp_28</f>
        <v>0.95</v>
      </c>
      <c r="G176" s="18" t="n">
        <f aca="false">ibpp_29</f>
        <v>0.9</v>
      </c>
      <c r="K176" s="7" t="s">
        <v>594</v>
      </c>
    </row>
    <row r="177" customFormat="false" ht="17.15" hidden="false" customHeight="false" outlineLevel="0" collapsed="false">
      <c r="A177" s="3" t="s">
        <v>595</v>
      </c>
      <c r="B177" s="0" t="s">
        <v>144</v>
      </c>
      <c r="D177" s="18" t="n">
        <f aca="false">1</f>
        <v>1</v>
      </c>
      <c r="E177" s="18" t="n">
        <f aca="false">1+carry</f>
        <v>1.05</v>
      </c>
      <c r="F177" s="18" t="n">
        <f aca="false">1+carry</f>
        <v>1.05</v>
      </c>
      <c r="G177" s="18" t="n">
        <f aca="false">1+carry</f>
        <v>1.05</v>
      </c>
      <c r="K177" s="7" t="s">
        <v>596</v>
      </c>
    </row>
    <row r="178" customFormat="false" ht="17.15" hidden="false" customHeight="false" outlineLevel="0" collapsed="false">
      <c r="A178" s="3" t="s">
        <v>597</v>
      </c>
      <c r="B178" s="0" t="s">
        <v>598</v>
      </c>
      <c r="D178" s="23" t="n">
        <f aca="false">v26*D175*D176</f>
        <v>215.308596</v>
      </c>
      <c r="E178" s="23" t="n">
        <f aca="false">v26*E175*E176</f>
        <v>254.06414328</v>
      </c>
      <c r="F178" s="23" t="n">
        <f aca="false">v26*F175*F176</f>
        <v>284.80590461688</v>
      </c>
      <c r="G178" s="23" t="n">
        <f aca="false">v26*G175*G176</f>
        <v>318.383021792765</v>
      </c>
      <c r="K178" s="7" t="s">
        <v>599</v>
      </c>
    </row>
    <row r="179" customFormat="false" ht="17.15" hidden="false" customHeight="false" outlineLevel="0" collapsed="false">
      <c r="A179" s="3" t="s">
        <v>600</v>
      </c>
      <c r="B179" s="0" t="s">
        <v>44</v>
      </c>
      <c r="D179" s="20" t="n">
        <f aca="false">sh_nv_26</f>
        <v>0.25</v>
      </c>
      <c r="E179" s="20" t="n">
        <f aca="false">sh_nv_27</f>
        <v>0.27</v>
      </c>
      <c r="F179" s="20" t="n">
        <f aca="false">sh_nv_28</f>
        <v>0.29</v>
      </c>
      <c r="G179" s="20" t="n">
        <f aca="false">sh_nv_29</f>
        <v>0.3</v>
      </c>
    </row>
    <row r="180" customFormat="false" ht="17.15" hidden="false" customHeight="false" outlineLevel="0" collapsed="false">
      <c r="A180" s="3" t="s">
        <v>601</v>
      </c>
      <c r="B180" s="0" t="s">
        <v>44</v>
      </c>
      <c r="D180" s="20" t="n">
        <f aca="false">sh_ot_26</f>
        <v>0.3</v>
      </c>
      <c r="E180" s="20" t="n">
        <f aca="false">sh_ot_27</f>
        <v>0.31</v>
      </c>
      <c r="F180" s="20" t="n">
        <f aca="false">sh_ot_28</f>
        <v>0.32</v>
      </c>
      <c r="G180" s="20" t="n">
        <f aca="false">sh_ot_29</f>
        <v>0.33</v>
      </c>
    </row>
    <row r="181" customFormat="false" ht="17.15" hidden="false" customHeight="false" outlineLevel="0" collapsed="false">
      <c r="A181" s="3" t="s">
        <v>602</v>
      </c>
      <c r="B181" s="0" t="s">
        <v>552</v>
      </c>
      <c r="D181" s="22" t="n">
        <f aca="false">(D173*D178*D179+D174*D178*v_ot*D180)*D177</f>
        <v>801.809211504</v>
      </c>
      <c r="E181" s="22" t="n">
        <f aca="false">(E173*E178*E179+E174*E178*v_ot*E180)*E177</f>
        <v>1624.8799315544</v>
      </c>
      <c r="F181" s="22" t="n">
        <f aca="false">(F173*F178*F179+F174*F178*v_ot*F180)*F177</f>
        <v>1275.19280539066</v>
      </c>
      <c r="G181" s="22" t="n">
        <f aca="false">(G173*G178*G179+G174*G178*v_ot*G180)*G177</f>
        <v>1673.08877066802</v>
      </c>
    </row>
    <row r="182" customFormat="false" ht="15" hidden="false" customHeight="false" outlineLevel="0" collapsed="false">
      <c r="A182" s="3" t="s">
        <v>603</v>
      </c>
      <c r="B182" s="0" t="s">
        <v>302</v>
      </c>
      <c r="D182" s="21" t="n">
        <f aca="false">D181*fx/1000</f>
        <v>26.05879937388</v>
      </c>
      <c r="E182" s="21" t="n">
        <f aca="false">E181*fx/1000</f>
        <v>52.8085977755181</v>
      </c>
      <c r="F182" s="21" t="n">
        <f aca="false">F181*fx/1000</f>
        <v>41.4437661751966</v>
      </c>
      <c r="G182" s="21" t="n">
        <f aca="false">G181*fx/1000</f>
        <v>54.3753850467107</v>
      </c>
    </row>
    <row r="183" customFormat="false" ht="17.15" hidden="false" customHeight="false" outlineLevel="0" collapsed="false">
      <c r="A183" s="5" t="s">
        <v>604</v>
      </c>
    </row>
    <row r="184" customFormat="false" ht="17.15" hidden="false" customHeight="false" outlineLevel="0" collapsed="false">
      <c r="A184" s="0" t="s">
        <v>605</v>
      </c>
      <c r="B184" s="0" t="s">
        <v>302</v>
      </c>
      <c r="D184" s="21" t="n">
        <f aca="false">a26_abf*ai_abf</f>
        <v>74.83672875</v>
      </c>
      <c r="K184" s="3" t="s">
        <v>606</v>
      </c>
    </row>
    <row r="185" customFormat="false" ht="17.15" hidden="false" customHeight="false" outlineLevel="0" collapsed="false">
      <c r="A185" s="3" t="s">
        <v>607</v>
      </c>
      <c r="B185" s="0" t="s">
        <v>302</v>
      </c>
      <c r="D185" s="21" t="n">
        <f aca="false">D184-D182</f>
        <v>48.77792937612</v>
      </c>
      <c r="E185" s="21" t="n">
        <f aca="false">$D185*(itc_27/itc_26)^el_o*1*1*E176*E177</f>
        <v>72.4686721045733</v>
      </c>
      <c r="F185" s="21" t="n">
        <f aca="false">$D185*(itc_28/itc_26)^el_o*um28_C*1*F176*F177</f>
        <v>46.5070877218461</v>
      </c>
      <c r="G185" s="21" t="n">
        <f aca="false">$D185*(itc_29/itc_26)^el_o*um29_C*1*G176*G177</f>
        <v>47.0251348777572</v>
      </c>
      <c r="K185" s="7" t="s">
        <v>608</v>
      </c>
    </row>
    <row r="186" customFormat="false" ht="17.15" hidden="false" customHeight="false" outlineLevel="0" collapsed="false">
      <c r="A186" s="3" t="s">
        <v>609</v>
      </c>
      <c r="B186" s="0" t="s">
        <v>302</v>
      </c>
      <c r="D186" s="21" t="n">
        <f aca="false">a26_abf-D184</f>
        <v>24.94557625</v>
      </c>
      <c r="E186" s="21" t="n">
        <f aca="false">D186*(1+g_nai)</f>
        <v>25.6939435375</v>
      </c>
      <c r="F186" s="21" t="n">
        <f aca="false">E186*(1+g_nai)</f>
        <v>26.464761843625</v>
      </c>
      <c r="G186" s="21" t="n">
        <f aca="false">F186*(1+g_nai)</f>
        <v>27.2587046989338</v>
      </c>
    </row>
    <row r="187" customFormat="false" ht="17.15" hidden="false" customHeight="false" outlineLevel="0" collapsed="false">
      <c r="A187" s="0" t="s">
        <v>610</v>
      </c>
      <c r="B187" s="0" t="s">
        <v>302</v>
      </c>
      <c r="D187" s="21" t="n">
        <f aca="false">D182+D185+D186</f>
        <v>99.782305</v>
      </c>
      <c r="E187" s="21" t="n">
        <f aca="false">E182+E185+E186</f>
        <v>150.971213417591</v>
      </c>
      <c r="F187" s="21" t="n">
        <f aca="false">F182+F185+F186</f>
        <v>114.415615740668</v>
      </c>
      <c r="G187" s="21" t="n">
        <f aca="false">G182+G185+G186</f>
        <v>128.659224623402</v>
      </c>
    </row>
    <row r="188" customFormat="false" ht="17.15" hidden="false" customHeight="false" outlineLevel="0" collapsed="false">
      <c r="A188" s="0" t="s">
        <v>611</v>
      </c>
      <c r="B188" s="0" t="s">
        <v>302</v>
      </c>
      <c r="D188" s="21" t="n">
        <f aca="false">a26_abf</f>
        <v>99.782305</v>
      </c>
      <c r="E188" s="21" t="n">
        <f aca="false">$D187*cap_27*(1+g_mix)^1*E176*E177</f>
        <v>148.513488204375</v>
      </c>
      <c r="F188" s="21" t="n">
        <f aca="false">$D187*cap_28*(1+g_mix)^2*F176*F177</f>
        <v>186.549442683384</v>
      </c>
      <c r="G188" s="21" t="n">
        <f aca="false">$D187*cap_29*(1+g_mix)^3*G176*G177</f>
        <v>218.314827660431</v>
      </c>
      <c r="K188" s="7" t="s">
        <v>612</v>
      </c>
    </row>
    <row r="189" customFormat="false" ht="17.15" hidden="false" customHeight="false" outlineLevel="0" collapsed="false">
      <c r="A189" s="0" t="s">
        <v>613</v>
      </c>
      <c r="B189" s="0" t="s">
        <v>302</v>
      </c>
      <c r="D189" s="21" t="n">
        <f aca="false">a26_abf</f>
        <v>99.782305</v>
      </c>
      <c r="E189" s="21" t="n">
        <f aca="false">MIN(E187,E188)</f>
        <v>148.513488204375</v>
      </c>
      <c r="F189" s="21" t="n">
        <f aca="false">MIN(F187,F188)</f>
        <v>114.415615740668</v>
      </c>
      <c r="G189" s="21" t="n">
        <f aca="false">MIN(G187,G188)</f>
        <v>128.659224623402</v>
      </c>
    </row>
    <row r="190" customFormat="false" ht="17.15" hidden="false" customHeight="false" outlineLevel="0" collapsed="false">
      <c r="A190" s="3" t="s">
        <v>614</v>
      </c>
      <c r="B190" s="0" t="s">
        <v>44</v>
      </c>
      <c r="D190" s="20" t="n">
        <f aca="false">D189/D187</f>
        <v>1</v>
      </c>
      <c r="E190" s="20" t="n">
        <f aca="false">E189/E187</f>
        <v>0.983720570580444</v>
      </c>
      <c r="F190" s="20" t="n">
        <f aca="false">F189/F187</f>
        <v>1</v>
      </c>
      <c r="G190" s="20" t="n">
        <f aca="false">G189/G187</f>
        <v>1</v>
      </c>
    </row>
    <row r="191" customFormat="false" ht="17.15" hidden="false" customHeight="false" outlineLevel="0" collapsed="false">
      <c r="A191" s="0" t="s">
        <v>615</v>
      </c>
      <c r="B191" s="0" t="s">
        <v>302</v>
      </c>
      <c r="D191" s="21" t="n">
        <f aca="false">(D182+D185)*D190</f>
        <v>74.83672875</v>
      </c>
      <c r="E191" s="21" t="n">
        <f aca="false">(E182+E185)*E190</f>
        <v>123.237827407204</v>
      </c>
      <c r="F191" s="21" t="n">
        <f aca="false">(F182+F185)*F190</f>
        <v>87.9508538970427</v>
      </c>
      <c r="G191" s="21" t="n">
        <f aca="false">(G182+G185)*G190</f>
        <v>101.400519924468</v>
      </c>
    </row>
    <row r="192" customFormat="false" ht="17.15" hidden="false" customHeight="false" outlineLevel="0" collapsed="false">
      <c r="A192" s="3" t="s">
        <v>616</v>
      </c>
      <c r="B192" s="0" t="s">
        <v>44</v>
      </c>
      <c r="D192" s="20" t="n">
        <f aca="false">D182/(D182+D185)</f>
        <v>0.348208691228771</v>
      </c>
      <c r="E192" s="20" t="n">
        <f aca="false">E182/(E182+E185)</f>
        <v>0.421533753298293</v>
      </c>
      <c r="F192" s="20" t="n">
        <f aca="false">F182/(F182+F185)</f>
        <v>0.471215051802813</v>
      </c>
      <c r="G192" s="20" t="n">
        <f aca="false">G182/(G182+G185)</f>
        <v>0.536243651287136</v>
      </c>
    </row>
    <row r="193" customFormat="false" ht="17.15" hidden="false" customHeight="false" outlineLevel="0" collapsed="false">
      <c r="A193" s="5" t="s">
        <v>617</v>
      </c>
    </row>
    <row r="194" customFormat="false" ht="17.15" hidden="false" customHeight="false" outlineLevel="0" collapsed="false">
      <c r="A194" s="0" t="s">
        <v>519</v>
      </c>
      <c r="B194" s="0" t="s">
        <v>302</v>
      </c>
      <c r="D194" s="21" t="n">
        <f aca="false">a26_bt</f>
        <v>16.944165</v>
      </c>
      <c r="E194" s="21" t="n">
        <f aca="false">D194*(1+g_bt)</f>
        <v>17.79137325</v>
      </c>
      <c r="F194" s="21" t="n">
        <f aca="false">E194*(1+g_bt)</f>
        <v>18.6809419125</v>
      </c>
      <c r="G194" s="21" t="n">
        <f aca="false">F194*(1+g_bt)</f>
        <v>19.614989008125</v>
      </c>
    </row>
    <row r="195" customFormat="false" ht="17.15" hidden="false" customHeight="false" outlineLevel="0" collapsed="false">
      <c r="A195" s="0" t="s">
        <v>618</v>
      </c>
      <c r="B195" s="0" t="s">
        <v>302</v>
      </c>
      <c r="D195" s="21" t="n">
        <f aca="false">a26_pcb*ai_pcb</f>
        <v>37.93610275</v>
      </c>
      <c r="E195" s="21" t="n">
        <f aca="false">D195*(1+g_pai_27)</f>
        <v>45.5233233</v>
      </c>
      <c r="F195" s="21" t="n">
        <f aca="false">D195*(1+g_pai_27)*(1+g_pai_28)*um28_C</f>
        <v>31.411093077</v>
      </c>
      <c r="G195" s="21" t="n">
        <f aca="false">D195*(1+g_pai_27)*(1+g_pai_28)*(1+g_pai_29)*um29_C</f>
        <v>34.5522023847</v>
      </c>
      <c r="K195" s="3" t="s">
        <v>619</v>
      </c>
    </row>
    <row r="196" customFormat="false" ht="17.15" hidden="false" customHeight="false" outlineLevel="0" collapsed="false">
      <c r="A196" s="3" t="s">
        <v>620</v>
      </c>
      <c r="B196" s="0" t="s">
        <v>302</v>
      </c>
      <c r="D196" s="21" t="n">
        <f aca="false">a26_pcb*(1-ai_pcb)</f>
        <v>20.42713225</v>
      </c>
      <c r="E196" s="21" t="n">
        <f aca="false">D196*(1+g_pcbn)</f>
        <v>20.835674895</v>
      </c>
      <c r="F196" s="21" t="n">
        <f aca="false">E196*(1+g_pcbn)</f>
        <v>21.2523883929</v>
      </c>
      <c r="G196" s="21" t="n">
        <f aca="false">F196*(1+g_pcbn)</f>
        <v>21.677436160758</v>
      </c>
    </row>
    <row r="197" customFormat="false" ht="15" hidden="false" customHeight="false" outlineLevel="0" collapsed="false">
      <c r="A197" s="3" t="s">
        <v>521</v>
      </c>
      <c r="B197" s="0" t="s">
        <v>302</v>
      </c>
      <c r="D197" s="21" t="n">
        <f aca="false">a26_fpc</f>
        <v>13.178795</v>
      </c>
      <c r="E197" s="21" t="n">
        <f aca="false">D197*(1+g_fpc)</f>
        <v>13.178795</v>
      </c>
      <c r="F197" s="21" t="n">
        <f aca="false">E197*(1+g_fpc)</f>
        <v>13.178795</v>
      </c>
      <c r="G197" s="21" t="n">
        <f aca="false">F197*(1+g_fpc)</f>
        <v>13.178795</v>
      </c>
    </row>
    <row r="198" customFormat="false" ht="17.15" hidden="false" customHeight="false" outlineLevel="0" collapsed="false">
      <c r="A198" s="3" t="s">
        <v>484</v>
      </c>
      <c r="B198" s="0" t="s">
        <v>302</v>
      </c>
      <c r="C198" s="23" t="n">
        <f aca="false">a25_rev</f>
        <v>131.241</v>
      </c>
      <c r="D198" s="23" t="n">
        <f aca="false">D189+D194+D195+D196+D197</f>
        <v>188.2685</v>
      </c>
      <c r="E198" s="23" t="n">
        <f aca="false">E189+E194+E195+E196+E197</f>
        <v>245.842654649375</v>
      </c>
      <c r="F198" s="23" t="n">
        <f aca="false">F189+F194+F195+F196+F197</f>
        <v>198.938834123068</v>
      </c>
      <c r="G198" s="23" t="n">
        <f aca="false">G189+G194+G195+G196+G197</f>
        <v>217.682647176985</v>
      </c>
      <c r="H198" s="25" t="n">
        <f aca="false">G198*(1+H199)</f>
        <v>232.807088764082</v>
      </c>
      <c r="I198" s="25" t="n">
        <f aca="false">H198*(1+I199)</f>
        <v>243.222798378873</v>
      </c>
      <c r="J198" s="25" t="n">
        <f aca="false">I198*(1+J199)</f>
        <v>248.087254346451</v>
      </c>
      <c r="K198" s="7" t="s">
        <v>621</v>
      </c>
    </row>
    <row r="199" customFormat="false" ht="15" hidden="false" customHeight="false" outlineLevel="0" collapsed="false">
      <c r="A199" s="3" t="s">
        <v>622</v>
      </c>
      <c r="B199" s="0" t="s">
        <v>44</v>
      </c>
      <c r="D199" s="20" t="n">
        <f aca="false">D198/C198-1</f>
        <v>0.434525034097576</v>
      </c>
      <c r="E199" s="20" t="n">
        <f aca="false">E198/D198-1</f>
        <v>0.30580875</v>
      </c>
      <c r="F199" s="20" t="n">
        <f aca="false">F198/E198-1</f>
        <v>-0.190787967991976</v>
      </c>
      <c r="G199" s="20" t="n">
        <f aca="false">G198/F198-1</f>
        <v>0.0942189750761364</v>
      </c>
      <c r="H199" s="26" t="n">
        <f aca="false">$G199+(fade_gC-$G199)*1/3</f>
        <v>0.0694793167174243</v>
      </c>
      <c r="I199" s="26" t="n">
        <f aca="false">$G199+(fade_gC-$G199)*2/3</f>
        <v>0.0447396583587121</v>
      </c>
      <c r="J199" s="26" t="n">
        <f aca="false">$G199+(fade_gC-$G199)*3/3</f>
        <v>0.02</v>
      </c>
    </row>
    <row r="200" customFormat="false" ht="17.15" hidden="false" customHeight="false" outlineLevel="0" collapsed="false">
      <c r="A200" s="0" t="s">
        <v>623</v>
      </c>
      <c r="B200" s="0" t="s">
        <v>44</v>
      </c>
      <c r="D200" s="20" t="n">
        <f aca="false">D189/D198</f>
        <v>0.53</v>
      </c>
      <c r="E200" s="20" t="n">
        <f aca="false">E189/E198</f>
        <v>0.604099758100105</v>
      </c>
      <c r="F200" s="20" t="n">
        <f aca="false">F189/F198</f>
        <v>0.575129618332275</v>
      </c>
      <c r="G200" s="20" t="n">
        <f aca="false">G189/G198</f>
        <v>0.591040334596798</v>
      </c>
    </row>
    <row r="201" customFormat="false" ht="17.15" hidden="false" customHeight="false" outlineLevel="0" collapsed="false">
      <c r="A201" s="0" t="s">
        <v>624</v>
      </c>
      <c r="B201" s="0" t="s">
        <v>44</v>
      </c>
      <c r="D201" s="20" t="n">
        <f aca="false">(D191+D195)/D198</f>
        <v>0.599</v>
      </c>
      <c r="E201" s="20" t="n">
        <f aca="false">(E191+E195)/E198</f>
        <v>0.68646000812143</v>
      </c>
      <c r="F201" s="20" t="n">
        <f aca="false">(F191+F195)/F198</f>
        <v>0.599993196402282</v>
      </c>
      <c r="G201" s="20" t="n">
        <f aca="false">(G191+G195)/G198</f>
        <v>0.624545521070556</v>
      </c>
      <c r="K201" s="3" t="s">
        <v>625</v>
      </c>
    </row>
    <row r="202" customFormat="false" ht="17.15" hidden="false" customHeight="false" outlineLevel="0" collapsed="false">
      <c r="A202" s="5" t="s">
        <v>626</v>
      </c>
    </row>
    <row r="203" customFormat="false" ht="15" hidden="false" customHeight="false" outlineLevel="0" collapsed="false">
      <c r="A203" s="3" t="s">
        <v>627</v>
      </c>
      <c r="B203" s="0" t="s">
        <v>302</v>
      </c>
      <c r="C203" s="23" t="n">
        <f aca="false">a25_cx</f>
        <v>25.617</v>
      </c>
      <c r="D203" s="23" t="n">
        <f aca="false">capex26</f>
        <v>53.7</v>
      </c>
      <c r="E203" s="23" t="n">
        <f aca="false">cx27_C</f>
        <v>40</v>
      </c>
      <c r="F203" s="23" t="n">
        <f aca="false">cx28_C</f>
        <v>30</v>
      </c>
      <c r="G203" s="23" t="n">
        <f aca="false">cx29_C</f>
        <v>28</v>
      </c>
      <c r="H203" s="25" t="n">
        <f aca="false">H198*H220</f>
        <v>31.3067088341521</v>
      </c>
      <c r="I203" s="25" t="n">
        <f aca="false">I198*I220</f>
        <v>34.1295518163215</v>
      </c>
      <c r="J203" s="25" t="n">
        <f aca="false">J198*J220</f>
        <v>36.2627782077336</v>
      </c>
    </row>
    <row r="204" customFormat="false" ht="17.15" hidden="false" customHeight="false" outlineLevel="0" collapsed="false">
      <c r="A204" s="3" t="s">
        <v>628</v>
      </c>
      <c r="B204" s="0" t="s">
        <v>302</v>
      </c>
      <c r="C204" s="23" t="n">
        <f aca="false">a25_da</f>
        <v>18.8</v>
      </c>
      <c r="D204" s="23" t="n">
        <f aca="false">da26</f>
        <v>20.8</v>
      </c>
      <c r="E204" s="23" t="n">
        <f aca="false">D204*(1-1/life)+D203/life</f>
        <v>24.9125</v>
      </c>
      <c r="F204" s="23" t="n">
        <f aca="false">E204*(1-1/life)+E203/life</f>
        <v>26.7984375</v>
      </c>
      <c r="G204" s="23" t="n">
        <f aca="false">F204*(1-1/life)+F203/life</f>
        <v>27.1986328125</v>
      </c>
      <c r="H204" s="25" t="n">
        <f aca="false">H198*H205</f>
        <v>29.0883752359606</v>
      </c>
      <c r="I204" s="25" t="n">
        <f aca="false">I198*I205</f>
        <v>30.3897792062275</v>
      </c>
      <c r="J204" s="25" t="n">
        <f aca="false">J198*J205</f>
        <v>30.9975747903521</v>
      </c>
      <c r="K204" s="3" t="s">
        <v>629</v>
      </c>
    </row>
    <row r="205" customFormat="false" ht="17.15" hidden="false" customHeight="false" outlineLevel="0" collapsed="false">
      <c r="A205" s="3" t="s">
        <v>630</v>
      </c>
      <c r="B205" s="0" t="s">
        <v>44</v>
      </c>
      <c r="C205" s="20" t="n">
        <f aca="false">C204/C198</f>
        <v>0.143247917952469</v>
      </c>
      <c r="D205" s="20" t="n">
        <f aca="false">D204/D198</f>
        <v>0.110480510547436</v>
      </c>
      <c r="E205" s="20" t="n">
        <f aca="false">E204/E198</f>
        <v>0.101335140704247</v>
      </c>
      <c r="F205" s="20" t="n">
        <f aca="false">F204/F198</f>
        <v>0.134706919431437</v>
      </c>
      <c r="G205" s="20" t="n">
        <f aca="false">G204/G198</f>
        <v>0.124946260830733</v>
      </c>
      <c r="H205" s="26" t="n">
        <f aca="false">$G205</f>
        <v>0.124946260830733</v>
      </c>
      <c r="I205" s="26" t="n">
        <f aca="false">$G205</f>
        <v>0.124946260830733</v>
      </c>
      <c r="J205" s="26" t="n">
        <f aca="false">$G205</f>
        <v>0.124946260830733</v>
      </c>
    </row>
    <row r="206" customFormat="false" ht="17.15" hidden="false" customHeight="false" outlineLevel="0" collapsed="false">
      <c r="A206" s="3" t="s">
        <v>631</v>
      </c>
      <c r="B206" s="0" t="s">
        <v>302</v>
      </c>
      <c r="E206" s="21" t="n">
        <f aca="false">E191*(1-1/(E176*E177))</f>
        <v>5.86846797177161</v>
      </c>
      <c r="F206" s="21" t="n">
        <f aca="false">F191*(1-1/(F176*F177))</f>
        <v>-0.220428205255761</v>
      </c>
      <c r="G206" s="21" t="n">
        <f aca="false">G191*(1-1/(G176*G177))</f>
        <v>-5.90161756174151</v>
      </c>
      <c r="K206" s="7" t="s">
        <v>632</v>
      </c>
    </row>
    <row r="207" customFormat="false" ht="17.15" hidden="false" customHeight="false" outlineLevel="0" collapsed="false">
      <c r="A207" s="3" t="s">
        <v>633</v>
      </c>
      <c r="B207" s="0" t="s">
        <v>302</v>
      </c>
      <c r="C207" s="21" t="n">
        <f aca="false">a25_gp</f>
        <v>18.292</v>
      </c>
      <c r="D207" s="21" t="n">
        <f aca="false">a26_gp</f>
        <v>47.3329657</v>
      </c>
      <c r="E207" s="21" t="n">
        <f aca="false">$D207+ft_abf*(E189-E206-$D189)+ft_oth*((E198-E189)-($D198-$D189))+E206-(E204-$D204)</f>
        <v>72.7310341493233</v>
      </c>
      <c r="F207" s="21" t="n">
        <f aca="false">$D207+ft_abf*(F189-F206-$D189)+ft_oth*((F198-F189)-($D198-$D189))+F206-(F204-$D204)</f>
        <v>47.550225313306</v>
      </c>
      <c r="G207" s="21" t="n">
        <f aca="false">$D207+ft_abf*(G189-G206-$D189)+ft_oth*((G198-G189)-($D198-$D189))+G206-(G204-$D204)</f>
        <v>52.5562908067258</v>
      </c>
      <c r="K207" s="3" t="s">
        <v>634</v>
      </c>
    </row>
    <row r="208" customFormat="false" ht="15" hidden="false" customHeight="false" outlineLevel="0" collapsed="false">
      <c r="A208" s="3" t="s">
        <v>491</v>
      </c>
      <c r="B208" s="0" t="s">
        <v>44</v>
      </c>
      <c r="C208" s="16" t="n">
        <f aca="false">C207/C198</f>
        <v>0.139377176339711</v>
      </c>
      <c r="D208" s="16" t="n">
        <f aca="false">D207/D198</f>
        <v>0.251412029627899</v>
      </c>
      <c r="E208" s="16" t="n">
        <f aca="false">E207/E198</f>
        <v>0.295843836591553</v>
      </c>
      <c r="F208" s="16" t="n">
        <f aca="false">F207/F198</f>
        <v>0.239019322310346</v>
      </c>
      <c r="G208" s="16" t="n">
        <f aca="false">G207/G198</f>
        <v>0.241435371575555</v>
      </c>
    </row>
    <row r="209" customFormat="false" ht="15" hidden="false" customHeight="false" outlineLevel="0" collapsed="false">
      <c r="A209" s="3" t="s">
        <v>493</v>
      </c>
      <c r="B209" s="0" t="s">
        <v>302</v>
      </c>
      <c r="C209" s="21" t="n">
        <f aca="false">a25_opx</f>
        <v>11.618</v>
      </c>
      <c r="D209" s="21" t="n">
        <f aca="false">a26_opx</f>
        <v>16.6539532</v>
      </c>
      <c r="E209" s="21" t="n">
        <f aca="false">D209*(1+phi*E199)</f>
        <v>19.7097079663903</v>
      </c>
      <c r="F209" s="21" t="n">
        <f aca="false">E209*(1+phi*F199)</f>
        <v>17.4534828868166</v>
      </c>
      <c r="G209" s="21" t="n">
        <f aca="false">F209*(1+phi*G199)</f>
        <v>18.4401524482794</v>
      </c>
    </row>
    <row r="210" customFormat="false" ht="15" hidden="false" customHeight="false" outlineLevel="0" collapsed="false">
      <c r="A210" s="3" t="s">
        <v>496</v>
      </c>
      <c r="B210" s="0" t="s">
        <v>302</v>
      </c>
      <c r="C210" s="21" t="n">
        <f aca="false">C207-C209</f>
        <v>6.674</v>
      </c>
      <c r="D210" s="21" t="n">
        <f aca="false">D207-D209</f>
        <v>30.6790125</v>
      </c>
      <c r="E210" s="21" t="n">
        <f aca="false">E207-E209</f>
        <v>53.021326182933</v>
      </c>
      <c r="F210" s="21" t="n">
        <f aca="false">F207-F209</f>
        <v>30.0967424264894</v>
      </c>
      <c r="G210" s="21" t="n">
        <f aca="false">G207-G209</f>
        <v>34.1161383584464</v>
      </c>
    </row>
    <row r="211" customFormat="false" ht="15" hidden="false" customHeight="false" outlineLevel="0" collapsed="false">
      <c r="A211" s="3" t="s">
        <v>575</v>
      </c>
      <c r="B211" s="0" t="s">
        <v>44</v>
      </c>
      <c r="C211" s="16" t="n">
        <f aca="false">C210/C198</f>
        <v>0.0508530108731265</v>
      </c>
      <c r="D211" s="16" t="n">
        <f aca="false">D210/D198</f>
        <v>0.162953507888999</v>
      </c>
      <c r="E211" s="16" t="n">
        <f aca="false">E210/E198</f>
        <v>0.215671793239269</v>
      </c>
      <c r="F211" s="16" t="n">
        <f aca="false">F210/F198</f>
        <v>0.151286412022858</v>
      </c>
      <c r="G211" s="16" t="n">
        <f aca="false">G210/G198</f>
        <v>0.15672419828076</v>
      </c>
    </row>
    <row r="212" customFormat="false" ht="17.15" hidden="false" customHeight="false" outlineLevel="0" collapsed="false">
      <c r="A212" s="3" t="s">
        <v>635</v>
      </c>
      <c r="B212" s="0" t="s">
        <v>302</v>
      </c>
      <c r="C212" s="21" t="n">
        <f aca="false">a25_nonop</f>
        <v>-0.00100000000000033</v>
      </c>
      <c r="D212" s="21" t="n">
        <f aca="false">a26_nonop</f>
        <v>14.466</v>
      </c>
      <c r="E212" s="21" t="n">
        <f aca="false">nonop27</f>
        <v>2</v>
      </c>
      <c r="F212" s="21" t="n">
        <f aca="false">nonop28</f>
        <v>2</v>
      </c>
      <c r="G212" s="21" t="n">
        <f aca="false">nonop29</f>
        <v>2</v>
      </c>
      <c r="K212" s="7" t="s">
        <v>636</v>
      </c>
    </row>
    <row r="213" customFormat="false" ht="15" hidden="false" customHeight="false" outlineLevel="0" collapsed="false">
      <c r="A213" s="3" t="s">
        <v>502</v>
      </c>
      <c r="B213" s="0" t="s">
        <v>302</v>
      </c>
      <c r="C213" s="21" t="n">
        <f aca="false">C210+C212</f>
        <v>6.673</v>
      </c>
      <c r="D213" s="21" t="n">
        <f aca="false">D210+D212</f>
        <v>45.1450125</v>
      </c>
      <c r="E213" s="21" t="n">
        <f aca="false">E210+E212</f>
        <v>55.021326182933</v>
      </c>
      <c r="F213" s="21" t="n">
        <f aca="false">F210+F212</f>
        <v>32.0967424264894</v>
      </c>
      <c r="G213" s="21" t="n">
        <f aca="false">G210+G212</f>
        <v>36.1161383584464</v>
      </c>
    </row>
    <row r="214" customFormat="false" ht="15" hidden="false" customHeight="false" outlineLevel="0" collapsed="false">
      <c r="A214" s="3" t="s">
        <v>506</v>
      </c>
      <c r="B214" s="0" t="s">
        <v>302</v>
      </c>
      <c r="E214" s="21" t="n">
        <f aca="false">E213*tax</f>
        <v>9.90383871292794</v>
      </c>
      <c r="F214" s="21" t="n">
        <f aca="false">F213*tax</f>
        <v>5.77741363676809</v>
      </c>
      <c r="G214" s="21" t="n">
        <f aca="false">G213*tax</f>
        <v>6.50090490452035</v>
      </c>
    </row>
    <row r="215" customFormat="false" ht="15" hidden="false" customHeight="false" outlineLevel="0" collapsed="false">
      <c r="A215" s="3" t="s">
        <v>504</v>
      </c>
      <c r="B215" s="0" t="s">
        <v>302</v>
      </c>
      <c r="C215" s="21" t="n">
        <f aca="false">a25_ni</f>
        <v>6.673</v>
      </c>
      <c r="D215" s="21" t="n">
        <f aca="false">a26_ni</f>
        <v>37.23923025</v>
      </c>
      <c r="E215" s="21" t="n">
        <f aca="false">E213-E214</f>
        <v>45.1174874700051</v>
      </c>
      <c r="F215" s="21" t="n">
        <f aca="false">F213-F214</f>
        <v>26.3193287897213</v>
      </c>
      <c r="G215" s="21" t="n">
        <f aca="false">G213-G214</f>
        <v>29.615233453926</v>
      </c>
      <c r="H215" s="30" t="n">
        <f aca="false">H198*H219</f>
        <v>29.561354329483</v>
      </c>
      <c r="I215" s="30" t="n">
        <f aca="false">I198*I219</f>
        <v>28.6779249926046</v>
      </c>
      <c r="J215" s="30" t="n">
        <f aca="false">J198*J219</f>
        <v>27.0013693776523</v>
      </c>
    </row>
    <row r="216" customFormat="false" ht="15" hidden="false" customHeight="false" outlineLevel="0" collapsed="false">
      <c r="A216" s="3" t="s">
        <v>637</v>
      </c>
      <c r="B216" s="3" t="s">
        <v>380</v>
      </c>
      <c r="C216" s="29" t="n">
        <f aca="false">a25_sh</f>
        <v>1.52351598173516</v>
      </c>
      <c r="D216" s="29" t="n">
        <f aca="false">a26_sh</f>
        <v>1.59236316568047</v>
      </c>
      <c r="E216" s="29" t="n">
        <f aca="false">a26_shend*(1+sh_g)</f>
        <v>1.64</v>
      </c>
      <c r="F216" s="29" t="n">
        <f aca="false">E216*(1+sh_g)</f>
        <v>1.64</v>
      </c>
      <c r="G216" s="29" t="n">
        <f aca="false">F216*(1+sh_g)</f>
        <v>1.64</v>
      </c>
      <c r="H216" s="31" t="n">
        <f aca="false">G216*(1+sh_g)</f>
        <v>1.64</v>
      </c>
      <c r="I216" s="31" t="n">
        <f aca="false">H216*(1+sh_g)</f>
        <v>1.64</v>
      </c>
      <c r="J216" s="31" t="n">
        <f aca="false">I216*(1+sh_g)</f>
        <v>1.64</v>
      </c>
    </row>
    <row r="217" customFormat="false" ht="17.15" hidden="false" customHeight="false" outlineLevel="0" collapsed="false">
      <c r="A217" s="0" t="s">
        <v>509</v>
      </c>
      <c r="B217" s="0" t="s">
        <v>386</v>
      </c>
      <c r="C217" s="18" t="n">
        <f aca="false">C215/C216</f>
        <v>4.38</v>
      </c>
      <c r="D217" s="18" t="n">
        <f aca="false">D215/D216</f>
        <v>23.3861414610695</v>
      </c>
      <c r="E217" s="18" t="n">
        <f aca="false">E215/E216</f>
        <v>27.5106630914665</v>
      </c>
      <c r="F217" s="18" t="n">
        <f aca="false">F215/F216</f>
        <v>16.0483712132447</v>
      </c>
      <c r="G217" s="18" t="n">
        <f aca="false">G215/G216</f>
        <v>18.0580691792232</v>
      </c>
      <c r="H217" s="28" t="n">
        <f aca="false">H215/H216</f>
        <v>18.0252160545628</v>
      </c>
      <c r="I217" s="28" t="n">
        <f aca="false">I215/I216</f>
        <v>17.486539629637</v>
      </c>
      <c r="J217" s="28" t="n">
        <f aca="false">J215/J216</f>
        <v>16.4642496205197</v>
      </c>
    </row>
    <row r="218" customFormat="false" ht="17.15" hidden="false" customHeight="false" outlineLevel="0" collapsed="false">
      <c r="A218" s="0" t="s">
        <v>638</v>
      </c>
      <c r="B218" s="0" t="s">
        <v>44</v>
      </c>
      <c r="D218" s="20" t="n">
        <f aca="false">D217/C217-1</f>
        <v>4.33930170344053</v>
      </c>
      <c r="E218" s="20" t="n">
        <f aca="false">E217/D217-1</f>
        <v>0.176366060098585</v>
      </c>
      <c r="F218" s="20" t="n">
        <f aca="false">F217/E217-1</f>
        <v>-0.416649058589115</v>
      </c>
      <c r="G218" s="20" t="n">
        <f aca="false">G217/F217-1</f>
        <v>0.125227534886526</v>
      </c>
      <c r="H218" s="26" t="n">
        <f aca="false">H217/G217-1</f>
        <v>-0.00181930439707045</v>
      </c>
      <c r="I218" s="26" t="n">
        <f aca="false">I217/H217-1</f>
        <v>-0.0298846029526244</v>
      </c>
      <c r="J218" s="26" t="n">
        <f aca="false">J217/I217-1</f>
        <v>-0.0584615384615383</v>
      </c>
    </row>
    <row r="219" customFormat="false" ht="17.15" hidden="false" customHeight="false" outlineLevel="0" collapsed="false">
      <c r="A219" s="3" t="s">
        <v>639</v>
      </c>
      <c r="B219" s="0" t="s">
        <v>44</v>
      </c>
      <c r="C219" s="16" t="n">
        <f aca="false">C215/C198</f>
        <v>0.0508453913030227</v>
      </c>
      <c r="D219" s="16" t="n">
        <f aca="false">D215/D198</f>
        <v>0.197798517808343</v>
      </c>
      <c r="E219" s="16" t="n">
        <f aca="false">E215/E198</f>
        <v>0.18352180395364</v>
      </c>
      <c r="F219" s="16" t="n">
        <f aca="false">F215/F198</f>
        <v>0.132298597736024</v>
      </c>
      <c r="G219" s="16" t="n">
        <f aca="false">G215/G198</f>
        <v>0.136047745826279</v>
      </c>
      <c r="H219" s="27" t="n">
        <f aca="false">$G219+(fade_mC-$G219)*1/3</f>
        <v>0.126977896104527</v>
      </c>
      <c r="I219" s="27" t="n">
        <f aca="false">$G219+(fade_mC-$G219)*2/3</f>
        <v>0.117908046382775</v>
      </c>
      <c r="J219" s="27" t="n">
        <f aca="false">$G219+(fade_mC-$G219)*3/3</f>
        <v>0.108838196661023</v>
      </c>
    </row>
    <row r="220" customFormat="false" ht="17.15" hidden="false" customHeight="false" outlineLevel="0" collapsed="false">
      <c r="A220" s="3" t="s">
        <v>640</v>
      </c>
      <c r="B220" s="0" t="s">
        <v>44</v>
      </c>
      <c r="C220" s="20" t="n">
        <f aca="false">C203/C198</f>
        <v>0.195190527350447</v>
      </c>
      <c r="D220" s="20" t="n">
        <f aca="false">D203/D198</f>
        <v>0.285230933480641</v>
      </c>
      <c r="E220" s="20" t="n">
        <f aca="false">E203/E198</f>
        <v>0.162705695059503</v>
      </c>
      <c r="F220" s="20" t="n">
        <f aca="false">F203/F198</f>
        <v>0.150800119706348</v>
      </c>
      <c r="G220" s="20" t="n">
        <f aca="false">G203/G198</f>
        <v>0.128627616225353</v>
      </c>
      <c r="H220" s="26" t="n">
        <f aca="false">$G220+($G205*(1+tp_g)^(life/2)-$G220)*1/3</f>
        <v>0.13447489507451</v>
      </c>
      <c r="I220" s="26" t="n">
        <f aca="false">$G220+($G205*(1+tp_g)^(life/2)-$G220)*2/3</f>
        <v>0.140322173923668</v>
      </c>
      <c r="J220" s="26" t="n">
        <f aca="false">$G220+($G205*(1+tp_g)^(life/2)-$G220)*3/3</f>
        <v>0.146169452772826</v>
      </c>
      <c r="K220" s="7" t="s">
        <v>641</v>
      </c>
    </row>
    <row r="221" customFormat="false" ht="15" hidden="false" customHeight="false" outlineLevel="0" collapsed="false">
      <c r="A221" s="3" t="s">
        <v>642</v>
      </c>
      <c r="B221" s="0" t="s">
        <v>302</v>
      </c>
      <c r="E221" s="21" t="n">
        <f aca="false">E215+E204-E203</f>
        <v>30.0299874700051</v>
      </c>
      <c r="F221" s="21" t="n">
        <f aca="false">F215+F204-F203</f>
        <v>23.1177662897213</v>
      </c>
      <c r="G221" s="21" t="n">
        <f aca="false">G215+G204-G203</f>
        <v>28.813866266426</v>
      </c>
      <c r="H221" s="30" t="n">
        <f aca="false">H215+H204-H203</f>
        <v>27.3430207312916</v>
      </c>
      <c r="I221" s="30" t="n">
        <f aca="false">I215+I204-I203</f>
        <v>24.9381523825106</v>
      </c>
      <c r="J221" s="30" t="n">
        <f aca="false">J215+J204-J203</f>
        <v>21.7361659602708</v>
      </c>
      <c r="K221" s="3" t="s">
        <v>643</v>
      </c>
    </row>
    <row r="222" customFormat="false" ht="15" hidden="false" customHeight="false" outlineLevel="0" collapsed="false">
      <c r="A222" s="3" t="s">
        <v>644</v>
      </c>
      <c r="B222" s="0" t="s">
        <v>386</v>
      </c>
      <c r="E222" s="18" t="n">
        <f aca="false">E221/E216</f>
        <v>18.3109679695153</v>
      </c>
      <c r="F222" s="18" t="n">
        <f aca="false">F221/F216</f>
        <v>14.0961989571471</v>
      </c>
      <c r="G222" s="18" t="n">
        <f aca="false">G221/G216</f>
        <v>17.5694306502598</v>
      </c>
      <c r="H222" s="28" t="n">
        <f aca="false">H221/H216</f>
        <v>16.6725736166412</v>
      </c>
      <c r="I222" s="28" t="n">
        <f aca="false">I221/I216</f>
        <v>15.2061904771406</v>
      </c>
      <c r="J222" s="28" t="n">
        <f aca="false">J221/J216</f>
        <v>13.2537597318725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647</v>
      </c>
    </row>
    <row r="2" customFormat="false" ht="17.15" hidden="false" customHeight="false" outlineLevel="0" collapsed="false">
      <c r="A2" s="3" t="s">
        <v>648</v>
      </c>
    </row>
    <row r="4" customFormat="false" ht="17.15" hidden="false" customHeight="false" outlineLevel="0" collapsed="false">
      <c r="A4" s="5" t="s">
        <v>649</v>
      </c>
    </row>
    <row r="5" customFormat="false" ht="17.15" hidden="false" customHeight="false" outlineLevel="0" collapsed="false">
      <c r="A5" s="5" t="s">
        <v>650</v>
      </c>
    </row>
    <row r="6" customFormat="false" ht="17.15" hidden="false" customHeight="false" outlineLevel="0" collapsed="false">
      <c r="A6" s="4" t="s">
        <v>21</v>
      </c>
      <c r="B6" s="13" t="s">
        <v>651</v>
      </c>
      <c r="C6" s="13" t="s">
        <v>652</v>
      </c>
      <c r="D6" s="13" t="s">
        <v>653</v>
      </c>
      <c r="E6" s="4" t="s">
        <v>533</v>
      </c>
    </row>
    <row r="7" customFormat="false" ht="17.15" hidden="false" customHeight="false" outlineLevel="0" collapsed="false">
      <c r="A7" s="3" t="s">
        <v>654</v>
      </c>
      <c r="E7" s="0" t="s">
        <v>655</v>
      </c>
    </row>
    <row r="8" customFormat="false" ht="15" hidden="false" customHeight="false" outlineLevel="0" collapsed="false">
      <c r="A8" s="0" t="s">
        <v>656</v>
      </c>
      <c r="B8" s="18" t="n">
        <f aca="false">PL!E15</f>
        <v>27.5106630914665</v>
      </c>
      <c r="C8" s="18" t="n">
        <f aca="false">PL!E29</f>
        <v>27.5106630914665</v>
      </c>
      <c r="D8" s="18" t="n">
        <f aca="false">PL!E43</f>
        <v>27.5106630914665</v>
      </c>
    </row>
    <row r="9" customFormat="false" ht="15" hidden="false" customHeight="false" outlineLevel="0" collapsed="false">
      <c r="A9" s="0" t="s">
        <v>657</v>
      </c>
      <c r="B9" s="18" t="n">
        <f aca="false">PL!F15</f>
        <v>30.4363016808093</v>
      </c>
      <c r="C9" s="18" t="n">
        <f aca="false">PL!F29</f>
        <v>23.211086447027</v>
      </c>
      <c r="D9" s="18" t="n">
        <f aca="false">PL!F43</f>
        <v>16.0483712132447</v>
      </c>
    </row>
    <row r="10" customFormat="false" ht="15" hidden="false" customHeight="false" outlineLevel="0" collapsed="false">
      <c r="A10" s="0" t="s">
        <v>658</v>
      </c>
      <c r="B10" s="18" t="n">
        <f aca="false">PL!G15</f>
        <v>32.6798203912628</v>
      </c>
      <c r="C10" s="18" t="n">
        <f aca="false">PL!G29</f>
        <v>27.2878194012511</v>
      </c>
      <c r="D10" s="18" t="n">
        <f aca="false">PL!G43</f>
        <v>18.0580691792232</v>
      </c>
    </row>
    <row r="11" customFormat="false" ht="15" hidden="false" customHeight="false" outlineLevel="0" collapsed="false">
      <c r="A11" s="0" t="s">
        <v>659</v>
      </c>
      <c r="B11" s="18" t="n">
        <f aca="false">PL!H15</f>
        <v>35.6648424339104</v>
      </c>
      <c r="C11" s="18" t="n">
        <f aca="false">PL!H29</f>
        <v>29.3526228525542</v>
      </c>
      <c r="D11" s="18" t="n">
        <f aca="false">PL!H43</f>
        <v>18.0252160545628</v>
      </c>
    </row>
    <row r="12" customFormat="false" ht="15" hidden="false" customHeight="false" outlineLevel="0" collapsed="false">
      <c r="A12" s="0" t="s">
        <v>660</v>
      </c>
      <c r="B12" s="18" t="n">
        <f aca="false">PL!I15</f>
        <v>38.3636268427945</v>
      </c>
      <c r="C12" s="18" t="n">
        <f aca="false">PL!I29</f>
        <v>30.5051019890375</v>
      </c>
      <c r="D12" s="18" t="n">
        <f aca="false">PL!I43</f>
        <v>17.486539629637</v>
      </c>
    </row>
    <row r="13" customFormat="false" ht="15" hidden="false" customHeight="false" outlineLevel="0" collapsed="false">
      <c r="A13" s="0" t="s">
        <v>661</v>
      </c>
      <c r="B13" s="18" t="n">
        <f aca="false">PL!J15</f>
        <v>40.6654444533622</v>
      </c>
      <c r="C13" s="18" t="n">
        <f aca="false">PL!J29</f>
        <v>30.5922594232919</v>
      </c>
      <c r="D13" s="18" t="n">
        <f aca="false">PL!J43</f>
        <v>16.4642496205197</v>
      </c>
    </row>
    <row r="14" customFormat="false" ht="17.15" hidden="false" customHeight="false" outlineLevel="0" collapsed="false">
      <c r="A14" s="3" t="s">
        <v>662</v>
      </c>
      <c r="E14" s="3" t="s">
        <v>663</v>
      </c>
    </row>
    <row r="15" customFormat="false" ht="17.15" hidden="false" customHeight="false" outlineLevel="0" collapsed="false">
      <c r="A15" s="3" t="s">
        <v>664</v>
      </c>
      <c r="B15" s="20" t="n">
        <f aca="false">MIN(tp_g/tp_roe,0.8)</f>
        <v>0.462962962962963</v>
      </c>
      <c r="E15" s="7" t="s">
        <v>665</v>
      </c>
    </row>
    <row r="16" customFormat="false" ht="15" hidden="false" customHeight="false" outlineLevel="0" collapsed="false">
      <c r="A16" s="0" t="s">
        <v>656</v>
      </c>
      <c r="B16" s="18" t="n">
        <f aca="false">PL!E112</f>
        <v>9.16462650610065</v>
      </c>
      <c r="C16" s="18" t="n">
        <f aca="false">PL!E167</f>
        <v>13.4329191890275</v>
      </c>
      <c r="D16" s="18" t="n">
        <f aca="false">PL!E222</f>
        <v>18.3109679695153</v>
      </c>
    </row>
    <row r="17" customFormat="false" ht="15" hidden="false" customHeight="false" outlineLevel="0" collapsed="false">
      <c r="A17" s="0" t="s">
        <v>657</v>
      </c>
      <c r="B17" s="18" t="n">
        <f aca="false">PL!F112</f>
        <v>17.4323001564191</v>
      </c>
      <c r="C17" s="18" t="n">
        <f aca="false">PL!F167</f>
        <v>14.5515971177587</v>
      </c>
      <c r="D17" s="18" t="n">
        <f aca="false">PL!F222</f>
        <v>14.0961989571471</v>
      </c>
    </row>
    <row r="18" customFormat="false" ht="15" hidden="false" customHeight="false" outlineLevel="0" collapsed="false">
      <c r="A18" s="0" t="s">
        <v>658</v>
      </c>
      <c r="B18" s="18" t="n">
        <f aca="false">PL!G112</f>
        <v>24.3500995452262</v>
      </c>
      <c r="C18" s="18" t="n">
        <f aca="false">PL!G167</f>
        <v>22.1497906283853</v>
      </c>
      <c r="D18" s="18" t="n">
        <f aca="false">PL!G222</f>
        <v>17.5694306502598</v>
      </c>
    </row>
    <row r="19" customFormat="false" ht="15" hidden="false" customHeight="false" outlineLevel="0" collapsed="false">
      <c r="A19" s="0" t="s">
        <v>659</v>
      </c>
      <c r="B19" s="18" t="n">
        <f aca="false">PL!H112</f>
        <v>28.4236753586644</v>
      </c>
      <c r="C19" s="18" t="n">
        <f aca="false">PL!H167</f>
        <v>24.4048982059223</v>
      </c>
      <c r="D19" s="18" t="n">
        <f aca="false">PL!H222</f>
        <v>16.6725736166412</v>
      </c>
    </row>
    <row r="20" customFormat="false" ht="15" hidden="false" customHeight="false" outlineLevel="0" collapsed="false">
      <c r="A20" s="0" t="s">
        <v>660</v>
      </c>
      <c r="B20" s="18" t="n">
        <f aca="false">PL!I112</f>
        <v>32.5638635615483</v>
      </c>
      <c r="C20" s="18" t="n">
        <f aca="false">PL!I167</f>
        <v>26.0079241755719</v>
      </c>
      <c r="D20" s="18" t="n">
        <f aca="false">PL!I222</f>
        <v>15.2061904771406</v>
      </c>
    </row>
    <row r="21" customFormat="false" ht="15" hidden="false" customHeight="false" outlineLevel="0" collapsed="false">
      <c r="A21" s="0" t="s">
        <v>661</v>
      </c>
      <c r="B21" s="18" t="n">
        <f aca="false">PL!J112</f>
        <v>36.6264044048939</v>
      </c>
      <c r="C21" s="18" t="n">
        <f aca="false">PL!J167</f>
        <v>26.7767856016821</v>
      </c>
      <c r="D21" s="18" t="n">
        <f aca="false">PL!J222</f>
        <v>13.2537597318725</v>
      </c>
    </row>
    <row r="22" customFormat="false" ht="17.15" hidden="false" customHeight="false" outlineLevel="0" collapsed="false">
      <c r="A22" s="0" t="s">
        <v>666</v>
      </c>
      <c r="B22" s="18" t="n">
        <f aca="false">SUMPRODUCT(B16:B21,1/(1+tp_r)^{1;2;3;4;5;6})+B21*(1+tp_g)/(tp_r-tp_g)/(1+tp_r)^6</f>
        <v>459.701536467627</v>
      </c>
      <c r="C22" s="18" t="n">
        <f aca="false">SUMPRODUCT(C16:C21,1/(1+tp_r)^{1;2;3;4;5;6})+C21*(1+tp_g)/(tp_r-tp_g)/(1+tp_r)^6</f>
        <v>350.801691165444</v>
      </c>
      <c r="D22" s="18" t="n">
        <f aca="false">SUMPRODUCT(D16:D21,1/(1+tp_r)^{1;2;3;4;5;6})+D21*(1+tp_g)/(tp_r-tp_g)/(1+tp_r)^6</f>
        <v>199.484732842142</v>
      </c>
      <c r="E22" s="7" t="s">
        <v>667</v>
      </c>
    </row>
    <row r="23" customFormat="false" ht="17.15" hidden="false" customHeight="false" outlineLevel="0" collapsed="false">
      <c r="A23" s="0" t="s">
        <v>668</v>
      </c>
      <c r="B23" s="18" t="n">
        <f aca="false">B22*(1+tp_r)</f>
        <v>505.671690114389</v>
      </c>
      <c r="C23" s="18" t="n">
        <f aca="false">C22*(1+tp_r)</f>
        <v>385.881860281988</v>
      </c>
      <c r="D23" s="18" t="n">
        <f aca="false">D22*(1+tp_r)</f>
        <v>219.433206126356</v>
      </c>
    </row>
    <row r="24" customFormat="false" ht="17.15" hidden="false" customHeight="false" outlineLevel="0" collapsed="false">
      <c r="A24" s="0" t="s">
        <v>669</v>
      </c>
      <c r="B24" s="32" t="n">
        <f aca="false">tp_wA*B23+tp_wB*C23+tp_wC*D23</f>
        <v>388.529078400582</v>
      </c>
      <c r="E24" s="7" t="s">
        <v>670</v>
      </c>
    </row>
    <row r="25" customFormat="false" ht="17.15" hidden="false" customHeight="false" outlineLevel="0" collapsed="false">
      <c r="A25" s="3" t="s">
        <v>671</v>
      </c>
      <c r="B25" s="18" t="n">
        <f aca="false">(tp_wA*(SUMPRODUCT(B8:B13,1/(1+tp_r)^{1;2;3;4;5;6})+B13*(1+tp_g)/(tp_r-tp_g)/(1+tp_r)^6)+tp_wB*(SUMPRODUCT(C8:C13,1/(1+tp_r)^{1;2;3;4;5;6})+C13*(1+tp_g)/(tp_r-tp_g)/(1+tp_r)^6)+tp_wC*(SUMPRODUCT(D8:D13,1/(1+tp_r)^{1;2;3;4;5;6})+D13*(1+tp_g)/(tp_r-tp_g)/(1+tp_r)^6))*(1-B15)*(1+tp_r)</f>
        <v>249.490209614699</v>
      </c>
      <c r="E25" s="3" t="s">
        <v>672</v>
      </c>
    </row>
    <row r="26" customFormat="false" ht="17.15" hidden="false" customHeight="false" outlineLevel="0" collapsed="false">
      <c r="A26" s="5" t="s">
        <v>673</v>
      </c>
    </row>
    <row r="27" customFormat="false" ht="17.15" hidden="false" customHeight="false" outlineLevel="0" collapsed="false">
      <c r="A27" s="4" t="s">
        <v>674</v>
      </c>
      <c r="B27" s="4" t="s">
        <v>675</v>
      </c>
      <c r="C27" s="4" t="s">
        <v>676</v>
      </c>
      <c r="D27" s="4" t="s">
        <v>677</v>
      </c>
      <c r="E27" s="4" t="s">
        <v>678</v>
      </c>
      <c r="F27" s="4" t="s">
        <v>26</v>
      </c>
    </row>
    <row r="28" customFormat="false" ht="17.15" hidden="false" customHeight="false" outlineLevel="0" collapsed="false">
      <c r="A28" s="0" t="s">
        <v>679</v>
      </c>
      <c r="B28" s="0" t="s">
        <v>680</v>
      </c>
      <c r="C28" s="33" t="n">
        <v>53.97</v>
      </c>
      <c r="D28" s="7" t="s">
        <v>681</v>
      </c>
      <c r="E28" s="7" t="s">
        <v>682</v>
      </c>
      <c r="F28" s="7" t="s">
        <v>196</v>
      </c>
    </row>
    <row r="29" customFormat="false" ht="17.15" hidden="false" customHeight="false" outlineLevel="0" collapsed="false">
      <c r="A29" s="3" t="s">
        <v>683</v>
      </c>
      <c r="B29" s="0" t="s">
        <v>684</v>
      </c>
      <c r="C29" s="33" t="n">
        <v>44.7</v>
      </c>
      <c r="D29" s="7" t="s">
        <v>685</v>
      </c>
      <c r="E29" s="7" t="s">
        <v>682</v>
      </c>
      <c r="F29" s="7" t="s">
        <v>196</v>
      </c>
    </row>
    <row r="30" customFormat="false" ht="17.15" hidden="false" customHeight="false" outlineLevel="0" collapsed="false">
      <c r="A30" s="3" t="s">
        <v>686</v>
      </c>
      <c r="B30" s="0" t="s">
        <v>687</v>
      </c>
      <c r="C30" s="33" t="n">
        <v>33.73</v>
      </c>
      <c r="D30" s="7" t="s">
        <v>688</v>
      </c>
      <c r="E30" s="7" t="s">
        <v>682</v>
      </c>
      <c r="F30" s="7" t="s">
        <v>196</v>
      </c>
    </row>
    <row r="31" customFormat="false" ht="17.15" hidden="false" customHeight="false" outlineLevel="0" collapsed="false">
      <c r="A31" s="3" t="s">
        <v>689</v>
      </c>
      <c r="B31" s="0" t="s">
        <v>690</v>
      </c>
      <c r="C31" s="33" t="n">
        <v>43.4</v>
      </c>
      <c r="D31" s="7" t="s">
        <v>691</v>
      </c>
      <c r="E31" s="7" t="s">
        <v>682</v>
      </c>
      <c r="F31" s="7" t="s">
        <v>196</v>
      </c>
    </row>
    <row r="32" customFormat="false" ht="17.15" hidden="false" customHeight="false" outlineLevel="0" collapsed="false">
      <c r="A32" s="0" t="s">
        <v>692</v>
      </c>
      <c r="B32" s="0" t="s">
        <v>693</v>
      </c>
      <c r="C32" s="33" t="n">
        <v>14.91</v>
      </c>
      <c r="D32" s="7" t="s">
        <v>694</v>
      </c>
      <c r="E32" s="7" t="s">
        <v>682</v>
      </c>
      <c r="F32" s="7" t="s">
        <v>196</v>
      </c>
    </row>
    <row r="33" customFormat="false" ht="17.15" hidden="false" customHeight="false" outlineLevel="0" collapsed="false">
      <c r="A33" s="3" t="s">
        <v>695</v>
      </c>
      <c r="B33" s="34" t="n">
        <f aca="false">MEDIAN(C28:C32)</f>
        <v>43.4</v>
      </c>
      <c r="E33" s="7" t="s">
        <v>696</v>
      </c>
    </row>
    <row r="34" customFormat="false" ht="17.15" hidden="false" customHeight="false" outlineLevel="0" collapsed="false">
      <c r="A34" s="0" t="s">
        <v>697</v>
      </c>
      <c r="B34" s="18" t="n">
        <f aca="false">tp_wA*(2/12*B8+10/12*B9)+tp_wB*(2/12*C8+10/12*C9)+tp_wC*(2/12*D8+10/12*D9)</f>
        <v>24.5402004905821</v>
      </c>
      <c r="E34" s="3" t="s">
        <v>698</v>
      </c>
    </row>
    <row r="35" customFormat="false" ht="17.15" hidden="false" customHeight="false" outlineLevel="0" collapsed="false">
      <c r="A35" s="0" t="s">
        <v>699</v>
      </c>
      <c r="B35" s="32" t="n">
        <f aca="false">B33*B34</f>
        <v>1065.04470129126</v>
      </c>
      <c r="E35" s="3" t="s">
        <v>700</v>
      </c>
    </row>
    <row r="37" customFormat="false" ht="17.15" hidden="false" customHeight="false" outlineLevel="0" collapsed="false">
      <c r="A37" s="5" t="s">
        <v>701</v>
      </c>
    </row>
    <row r="38" customFormat="false" ht="15" hidden="false" customHeight="false" outlineLevel="0" collapsed="false">
      <c r="A38" s="4" t="s">
        <v>21</v>
      </c>
      <c r="B38" s="4" t="s">
        <v>702</v>
      </c>
      <c r="C38" s="4"/>
      <c r="D38" s="4"/>
      <c r="E38" s="4" t="s">
        <v>533</v>
      </c>
    </row>
    <row r="39" customFormat="false" ht="17.15" hidden="false" customHeight="false" outlineLevel="0" collapsed="false">
      <c r="A39" s="3" t="s">
        <v>703</v>
      </c>
      <c r="B39" s="32" t="n">
        <f aca="false">tp_w_dcf*B24+(1-tp_w_dcf)*B35</f>
        <v>726.786889845923</v>
      </c>
      <c r="E39" s="7" t="s">
        <v>704</v>
      </c>
    </row>
    <row r="40" customFormat="false" ht="17.15" hidden="false" customHeight="false" outlineLevel="0" collapsed="false">
      <c r="A40" s="0" t="s">
        <v>705</v>
      </c>
      <c r="B40" s="18" t="n">
        <f aca="false">B35</f>
        <v>1065.04470129126</v>
      </c>
    </row>
    <row r="41" customFormat="false" ht="17.15" hidden="false" customHeight="false" outlineLevel="0" collapsed="false">
      <c r="A41" s="3" t="s">
        <v>706</v>
      </c>
      <c r="B41" s="18" t="n">
        <f aca="false">cons_tp</f>
        <v>1317.37</v>
      </c>
      <c r="E41" s="7" t="s">
        <v>707</v>
      </c>
    </row>
    <row r="42" customFormat="false" ht="17.15" hidden="false" customHeight="false" outlineLevel="0" collapsed="false">
      <c r="A42" s="3" t="s">
        <v>708</v>
      </c>
      <c r="B42" s="20" t="n">
        <f aca="false">B39/px-1</f>
        <v>-0.330150331939242</v>
      </c>
      <c r="E42" s="3" t="s">
        <v>709</v>
      </c>
    </row>
    <row r="43" customFormat="false" ht="17.15" hidden="false" customHeight="false" outlineLevel="0" collapsed="false">
      <c r="A43" s="3" t="s">
        <v>710</v>
      </c>
      <c r="B43" s="20" t="n">
        <f aca="false">B40/px-1</f>
        <v>-0.0183919803767155</v>
      </c>
    </row>
    <row r="44" customFormat="false" ht="17.15" hidden="false" customHeight="false" outlineLevel="0" collapsed="false">
      <c r="A44" s="3" t="s">
        <v>711</v>
      </c>
      <c r="B44" s="20" t="n">
        <f aca="false">B34/cons_feps-1</f>
        <v>-0.0437238002379615</v>
      </c>
      <c r="E44" s="3" t="s">
        <v>712</v>
      </c>
    </row>
    <row r="45" customFormat="false" ht="17.15" hidden="false" customHeight="false" outlineLevel="0" collapsed="false">
      <c r="A45" s="3" t="s">
        <v>713</v>
      </c>
      <c r="B45" s="20" t="n">
        <f aca="false">(cons_tp/cons_feps)/B33-1</f>
        <v>0.182832585104802</v>
      </c>
      <c r="E45" s="0" t="str">
        <f aca="false">"共識目標價隱含 "&amp;TEXT(cons_tp/cons_feps,"0.0")&amp;"x，同業中位數 "&amp;TEXT(B33,"0.0")&amp;"x"</f>
        <v>共識目標價隱含 51.3x，同業中位數 43.4x</v>
      </c>
    </row>
    <row r="46" customFormat="false" ht="17.15" hidden="false" customHeight="false" outlineLevel="0" collapsed="false">
      <c r="A46" s="3" t="s">
        <v>714</v>
      </c>
      <c r="B46" s="35" t="str">
        <f aca="false">TEXT(D23,"#,##0")&amp;"～"&amp;TEXT(B23,"#,##0")</f>
        <v>219～506</v>
      </c>
      <c r="E46" s="7" t="s">
        <v>715</v>
      </c>
    </row>
    <row r="47" customFormat="false" ht="17.15" hidden="false" customHeight="false" outlineLevel="0" collapsed="false">
      <c r="A47" s="3" t="s">
        <v>716</v>
      </c>
      <c r="B47" s="36" t="n">
        <f aca="false">IF(px/B9&gt;=MAX($B$86:$B$95),1,IF(px/B9&lt;=MIN($B$86:$B$95),0,PERCENTRANK($B$86:$B$95,px/B9)))</f>
        <v>0.704</v>
      </c>
      <c r="C47" s="36" t="n">
        <f aca="false">IF(px/C9&gt;=MAX($B$86:$B$95),1,IF(px/C9&lt;=MIN($B$86:$B$95),0,PERCENTRANK($B$86:$B$95,px/C9)))</f>
        <v>0.822</v>
      </c>
      <c r="D47" s="36" t="n">
        <f aca="false">IF(px/D9&gt;=MAX($B$86:$B$95),1,IF(px/D9&lt;=MIN($B$86:$B$95),0,PERCENTRANK($B$86:$B$95,px/D9)))</f>
        <v>1</v>
      </c>
      <c r="E47" s="3" t="s">
        <v>717</v>
      </c>
    </row>
    <row r="48" customFormat="false" ht="17.15" hidden="false" customHeight="false" outlineLevel="0" collapsed="false">
      <c r="A48" s="3" t="s">
        <v>718</v>
      </c>
      <c r="B48" s="0" t="s">
        <v>719</v>
      </c>
    </row>
    <row r="51" customFormat="false" ht="17.15" hidden="false" customHeight="false" outlineLevel="0" collapsed="false">
      <c r="A51" s="5" t="s">
        <v>720</v>
      </c>
    </row>
    <row r="52" customFormat="false" ht="15" hidden="false" customHeight="false" outlineLevel="0" collapsed="false">
      <c r="A52" s="4" t="s">
        <v>21</v>
      </c>
      <c r="B52" s="13" t="s">
        <v>721</v>
      </c>
      <c r="C52" s="13" t="s">
        <v>722</v>
      </c>
      <c r="D52" s="13" t="s">
        <v>723</v>
      </c>
      <c r="E52" s="4" t="s">
        <v>533</v>
      </c>
    </row>
    <row r="53" customFormat="false" ht="17.15" hidden="false" customHeight="false" outlineLevel="0" collapsed="false">
      <c r="A53" s="3" t="s">
        <v>724</v>
      </c>
      <c r="B53" s="22" t="n">
        <f aca="false">px</f>
        <v>1085</v>
      </c>
    </row>
    <row r="54" customFormat="false" ht="17.15" hidden="false" customHeight="false" outlineLevel="0" collapsed="false">
      <c r="A54" s="3" t="s">
        <v>725</v>
      </c>
      <c r="B54" s="34" t="n">
        <f aca="false">px/PL!D15</f>
        <v>46.3949985852168</v>
      </c>
      <c r="C54" s="34" t="n">
        <f aca="false">px/PL!D29</f>
        <v>46.3949985852168</v>
      </c>
      <c r="D54" s="34" t="n">
        <f aca="false">px/PL!D43</f>
        <v>46.3949985852168</v>
      </c>
      <c r="E54" s="7" t="s">
        <v>726</v>
      </c>
    </row>
    <row r="55" customFormat="false" ht="17.15" hidden="false" customHeight="false" outlineLevel="0" collapsed="false">
      <c r="A55" s="3" t="s">
        <v>727</v>
      </c>
      <c r="B55" s="34" t="n">
        <f aca="false">px/PL!E15</f>
        <v>39.4392529323132</v>
      </c>
      <c r="C55" s="34" t="n">
        <f aca="false">px/PL!E29</f>
        <v>39.4392529323132</v>
      </c>
      <c r="D55" s="34" t="n">
        <f aca="false">px/PL!E43</f>
        <v>39.4392529323132</v>
      </c>
      <c r="E55" s="7" t="s">
        <v>728</v>
      </c>
    </row>
    <row r="56" customFormat="false" ht="17.15" hidden="false" customHeight="false" outlineLevel="0" collapsed="false">
      <c r="A56" s="3" t="s">
        <v>729</v>
      </c>
      <c r="B56" s="34" t="n">
        <f aca="false">px/PL!F15</f>
        <v>35.6482207128376</v>
      </c>
      <c r="C56" s="34" t="n">
        <f aca="false">px/PL!F29</f>
        <v>46.7449036681767</v>
      </c>
      <c r="D56" s="34" t="n">
        <f aca="false">px/PL!F43</f>
        <v>67.6081071146056</v>
      </c>
    </row>
    <row r="57" customFormat="false" ht="17.15" hidden="false" customHeight="false" outlineLevel="0" collapsed="false">
      <c r="A57" s="3" t="s">
        <v>730</v>
      </c>
      <c r="B57" s="34" t="n">
        <f aca="false">px/PL!G15</f>
        <v>33.2009168658125</v>
      </c>
      <c r="C57" s="34" t="n">
        <f aca="false">px/PL!G29</f>
        <v>39.7613302860782</v>
      </c>
      <c r="D57" s="34" t="n">
        <f aca="false">px/PL!G43</f>
        <v>60.0839430412833</v>
      </c>
    </row>
    <row r="58" customFormat="false" ht="17.15" hidden="false" customHeight="false" outlineLevel="0" collapsed="false">
      <c r="A58" s="3" t="s">
        <v>731</v>
      </c>
      <c r="B58" s="18" t="n">
        <f aca="false">0.2*PL!D29+0.8*PL!E29</f>
        <v>26.6857587653871</v>
      </c>
    </row>
    <row r="59" customFormat="false" ht="17.15" hidden="false" customHeight="false" outlineLevel="0" collapsed="false">
      <c r="A59" s="3" t="s">
        <v>732</v>
      </c>
      <c r="B59" s="34" t="n">
        <f aca="false">px/B58</f>
        <v>40.6583904748215</v>
      </c>
    </row>
    <row r="60" customFormat="false" ht="17.15" hidden="false" customHeight="false" outlineLevel="0" collapsed="false">
      <c r="A60" s="3" t="s">
        <v>413</v>
      </c>
      <c r="B60" s="34" t="n">
        <f aca="false">pe_ttm</f>
        <v>70.74</v>
      </c>
    </row>
    <row r="61" customFormat="false" ht="17.15" hidden="false" customHeight="false" outlineLevel="0" collapsed="false">
      <c r="A61" s="3" t="s">
        <v>409</v>
      </c>
      <c r="B61" s="34" t="n">
        <f aca="false">fpe</f>
        <v>42.28</v>
      </c>
    </row>
    <row r="63" customFormat="false" ht="17.15" hidden="false" customHeight="false" outlineLevel="0" collapsed="false">
      <c r="A63" s="5" t="s">
        <v>733</v>
      </c>
    </row>
    <row r="64" customFormat="false" ht="17.15" hidden="false" customHeight="false" outlineLevel="0" collapsed="false">
      <c r="A64" s="4" t="s">
        <v>734</v>
      </c>
      <c r="B64" s="4" t="s">
        <v>735</v>
      </c>
      <c r="C64" s="13" t="s">
        <v>736</v>
      </c>
      <c r="D64" s="4" t="s">
        <v>737</v>
      </c>
      <c r="E64" s="4" t="s">
        <v>738</v>
      </c>
      <c r="F64" s="4" t="s">
        <v>533</v>
      </c>
    </row>
    <row r="65" customFormat="false" ht="17.15" hidden="false" customHeight="false" outlineLevel="0" collapsed="false">
      <c r="A65" s="0" t="s">
        <v>721</v>
      </c>
      <c r="B65" s="0" t="n">
        <f aca="false">INDEX({2026,2027,2028,2029},MATCH(MAX(PL!D88:G88),PL!D88:G88,0))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22.63</v>
      </c>
      <c r="E65" s="0" t="str">
        <f aca="false">IF(B65=2029,"是：營收到觀測期末仍在增加","否")</f>
        <v>是：營收到觀測期末仍在增加</v>
      </c>
      <c r="F65" s="7" t="s">
        <v>739</v>
      </c>
    </row>
    <row r="66" customFormat="false" ht="15" hidden="false" customHeight="false" outlineLevel="0" collapsed="false">
      <c r="A66" s="0" t="s">
        <v>722</v>
      </c>
      <c r="B66" s="0" t="n">
        <f aca="false">INDEX({2026,2027,2028,2029},MATCH(MAX(PL!D143:G143),PL!D143:G143,0))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22.63</v>
      </c>
      <c r="E66" s="0" t="str">
        <f aca="false">IF(B66=2029,"是：營收到觀測期末仍在增加","否")</f>
        <v>是：營收到觀測期末仍在增加</v>
      </c>
      <c r="F66" s="3" t="s">
        <v>46</v>
      </c>
    </row>
    <row r="67" customFormat="false" ht="15" hidden="false" customHeight="false" outlineLevel="0" collapsed="false">
      <c r="A67" s="0" t="s">
        <v>723</v>
      </c>
      <c r="B67" s="0" t="n">
        <f aca="false">INDEX({2026,2027,2028,2029},MATCH(MAX(PL!D198:G198),PL!D198:G198,0))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18.4</v>
      </c>
      <c r="E67" s="0" t="str">
        <f aca="false">IF(B67=2029,"是：營收到觀測期末仍在增加","否")</f>
        <v>否</v>
      </c>
      <c r="F67" s="3" t="s">
        <v>46</v>
      </c>
    </row>
    <row r="69" customFormat="false" ht="17.15" hidden="false" customHeight="false" outlineLevel="0" collapsed="false">
      <c r="A69" s="5" t="s">
        <v>740</v>
      </c>
    </row>
    <row r="70" customFormat="false" ht="17.15" hidden="false" customHeight="false" outlineLevel="0" collapsed="false">
      <c r="A70" s="4" t="s">
        <v>734</v>
      </c>
      <c r="B70" s="13" t="s">
        <v>741</v>
      </c>
      <c r="C70" s="4" t="s">
        <v>742</v>
      </c>
      <c r="D70" s="4" t="s">
        <v>743</v>
      </c>
      <c r="E70" s="4" t="s">
        <v>744</v>
      </c>
      <c r="F70" s="4" t="s">
        <v>745</v>
      </c>
      <c r="G70" s="4" t="s">
        <v>746</v>
      </c>
    </row>
    <row r="71" customFormat="false" ht="15" hidden="false" customHeight="false" outlineLevel="0" collapsed="false">
      <c r="A71" s="8" t="s">
        <v>721</v>
      </c>
      <c r="B71" s="32" t="n">
        <f aca="false">PL!E15</f>
        <v>27.5106630914665</v>
      </c>
      <c r="C71" s="32" t="n">
        <f aca="false">B71</f>
        <v>27.5106630914665</v>
      </c>
      <c r="D71" s="37" t="n">
        <f aca="false">D65</f>
        <v>22.63</v>
      </c>
      <c r="E71" s="38" t="n">
        <f aca="false">C71*D71</f>
        <v>622.566305759887</v>
      </c>
      <c r="F71" s="39" t="n">
        <f aca="false">E71/px-1</f>
        <v>-0.426206169806556</v>
      </c>
      <c r="G71" s="37" t="n">
        <f aca="false">px/C71</f>
        <v>39.4392529323132</v>
      </c>
    </row>
    <row r="72" customFormat="false" ht="15" hidden="false" customHeight="false" outlineLevel="0" collapsed="false">
      <c r="A72" s="8" t="s">
        <v>722</v>
      </c>
      <c r="B72" s="32" t="n">
        <f aca="false">PL!E29</f>
        <v>27.5106630914665</v>
      </c>
      <c r="C72" s="32" t="n">
        <f aca="false">B72</f>
        <v>27.5106630914665</v>
      </c>
      <c r="D72" s="37" t="n">
        <f aca="false">D66</f>
        <v>22.63</v>
      </c>
      <c r="E72" s="38" t="n">
        <f aca="false">C72*D72</f>
        <v>622.566305759887</v>
      </c>
      <c r="F72" s="39" t="n">
        <f aca="false">E72/px-1</f>
        <v>-0.426206169806556</v>
      </c>
      <c r="G72" s="37" t="n">
        <f aca="false">px/C72</f>
        <v>39.4392529323132</v>
      </c>
    </row>
    <row r="73" customFormat="false" ht="15" hidden="false" customHeight="false" outlineLevel="0" collapsed="false">
      <c r="A73" s="8" t="s">
        <v>723</v>
      </c>
      <c r="B73" s="32" t="n">
        <f aca="false">PL!E43</f>
        <v>27.5106630914665</v>
      </c>
      <c r="C73" s="32" t="n">
        <f aca="false">B73</f>
        <v>27.5106630914665</v>
      </c>
      <c r="D73" s="37" t="n">
        <f aca="false">D67</f>
        <v>18.4</v>
      </c>
      <c r="E73" s="38" t="n">
        <f aca="false">C73*D73</f>
        <v>506.196200882984</v>
      </c>
      <c r="F73" s="39" t="n">
        <f aca="false">E73/px-1</f>
        <v>-0.533459722688494</v>
      </c>
      <c r="G73" s="37" t="n">
        <f aca="false">px/C73</f>
        <v>39.4392529323132</v>
      </c>
    </row>
    <row r="75" customFormat="false" ht="17.15" hidden="false" customHeight="false" outlineLevel="0" collapsed="false">
      <c r="A75" s="5" t="s">
        <v>747</v>
      </c>
    </row>
    <row r="76" customFormat="false" ht="17.15" hidden="false" customHeight="false" outlineLevel="0" collapsed="false">
      <c r="A76" s="13" t="s">
        <v>748</v>
      </c>
      <c r="B76" s="4" t="s">
        <v>749</v>
      </c>
      <c r="C76" s="4" t="s">
        <v>750</v>
      </c>
      <c r="D76" s="4" t="s">
        <v>751</v>
      </c>
      <c r="E76" s="4" t="s">
        <v>752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26.7361655346282</v>
      </c>
      <c r="C77" s="34" t="n">
        <f aca="false">px*A77/PL!F29</f>
        <v>35.0586777511326</v>
      </c>
      <c r="D77" s="34" t="n">
        <f aca="false">px*A77/PL!F43</f>
        <v>50.7060803359542</v>
      </c>
      <c r="E77" s="34" t="n">
        <f aca="false">pe_mid</f>
        <v>22.63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35.6482207128376</v>
      </c>
      <c r="C78" s="34" t="n">
        <f aca="false">px*A78/PL!F29</f>
        <v>46.7449036681767</v>
      </c>
      <c r="D78" s="34" t="n">
        <f aca="false">px*A78/PL!F43</f>
        <v>67.6081071146056</v>
      </c>
      <c r="E78" s="34" t="n">
        <f aca="false">pe_mid</f>
        <v>22.63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39.2130427841213</v>
      </c>
      <c r="C79" s="34" t="n">
        <f aca="false">px*A79/PL!F29</f>
        <v>51.4193940349944</v>
      </c>
      <c r="D79" s="34" t="n">
        <f aca="false">px*A79/PL!F43</f>
        <v>74.3689178260662</v>
      </c>
      <c r="E79" s="34" t="n">
        <f aca="false">pe_mid</f>
        <v>22.63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43.1343470625335</v>
      </c>
      <c r="C80" s="34" t="n">
        <f aca="false">px*A80/PL!F29</f>
        <v>56.5613334384939</v>
      </c>
      <c r="D80" s="34" t="n">
        <f aca="false">px*A80/PL!F43</f>
        <v>81.8058096086728</v>
      </c>
      <c r="E80" s="34" t="n">
        <f aca="false">pe_mid</f>
        <v>22.63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53.4723310692564</v>
      </c>
      <c r="C81" s="34" t="n">
        <f aca="false">px*A81/PL!F29</f>
        <v>70.1173555022651</v>
      </c>
      <c r="D81" s="34" t="n">
        <f aca="false">px*A81/PL!F43</f>
        <v>101.412160671908</v>
      </c>
      <c r="E81" s="34" t="n">
        <f aca="false">pe_mid</f>
        <v>22.63</v>
      </c>
    </row>
    <row r="82" customFormat="false" ht="17.15" hidden="false" customHeight="false" outlineLevel="0" collapsed="false">
      <c r="A82" s="3" t="s">
        <v>753</v>
      </c>
    </row>
    <row r="84" customFormat="false" ht="17.15" hidden="false" customHeight="false" outlineLevel="0" collapsed="false">
      <c r="A84" s="5" t="s">
        <v>754</v>
      </c>
    </row>
    <row r="85" customFormat="false" ht="17.15" hidden="false" customHeight="false" outlineLevel="0" collapsed="false">
      <c r="A85" s="4" t="s">
        <v>755</v>
      </c>
      <c r="B85" s="4" t="s">
        <v>756</v>
      </c>
      <c r="C85" s="13" t="s">
        <v>757</v>
      </c>
      <c r="D85" s="4" t="s">
        <v>758</v>
      </c>
    </row>
    <row r="86" customFormat="false" ht="17.15" hidden="false" customHeight="false" outlineLevel="0" collapsed="false">
      <c r="A86" s="0" t="s">
        <v>759</v>
      </c>
      <c r="E86" s="3" t="s">
        <v>760</v>
      </c>
    </row>
    <row r="87" customFormat="false" ht="15" hidden="false" customHeight="false" outlineLevel="0" collapsed="false">
      <c r="A87" s="0" t="s">
        <v>761</v>
      </c>
      <c r="B87" s="18" t="n">
        <f aca="false">AVERAGE(C87:D87)</f>
        <v>53.6071428571429</v>
      </c>
      <c r="C87" s="18" t="n">
        <f aca="false">B106</f>
        <v>49</v>
      </c>
      <c r="D87" s="18" t="n">
        <f aca="false">C106</f>
        <v>58.2142857142857</v>
      </c>
    </row>
    <row r="88" customFormat="false" ht="15" hidden="false" customHeight="false" outlineLevel="0" collapsed="false">
      <c r="A88" s="0" t="s">
        <v>762</v>
      </c>
      <c r="B88" s="18" t="n">
        <f aca="false">AVERAGE(C88:D88)</f>
        <v>18.395652173913</v>
      </c>
      <c r="C88" s="18" t="n">
        <f aca="false">B107</f>
        <v>17.4</v>
      </c>
      <c r="D88" s="18" t="n">
        <f aca="false">C107</f>
        <v>19.3913043478261</v>
      </c>
    </row>
    <row r="89" customFormat="false" ht="15" hidden="false" customHeight="false" outlineLevel="0" collapsed="false">
      <c r="A89" s="0" t="s">
        <v>763</v>
      </c>
      <c r="B89" s="18" t="n">
        <f aca="false">AVERAGE(C89:D89)</f>
        <v>17.625</v>
      </c>
      <c r="C89" s="18" t="n">
        <f aca="false">B108</f>
        <v>16.5</v>
      </c>
      <c r="D89" s="18" t="n">
        <f aca="false">C108</f>
        <v>18.75</v>
      </c>
    </row>
    <row r="90" customFormat="false" ht="15" hidden="false" customHeight="false" outlineLevel="0" collapsed="false">
      <c r="A90" s="0" t="s">
        <v>764</v>
      </c>
      <c r="B90" s="18" t="n">
        <f aca="false">AVERAGE(C90:D90)</f>
        <v>22.1844919786096</v>
      </c>
      <c r="C90" s="18" t="n">
        <f aca="false">B109</f>
        <v>21</v>
      </c>
      <c r="D90" s="18" t="n">
        <f aca="false">C109</f>
        <v>23.3689839572193</v>
      </c>
    </row>
    <row r="91" customFormat="false" ht="15" hidden="false" customHeight="false" outlineLevel="0" collapsed="false">
      <c r="A91" s="0" t="s">
        <v>765</v>
      </c>
      <c r="B91" s="18" t="n">
        <f aca="false">AVERAGE(C91:D91)</f>
        <v>24.6119153674833</v>
      </c>
      <c r="C91" s="18" t="n">
        <f aca="false">B110</f>
        <v>23.5</v>
      </c>
      <c r="D91" s="18" t="n">
        <f aca="false">C110</f>
        <v>25.7238307349666</v>
      </c>
    </row>
    <row r="92" customFormat="false" ht="15" hidden="false" customHeight="false" outlineLevel="0" collapsed="false">
      <c r="A92" s="0" t="s">
        <v>766</v>
      </c>
      <c r="B92" s="18" t="n">
        <f aca="false">AVERAGE(C92:D92)</f>
        <v>5.77304780876494</v>
      </c>
      <c r="C92" s="18" t="n">
        <f aca="false">B111</f>
        <v>5.57</v>
      </c>
      <c r="D92" s="18" t="n">
        <f aca="false">C111</f>
        <v>5.97609561752988</v>
      </c>
    </row>
    <row r="93" customFormat="false" ht="15" hidden="false" customHeight="false" outlineLevel="0" collapsed="false">
      <c r="A93" s="0" t="s">
        <v>767</v>
      </c>
      <c r="B93" s="18" t="n">
        <f aca="false">AVERAGE(C93:D93)</f>
        <v>22.1175126903553</v>
      </c>
      <c r="C93" s="18" t="n">
        <f aca="false">B112</f>
        <v>21.9</v>
      </c>
      <c r="D93" s="18" t="n">
        <f aca="false">C112</f>
        <v>22.3350253807107</v>
      </c>
    </row>
    <row r="94" customFormat="false" ht="15" hidden="false" customHeight="false" outlineLevel="0" collapsed="false">
      <c r="A94" s="0" t="s">
        <v>768</v>
      </c>
      <c r="B94" s="18" t="n">
        <f aca="false">AVERAGE(C94:D94)</f>
        <v>42.0077844311377</v>
      </c>
      <c r="C94" s="18" t="n">
        <f aca="false">B113</f>
        <v>41.8</v>
      </c>
      <c r="D94" s="18" t="n">
        <f aca="false">C113</f>
        <v>42.2155688622755</v>
      </c>
    </row>
    <row r="95" customFormat="false" ht="15" hidden="false" customHeight="false" outlineLevel="0" collapsed="false">
      <c r="A95" s="0" t="s">
        <v>769</v>
      </c>
      <c r="B95" s="18" t="n">
        <f aca="false">AVERAGE(C95:D95)</f>
        <v>50.25</v>
      </c>
      <c r="C95" s="18" t="n">
        <f aca="false">B114</f>
        <v>50.1</v>
      </c>
      <c r="D95" s="18" t="n">
        <f aca="false">C114</f>
        <v>50.4</v>
      </c>
    </row>
    <row r="96" customFormat="false" ht="15" hidden="false" customHeight="false" outlineLevel="0" collapsed="false">
      <c r="A96" s="3" t="s">
        <v>770</v>
      </c>
      <c r="B96" s="0" t="n">
        <f aca="false">COUNT($B$86:$B$95)</f>
        <v>9</v>
      </c>
    </row>
    <row r="100" customFormat="false" ht="17.15" hidden="false" customHeight="false" outlineLevel="0" collapsed="false">
      <c r="A100" s="5" t="s">
        <v>771</v>
      </c>
    </row>
    <row r="101" customFormat="false" ht="17.15" hidden="false" customHeight="false" outlineLevel="0" collapsed="false">
      <c r="A101" s="3" t="s">
        <v>772</v>
      </c>
    </row>
    <row r="103" customFormat="false" ht="17.15" hidden="false" customHeight="false" outlineLevel="0" collapsed="false">
      <c r="A103" s="5" t="s">
        <v>773</v>
      </c>
    </row>
    <row r="104" customFormat="false" ht="17.15" hidden="false" customHeight="false" outlineLevel="0" collapsed="false">
      <c r="A104" s="4" t="s">
        <v>755</v>
      </c>
      <c r="B104" s="13" t="s">
        <v>774</v>
      </c>
      <c r="C104" s="4" t="s">
        <v>775</v>
      </c>
      <c r="D104" s="4" t="s">
        <v>776</v>
      </c>
    </row>
    <row r="105" customFormat="false" ht="17.15" hidden="false" customHeight="false" outlineLevel="0" collapsed="false">
      <c r="A105" s="0" t="s">
        <v>759</v>
      </c>
      <c r="D105" s="0" t="s">
        <v>777</v>
      </c>
    </row>
    <row r="106" customFormat="false" ht="15" hidden="false" customHeight="false" outlineLevel="0" collapsed="false">
      <c r="A106" s="0" t="s">
        <v>761</v>
      </c>
      <c r="B106" s="17" t="n">
        <v>49</v>
      </c>
      <c r="C106" s="18" t="n">
        <f aca="false">16.3/0.28</f>
        <v>58.2142857142857</v>
      </c>
    </row>
    <row r="107" customFormat="false" ht="15" hidden="false" customHeight="false" outlineLevel="0" collapsed="false">
      <c r="A107" s="0" t="s">
        <v>762</v>
      </c>
      <c r="B107" s="17" t="n">
        <v>17.4</v>
      </c>
      <c r="C107" s="18" t="n">
        <f aca="false">22.3/1.15</f>
        <v>19.3913043478261</v>
      </c>
    </row>
    <row r="108" customFormat="false" ht="15" hidden="false" customHeight="false" outlineLevel="0" collapsed="false">
      <c r="A108" s="0" t="s">
        <v>763</v>
      </c>
      <c r="B108" s="17" t="n">
        <v>16.5</v>
      </c>
      <c r="C108" s="18" t="n">
        <f aca="false">42/2.24</f>
        <v>18.75</v>
      </c>
    </row>
    <row r="109" customFormat="false" ht="15" hidden="false" customHeight="false" outlineLevel="0" collapsed="false">
      <c r="A109" s="0" t="s">
        <v>764</v>
      </c>
      <c r="B109" s="17" t="n">
        <v>21</v>
      </c>
      <c r="C109" s="18" t="n">
        <f aca="false">87.4/3.74</f>
        <v>23.3689839572193</v>
      </c>
    </row>
    <row r="110" customFormat="false" ht="15" hidden="false" customHeight="false" outlineLevel="0" collapsed="false">
      <c r="A110" s="0" t="s">
        <v>765</v>
      </c>
      <c r="B110" s="17" t="n">
        <v>23.5</v>
      </c>
      <c r="C110" s="18" t="n">
        <f aca="false">231/8.98</f>
        <v>25.7238307349666</v>
      </c>
    </row>
    <row r="111" customFormat="false" ht="15" hidden="false" customHeight="false" outlineLevel="0" collapsed="false">
      <c r="A111" s="0" t="s">
        <v>766</v>
      </c>
      <c r="B111" s="17" t="n">
        <v>5.57</v>
      </c>
      <c r="C111" s="18" t="n">
        <f aca="false">120/20.08</f>
        <v>5.97609561752988</v>
      </c>
    </row>
    <row r="112" customFormat="false" ht="15" hidden="false" customHeight="false" outlineLevel="0" collapsed="false">
      <c r="A112" s="0" t="s">
        <v>767</v>
      </c>
      <c r="B112" s="17" t="n">
        <v>21.9</v>
      </c>
      <c r="C112" s="18" t="n">
        <f aca="false">176/7.88</f>
        <v>22.3350253807107</v>
      </c>
    </row>
    <row r="113" customFormat="false" ht="15" hidden="false" customHeight="false" outlineLevel="0" collapsed="false">
      <c r="A113" s="0" t="s">
        <v>768</v>
      </c>
      <c r="B113" s="17" t="n">
        <v>41.8</v>
      </c>
      <c r="C113" s="18" t="n">
        <f aca="false">141/3.34</f>
        <v>42.2155688622755</v>
      </c>
    </row>
    <row r="114" customFormat="false" ht="15" hidden="false" customHeight="false" outlineLevel="0" collapsed="false">
      <c r="A114" s="0" t="s">
        <v>769</v>
      </c>
      <c r="B114" s="17" t="n">
        <v>50.1</v>
      </c>
      <c r="C114" s="17" t="n">
        <v>50.4</v>
      </c>
    </row>
    <row r="115" customFormat="false" ht="17.15" hidden="false" customHeight="false" outlineLevel="0" collapsed="false">
      <c r="A115" s="0" t="s">
        <v>778</v>
      </c>
      <c r="B115" s="18" t="n">
        <f aca="false">PERCENTILE(B105:B114,0.25)</f>
        <v>17.4</v>
      </c>
      <c r="C115" s="18" t="n">
        <f aca="false">PERCENTILE(C105:C114,0.25)</f>
        <v>19.3913043478261</v>
      </c>
    </row>
    <row r="116" customFormat="false" ht="15" hidden="false" customHeight="false" outlineLevel="0" collapsed="false">
      <c r="A116" s="3" t="s">
        <v>779</v>
      </c>
      <c r="B116" s="18" t="n">
        <f aca="false">MEDIAN(B105:B114)</f>
        <v>21.9</v>
      </c>
      <c r="C116" s="18" t="n">
        <f aca="false">MEDIAN(C105:C114)</f>
        <v>23.3689839572193</v>
      </c>
    </row>
    <row r="117" customFormat="false" ht="17.15" hidden="false" customHeight="false" outlineLevel="0" collapsed="false">
      <c r="A117" s="0" t="s">
        <v>780</v>
      </c>
      <c r="B117" s="18" t="n">
        <f aca="false">PERCENTILE(B105:B114,0.75)</f>
        <v>41.8</v>
      </c>
      <c r="C117" s="18" t="n">
        <f aca="false">PERCENTILE(C105:C114,0.75)</f>
        <v>42.2155688622755</v>
      </c>
    </row>
    <row r="118" customFormat="false" ht="15" hidden="false" customHeight="false" outlineLevel="0" collapsed="false">
      <c r="A118" s="3" t="s">
        <v>781</v>
      </c>
      <c r="B118" s="18" t="n">
        <f aca="false">MIN(B105:B114)</f>
        <v>5.57</v>
      </c>
      <c r="C118" s="18" t="n">
        <f aca="false">MIN(C105:C114)</f>
        <v>5.97609561752988</v>
      </c>
    </row>
    <row r="119" customFormat="false" ht="15" hidden="false" customHeight="false" outlineLevel="0" collapsed="false">
      <c r="A119" s="3" t="s">
        <v>782</v>
      </c>
      <c r="B119" s="18" t="n">
        <f aca="false">MAX(B105:B114)</f>
        <v>50.1</v>
      </c>
      <c r="C119" s="18" t="n">
        <f aca="false">MAX(C105:C114)</f>
        <v>58.2142857142857</v>
      </c>
    </row>
    <row r="120" customFormat="false" ht="17.15" hidden="false" customHeight="false" outlineLevel="0" collapsed="false">
      <c r="A120" s="1" t="s">
        <v>783</v>
      </c>
      <c r="B120" s="18" t="n">
        <f aca="false">ROUND(AVERAGE(B115,C115),2)</f>
        <v>18.4</v>
      </c>
    </row>
    <row r="121" customFormat="false" ht="17.15" hidden="false" customHeight="false" outlineLevel="0" collapsed="false">
      <c r="A121" s="1" t="s">
        <v>784</v>
      </c>
      <c r="B121" s="18" t="n">
        <f aca="false">ROUND(AVERAGE(B116,C116),2)</f>
        <v>22.63</v>
      </c>
    </row>
    <row r="122" customFormat="false" ht="17.15" hidden="false" customHeight="false" outlineLevel="0" collapsed="false">
      <c r="A122" s="1" t="s">
        <v>785</v>
      </c>
      <c r="B122" s="18" t="n">
        <f aca="false">ROUND(AVERAGE(B117,C117),2)</f>
        <v>42.01</v>
      </c>
    </row>
    <row r="123" customFormat="false" ht="17.15" hidden="false" customHeight="false" outlineLevel="0" collapsed="false">
      <c r="A123" s="1" t="s">
        <v>786</v>
      </c>
      <c r="B123" s="18" t="n">
        <f aca="false">ROUND(MIN(B118,C118),2)</f>
        <v>5.57</v>
      </c>
    </row>
    <row r="124" customFormat="false" ht="17.15" hidden="false" customHeight="false" outlineLevel="0" collapsed="false">
      <c r="A124" s="1" t="s">
        <v>787</v>
      </c>
      <c r="B124" s="18" t="n">
        <f aca="false">ROUND(MAX(B119,C119),2)</f>
        <v>58.21</v>
      </c>
    </row>
    <row r="126" customFormat="false" ht="17.15" hidden="false" customHeight="false" outlineLevel="0" collapsed="false">
      <c r="A126" s="5" t="s">
        <v>788</v>
      </c>
    </row>
    <row r="127" customFormat="false" ht="17.15" hidden="false" customHeight="false" outlineLevel="0" collapsed="false">
      <c r="A127" s="4" t="s">
        <v>789</v>
      </c>
      <c r="B127" s="4" t="s">
        <v>790</v>
      </c>
      <c r="C127" s="4" t="s">
        <v>791</v>
      </c>
      <c r="D127" s="4" t="s">
        <v>24</v>
      </c>
      <c r="E127" s="4" t="s">
        <v>792</v>
      </c>
      <c r="F127" s="4" t="s">
        <v>744</v>
      </c>
      <c r="G127" s="4" t="s">
        <v>793</v>
      </c>
      <c r="H127" s="4" t="s">
        <v>794</v>
      </c>
    </row>
    <row r="128" customFormat="false" ht="17.15" hidden="false" customHeight="false" outlineLevel="0" collapsed="false">
      <c r="A128" s="3" t="s">
        <v>795</v>
      </c>
      <c r="B128" s="0" t="s">
        <v>796</v>
      </c>
      <c r="C128" s="18" t="n">
        <f aca="false">B120</f>
        <v>18.4</v>
      </c>
      <c r="D128" s="7" t="s">
        <v>797</v>
      </c>
      <c r="E128" s="18" t="n">
        <f aca="false">C72</f>
        <v>27.5106630914665</v>
      </c>
      <c r="F128" s="23" t="n">
        <f aca="false">C128*E128</f>
        <v>506.196200882984</v>
      </c>
      <c r="G128" s="20" t="n">
        <f aca="false">F128/px-1</f>
        <v>-0.533459722688494</v>
      </c>
      <c r="H128" s="18" t="n">
        <f aca="false">px/E128</f>
        <v>39.4392529323132</v>
      </c>
    </row>
    <row r="129" customFormat="false" ht="17.15" hidden="false" customHeight="false" outlineLevel="0" collapsed="false">
      <c r="A129" s="3" t="s">
        <v>798</v>
      </c>
      <c r="B129" s="3" t="s">
        <v>799</v>
      </c>
      <c r="C129" s="18" t="n">
        <f aca="false">B121</f>
        <v>22.63</v>
      </c>
      <c r="D129" s="7" t="s">
        <v>797</v>
      </c>
      <c r="E129" s="18" t="n">
        <f aca="false">C72</f>
        <v>27.5106630914665</v>
      </c>
      <c r="F129" s="23" t="n">
        <f aca="false">C129*E129</f>
        <v>622.566305759887</v>
      </c>
      <c r="G129" s="20" t="n">
        <f aca="false">F129/px-1</f>
        <v>-0.426206169806556</v>
      </c>
      <c r="H129" s="18" t="n">
        <f aca="false">px/E129</f>
        <v>39.4392529323132</v>
      </c>
    </row>
    <row r="130" customFormat="false" ht="17.15" hidden="false" customHeight="false" outlineLevel="0" collapsed="false">
      <c r="A130" s="3" t="s">
        <v>800</v>
      </c>
      <c r="B130" s="0" t="s">
        <v>801</v>
      </c>
      <c r="C130" s="18" t="n">
        <f aca="false">B122</f>
        <v>42.01</v>
      </c>
      <c r="D130" s="7" t="s">
        <v>797</v>
      </c>
      <c r="E130" s="18" t="n">
        <f aca="false">C72</f>
        <v>27.5106630914665</v>
      </c>
      <c r="F130" s="23" t="n">
        <f aca="false">C130*E130</f>
        <v>1155.72295647251</v>
      </c>
      <c r="G130" s="20" t="n">
        <f aca="false">F130/px-1</f>
        <v>0.0651824483617582</v>
      </c>
      <c r="H130" s="18" t="n">
        <f aca="false">px/E130</f>
        <v>39.4392529323132</v>
      </c>
    </row>
    <row r="133" customFormat="false" ht="17.15" hidden="false" customHeight="false" outlineLevel="0" collapsed="false">
      <c r="A133" s="3" t="s">
        <v>802</v>
      </c>
      <c r="B133" s="35" t="str">
        <f aca="false">IF(B42&gt;0.5,"大於 50%",IF(B42&gt;0.25,"25%–50%",IF(B42&gt;=0,"0%–25%",IF(B42&gt;=-0.25,"0%～−25%",IF(B42&gt;=-0.5,"−25%～−50%","小於 −50%")))))</f>
        <v>−25%～−50%</v>
      </c>
      <c r="E133" s="3" t="s">
        <v>803</v>
      </c>
    </row>
    <row r="134" customFormat="false" ht="17.15" hidden="false" customHeight="false" outlineLevel="0" collapsed="false">
      <c r="A134" s="3" t="s">
        <v>804</v>
      </c>
      <c r="B134" s="35" t="str">
        <f aca="false">IF(B42&gt;0.5,"強力買進",IF(B42&gt;0.25,"買進",IF(B42&gt;=-0.25,"中立",IF(B42&gt;=-0.5,"放空","強力放空"))))</f>
        <v>放空</v>
      </c>
      <c r="E134" s="3" t="s">
        <v>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806</v>
      </c>
    </row>
    <row r="3" customFormat="false" ht="17.15" hidden="false" customHeight="false" outlineLevel="0" collapsed="false">
      <c r="A3" s="4" t="s">
        <v>21</v>
      </c>
      <c r="B3" s="4" t="s">
        <v>807</v>
      </c>
      <c r="C3" s="4" t="s">
        <v>808</v>
      </c>
      <c r="D3" s="4" t="s">
        <v>809</v>
      </c>
      <c r="E3" s="4" t="s">
        <v>810</v>
      </c>
      <c r="F3" s="4" t="s">
        <v>811</v>
      </c>
      <c r="G3" s="4" t="s">
        <v>812</v>
      </c>
      <c r="H3" s="4" t="s">
        <v>813</v>
      </c>
      <c r="I3" s="4" t="s">
        <v>814</v>
      </c>
      <c r="J3" s="4" t="s">
        <v>533</v>
      </c>
    </row>
    <row r="4" customFormat="false" ht="17.15" hidden="false" customHeight="false" outlineLevel="0" collapsed="false">
      <c r="A4" s="5" t="s">
        <v>815</v>
      </c>
    </row>
    <row r="5" customFormat="false" ht="17.15" hidden="false" customHeight="false" outlineLevel="0" collapsed="false">
      <c r="A5" s="0" t="s">
        <v>816</v>
      </c>
      <c r="B5" s="21" t="n">
        <v>23.42</v>
      </c>
      <c r="C5" s="21" t="n">
        <f aca="false">PL!D107</f>
        <v>23.3861414610695</v>
      </c>
      <c r="D5" s="20" t="n">
        <f aca="false">C5/B5-1</f>
        <v>-0.00144571045817676</v>
      </c>
      <c r="E5" s="21" t="n">
        <f aca="false">PL!D162</f>
        <v>23.3861414610695</v>
      </c>
      <c r="F5" s="20" t="n">
        <f aca="false">E5/B5-1</f>
        <v>-0.00144571045817676</v>
      </c>
      <c r="G5" s="21" t="n">
        <f aca="false">PL!D217</f>
        <v>23.3861414610695</v>
      </c>
      <c r="H5" s="20" t="n">
        <f aca="false">G5/B5-1</f>
        <v>-0.00144571045817676</v>
      </c>
      <c r="I5" s="3" t="s">
        <v>817</v>
      </c>
      <c r="J5" s="7" t="s">
        <v>818</v>
      </c>
    </row>
    <row r="6" customFormat="false" ht="17.15" hidden="false" customHeight="false" outlineLevel="0" collapsed="false">
      <c r="A6" s="0" t="s">
        <v>819</v>
      </c>
      <c r="B6" s="21" t="n">
        <v>21</v>
      </c>
      <c r="C6" s="21" t="n">
        <f aca="false">PL!D107</f>
        <v>23.3861414610695</v>
      </c>
      <c r="D6" s="20" t="n">
        <f aca="false">C6/B6-1</f>
        <v>0.113625783860452</v>
      </c>
      <c r="E6" s="21" t="n">
        <f aca="false">PL!D162</f>
        <v>23.3861414610695</v>
      </c>
      <c r="F6" s="20" t="n">
        <f aca="false">E6/B6-1</f>
        <v>0.113625783860452</v>
      </c>
      <c r="G6" s="21" t="n">
        <f aca="false">PL!D217</f>
        <v>23.3861414610695</v>
      </c>
      <c r="H6" s="20" t="n">
        <f aca="false">G6/B6-1</f>
        <v>0.113625783860452</v>
      </c>
      <c r="I6" s="3" t="s">
        <v>820</v>
      </c>
    </row>
    <row r="7" customFormat="false" ht="17.15" hidden="false" customHeight="false" outlineLevel="0" collapsed="false">
      <c r="A7" s="0" t="s">
        <v>821</v>
      </c>
      <c r="B7" s="21" t="n">
        <f aca="false">bk_eps27</f>
        <v>39.05</v>
      </c>
      <c r="C7" s="21" t="n">
        <f aca="false">PL!E107</f>
        <v>27.5106630914665</v>
      </c>
      <c r="D7" s="20" t="n">
        <f aca="false">C7/B7-1</f>
        <v>-0.295501585365775</v>
      </c>
      <c r="E7" s="21" t="n">
        <f aca="false">PL!E162</f>
        <v>27.5106630914665</v>
      </c>
      <c r="F7" s="20" t="n">
        <f aca="false">E7/B7-1</f>
        <v>-0.295501585365775</v>
      </c>
      <c r="G7" s="21" t="n">
        <f aca="false">PL!E217</f>
        <v>27.5106630914665</v>
      </c>
      <c r="H7" s="20" t="n">
        <f aca="false">G7/B7-1</f>
        <v>-0.295501585365775</v>
      </c>
      <c r="I7" s="3" t="s">
        <v>822</v>
      </c>
      <c r="J7" s="3" t="s">
        <v>823</v>
      </c>
    </row>
    <row r="8" customFormat="false" ht="17.15" hidden="false" customHeight="false" outlineLevel="0" collapsed="false">
      <c r="A8" s="0" t="s">
        <v>824</v>
      </c>
      <c r="B8" s="21" t="n">
        <f aca="false">cons_eps27</f>
        <v>30.37</v>
      </c>
      <c r="C8" s="21" t="n">
        <f aca="false">PL!E107</f>
        <v>27.5106630914665</v>
      </c>
      <c r="D8" s="20" t="n">
        <f aca="false">C8/B8-1</f>
        <v>-0.0941500463791076</v>
      </c>
      <c r="E8" s="21" t="n">
        <f aca="false">PL!E162</f>
        <v>27.5106630914665</v>
      </c>
      <c r="F8" s="20" t="n">
        <f aca="false">E8/B8-1</f>
        <v>-0.0941500463791076</v>
      </c>
      <c r="G8" s="21" t="n">
        <f aca="false">PL!E217</f>
        <v>27.5106630914665</v>
      </c>
      <c r="H8" s="20" t="n">
        <f aca="false">G8/B8-1</f>
        <v>-0.0941500463791076</v>
      </c>
      <c r="I8" s="3" t="s">
        <v>825</v>
      </c>
    </row>
    <row r="9" customFormat="false" ht="17.15" hidden="false" customHeight="false" outlineLevel="0" collapsed="false">
      <c r="A9" s="0" t="s">
        <v>826</v>
      </c>
      <c r="B9" s="21" t="n">
        <f aca="false">cons_eps28</f>
        <v>48.52</v>
      </c>
      <c r="C9" s="21" t="n">
        <f aca="false">PL!F107</f>
        <v>30.4363016808093</v>
      </c>
      <c r="D9" s="20" t="n">
        <f aca="false">C9/B9-1</f>
        <v>-0.372706065935505</v>
      </c>
      <c r="E9" s="21" t="n">
        <f aca="false">PL!F162</f>
        <v>23.211086447027</v>
      </c>
      <c r="F9" s="20" t="n">
        <f aca="false">E9/B9-1</f>
        <v>-0.521618168857646</v>
      </c>
      <c r="G9" s="21" t="n">
        <f aca="false">PL!F217</f>
        <v>16.0483712132447</v>
      </c>
      <c r="H9" s="20" t="n">
        <f aca="false">G9/B9-1</f>
        <v>-0.669242143173028</v>
      </c>
      <c r="I9" s="3" t="s">
        <v>827</v>
      </c>
      <c r="J9" s="3" t="s">
        <v>828</v>
      </c>
    </row>
    <row r="10" customFormat="false" ht="17.15" hidden="false" customHeight="false" outlineLevel="0" collapsed="false">
      <c r="A10" s="0" t="s">
        <v>829</v>
      </c>
      <c r="B10" s="21" t="n">
        <v>64.8</v>
      </c>
      <c r="C10" s="21" t="n">
        <f aca="false">PL!F107</f>
        <v>30.4363016808093</v>
      </c>
      <c r="D10" s="20" t="n">
        <f aca="false">C10/B10-1</f>
        <v>-0.530303986407264</v>
      </c>
      <c r="E10" s="21" t="n">
        <f aca="false">PL!F162</f>
        <v>23.211086447027</v>
      </c>
      <c r="F10" s="20" t="n">
        <f aca="false">E10/B10-1</f>
        <v>-0.641804221496497</v>
      </c>
      <c r="G10" s="21" t="n">
        <f aca="false">PL!F217</f>
        <v>16.0483712132447</v>
      </c>
      <c r="H10" s="20" t="n">
        <f aca="false">G10/B10-1</f>
        <v>-0.752339950412891</v>
      </c>
      <c r="I10" s="3" t="s">
        <v>830</v>
      </c>
    </row>
    <row r="11" customFormat="false" ht="17.15" hidden="false" customHeight="false" outlineLevel="0" collapsed="false">
      <c r="A11" s="0" t="s">
        <v>831</v>
      </c>
      <c r="B11" s="23" t="n">
        <f aca="false">cons_rev27</f>
        <v>255.2</v>
      </c>
      <c r="C11" s="23" t="n">
        <f aca="false">PL!E88</f>
        <v>245.842654649375</v>
      </c>
      <c r="D11" s="20" t="n">
        <f aca="false">C11/B11-1</f>
        <v>-0.0366667137563677</v>
      </c>
      <c r="E11" s="23" t="n">
        <f aca="false">PL!E143</f>
        <v>245.842654649375</v>
      </c>
      <c r="F11" s="20" t="n">
        <f aca="false">E11/B11-1</f>
        <v>-0.0366667137563677</v>
      </c>
      <c r="G11" s="23" t="n">
        <f aca="false">PL!E198</f>
        <v>245.842654649375</v>
      </c>
      <c r="H11" s="20" t="n">
        <f aca="false">G11/B11-1</f>
        <v>-0.0366667137563677</v>
      </c>
      <c r="I11" s="3" t="s">
        <v>827</v>
      </c>
    </row>
    <row r="12" customFormat="false" ht="17.15" hidden="false" customHeight="false" outlineLevel="0" collapsed="false">
      <c r="A12" s="0" t="s">
        <v>832</v>
      </c>
      <c r="B12" s="23" t="n">
        <f aca="false">cons_rev28</f>
        <v>326.5</v>
      </c>
      <c r="C12" s="23" t="n">
        <f aca="false">PL!F88</f>
        <v>278.513465439096</v>
      </c>
      <c r="D12" s="20" t="n">
        <f aca="false">C12/B12-1</f>
        <v>-0.146972540768465</v>
      </c>
      <c r="E12" s="23" t="n">
        <f aca="false">PL!F143</f>
        <v>238.726149781082</v>
      </c>
      <c r="F12" s="20" t="n">
        <f aca="false">E12/B12-1</f>
        <v>-0.268832619353501</v>
      </c>
      <c r="G12" s="23" t="n">
        <f aca="false">PL!F198</f>
        <v>198.938834123068</v>
      </c>
      <c r="H12" s="20" t="n">
        <f aca="false">G12/B12-1</f>
        <v>-0.390692697938537</v>
      </c>
      <c r="I12" s="3" t="s">
        <v>827</v>
      </c>
    </row>
    <row r="13" customFormat="false" ht="17.15" hidden="false" customHeight="false" outlineLevel="0" collapsed="false">
      <c r="A13" s="3" t="s">
        <v>833</v>
      </c>
      <c r="B13" s="21" t="n">
        <f aca="false">cons_feps</f>
        <v>25.6622516556291</v>
      </c>
      <c r="C13" s="21" t="n">
        <f aca="false">0.2*PL!D107+0.8*PL!E107</f>
        <v>26.6857587653871</v>
      </c>
      <c r="D13" s="20" t="n">
        <f aca="false">C13/B13-1</f>
        <v>0.0398837609221814</v>
      </c>
      <c r="E13" s="21" t="n">
        <f aca="false">0.2*PL!D162+0.8*PL!E162</f>
        <v>26.6857587653871</v>
      </c>
      <c r="F13" s="20" t="n">
        <f aca="false">E13/B13-1</f>
        <v>0.0398837609221814</v>
      </c>
      <c r="G13" s="21" t="n">
        <f aca="false">0.2*PL!D217+0.8*PL!E217</f>
        <v>26.6857587653871</v>
      </c>
      <c r="H13" s="20" t="n">
        <f aca="false">G13/B13-1</f>
        <v>0.0398837609221814</v>
      </c>
      <c r="I13" s="7" t="s">
        <v>834</v>
      </c>
      <c r="J13" s="3" t="s">
        <v>835</v>
      </c>
    </row>
    <row r="14" customFormat="false" ht="17.15" hidden="false" customHeight="false" outlineLevel="0" collapsed="false">
      <c r="A14" s="5" t="s">
        <v>836</v>
      </c>
    </row>
    <row r="15" customFormat="false" ht="17.15" hidden="false" customHeight="false" outlineLevel="0" collapsed="false">
      <c r="A15" s="0" t="s">
        <v>837</v>
      </c>
      <c r="B15" s="20" t="n">
        <v>0.272</v>
      </c>
      <c r="C15" s="20" t="n">
        <f aca="false">Q!E6</f>
        <v>0.27</v>
      </c>
      <c r="D15" s="20" t="n">
        <f aca="false">C15-B15</f>
        <v>-0.002</v>
      </c>
      <c r="E15" s="20" t="n">
        <f aca="false">Q!E6</f>
        <v>0.27</v>
      </c>
      <c r="F15" s="20" t="n">
        <f aca="false">E15-B15</f>
        <v>-0.002</v>
      </c>
      <c r="G15" s="20" t="n">
        <f aca="false">Q!E6</f>
        <v>0.27</v>
      </c>
      <c r="H15" s="20" t="n">
        <f aca="false">G15-B15</f>
        <v>-0.002</v>
      </c>
      <c r="I15" s="3" t="s">
        <v>817</v>
      </c>
      <c r="J15" s="7" t="s">
        <v>838</v>
      </c>
    </row>
    <row r="16" customFormat="false" ht="17.15" hidden="false" customHeight="false" outlineLevel="0" collapsed="false">
      <c r="A16" s="0" t="s">
        <v>839</v>
      </c>
      <c r="B16" s="23" t="n">
        <v>57.92</v>
      </c>
      <c r="C16" s="23" t="n">
        <f aca="false">Q!F4</f>
        <v>55.2825</v>
      </c>
      <c r="D16" s="20" t="n">
        <f aca="false">C16/B16-1</f>
        <v>-0.0455369475138122</v>
      </c>
      <c r="E16" s="23" t="n">
        <f aca="false">Q!F4</f>
        <v>55.2825</v>
      </c>
      <c r="F16" s="20" t="n">
        <f aca="false">E16/B16-1</f>
        <v>-0.0455369475138122</v>
      </c>
      <c r="G16" s="23" t="n">
        <f aca="false">Q!F4</f>
        <v>55.2825</v>
      </c>
      <c r="H16" s="20" t="n">
        <f aca="false">G16/B16-1</f>
        <v>-0.0455369475138122</v>
      </c>
      <c r="I16" s="3" t="s">
        <v>840</v>
      </c>
    </row>
    <row r="17" customFormat="false" ht="17.15" hidden="false" customHeight="false" outlineLevel="0" collapsed="false">
      <c r="A17" s="0" t="s">
        <v>841</v>
      </c>
      <c r="B17" s="20" t="n">
        <f aca="false">Q!F6</f>
        <v>0.285</v>
      </c>
      <c r="C17" s="20" t="n">
        <f aca="false">PL!E98</f>
        <v>0.295843836591553</v>
      </c>
      <c r="D17" s="20" t="n">
        <f aca="false">C17-B17</f>
        <v>0.0108438365915531</v>
      </c>
      <c r="E17" s="20" t="n">
        <f aca="false">PL!E153</f>
        <v>0.295843836591553</v>
      </c>
      <c r="F17" s="20" t="n">
        <f aca="false">E17-B17</f>
        <v>0.0108438365915531</v>
      </c>
      <c r="G17" s="20" t="n">
        <f aca="false">PL!E208</f>
        <v>0.295843836591553</v>
      </c>
      <c r="H17" s="20" t="n">
        <f aca="false">G17-B17</f>
        <v>0.0108438365915531</v>
      </c>
      <c r="I17" s="7" t="s">
        <v>842</v>
      </c>
      <c r="J17" s="3" t="s">
        <v>843</v>
      </c>
    </row>
    <row r="18" customFormat="false" ht="17.15" hidden="false" customHeight="false" outlineLevel="0" collapsed="false">
      <c r="A18" s="0" t="s">
        <v>844</v>
      </c>
      <c r="B18" s="20" t="n">
        <f aca="false">Q!G6</f>
        <v>0.251412029627899</v>
      </c>
      <c r="C18" s="20" t="n">
        <f aca="false">PL!F98</f>
        <v>0.287791768333475</v>
      </c>
      <c r="D18" s="20" t="n">
        <f aca="false">C18-B18</f>
        <v>0.0363797387055764</v>
      </c>
      <c r="E18" s="20" t="n">
        <f aca="false">PL!F153</f>
        <v>0.267208071159571</v>
      </c>
      <c r="F18" s="20" t="n">
        <f aca="false">E18-B18</f>
        <v>0.0157960415316727</v>
      </c>
      <c r="G18" s="20" t="n">
        <f aca="false">PL!F208</f>
        <v>0.239019322310346</v>
      </c>
      <c r="H18" s="20" t="n">
        <f aca="false">G18-B18</f>
        <v>-0.0123927073175525</v>
      </c>
      <c r="I18" s="7" t="s">
        <v>842</v>
      </c>
    </row>
    <row r="19" customFormat="false" ht="17.15" hidden="false" customHeight="false" outlineLevel="0" collapsed="false">
      <c r="A19" s="5" t="s">
        <v>845</v>
      </c>
    </row>
    <row r="20" customFormat="false" ht="17.15" hidden="false" customHeight="false" outlineLevel="0" collapsed="false">
      <c r="A20" s="0" t="s">
        <v>846</v>
      </c>
      <c r="C20" s="20" t="n">
        <f aca="false">PL!E80</f>
        <v>0.983720570580444</v>
      </c>
      <c r="E20" s="20" t="n">
        <f aca="false">PL!E135</f>
        <v>0.983720570580444</v>
      </c>
      <c r="G20" s="20" t="n">
        <f aca="false">PL!E190</f>
        <v>0.983720570580444</v>
      </c>
      <c r="I20" s="7" t="s">
        <v>847</v>
      </c>
      <c r="J20" s="3" t="s">
        <v>848</v>
      </c>
    </row>
    <row r="21" customFormat="false" ht="17.15" hidden="false" customHeight="false" outlineLevel="0" collapsed="false">
      <c r="A21" s="0" t="s">
        <v>849</v>
      </c>
      <c r="C21" s="20" t="n">
        <f aca="false">PL!F80</f>
        <v>1</v>
      </c>
      <c r="E21" s="20" t="n">
        <f aca="false">PL!F135</f>
        <v>1</v>
      </c>
      <c r="G21" s="20" t="n">
        <f aca="false">PL!F190</f>
        <v>1</v>
      </c>
      <c r="I21" s="7" t="s">
        <v>847</v>
      </c>
    </row>
    <row r="22" customFormat="false" ht="17.15" hidden="false" customHeight="false" outlineLevel="0" collapsed="false">
      <c r="A22" s="0" t="s">
        <v>850</v>
      </c>
      <c r="B22" s="20" t="n">
        <v>0.7</v>
      </c>
      <c r="C22" s="20" t="n">
        <f aca="false">PL!D91</f>
        <v>0.599</v>
      </c>
      <c r="D22" s="20" t="n">
        <f aca="false">C22-B22</f>
        <v>-0.101</v>
      </c>
      <c r="E22" s="20" t="n">
        <f aca="false">PL!D146</f>
        <v>0.599</v>
      </c>
      <c r="F22" s="20" t="n">
        <f aca="false">E22-B22</f>
        <v>-0.101</v>
      </c>
      <c r="G22" s="20" t="n">
        <f aca="false">PL!D201</f>
        <v>0.599</v>
      </c>
      <c r="H22" s="20" t="n">
        <f aca="false">G22-B22</f>
        <v>-0.101</v>
      </c>
      <c r="I22" s="3" t="s">
        <v>851</v>
      </c>
      <c r="J22" s="3" t="s">
        <v>852</v>
      </c>
    </row>
    <row r="23" customFormat="false" ht="17.15" hidden="false" customHeight="false" outlineLevel="0" collapsed="false">
      <c r="A23" s="0" t="s">
        <v>853</v>
      </c>
      <c r="C23" s="20" t="n">
        <f aca="false">Units!D9</f>
        <v>0.935</v>
      </c>
      <c r="E23" s="20" t="n">
        <f aca="false">Units!D9</f>
        <v>0.935</v>
      </c>
      <c r="G23" s="20" t="n">
        <f aca="false">Units!D9</f>
        <v>0.935</v>
      </c>
      <c r="I23" s="7" t="s">
        <v>854</v>
      </c>
      <c r="J23" s="3" t="s">
        <v>855</v>
      </c>
    </row>
    <row r="24" customFormat="false" ht="17.15" hidden="false" customHeight="false" outlineLevel="0" collapsed="false">
      <c r="A24" s="0" t="s">
        <v>856</v>
      </c>
      <c r="C24" s="20" t="n">
        <f aca="false">Units!D12</f>
        <v>0.785</v>
      </c>
      <c r="E24" s="20" t="n">
        <f aca="false">Units!D12</f>
        <v>0.785</v>
      </c>
      <c r="G24" s="20" t="n">
        <f aca="false">Units!D12</f>
        <v>0.785</v>
      </c>
      <c r="I24" s="7" t="s">
        <v>854</v>
      </c>
      <c r="J24" s="3" t="s">
        <v>855</v>
      </c>
    </row>
    <row r="25" customFormat="false" ht="17.15" hidden="false" customHeight="false" outlineLevel="0" collapsed="false">
      <c r="A25" s="0" t="s">
        <v>857</v>
      </c>
      <c r="C25" s="22" t="n">
        <f aca="false">Units!D13</f>
        <v>72.02718461988</v>
      </c>
      <c r="E25" s="22" t="n">
        <f aca="false">Units!D13</f>
        <v>72.02718461988</v>
      </c>
      <c r="G25" s="22" t="n">
        <f aca="false">Units!D13</f>
        <v>72.02718461988</v>
      </c>
      <c r="I25" s="7" t="s">
        <v>854</v>
      </c>
      <c r="J25" s="7" t="s">
        <v>858</v>
      </c>
    </row>
    <row r="26" customFormat="false" ht="17.15" hidden="false" customHeight="false" outlineLevel="0" collapsed="false">
      <c r="A26" s="0" t="s">
        <v>859</v>
      </c>
      <c r="C26" s="22" t="n">
        <f aca="false">Units!D17</f>
        <v>91.0587198682387</v>
      </c>
      <c r="E26" s="22" t="n">
        <f aca="false">Units!D17</f>
        <v>91.0587198682387</v>
      </c>
      <c r="G26" s="22" t="n">
        <f aca="false">Units!D17</f>
        <v>91.0587198682387</v>
      </c>
      <c r="I26" s="7" t="s">
        <v>854</v>
      </c>
      <c r="J26" s="7" t="s">
        <v>860</v>
      </c>
    </row>
    <row r="27" customFormat="false" ht="17.15" hidden="false" customHeight="false" outlineLevel="0" collapsed="false">
      <c r="A27" s="5" t="s">
        <v>861</v>
      </c>
    </row>
    <row r="28" customFormat="false" ht="17.15" hidden="false" customHeight="false" outlineLevel="0" collapsed="false">
      <c r="A28" s="0" t="s">
        <v>862</v>
      </c>
      <c r="B28" s="23" t="n">
        <v>40</v>
      </c>
      <c r="C28" s="23" t="n">
        <f aca="false">PL!E93</f>
        <v>55</v>
      </c>
      <c r="D28" s="20" t="n">
        <f aca="false">C28/B28-1</f>
        <v>0.375</v>
      </c>
      <c r="E28" s="23" t="n">
        <f aca="false">PL!E148</f>
        <v>48</v>
      </c>
      <c r="F28" s="20" t="n">
        <f aca="false">E28/B28-1</f>
        <v>0.2</v>
      </c>
      <c r="G28" s="23" t="n">
        <f aca="false">PL!E203</f>
        <v>40</v>
      </c>
      <c r="H28" s="20" t="n">
        <f aca="false">G28/B28-1</f>
        <v>0</v>
      </c>
      <c r="I28" s="3" t="s">
        <v>830</v>
      </c>
    </row>
    <row r="29" customFormat="false" ht="17.15" hidden="false" customHeight="false" outlineLevel="0" collapsed="false">
      <c r="A29" s="0" t="s">
        <v>863</v>
      </c>
      <c r="B29" s="23" t="n">
        <v>40</v>
      </c>
      <c r="C29" s="23" t="n">
        <f aca="false">PL!F93</f>
        <v>50</v>
      </c>
      <c r="D29" s="20" t="n">
        <f aca="false">C29/B29-1</f>
        <v>0.25</v>
      </c>
      <c r="E29" s="23" t="n">
        <f aca="false">PL!F148</f>
        <v>42</v>
      </c>
      <c r="F29" s="20" t="n">
        <f aca="false">E29/B29-1</f>
        <v>0.05</v>
      </c>
      <c r="G29" s="23" t="n">
        <f aca="false">PL!F203</f>
        <v>30</v>
      </c>
      <c r="H29" s="20" t="n">
        <f aca="false">G29/B29-1</f>
        <v>-0.25</v>
      </c>
      <c r="I29" s="3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864</v>
      </c>
    </row>
    <row r="3" customFormat="false" ht="17.15" hidden="false" customHeight="false" outlineLevel="0" collapsed="false">
      <c r="A3" s="4" t="s">
        <v>865</v>
      </c>
      <c r="B3" s="4" t="s">
        <v>866</v>
      </c>
      <c r="C3" s="13" t="s">
        <v>867</v>
      </c>
      <c r="D3" s="13" t="s">
        <v>868</v>
      </c>
      <c r="E3" s="13" t="s">
        <v>741</v>
      </c>
      <c r="F3" s="13" t="s">
        <v>869</v>
      </c>
      <c r="G3" s="13" t="s">
        <v>870</v>
      </c>
      <c r="H3" s="13" t="s">
        <v>871</v>
      </c>
      <c r="I3" s="13" t="s">
        <v>872</v>
      </c>
      <c r="J3" s="13" t="s">
        <v>873</v>
      </c>
    </row>
    <row r="4" customFormat="false" ht="17.15" hidden="false" customHeight="false" outlineLevel="0" collapsed="false">
      <c r="A4" s="3" t="s">
        <v>874</v>
      </c>
      <c r="B4" s="0" t="s">
        <v>875</v>
      </c>
      <c r="C4" s="23" t="n">
        <f aca="false">PL!E88</f>
        <v>245.842654649375</v>
      </c>
      <c r="D4" s="16" t="n">
        <f aca="false">PL!E98</f>
        <v>0.295843836591553</v>
      </c>
      <c r="E4" s="18" t="n">
        <f aca="false">PL!E107</f>
        <v>27.5106630914665</v>
      </c>
      <c r="F4" s="20" t="n">
        <f aca="false">E4/E$4-1</f>
        <v>0</v>
      </c>
      <c r="G4" s="23" t="n">
        <f aca="false">PL!F88</f>
        <v>278.513465439096</v>
      </c>
      <c r="H4" s="16" t="n">
        <f aca="false">PL!F98</f>
        <v>0.287791768333475</v>
      </c>
      <c r="I4" s="18" t="n">
        <f aca="false">PL!F107</f>
        <v>30.4363016808093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876</v>
      </c>
      <c r="B5" s="0" t="s">
        <v>877</v>
      </c>
      <c r="C5" s="23" t="n">
        <f aca="false">E78</f>
        <v>223.244925886573</v>
      </c>
      <c r="D5" s="16" t="n">
        <f aca="false">E88</f>
        <v>0.272723643111927</v>
      </c>
      <c r="E5" s="18" t="n">
        <f aca="false">E97</f>
        <v>22.1869192681282</v>
      </c>
      <c r="F5" s="20" t="n">
        <f aca="false">E5/E$4-1</f>
        <v>-0.193515649028091</v>
      </c>
      <c r="G5" s="23" t="n">
        <f aca="false">F78</f>
        <v>249.196514140082</v>
      </c>
      <c r="H5" s="16" t="n">
        <f aca="false">F88</f>
        <v>0.262973763233566</v>
      </c>
      <c r="I5" s="18" t="n">
        <f aca="false">F97</f>
        <v>23.8653750628948</v>
      </c>
      <c r="J5" s="20" t="n">
        <f aca="false">I5/I$4-1</f>
        <v>-0.215891098952327</v>
      </c>
    </row>
    <row r="6" customFormat="false" ht="17.15" hidden="false" customHeight="false" outlineLevel="0" collapsed="false">
      <c r="A6" s="0" t="s">
        <v>878</v>
      </c>
      <c r="B6" s="0" t="s">
        <v>879</v>
      </c>
      <c r="C6" s="23" t="n">
        <f aca="false">E133</f>
        <v>245.842654649375</v>
      </c>
      <c r="D6" s="16" t="n">
        <f aca="false">E143</f>
        <v>0.296192270008933</v>
      </c>
      <c r="E6" s="18" t="n">
        <f aca="false">E152</f>
        <v>27.5534929896152</v>
      </c>
      <c r="F6" s="20" t="n">
        <f aca="false">E6/E$4-1</f>
        <v>0.0015568471761751</v>
      </c>
      <c r="G6" s="23" t="n">
        <f aca="false">F133</f>
        <v>292.013389783784</v>
      </c>
      <c r="H6" s="16" t="n">
        <f aca="false">F143</f>
        <v>0.297535450904367</v>
      </c>
      <c r="I6" s="18" t="n">
        <f aca="false">F152</f>
        <v>33.4768331628795</v>
      </c>
      <c r="J6" s="20" t="n">
        <f aca="false">I6/I$4-1</f>
        <v>0.0998981911125978</v>
      </c>
    </row>
    <row r="7" customFormat="false" ht="17.15" hidden="false" customHeight="false" outlineLevel="0" collapsed="false">
      <c r="A7" s="0" t="s">
        <v>880</v>
      </c>
      <c r="B7" s="3" t="s">
        <v>881</v>
      </c>
      <c r="C7" s="23" t="n">
        <f aca="false">E188</f>
        <v>234.841655523125</v>
      </c>
      <c r="D7" s="16" t="n">
        <f aca="false">E198</f>
        <v>0.28535475859809</v>
      </c>
      <c r="E7" s="18" t="n">
        <f aca="false">E207</f>
        <v>24.9436776132011</v>
      </c>
      <c r="F7" s="20" t="n">
        <f aca="false">E7/E$4-1</f>
        <v>-0.0933087461298462</v>
      </c>
      <c r="G7" s="23" t="n">
        <f aca="false">F188</f>
        <v>270.066396526916</v>
      </c>
      <c r="H7" s="16" t="n">
        <f aca="false">F198</f>
        <v>0.281187573556588</v>
      </c>
      <c r="I7" s="18" t="n">
        <f aca="false">F207</f>
        <v>28.5461175585429</v>
      </c>
      <c r="J7" s="20" t="n">
        <f aca="false">I7/I$4-1</f>
        <v>-0.0621029500262239</v>
      </c>
    </row>
    <row r="8" customFormat="false" ht="17.15" hidden="false" customHeight="false" outlineLevel="0" collapsed="false">
      <c r="A8" s="0" t="s">
        <v>882</v>
      </c>
      <c r="B8" s="0" t="s">
        <v>883</v>
      </c>
      <c r="C8" s="23" t="n">
        <f aca="false">E243</f>
        <v>248.300379862591</v>
      </c>
      <c r="D8" s="16" t="n">
        <f aca="false">E253</f>
        <v>0.298060175949002</v>
      </c>
      <c r="E8" s="18" t="n">
        <f aca="false">E262</f>
        <v>28.0841514500683</v>
      </c>
      <c r="F8" s="20" t="n">
        <f aca="false">E8/E$4-1</f>
        <v>0.0208460391047325</v>
      </c>
      <c r="G8" s="23" t="n">
        <f aca="false">F243</f>
        <v>278.513465439096</v>
      </c>
      <c r="H8" s="16" t="n">
        <f aca="false">F253</f>
        <v>0.287791768333475</v>
      </c>
      <c r="I8" s="18" t="n">
        <f aca="false">F262</f>
        <v>30.4326229562406</v>
      </c>
      <c r="J8" s="20" t="n">
        <f aca="false">I8/I$4-1</f>
        <v>-0.000120866345961757</v>
      </c>
    </row>
    <row r="9" customFormat="false" ht="17.15" hidden="false" customHeight="false" outlineLevel="0" collapsed="false">
      <c r="A9" s="0" t="s">
        <v>884</v>
      </c>
      <c r="B9" s="0" t="s">
        <v>885</v>
      </c>
      <c r="C9" s="23" t="n">
        <f aca="false">E298</f>
        <v>238.416980239156</v>
      </c>
      <c r="D9" s="16" t="n">
        <f aca="false">E308</f>
        <v>0.276568194448559</v>
      </c>
      <c r="E9" s="18" t="n">
        <f aca="false">E317</f>
        <v>24.3114821464881</v>
      </c>
      <c r="F9" s="20" t="n">
        <f aca="false">E9/E$4-1</f>
        <v>-0.116288761719114</v>
      </c>
      <c r="G9" s="23" t="n">
        <f aca="false">F298</f>
        <v>263.083491071194</v>
      </c>
      <c r="H9" s="16" t="n">
        <f aca="false">F308</f>
        <v>0.246020410068164</v>
      </c>
      <c r="I9" s="18" t="n">
        <f aca="false">F317</f>
        <v>23.1046448554957</v>
      </c>
      <c r="J9" s="20" t="n">
        <f aca="false">I9/I$4-1</f>
        <v>-0.240885272534159</v>
      </c>
    </row>
    <row r="10" customFormat="false" ht="17.15" hidden="false" customHeight="false" outlineLevel="0" collapsed="false">
      <c r="A10" s="0" t="s">
        <v>886</v>
      </c>
      <c r="B10" s="0" t="s">
        <v>887</v>
      </c>
      <c r="C10" s="23" t="n">
        <f aca="false">E353</f>
        <v>253.268329059594</v>
      </c>
      <c r="D10" s="16" t="n">
        <f aca="false">E363</f>
        <v>0.31418837351634</v>
      </c>
      <c r="E10" s="18" t="n">
        <f aca="false">E372</f>
        <v>30.7350689476496</v>
      </c>
      <c r="F10" s="20" t="n">
        <f aca="false">E10/E$4-1</f>
        <v>0.117205675685195</v>
      </c>
      <c r="G10" s="23" t="n">
        <f aca="false">F353</f>
        <v>293.943439806998</v>
      </c>
      <c r="H10" s="16" t="n">
        <f aca="false">F363</f>
        <v>0.325177718387128</v>
      </c>
      <c r="I10" s="18" t="n">
        <f aca="false">F372</f>
        <v>37.7714077786401</v>
      </c>
      <c r="J10" s="20" t="n">
        <f aca="false">I10/I$4-1</f>
        <v>0.24099860011756</v>
      </c>
    </row>
    <row r="11" customFormat="false" ht="17.15" hidden="false" customHeight="false" outlineLevel="0" collapsed="false">
      <c r="A11" s="3" t="s">
        <v>888</v>
      </c>
      <c r="B11" s="3" t="s">
        <v>889</v>
      </c>
      <c r="C11" s="23" t="n">
        <f aca="false">E408</f>
        <v>238.7705837825</v>
      </c>
      <c r="D11" s="16" t="n">
        <f aca="false">E418</f>
        <v>0.277508073567211</v>
      </c>
      <c r="E11" s="18" t="n">
        <f aca="false">E427</f>
        <v>24.4632038621598</v>
      </c>
      <c r="F11" s="20" t="n">
        <f aca="false">E11/E$4-1</f>
        <v>-0.110773746862248</v>
      </c>
      <c r="G11" s="23" t="n">
        <f aca="false">F408</f>
        <v>271.533238939331</v>
      </c>
      <c r="H11" s="16" t="n">
        <f aca="false">F418</f>
        <v>0.269483237151624</v>
      </c>
      <c r="I11" s="18" t="n">
        <f aca="false">F427</f>
        <v>27.1237665551846</v>
      </c>
      <c r="J11" s="20" t="n">
        <f aca="false">I11/I$4-1</f>
        <v>-0.108835007628846</v>
      </c>
    </row>
    <row r="12" customFormat="false" ht="17.15" hidden="false" customHeight="false" outlineLevel="0" collapsed="false">
      <c r="A12" s="3" t="s">
        <v>890</v>
      </c>
      <c r="C12" s="23" t="n">
        <f aca="false">E463</f>
        <v>252.91472551625</v>
      </c>
      <c r="D12" s="16" t="n">
        <f aca="false">E473</f>
        <v>0.313335079829681</v>
      </c>
      <c r="E12" s="18" t="n">
        <f aca="false">E482</f>
        <v>30.580998391318</v>
      </c>
      <c r="F12" s="20" t="n">
        <f aca="false">E12/E$4-1</f>
        <v>0.111605281546407</v>
      </c>
      <c r="G12" s="23" t="n">
        <f aca="false">F463</f>
        <v>285.493691938861</v>
      </c>
      <c r="H12" s="16" t="n">
        <f aca="false">F473</f>
        <v>0.305205024431246</v>
      </c>
      <c r="I12" s="18" t="n">
        <f aca="false">F482</f>
        <v>33.7483539001396</v>
      </c>
      <c r="J12" s="20" t="n">
        <f aca="false">I12/I$4-1</f>
        <v>0.108819141499659</v>
      </c>
    </row>
    <row r="13" customFormat="false" ht="17.15" hidden="false" customHeight="false" outlineLevel="0" collapsed="false">
      <c r="A13" s="0" t="s">
        <v>891</v>
      </c>
      <c r="B13" s="3" t="s">
        <v>892</v>
      </c>
      <c r="C13" s="23" t="n">
        <f aca="false">E518</f>
        <v>245.842654649375</v>
      </c>
      <c r="D13" s="16" t="n">
        <f aca="false">E528</f>
        <v>0.278408816906407</v>
      </c>
      <c r="E13" s="18" t="n">
        <f aca="false">E537</f>
        <v>25.3675273298363</v>
      </c>
      <c r="F13" s="20" t="n">
        <f aca="false">E13/E$4-1</f>
        <v>-0.0779020031071133</v>
      </c>
      <c r="G13" s="23" t="n">
        <f aca="false">F518</f>
        <v>278.513465439096</v>
      </c>
      <c r="H13" s="16" t="n">
        <f aca="false">F528</f>
        <v>0.261353336150421</v>
      </c>
      <c r="I13" s="18" t="n">
        <f aca="false">F537</f>
        <v>26.7545719967699</v>
      </c>
      <c r="J13" s="20" t="n">
        <f aca="false">I13/I$4-1</f>
        <v>-0.120965080536078</v>
      </c>
    </row>
    <row r="14" customFormat="false" ht="17.15" hidden="false" customHeight="false" outlineLevel="0" collapsed="false">
      <c r="A14" s="0" t="s">
        <v>893</v>
      </c>
      <c r="C14" s="23" t="n">
        <f aca="false">E573</f>
        <v>245.842654649375</v>
      </c>
      <c r="D14" s="16" t="n">
        <f aca="false">E583</f>
        <v>0.313278856276699</v>
      </c>
      <c r="E14" s="18" t="n">
        <f aca="false">E592</f>
        <v>29.6537988530967</v>
      </c>
      <c r="F14" s="20" t="n">
        <f aca="false">E14/E$4-1</f>
        <v>0.0779020031071129</v>
      </c>
      <c r="G14" s="23" t="n">
        <f aca="false">F573</f>
        <v>278.513465439096</v>
      </c>
      <c r="H14" s="16" t="n">
        <f aca="false">F583</f>
        <v>0.314230200516529</v>
      </c>
      <c r="I14" s="18" t="n">
        <f aca="false">F592</f>
        <v>34.1180313648488</v>
      </c>
      <c r="J14" s="20" t="n">
        <f aca="false">I14/I$4-1</f>
        <v>0.120965080536078</v>
      </c>
    </row>
    <row r="15" customFormat="false" ht="17.15" hidden="false" customHeight="false" outlineLevel="0" collapsed="false">
      <c r="A15" s="3" t="s">
        <v>894</v>
      </c>
      <c r="B15" s="3" t="s">
        <v>895</v>
      </c>
      <c r="C15" s="23" t="n">
        <f aca="false">E628</f>
        <v>245.842654649375</v>
      </c>
      <c r="D15" s="16" t="n">
        <f aca="false">E638</f>
        <v>0.292246832053178</v>
      </c>
      <c r="E15" s="18" t="n">
        <f aca="false">E647</f>
        <v>27.0685145192165</v>
      </c>
      <c r="F15" s="20" t="n">
        <f aca="false">E15/E$4-1</f>
        <v>-0.0160718980411324</v>
      </c>
      <c r="G15" s="23" t="n">
        <f aca="false">F628</f>
        <v>278.513465439096</v>
      </c>
      <c r="H15" s="16" t="n">
        <f aca="false">F638</f>
        <v>0.281695922276756</v>
      </c>
      <c r="I15" s="18" t="n">
        <f aca="false">F647</f>
        <v>29.5874140757893</v>
      </c>
      <c r="J15" s="20" t="n">
        <f aca="false">I15/I$4-1</f>
        <v>-0.0278906292204102</v>
      </c>
    </row>
    <row r="16" customFormat="false" ht="17.15" hidden="false" customHeight="false" outlineLevel="0" collapsed="false">
      <c r="A16" s="3" t="s">
        <v>896</v>
      </c>
      <c r="C16" s="23" t="n">
        <f aca="false">E683</f>
        <v>245.842654649375</v>
      </c>
      <c r="D16" s="16" t="n">
        <f aca="false">E693</f>
        <v>0.299440841129928</v>
      </c>
      <c r="E16" s="18" t="n">
        <f aca="false">E702</f>
        <v>27.9528116637165</v>
      </c>
      <c r="F16" s="20" t="n">
        <f aca="false">E16/E$4-1</f>
        <v>0.0160718980411325</v>
      </c>
      <c r="G16" s="23" t="n">
        <f aca="false">F683</f>
        <v>278.513465439096</v>
      </c>
      <c r="H16" s="16" t="n">
        <f aca="false">F693</f>
        <v>0.293887614390194</v>
      </c>
      <c r="I16" s="18" t="n">
        <f aca="false">F702</f>
        <v>31.2851892858293</v>
      </c>
      <c r="J16" s="20" t="n">
        <f aca="false">I16/I$4-1</f>
        <v>0.0278906292204106</v>
      </c>
    </row>
    <row r="17" customFormat="false" ht="17.15" hidden="false" customHeight="false" outlineLevel="0" collapsed="false">
      <c r="A17" s="3" t="s">
        <v>897</v>
      </c>
      <c r="B17" s="3" t="s">
        <v>898</v>
      </c>
      <c r="C17" s="23" t="n">
        <f aca="false">E738</f>
        <v>245.842654649375</v>
      </c>
      <c r="D17" s="16" t="n">
        <f aca="false">E748</f>
        <v>0.290267776833785</v>
      </c>
      <c r="E17" s="18" t="n">
        <f aca="false">E757</f>
        <v>26.8252464247998</v>
      </c>
      <c r="F17" s="20" t="n">
        <f aca="false">E17/E$4-1</f>
        <v>-0.0249145818255203</v>
      </c>
      <c r="G17" s="23" t="n">
        <f aca="false">F738</f>
        <v>278.513465439096</v>
      </c>
      <c r="H17" s="16" t="n">
        <f aca="false">F748</f>
        <v>0.279188927746694</v>
      </c>
      <c r="I17" s="18" t="n">
        <f aca="false">F757</f>
        <v>29.2382982085871</v>
      </c>
      <c r="J17" s="20" t="n">
        <f aca="false">I17/I$4-1</f>
        <v>-0.0393610066290538</v>
      </c>
    </row>
    <row r="18" customFormat="false" ht="17.15" hidden="false" customHeight="false" outlineLevel="0" collapsed="false">
      <c r="A18" s="3" t="s">
        <v>899</v>
      </c>
      <c r="C18" s="23" t="n">
        <f aca="false">E793</f>
        <v>245.842654649375</v>
      </c>
      <c r="D18" s="16" t="n">
        <f aca="false">E803</f>
        <v>0.299189472446214</v>
      </c>
      <c r="E18" s="18" t="n">
        <f aca="false">E812</f>
        <v>27.9219130914665</v>
      </c>
      <c r="F18" s="20" t="n">
        <f aca="false">E18/E$4-1</f>
        <v>0.0149487490953122</v>
      </c>
      <c r="G18" s="23" t="n">
        <f aca="false">F793</f>
        <v>278.513465439096</v>
      </c>
      <c r="H18" s="16" t="n">
        <f aca="false">F803</f>
        <v>0.293150351257453</v>
      </c>
      <c r="I18" s="18" t="n">
        <f aca="false">F812</f>
        <v>31.1825204308093</v>
      </c>
      <c r="J18" s="20" t="n">
        <f aca="false">I18/I$4-1</f>
        <v>0.0245173923502837</v>
      </c>
    </row>
    <row r="19" customFormat="false" ht="17.15" hidden="false" customHeight="false" outlineLevel="0" collapsed="false">
      <c r="A19" s="3" t="s">
        <v>900</v>
      </c>
      <c r="B19" s="0" t="s">
        <v>901</v>
      </c>
      <c r="C19" s="23" t="n">
        <f aca="false">E848</f>
        <v>245.842654649375</v>
      </c>
      <c r="D19" s="16" t="n">
        <f aca="false">E858</f>
        <v>0.295843836591553</v>
      </c>
      <c r="E19" s="18" t="n">
        <f aca="false">E867</f>
        <v>27.5106630914665</v>
      </c>
      <c r="F19" s="20" t="n">
        <f aca="false">E19/E$4-1</f>
        <v>0</v>
      </c>
      <c r="G19" s="23" t="n">
        <f aca="false">F848</f>
        <v>278.513465439096</v>
      </c>
      <c r="H19" s="16" t="n">
        <f aca="false">F858</f>
        <v>0.294523938345592</v>
      </c>
      <c r="I19" s="18" t="n">
        <f aca="false">F867</f>
        <v>31.3738016808093</v>
      </c>
      <c r="J19" s="20" t="n">
        <f aca="false">I19/I$4-1</f>
        <v>0.0308020340260693</v>
      </c>
    </row>
    <row r="20" customFormat="false" ht="17.15" hidden="false" customHeight="false" outlineLevel="0" collapsed="false">
      <c r="A20" s="3" t="s">
        <v>902</v>
      </c>
      <c r="B20" s="0" t="s">
        <v>903</v>
      </c>
      <c r="C20" s="23" t="n">
        <f aca="false">E903</f>
        <v>245.842654649375</v>
      </c>
      <c r="D20" s="16" t="n">
        <f aca="false">E913</f>
        <v>0.29583970481921</v>
      </c>
      <c r="E20" s="18" t="n">
        <f aca="false">E922</f>
        <v>27.5101552085259</v>
      </c>
      <c r="F20" s="20" t="n">
        <f aca="false">E20/E$4-1</f>
        <v>-1.84613122153898E-005</v>
      </c>
      <c r="G20" s="23" t="n">
        <f aca="false">F903</f>
        <v>276.275778407683</v>
      </c>
      <c r="H20" s="16" t="n">
        <f aca="false">F913</f>
        <v>0.286083144104478</v>
      </c>
      <c r="I20" s="18" t="n">
        <f aca="false">F922</f>
        <v>29.9321019650068</v>
      </c>
      <c r="J20" s="20" t="n">
        <f aca="false">I20/I$4-1</f>
        <v>-0.0165657352555558</v>
      </c>
    </row>
    <row r="21" customFormat="false" ht="17.15" hidden="false" customHeight="false" outlineLevel="0" collapsed="false">
      <c r="A21" s="3" t="s">
        <v>904</v>
      </c>
      <c r="B21" s="0" t="s">
        <v>905</v>
      </c>
      <c r="C21" s="23" t="n">
        <f aca="false">E958</f>
        <v>245.842654649375</v>
      </c>
      <c r="D21" s="16" t="n">
        <f aca="false">E968</f>
        <v>0.295847954462988</v>
      </c>
      <c r="E21" s="18" t="n">
        <f aca="false">E977</f>
        <v>27.511169265689</v>
      </c>
      <c r="F21" s="20" t="n">
        <f aca="false">E21/E$4-1</f>
        <v>1.83992010966971E-005</v>
      </c>
      <c r="G21" s="23" t="n">
        <f aca="false">F958</f>
        <v>279.82784732848</v>
      </c>
      <c r="H21" s="16" t="n">
        <f aca="false">F968</f>
        <v>0.288782647418699</v>
      </c>
      <c r="I21" s="18" t="n">
        <f aca="false">F977</f>
        <v>30.7324606010604</v>
      </c>
      <c r="J21" s="20" t="n">
        <f aca="false">I21/I$4-1</f>
        <v>0.00973045028127717</v>
      </c>
    </row>
    <row r="22" customFormat="false" ht="17.15" hidden="false" customHeight="false" outlineLevel="0" collapsed="false">
      <c r="A22" s="3" t="s">
        <v>906</v>
      </c>
      <c r="B22" s="0" t="s">
        <v>907</v>
      </c>
      <c r="C22" s="23" t="n">
        <f aca="false">E1013</f>
        <v>244.617758760309</v>
      </c>
      <c r="D22" s="16" t="n">
        <f aca="false">E1023</f>
        <v>0.294661611116788</v>
      </c>
      <c r="E22" s="18" t="n">
        <f aca="false">E1032</f>
        <v>27.2173832127394</v>
      </c>
      <c r="F22" s="20" t="n">
        <f aca="false">E22/E$4-1</f>
        <v>-0.0106605892323293</v>
      </c>
      <c r="G22" s="23" t="n">
        <f aca="false">F1013</f>
        <v>270.704198078205</v>
      </c>
      <c r="H22" s="16" t="n">
        <f aca="false">F1023</f>
        <v>0.28170614136634</v>
      </c>
      <c r="I22" s="18" t="n">
        <f aca="false">F1032</f>
        <v>28.6786865034538</v>
      </c>
      <c r="J22" s="20" t="n">
        <f aca="false">I22/I$4-1</f>
        <v>-0.0577473306641508</v>
      </c>
    </row>
    <row r="23" customFormat="false" ht="17.15" hidden="false" customHeight="false" outlineLevel="0" collapsed="false">
      <c r="A23" s="3" t="s">
        <v>908</v>
      </c>
      <c r="B23" s="0" t="s">
        <v>909</v>
      </c>
      <c r="C23" s="23" t="n">
        <f aca="false">E1068</f>
        <v>245.842654649375</v>
      </c>
      <c r="D23" s="16" t="n">
        <f aca="false">E1078</f>
        <v>0.295882432149533</v>
      </c>
      <c r="E23" s="18" t="n">
        <f aca="false">E1087</f>
        <v>27.5154073086822</v>
      </c>
      <c r="F23" s="20" t="n">
        <f aca="false">E23/E$4-1</f>
        <v>0.000172450122337464</v>
      </c>
      <c r="G23" s="23" t="n">
        <f aca="false">F1068</f>
        <v>282.327020725239</v>
      </c>
      <c r="H23" s="16" t="n">
        <f aca="false">F1078</f>
        <v>0.290641261556732</v>
      </c>
      <c r="I23" s="18" t="n">
        <f aca="false">F1087</f>
        <v>31.2955789007589</v>
      </c>
      <c r="J23" s="20" t="n">
        <f aca="false">I23/I$4-1</f>
        <v>0.0282319852444957</v>
      </c>
    </row>
    <row r="24" customFormat="false" ht="17.15" hidden="false" customHeight="false" outlineLevel="0" collapsed="false">
      <c r="A24" s="3" t="s">
        <v>910</v>
      </c>
      <c r="B24" s="3" t="s">
        <v>911</v>
      </c>
      <c r="C24" s="23" t="n">
        <f aca="false">E1123</f>
        <v>238.906415365269</v>
      </c>
      <c r="D24" s="16" t="n">
        <f aca="false">E1133</f>
        <v>0.289183556391284</v>
      </c>
      <c r="E24" s="18" t="n">
        <f aca="false">E1142</f>
        <v>25.8731202788655</v>
      </c>
      <c r="F24" s="20" t="n">
        <f aca="false">E24/E$4-1</f>
        <v>-0.059523931035635</v>
      </c>
      <c r="G24" s="23" t="n">
        <f aca="false">F1123</f>
        <v>265.340791248639</v>
      </c>
      <c r="H24" s="16" t="n">
        <f aca="false">F1133</f>
        <v>0.277319037123603</v>
      </c>
      <c r="I24" s="18" t="n">
        <f aca="false">F1142</f>
        <v>27.4792149689353</v>
      </c>
      <c r="J24" s="20" t="n">
        <f aca="false">I24/I$4-1</f>
        <v>-0.0971565712183257</v>
      </c>
    </row>
    <row r="25" customFormat="false" ht="17.15" hidden="false" customHeight="false" outlineLevel="0" collapsed="false">
      <c r="A25" s="3" t="s">
        <v>912</v>
      </c>
      <c r="C25" s="23" t="n">
        <f aca="false">E1178</f>
        <v>245.842654649375</v>
      </c>
      <c r="D25" s="16" t="n">
        <f aca="false">E1188</f>
        <v>0.296088675142885</v>
      </c>
      <c r="E25" s="18" t="n">
        <f aca="false">E1197</f>
        <v>27.5407589711765</v>
      </c>
      <c r="F25" s="20" t="n">
        <f aca="false">E25/E$4-1</f>
        <v>0.001093971439726</v>
      </c>
      <c r="G25" s="23" t="n">
        <f aca="false">F1178</f>
        <v>292.013389783784</v>
      </c>
      <c r="H25" s="16" t="n">
        <f aca="false">F1188</f>
        <v>0.297537741480628</v>
      </c>
      <c r="I25" s="18" t="n">
        <f aca="false">F1197</f>
        <v>33.4771676023488</v>
      </c>
      <c r="J25" s="20" t="n">
        <f aca="false">I25/I$4-1</f>
        <v>0.0999091792895737</v>
      </c>
    </row>
    <row r="26" customFormat="false" ht="17.15" hidden="false" customHeight="false" outlineLevel="0" collapsed="false">
      <c r="A26" s="0" t="s">
        <v>913</v>
      </c>
      <c r="B26" s="3" t="s">
        <v>914</v>
      </c>
      <c r="C26" s="23" t="n">
        <f aca="false">E1233</f>
        <v>242.049044374375</v>
      </c>
      <c r="D26" s="16" t="n">
        <f aca="false">E1243</f>
        <v>0.296562342421595</v>
      </c>
      <c r="E26" s="18" t="n">
        <f aca="false">E1252</f>
        <v>27.1371349541855</v>
      </c>
      <c r="F26" s="20" t="n">
        <f aca="false">E26/E$4-1</f>
        <v>-0.0135775766668766</v>
      </c>
      <c r="G26" s="23" t="n">
        <f aca="false">F1233</f>
        <v>269.977842320346</v>
      </c>
      <c r="H26" s="16" t="n">
        <f aca="false">F1243</f>
        <v>0.28898659339287</v>
      </c>
      <c r="I26" s="18" t="n">
        <f aca="false">F1252</f>
        <v>29.5805166927884</v>
      </c>
      <c r="J26" s="20" t="n">
        <f aca="false">I26/I$4-1</f>
        <v>-0.0281172462080215</v>
      </c>
    </row>
    <row r="27" customFormat="false" ht="17.15" hidden="false" customHeight="false" outlineLevel="0" collapsed="false">
      <c r="A27" s="0" t="s">
        <v>915</v>
      </c>
      <c r="B27" s="3" t="s">
        <v>916</v>
      </c>
      <c r="C27" s="23" t="n">
        <f aca="false">E1288</f>
        <v>249.636264924375</v>
      </c>
      <c r="D27" s="16" t="n">
        <f aca="false">E1298</f>
        <v>0.295147168382742</v>
      </c>
      <c r="E27" s="18" t="n">
        <f aca="false">E1307</f>
        <v>27.8841912287475</v>
      </c>
      <c r="F27" s="20" t="n">
        <f aca="false">E27/E$4-1</f>
        <v>0.0135775766668766</v>
      </c>
      <c r="G27" s="23" t="n">
        <f aca="false">F1288</f>
        <v>287.807810612846</v>
      </c>
      <c r="H27" s="16" t="n">
        <f aca="false">F1298</f>
        <v>0.286571336758426</v>
      </c>
      <c r="I27" s="18" t="n">
        <f aca="false">F1307</f>
        <v>31.3698356158463</v>
      </c>
      <c r="J27" s="20" t="n">
        <f aca="false">I27/I$4-1</f>
        <v>0.0306717269669341</v>
      </c>
    </row>
    <row r="28" customFormat="false" ht="17.15" hidden="false" customHeight="false" outlineLevel="0" collapsed="false">
      <c r="A28" s="3" t="s">
        <v>917</v>
      </c>
      <c r="B28" s="3" t="s">
        <v>918</v>
      </c>
      <c r="C28" s="23" t="n">
        <f aca="false">E1343</f>
        <v>245.842654649375</v>
      </c>
      <c r="D28" s="16" t="n">
        <f aca="false">E1353</f>
        <v>0.295843836591553</v>
      </c>
      <c r="E28" s="18" t="n">
        <f aca="false">E1362</f>
        <v>26.4920781693364</v>
      </c>
      <c r="F28" s="20" t="n">
        <f aca="false">E28/E$4-1</f>
        <v>-0.037025095278276</v>
      </c>
      <c r="G28" s="23" t="n">
        <f aca="false">F1343</f>
        <v>278.513465439096</v>
      </c>
      <c r="H28" s="16" t="n">
        <f aca="false">F1353</f>
        <v>0.287791768333475</v>
      </c>
      <c r="I28" s="18" t="n">
        <f aca="false">F1362</f>
        <v>28.7584966431405</v>
      </c>
      <c r="J28" s="20" t="n">
        <f aca="false">I28/I$4-1</f>
        <v>-0.0551251283833431</v>
      </c>
    </row>
    <row r="29" customFormat="false" ht="17.15" hidden="false" customHeight="false" outlineLevel="0" collapsed="false">
      <c r="A29" s="3" t="s">
        <v>919</v>
      </c>
      <c r="B29" s="3" t="s">
        <v>920</v>
      </c>
      <c r="C29" s="23" t="n">
        <f aca="false">E1398</f>
        <v>245.842654649375</v>
      </c>
      <c r="D29" s="16" t="n">
        <f aca="false">E1408</f>
        <v>0.295843836591553</v>
      </c>
      <c r="E29" s="18" t="n">
        <f aca="false">E1417</f>
        <v>26.1686795260291</v>
      </c>
      <c r="F29" s="20" t="n">
        <f aca="false">E29/E$4-1</f>
        <v>-0.048780487804878</v>
      </c>
      <c r="G29" s="23" t="n">
        <f aca="false">F1398</f>
        <v>278.513465439096</v>
      </c>
      <c r="H29" s="16" t="n">
        <f aca="false">F1408</f>
        <v>0.287791768333475</v>
      </c>
      <c r="I29" s="18" t="n">
        <f aca="false">F1417</f>
        <v>28.951604037843</v>
      </c>
      <c r="J29" s="20" t="n">
        <f aca="false">I29/I$4-1</f>
        <v>-0.0487804878048781</v>
      </c>
    </row>
    <row r="30" customFormat="false" ht="17.15" hidden="false" customHeight="false" outlineLevel="0" collapsed="false">
      <c r="A30" s="3" t="s">
        <v>921</v>
      </c>
      <c r="B30" s="3" t="s">
        <v>922</v>
      </c>
      <c r="C30" s="23" t="n">
        <f aca="false">E1453</f>
        <v>245.842654649375</v>
      </c>
      <c r="D30" s="16" t="n">
        <f aca="false">E1463</f>
        <v>0.295843836591553</v>
      </c>
      <c r="E30" s="18" t="n">
        <f aca="false">E1472</f>
        <v>26.5106630914665</v>
      </c>
      <c r="F30" s="20" t="n">
        <f aca="false">E30/E$4-1</f>
        <v>-0.0363495418730997</v>
      </c>
      <c r="G30" s="23" t="n">
        <f aca="false">F1453</f>
        <v>278.513465439096</v>
      </c>
      <c r="H30" s="16" t="n">
        <f aca="false">F1463</f>
        <v>0.287791768333475</v>
      </c>
      <c r="I30" s="18" t="n">
        <f aca="false">F1472</f>
        <v>29.4363016808093</v>
      </c>
      <c r="J30" s="20" t="n">
        <f aca="false">I30/I$4-1</f>
        <v>-0.0328555029611406</v>
      </c>
    </row>
    <row r="31" customFormat="false" ht="17.15" hidden="false" customHeight="false" outlineLevel="0" collapsed="false">
      <c r="A31" s="3" t="s">
        <v>923</v>
      </c>
      <c r="B31" s="0" t="s">
        <v>924</v>
      </c>
      <c r="C31" s="23" t="n">
        <f aca="false">PL!E143</f>
        <v>245.842654649375</v>
      </c>
      <c r="D31" s="16" t="n">
        <f aca="false">PL!E153</f>
        <v>0.295843836591553</v>
      </c>
      <c r="E31" s="18" t="n">
        <f aca="false">PL!E162</f>
        <v>27.5106630914665</v>
      </c>
      <c r="F31" s="20" t="n">
        <f aca="false">E31/E$4-1</f>
        <v>0</v>
      </c>
      <c r="G31" s="23" t="n">
        <f aca="false">PL!F143</f>
        <v>238.726149781082</v>
      </c>
      <c r="H31" s="16" t="n">
        <f aca="false">PL!F153</f>
        <v>0.267208071159571</v>
      </c>
      <c r="I31" s="18" t="n">
        <f aca="false">PL!F162</f>
        <v>23.211086447027</v>
      </c>
      <c r="J31" s="20" t="n">
        <f aca="false">I31/I$4-1</f>
        <v>-0.237388080508413</v>
      </c>
    </row>
    <row r="32" customFormat="false" ht="17.15" hidden="false" customHeight="false" outlineLevel="0" collapsed="false">
      <c r="A32" s="3" t="s">
        <v>925</v>
      </c>
      <c r="B32" s="0" t="s">
        <v>926</v>
      </c>
      <c r="C32" s="23" t="n">
        <f aca="false">PL!E198</f>
        <v>245.842654649375</v>
      </c>
      <c r="D32" s="16" t="n">
        <f aca="false">PL!E208</f>
        <v>0.295843836591553</v>
      </c>
      <c r="E32" s="18" t="n">
        <f aca="false">PL!E217</f>
        <v>27.5106630914665</v>
      </c>
      <c r="F32" s="20" t="n">
        <f aca="false">E32/E$4-1</f>
        <v>0</v>
      </c>
      <c r="G32" s="23" t="n">
        <f aca="false">PL!F198</f>
        <v>198.938834123068</v>
      </c>
      <c r="H32" s="16" t="n">
        <f aca="false">PL!F208</f>
        <v>0.239019322310346</v>
      </c>
      <c r="I32" s="18" t="n">
        <f aca="false">PL!F217</f>
        <v>16.0483712132447</v>
      </c>
      <c r="J32" s="20" t="n">
        <f aca="false">I32/I$4-1</f>
        <v>-0.472722692081755</v>
      </c>
    </row>
    <row r="34" customFormat="false" ht="17.15" hidden="false" customHeight="false" outlineLevel="0" collapsed="false">
      <c r="A34" s="3" t="s">
        <v>927</v>
      </c>
    </row>
    <row r="36" customFormat="false" ht="17.15" hidden="false" customHeight="false" outlineLevel="0" collapsed="false">
      <c r="A36" s="1" t="s">
        <v>928</v>
      </c>
    </row>
    <row r="37" customFormat="false" ht="17.15" hidden="false" customHeight="false" outlineLevel="0" collapsed="false">
      <c r="A37" s="4" t="s">
        <v>865</v>
      </c>
      <c r="B37" s="4" t="s">
        <v>866</v>
      </c>
      <c r="C37" s="13" t="s">
        <v>929</v>
      </c>
      <c r="D37" s="13" t="s">
        <v>930</v>
      </c>
      <c r="E37" s="4" t="s">
        <v>931</v>
      </c>
      <c r="F37" s="4" t="s">
        <v>932</v>
      </c>
    </row>
    <row r="38" customFormat="false" ht="17.15" hidden="false" customHeight="false" outlineLevel="0" collapsed="false">
      <c r="A38" s="3" t="s">
        <v>24</v>
      </c>
      <c r="B38" s="0" t="s">
        <v>933</v>
      </c>
      <c r="C38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38" s="23" t="n">
        <f aca="false">Val!B35</f>
        <v>1065.04470129126</v>
      </c>
      <c r="E38" s="23" t="n">
        <f aca="false">tp_w_dcf*C38+(1-tp_w_dcf)*D38</f>
        <v>726.786889845923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934</v>
      </c>
      <c r="B39" s="0" t="s">
        <v>935</v>
      </c>
      <c r="C39" s="23" t="n">
        <f aca="false">(tp_wA*(SUMPRODUCT(Val!B16:B21,1/(1+(tp_r+0.01))^{1;2;3;4;5;6})+Val!B21*(1+tp_g)/((tp_r+0.01)-tp_g)/(1+(tp_r+0.01))^6)+tp_wB*(SUMPRODUCT(Val!C16:C21,1/(1+(tp_r+0.01))^{1;2;3;4;5;6})+Val!C21*(1+tp_g)/((tp_r+0.01)-tp_g)/(1+(tp_r+0.01))^6)+tp_wC*(SUMPRODUCT(Val!D16:D21,1/(1+(tp_r+0.01))^{1;2;3;4;5;6})+Val!D21*(1+tp_g)/((tp_r+0.01)-tp_g)/(1+(tp_r+0.01))^6))*(1+(tp_r+0.01))</f>
        <v>333.640418011243</v>
      </c>
      <c r="D39" s="23" t="n">
        <f aca="false">Val!B35</f>
        <v>1065.04470129126</v>
      </c>
      <c r="E39" s="23" t="n">
        <f aca="false">tp_w_dcf*C39+(1-tp_w_dcf)*D39</f>
        <v>699.342559651253</v>
      </c>
      <c r="F39" s="20" t="n">
        <f aca="false">E39/E$38-1</f>
        <v>-0.0377611794847973</v>
      </c>
    </row>
    <row r="40" customFormat="false" ht="17.15" hidden="false" customHeight="false" outlineLevel="0" collapsed="false">
      <c r="A40" s="3" t="s">
        <v>936</v>
      </c>
      <c r="B40" s="0" t="s">
        <v>937</v>
      </c>
      <c r="C40" s="23" t="n">
        <f aca="false">(tp_wA*(SUMPRODUCT(Val!B16:B21,1/(1+(tp_r-0.01))^{1;2;3;4;5;6})+Val!B21*(1+tp_g)/((tp_r-0.01)-tp_g)/(1+(tp_r-0.01))^6)+tp_wB*(SUMPRODUCT(Val!C16:C21,1/(1+(tp_r-0.01))^{1;2;3;4;5;6})+Val!C21*(1+tp_g)/((tp_r-0.01)-tp_g)/(1+(tp_r-0.01))^6)+tp_wC*(SUMPRODUCT(Val!D16:D21,1/(1+(tp_r-0.01))^{1;2;3;4;5;6})+Val!D21*(1+tp_g)/((tp_r-0.01)-tp_g)/(1+(tp_r-0.01))^6))*(1+(tp_r-0.01))</f>
        <v>465.417525093389</v>
      </c>
      <c r="D40" s="23" t="n">
        <f aca="false">Val!B35</f>
        <v>1065.04470129126</v>
      </c>
      <c r="E40" s="23" t="n">
        <f aca="false">tp_w_dcf*C40+(1-tp_w_dcf)*D40</f>
        <v>765.231113192327</v>
      </c>
      <c r="F40" s="20" t="n">
        <f aca="false">E40/E$38-1</f>
        <v>0.0528961431246422</v>
      </c>
    </row>
    <row r="41" customFormat="false" ht="17.15" hidden="false" customHeight="false" outlineLevel="0" collapsed="false">
      <c r="A41" s="3" t="s">
        <v>938</v>
      </c>
      <c r="B41" s="0" t="s">
        <v>939</v>
      </c>
      <c r="C41" s="23" t="n">
        <f aca="false">(tp_wA*(SUMPRODUCT(Val!B16:B21,1/(1+tp_r)^{1;2;3;4;5;6})+Val!B21*(1+(tp_g+0.01))/(tp_r-(tp_g+0.01))/(1+tp_r)^6)+tp_wB*(SUMPRODUCT(Val!C16:C21,1/(1+tp_r)^{1;2;3;4;5;6})+Val!C21*(1+(tp_g+0.01))/(tp_r-(tp_g+0.01))/(1+tp_r)^6)+tp_wC*(SUMPRODUCT(Val!D16:D21,1/(1+tp_r)^{1;2;3;4;5;6})+Val!D21*(1+(tp_g+0.01))/(tp_r-(tp_g+0.01))/(1+tp_r)^6))*(1+tp_r)</f>
        <v>450.061911013755</v>
      </c>
      <c r="D41" s="23" t="n">
        <f aca="false">Val!B35</f>
        <v>1065.04470129126</v>
      </c>
      <c r="E41" s="23" t="n">
        <f aca="false">tp_w_dcf*C41+(1-tp_w_dcf)*D41</f>
        <v>757.553306152509</v>
      </c>
      <c r="F41" s="20" t="n">
        <f aca="false">E41/E$38-1</f>
        <v>0.0423321013854674</v>
      </c>
    </row>
    <row r="42" customFormat="false" ht="17.15" hidden="false" customHeight="false" outlineLevel="0" collapsed="false">
      <c r="A42" s="3" t="s">
        <v>940</v>
      </c>
      <c r="B42" s="0" t="s">
        <v>941</v>
      </c>
      <c r="C42" s="23" t="n">
        <f aca="false">(tp_wA*(SUMPRODUCT(Val!B16:B21,1/(1+tp_r)^{1;2;3;4;5;6})+Val!B21*(1+(tp_g-0.01))/(tp_r-(tp_g-0.01))/(1+tp_r)^6)+tp_wB*(SUMPRODUCT(Val!C16:C21,1/(1+tp_r)^{1;2;3;4;5;6})+Val!C21*(1+(tp_g-0.01))/(tp_r-(tp_g-0.01))/(1+tp_r)^6)+tp_wC*(SUMPRODUCT(Val!D16:D21,1/(1+tp_r)^{1;2;3;4;5;6})+Val!D21*(1+(tp_g-0.01))/(tp_r-(tp_g-0.01))/(1+tp_r)^6))*(1+tp_r)</f>
        <v>344.577055105459</v>
      </c>
      <c r="D42" s="23" t="n">
        <f aca="false">Val!B35</f>
        <v>1065.04470129126</v>
      </c>
      <c r="E42" s="23" t="n">
        <f aca="false">tp_w_dcf*C42+(1-tp_w_dcf)*D42</f>
        <v>704.810878198361</v>
      </c>
      <c r="F42" s="20" t="n">
        <f aca="false">E42/E$38-1</f>
        <v>-0.030237215275334</v>
      </c>
    </row>
    <row r="43" customFormat="false" ht="17.15" hidden="false" customHeight="false" outlineLevel="0" collapsed="false">
      <c r="A43" s="0" t="s">
        <v>942</v>
      </c>
      <c r="C43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43" s="23" t="n">
        <f aca="false">Val!B35</f>
        <v>1065.04470129126</v>
      </c>
      <c r="E43" s="23" t="n">
        <f aca="false">0.3*C43+(1-0.3)*D43</f>
        <v>862.090014424059</v>
      </c>
      <c r="F43" s="20" t="n">
        <f aca="false">E43/E$38-1</f>
        <v>0.186166160216264</v>
      </c>
    </row>
    <row r="44" customFormat="false" ht="17.15" hidden="false" customHeight="false" outlineLevel="0" collapsed="false">
      <c r="A44" s="0" t="s">
        <v>943</v>
      </c>
      <c r="C44" s="23" t="n">
        <f aca="false">(tp_wA*(SUMPRODUCT(Val!B16:B21,1/(1+tp_r)^{1;2;3;4;5;6})+Val!B21*(1+tp_g)/(tp_r-tp_g)/(1+tp_r)^6)+tp_wB*(SUMPRODUCT(Val!C16:C21,1/(1+tp_r)^{1;2;3;4;5;6})+Val!C21*(1+tp_g)/(tp_r-tp_g)/(1+tp_r)^6)+tp_wC*(SUMPRODUCT(Val!D16:D21,1/(1+tp_r)^{1;2;3;4;5;6})+Val!D21*(1+tp_g)/(tp_r-tp_g)/(1+tp_r)^6))*(1+tp_r)</f>
        <v>388.529078400582</v>
      </c>
      <c r="D44" s="23" t="n">
        <f aca="false">Val!B35</f>
        <v>1065.04470129126</v>
      </c>
      <c r="E44" s="23" t="n">
        <f aca="false">0.7*C44+(1-0.7)*D44</f>
        <v>591.483765267787</v>
      </c>
      <c r="F44" s="20" t="n">
        <f aca="false">E44/E$38-1</f>
        <v>-0.186166160216264</v>
      </c>
    </row>
    <row r="50" customFormat="false" ht="17.15" hidden="false" customHeight="false" outlineLevel="0" collapsed="false">
      <c r="A50" s="1" t="s">
        <v>944</v>
      </c>
    </row>
    <row r="51" customFormat="false" ht="17.15" hidden="false" customHeight="false" outlineLevel="0" collapsed="false">
      <c r="A51" s="4" t="s">
        <v>21</v>
      </c>
      <c r="B51" s="4" t="s">
        <v>22</v>
      </c>
      <c r="C51" s="13" t="s">
        <v>477</v>
      </c>
      <c r="D51" s="13" t="s">
        <v>562</v>
      </c>
      <c r="E51" s="13" t="s">
        <v>563</v>
      </c>
      <c r="F51" s="13" t="s">
        <v>564</v>
      </c>
      <c r="G51" s="13" t="s">
        <v>565</v>
      </c>
      <c r="H51" s="13" t="s">
        <v>566</v>
      </c>
      <c r="I51" s="13" t="s">
        <v>567</v>
      </c>
      <c r="J51" s="13" t="s">
        <v>568</v>
      </c>
      <c r="K51" s="4" t="s">
        <v>533</v>
      </c>
    </row>
    <row r="52" customFormat="false" ht="17.15" hidden="false" customHeight="false" outlineLevel="0" collapsed="false">
      <c r="A52" s="5" t="s">
        <v>586</v>
      </c>
    </row>
    <row r="53" customFormat="false" ht="17.15" hidden="false" customHeight="false" outlineLevel="0" collapsed="false">
      <c r="A53" s="0" t="s">
        <v>587</v>
      </c>
      <c r="B53" s="3" t="s">
        <v>32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588</v>
      </c>
    </row>
    <row r="54" customFormat="false" ht="17.15" hidden="false" customHeight="false" outlineLevel="0" collapsed="false">
      <c r="A54" s="3" t="s">
        <v>589</v>
      </c>
      <c r="B54" s="3" t="s">
        <v>32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590</v>
      </c>
    </row>
    <row r="55" customFormat="false" ht="17.15" hidden="false" customHeight="false" outlineLevel="0" collapsed="false">
      <c r="A55" s="3" t="s">
        <v>591</v>
      </c>
      <c r="B55" s="0" t="s">
        <v>144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592</v>
      </c>
    </row>
    <row r="56" customFormat="false" ht="17.15" hidden="false" customHeight="false" outlineLevel="0" collapsed="false">
      <c r="A56" s="0" t="s">
        <v>593</v>
      </c>
      <c r="B56" s="0" t="s">
        <v>144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594</v>
      </c>
    </row>
    <row r="57" customFormat="false" ht="17.15" hidden="false" customHeight="false" outlineLevel="0" collapsed="false">
      <c r="A57" s="3" t="s">
        <v>595</v>
      </c>
      <c r="B57" s="0" t="s">
        <v>144</v>
      </c>
      <c r="D57" s="18" t="n">
        <f aca="false">1</f>
        <v>1</v>
      </c>
      <c r="E57" s="18" t="n">
        <f aca="false">1+carry</f>
        <v>1.05</v>
      </c>
      <c r="F57" s="18" t="n">
        <f aca="false">1+carry</f>
        <v>1.05</v>
      </c>
      <c r="G57" s="18" t="n">
        <f aca="false">1+carry</f>
        <v>1.05</v>
      </c>
      <c r="K57" s="7" t="s">
        <v>596</v>
      </c>
    </row>
    <row r="58" customFormat="false" ht="17.15" hidden="false" customHeight="false" outlineLevel="0" collapsed="false">
      <c r="A58" s="3" t="s">
        <v>597</v>
      </c>
      <c r="B58" s="0" t="s">
        <v>598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599</v>
      </c>
    </row>
    <row r="59" customFormat="false" ht="17.15" hidden="false" customHeight="false" outlineLevel="0" collapsed="false">
      <c r="A59" s="3" t="s">
        <v>600</v>
      </c>
      <c r="B59" s="0" t="s">
        <v>44</v>
      </c>
      <c r="D59" s="20" t="n">
        <f aca="false">sh_nv_26</f>
        <v>0.25</v>
      </c>
      <c r="E59" s="20" t="n">
        <f aca="false">sh_nv_27</f>
        <v>0.27</v>
      </c>
      <c r="F59" s="20" t="n">
        <f aca="false">sh_nv_28</f>
        <v>0.29</v>
      </c>
      <c r="G59" s="20" t="n">
        <f aca="false">sh_nv_29</f>
        <v>0.3</v>
      </c>
    </row>
    <row r="60" customFormat="false" ht="17.15" hidden="false" customHeight="false" outlineLevel="0" collapsed="false">
      <c r="A60" s="3" t="s">
        <v>601</v>
      </c>
      <c r="B60" s="0" t="s">
        <v>44</v>
      </c>
      <c r="D60" s="20" t="n">
        <f aca="false">sh_ot_26</f>
        <v>0.3</v>
      </c>
      <c r="E60" s="20" t="n">
        <f aca="false">sh_ot_27</f>
        <v>0.31</v>
      </c>
      <c r="F60" s="20" t="n">
        <f aca="false">sh_ot_28</f>
        <v>0.32</v>
      </c>
      <c r="G60" s="20" t="n">
        <f aca="false">sh_ot_29</f>
        <v>0.33</v>
      </c>
    </row>
    <row r="61" customFormat="false" ht="17.15" hidden="false" customHeight="false" outlineLevel="0" collapsed="false">
      <c r="A61" s="3" t="s">
        <v>602</v>
      </c>
      <c r="B61" s="0" t="s">
        <v>552</v>
      </c>
      <c r="D61" s="22" t="n">
        <f aca="false">(D53*D58*D59+D54*D58*v_ot*D60)*D57</f>
        <v>801.809211504</v>
      </c>
      <c r="E61" s="22" t="n">
        <f aca="false">(E53*E58*E59+E54*E58*v_ot*E60)*E57</f>
        <v>1299.90394524352</v>
      </c>
      <c r="F61" s="22" t="n">
        <f aca="false">(F53*F58*F59+F54*F58*v_ot*F60)*F57</f>
        <v>1700.25707385422</v>
      </c>
      <c r="G61" s="22" t="n">
        <f aca="false">(G53*G58*G59+G54*G58*v_ot*G60)*G57</f>
        <v>2230.78502755736</v>
      </c>
    </row>
    <row r="62" customFormat="false" ht="15" hidden="false" customHeight="false" outlineLevel="0" collapsed="false">
      <c r="A62" s="3" t="s">
        <v>603</v>
      </c>
      <c r="B62" s="0" t="s">
        <v>302</v>
      </c>
      <c r="D62" s="21" t="n">
        <f aca="false">D61*fx/1000</f>
        <v>26.05879937388</v>
      </c>
      <c r="E62" s="21" t="n">
        <f aca="false">E61*fx/1000</f>
        <v>42.2468782204145</v>
      </c>
      <c r="F62" s="21" t="n">
        <f aca="false">F61*fx/1000</f>
        <v>55.2583549002621</v>
      </c>
      <c r="G62" s="21" t="n">
        <f aca="false">G61*fx/1000</f>
        <v>72.5005133956142</v>
      </c>
    </row>
    <row r="63" customFormat="false" ht="17.15" hidden="false" customHeight="false" outlineLevel="0" collapsed="false">
      <c r="A63" s="5" t="s">
        <v>604</v>
      </c>
    </row>
    <row r="64" customFormat="false" ht="17.15" hidden="false" customHeight="false" outlineLevel="0" collapsed="false">
      <c r="A64" s="0" t="s">
        <v>605</v>
      </c>
      <c r="B64" s="0" t="s">
        <v>302</v>
      </c>
      <c r="D64" s="21" t="n">
        <f aca="false">a26_abf*ai_abf</f>
        <v>74.83672875</v>
      </c>
      <c r="K64" s="3" t="s">
        <v>606</v>
      </c>
    </row>
    <row r="65" customFormat="false" ht="17.15" hidden="false" customHeight="false" outlineLevel="0" collapsed="false">
      <c r="A65" s="3" t="s">
        <v>607</v>
      </c>
      <c r="B65" s="0" t="s">
        <v>302</v>
      </c>
      <c r="D65" s="21" t="n">
        <f aca="false">D64-D62</f>
        <v>48.77792937612</v>
      </c>
      <c r="E65" s="21" t="n">
        <f aca="false">$D65*(itc_27/itc_26)^el_o*1*0.8*E56*E57</f>
        <v>57.9749376836586</v>
      </c>
      <c r="F65" s="21" t="n">
        <f aca="false">$D65*(itc_28/itc_26)^el_o*um28_A*0.8*F56*F57</f>
        <v>62.0094502957948</v>
      </c>
      <c r="G65" s="21" t="n">
        <f aca="false">$D65*(itc_29/itc_26)^el_o*um29_A*0.8*G56*G57</f>
        <v>62.7001798370097</v>
      </c>
      <c r="K65" s="7" t="s">
        <v>608</v>
      </c>
    </row>
    <row r="66" customFormat="false" ht="17.15" hidden="false" customHeight="false" outlineLevel="0" collapsed="false">
      <c r="A66" s="3" t="s">
        <v>609</v>
      </c>
      <c r="B66" s="0" t="s">
        <v>302</v>
      </c>
      <c r="D66" s="21" t="n">
        <f aca="false">a26_abf-D64</f>
        <v>24.94557625</v>
      </c>
      <c r="E66" s="21" t="n">
        <f aca="false">D66*(1+g_nai)</f>
        <v>25.6939435375</v>
      </c>
      <c r="F66" s="21" t="n">
        <f aca="false">E66*(1+g_nai)</f>
        <v>26.464761843625</v>
      </c>
      <c r="G66" s="21" t="n">
        <f aca="false">F66*(1+g_nai)</f>
        <v>27.2587046989338</v>
      </c>
    </row>
    <row r="67" customFormat="false" ht="17.15" hidden="false" customHeight="false" outlineLevel="0" collapsed="false">
      <c r="A67" s="0" t="s">
        <v>610</v>
      </c>
      <c r="B67" s="0" t="s">
        <v>302</v>
      </c>
      <c r="D67" s="21" t="n">
        <f aca="false">D62+D65+D66</f>
        <v>99.782305</v>
      </c>
      <c r="E67" s="21" t="n">
        <f aca="false">E62+E65+E66</f>
        <v>125.915759441573</v>
      </c>
      <c r="F67" s="21" t="n">
        <f aca="false">F62+F65+F66</f>
        <v>143.732567039682</v>
      </c>
      <c r="G67" s="21" t="n">
        <f aca="false">G62+G65+G66</f>
        <v>162.459397931558</v>
      </c>
    </row>
    <row r="68" customFormat="false" ht="17.15" hidden="false" customHeight="false" outlineLevel="0" collapsed="false">
      <c r="A68" s="0" t="s">
        <v>611</v>
      </c>
      <c r="B68" s="0" t="s">
        <v>302</v>
      </c>
      <c r="D68" s="21" t="n">
        <f aca="false">a26_abf</f>
        <v>99.782305</v>
      </c>
      <c r="E68" s="21" t="n">
        <f aca="false">$D67*cap_27*(1+g_mix)^1*E56*E57</f>
        <v>148.513488204375</v>
      </c>
      <c r="F68" s="21" t="n">
        <f aca="false">$D67*cap_28*(1+g_mix)^2*F56*F57</f>
        <v>186.549442683384</v>
      </c>
      <c r="G68" s="21" t="n">
        <f aca="false">$D67*cap_29*(1+g_mix)^3*G56*G57</f>
        <v>218.314827660431</v>
      </c>
      <c r="K68" s="7" t="s">
        <v>612</v>
      </c>
    </row>
    <row r="69" customFormat="false" ht="17.15" hidden="false" customHeight="false" outlineLevel="0" collapsed="false">
      <c r="A69" s="0" t="s">
        <v>613</v>
      </c>
      <c r="B69" s="0" t="s">
        <v>302</v>
      </c>
      <c r="D69" s="21" t="n">
        <f aca="false">a26_abf</f>
        <v>99.782305</v>
      </c>
      <c r="E69" s="21" t="n">
        <f aca="false">MIN(E67,E68)</f>
        <v>125.915759441573</v>
      </c>
      <c r="F69" s="21" t="n">
        <f aca="false">MIN(F67,F68)</f>
        <v>143.732567039682</v>
      </c>
      <c r="G69" s="21" t="n">
        <f aca="false">MIN(G67,G68)</f>
        <v>162.459397931558</v>
      </c>
    </row>
    <row r="70" customFormat="false" ht="17.15" hidden="false" customHeight="false" outlineLevel="0" collapsed="false">
      <c r="A70" s="3" t="s">
        <v>614</v>
      </c>
      <c r="B70" s="0" t="s">
        <v>44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615</v>
      </c>
      <c r="B71" s="0" t="s">
        <v>302</v>
      </c>
      <c r="D71" s="21" t="n">
        <f aca="false">(D62+D65)*D70</f>
        <v>74.83672875</v>
      </c>
      <c r="E71" s="21" t="n">
        <f aca="false">(E62+E65)*E70</f>
        <v>100.221815904073</v>
      </c>
      <c r="F71" s="21" t="n">
        <f aca="false">(F62+F65)*F70</f>
        <v>117.267805196057</v>
      </c>
      <c r="G71" s="21" t="n">
        <f aca="false">(G62+G65)*G70</f>
        <v>135.200693232624</v>
      </c>
    </row>
    <row r="72" customFormat="false" ht="17.15" hidden="false" customHeight="false" outlineLevel="0" collapsed="false">
      <c r="A72" s="3" t="s">
        <v>616</v>
      </c>
      <c r="B72" s="0" t="s">
        <v>44</v>
      </c>
      <c r="D72" s="20" t="n">
        <f aca="false">D62/(D62+D65)</f>
        <v>0.348208691228771</v>
      </c>
      <c r="E72" s="20" t="n">
        <f aca="false">E62/(E62+E65)</f>
        <v>0.421533753298293</v>
      </c>
      <c r="F72" s="20" t="n">
        <f aca="false">F62/(F62+F65)</f>
        <v>0.471215051802813</v>
      </c>
      <c r="G72" s="20" t="n">
        <f aca="false">G62/(G62+G65)</f>
        <v>0.536243651287136</v>
      </c>
    </row>
    <row r="73" customFormat="false" ht="17.15" hidden="false" customHeight="false" outlineLevel="0" collapsed="false">
      <c r="A73" s="5" t="s">
        <v>617</v>
      </c>
    </row>
    <row r="74" customFormat="false" ht="17.15" hidden="false" customHeight="false" outlineLevel="0" collapsed="false">
      <c r="A74" s="0" t="s">
        <v>519</v>
      </c>
      <c r="B74" s="0" t="s">
        <v>302</v>
      </c>
      <c r="D74" s="21" t="n">
        <f aca="false">a26_bt</f>
        <v>16.944165</v>
      </c>
      <c r="E74" s="21" t="n">
        <f aca="false">D74*(1+g_bt)</f>
        <v>17.79137325</v>
      </c>
      <c r="F74" s="21" t="n">
        <f aca="false">E74*(1+g_bt)</f>
        <v>18.6809419125</v>
      </c>
      <c r="G74" s="21" t="n">
        <f aca="false">F74*(1+g_bt)</f>
        <v>19.614989008125</v>
      </c>
    </row>
    <row r="75" customFormat="false" ht="17.15" hidden="false" customHeight="false" outlineLevel="0" collapsed="false">
      <c r="A75" s="0" t="s">
        <v>618</v>
      </c>
      <c r="B75" s="0" t="s">
        <v>302</v>
      </c>
      <c r="D75" s="21" t="n">
        <f aca="false">a26_pcb*ai_pcb</f>
        <v>37.93610275</v>
      </c>
      <c r="E75" s="21" t="n">
        <f aca="false">D75*(1+g_pai_27)</f>
        <v>45.5233233</v>
      </c>
      <c r="F75" s="21" t="n">
        <f aca="false">D75*(1+g_pai_27)*(1+g_pai_28)*um28_A</f>
        <v>52.351821795</v>
      </c>
      <c r="G75" s="21" t="n">
        <f aca="false">D75*(1+g_pai_27)*(1+g_pai_28)*(1+g_pai_29)*um29_A</f>
        <v>57.5870039745</v>
      </c>
      <c r="K75" s="3" t="s">
        <v>619</v>
      </c>
    </row>
    <row r="76" customFormat="false" ht="17.15" hidden="false" customHeight="false" outlineLevel="0" collapsed="false">
      <c r="A76" s="3" t="s">
        <v>620</v>
      </c>
      <c r="B76" s="0" t="s">
        <v>302</v>
      </c>
      <c r="D76" s="21" t="n">
        <f aca="false">a26_pcb*(1-ai_pcb)</f>
        <v>20.42713225</v>
      </c>
      <c r="E76" s="21" t="n">
        <f aca="false">D76*(1+g_pcbn)</f>
        <v>20.835674895</v>
      </c>
      <c r="F76" s="21" t="n">
        <f aca="false">E76*(1+g_pcbn)</f>
        <v>21.2523883929</v>
      </c>
      <c r="G76" s="21" t="n">
        <f aca="false">F76*(1+g_pcbn)</f>
        <v>21.677436160758</v>
      </c>
    </row>
    <row r="77" customFormat="false" ht="15" hidden="false" customHeight="false" outlineLevel="0" collapsed="false">
      <c r="A77" s="3" t="s">
        <v>521</v>
      </c>
      <c r="B77" s="0" t="s">
        <v>302</v>
      </c>
      <c r="D77" s="21" t="n">
        <f aca="false">a26_fpc</f>
        <v>13.178795</v>
      </c>
      <c r="E77" s="21" t="n">
        <f aca="false">D77*(1+g_fpc)</f>
        <v>13.178795</v>
      </c>
      <c r="F77" s="21" t="n">
        <f aca="false">E77*(1+g_fpc)</f>
        <v>13.178795</v>
      </c>
      <c r="G77" s="21" t="n">
        <f aca="false">F77*(1+g_fpc)</f>
        <v>13.178795</v>
      </c>
    </row>
    <row r="78" customFormat="false" ht="17.15" hidden="false" customHeight="false" outlineLevel="0" collapsed="false">
      <c r="A78" s="3" t="s">
        <v>484</v>
      </c>
      <c r="B78" s="0" t="s">
        <v>302</v>
      </c>
      <c r="C78" s="23" t="n">
        <f aca="false">a25_rev</f>
        <v>131.241</v>
      </c>
      <c r="D78" s="23" t="n">
        <f aca="false">D69+D74+D75+D76+D77</f>
        <v>188.2685</v>
      </c>
      <c r="E78" s="23" t="n">
        <f aca="false">E69+E74+E75+E76+E77</f>
        <v>223.244925886573</v>
      </c>
      <c r="F78" s="23" t="n">
        <f aca="false">F69+F74+F75+F76+F77</f>
        <v>249.196514140082</v>
      </c>
      <c r="G78" s="23" t="n">
        <f aca="false">G69+G74+G75+G76+G77</f>
        <v>274.517622074941</v>
      </c>
      <c r="H78" s="25" t="n">
        <f aca="false">G78*(1+H79)</f>
        <v>298.603981935369</v>
      </c>
      <c r="I78" s="25" t="n">
        <f aca="false">H78*(1+I79)</f>
        <v>320.661957989682</v>
      </c>
      <c r="J78" s="25" t="n">
        <f aca="false">I78*(1+J79)</f>
        <v>339.901675469063</v>
      </c>
      <c r="K78" s="7" t="s">
        <v>621</v>
      </c>
    </row>
    <row r="79" customFormat="false" ht="15" hidden="false" customHeight="false" outlineLevel="0" collapsed="false">
      <c r="A79" s="3" t="s">
        <v>622</v>
      </c>
      <c r="B79" s="0" t="s">
        <v>44</v>
      </c>
      <c r="D79" s="20" t="n">
        <f aca="false">D78/C78-1</f>
        <v>0.434525034097576</v>
      </c>
      <c r="E79" s="20" t="n">
        <f aca="false">E78/D78-1</f>
        <v>0.185779489859287</v>
      </c>
      <c r="F79" s="20" t="n">
        <f aca="false">F78/E78-1</f>
        <v>0.116247158364058</v>
      </c>
      <c r="G79" s="20" t="n">
        <f aca="false">G78/F78-1</f>
        <v>0.101611003758363</v>
      </c>
      <c r="H79" s="26" t="n">
        <f aca="false">$G79+(fade_gA-$G79)*1/3</f>
        <v>0.0877406691722418</v>
      </c>
      <c r="I79" s="26" t="n">
        <f aca="false">$G79+(fade_gA-$G79)*2/3</f>
        <v>0.0738703345861209</v>
      </c>
      <c r="J79" s="26" t="n">
        <f aca="false">$G79+(fade_gA-$G79)*3/3</f>
        <v>0.06</v>
      </c>
    </row>
    <row r="80" customFormat="false" ht="17.15" hidden="false" customHeight="false" outlineLevel="0" collapsed="false">
      <c r="A80" s="0" t="s">
        <v>623</v>
      </c>
      <c r="B80" s="0" t="s">
        <v>44</v>
      </c>
      <c r="D80" s="20" t="n">
        <f aca="false">D69/D78</f>
        <v>0.53</v>
      </c>
      <c r="E80" s="20" t="n">
        <f aca="false">E69/E78</f>
        <v>0.564025179705758</v>
      </c>
      <c r="F80" s="20" t="n">
        <f aca="false">F69/F78</f>
        <v>0.576784019373902</v>
      </c>
      <c r="G80" s="20" t="n">
        <f aca="false">G69/G78</f>
        <v>0.591799523482714</v>
      </c>
    </row>
    <row r="81" customFormat="false" ht="17.15" hidden="false" customHeight="false" outlineLevel="0" collapsed="false">
      <c r="A81" s="0" t="s">
        <v>624</v>
      </c>
      <c r="B81" s="0" t="s">
        <v>44</v>
      </c>
      <c r="D81" s="20" t="n">
        <f aca="false">(D71+D75)/D78</f>
        <v>0.599</v>
      </c>
      <c r="E81" s="20" t="n">
        <f aca="false">(E71+E75)/E78</f>
        <v>0.652848608429845</v>
      </c>
      <c r="F81" s="20" t="n">
        <f aca="false">(F71+F75)/F78</f>
        <v>0.680666130408662</v>
      </c>
      <c r="G81" s="20" t="n">
        <f aca="false">(G71+G75)/G78</f>
        <v>0.702278038655365</v>
      </c>
      <c r="K81" s="3" t="s">
        <v>625</v>
      </c>
    </row>
    <row r="82" customFormat="false" ht="17.15" hidden="false" customHeight="false" outlineLevel="0" collapsed="false">
      <c r="A82" s="5" t="s">
        <v>626</v>
      </c>
    </row>
    <row r="83" customFormat="false" ht="15" hidden="false" customHeight="false" outlineLevel="0" collapsed="false">
      <c r="A83" s="3" t="s">
        <v>627</v>
      </c>
      <c r="B83" s="0" t="s">
        <v>302</v>
      </c>
      <c r="C83" s="23" t="n">
        <f aca="false">a25_cx</f>
        <v>25.617</v>
      </c>
      <c r="D83" s="23" t="n">
        <f aca="false">capex26</f>
        <v>53.7</v>
      </c>
      <c r="E83" s="23" t="n">
        <f aca="false">cx27_A</f>
        <v>55</v>
      </c>
      <c r="F83" s="23" t="n">
        <f aca="false">cx28_A</f>
        <v>50</v>
      </c>
      <c r="G83" s="23" t="n">
        <f aca="false">cx29_A</f>
        <v>45</v>
      </c>
      <c r="H83" s="25" t="n">
        <f aca="false">H78*H100</f>
        <v>45.9253171462308</v>
      </c>
      <c r="I83" s="25" t="n">
        <f aca="false">I78*I100</f>
        <v>46.0715117439814</v>
      </c>
      <c r="J83" s="25" t="n">
        <f aca="false">J78*J100</f>
        <v>45.3946990660562</v>
      </c>
    </row>
    <row r="84" customFormat="false" ht="17.15" hidden="false" customHeight="false" outlineLevel="0" collapsed="false">
      <c r="A84" s="3" t="s">
        <v>628</v>
      </c>
      <c r="B84" s="0" t="s">
        <v>302</v>
      </c>
      <c r="C84" s="23" t="n">
        <f aca="false">a25_da</f>
        <v>18.8</v>
      </c>
      <c r="D84" s="23" t="n">
        <f aca="false">da26</f>
        <v>20.8</v>
      </c>
      <c r="E84" s="23" t="n">
        <f aca="false">D84*(1-1/life)+D83/life</f>
        <v>24.9125</v>
      </c>
      <c r="F84" s="23" t="n">
        <f aca="false">E84*(1-1/life)+E83/life</f>
        <v>28.6734375</v>
      </c>
      <c r="G84" s="23" t="n">
        <f aca="false">F84*(1-1/life)+F83/life</f>
        <v>31.3392578125</v>
      </c>
      <c r="H84" s="25" t="n">
        <f aca="false">H78*H85</f>
        <v>34.0889852643302</v>
      </c>
      <c r="I84" s="25" t="n">
        <f aca="false">I78*I85</f>
        <v>36.6071500115076</v>
      </c>
      <c r="J84" s="25" t="n">
        <f aca="false">J78*J85</f>
        <v>38.803579012198</v>
      </c>
      <c r="K84" s="3" t="s">
        <v>629</v>
      </c>
    </row>
    <row r="85" customFormat="false" ht="17.15" hidden="false" customHeight="false" outlineLevel="0" collapsed="false">
      <c r="A85" s="3" t="s">
        <v>630</v>
      </c>
      <c r="B85" s="0" t="s">
        <v>44</v>
      </c>
      <c r="C85" s="20" t="n">
        <f aca="false">C84/C78</f>
        <v>0.143247917952469</v>
      </c>
      <c r="D85" s="20" t="n">
        <f aca="false">D84/D78</f>
        <v>0.110480510547436</v>
      </c>
      <c r="E85" s="20" t="n">
        <f aca="false">E84/E78</f>
        <v>0.111592681898883</v>
      </c>
      <c r="F85" s="20" t="n">
        <f aca="false">F84/F78</f>
        <v>0.115063557766629</v>
      </c>
      <c r="G85" s="20" t="n">
        <f aca="false">G84/G78</f>
        <v>0.114161187816004</v>
      </c>
      <c r="H85" s="26" t="n">
        <f aca="false">$G85</f>
        <v>0.114161187816004</v>
      </c>
      <c r="I85" s="26" t="n">
        <f aca="false">$G85</f>
        <v>0.114161187816004</v>
      </c>
      <c r="J85" s="26" t="n">
        <f aca="false">$G85</f>
        <v>0.114161187816004</v>
      </c>
    </row>
    <row r="86" customFormat="false" ht="17.15" hidden="false" customHeight="false" outlineLevel="0" collapsed="false">
      <c r="A86" s="3" t="s">
        <v>631</v>
      </c>
      <c r="B86" s="0" t="s">
        <v>302</v>
      </c>
      <c r="E86" s="21" t="n">
        <f aca="false">E71*(1-1/(E56*E57))</f>
        <v>4.77246742400349</v>
      </c>
      <c r="F86" s="21" t="n">
        <f aca="false">F71*(1-1/(F56*F57))</f>
        <v>-0.293904273674348</v>
      </c>
      <c r="G86" s="21" t="n">
        <f aca="false">G71*(1-1/(G56*G57))</f>
        <v>-7.86882341565535</v>
      </c>
      <c r="K86" s="7" t="s">
        <v>632</v>
      </c>
    </row>
    <row r="87" customFormat="false" ht="17.15" hidden="false" customHeight="false" outlineLevel="0" collapsed="false">
      <c r="A87" s="3" t="s">
        <v>633</v>
      </c>
      <c r="B87" s="0" t="s">
        <v>302</v>
      </c>
      <c r="C87" s="21" t="n">
        <f aca="false">a25_gp</f>
        <v>18.292</v>
      </c>
      <c r="D87" s="21" t="n">
        <f aca="false">a26_gp</f>
        <v>47.3329657</v>
      </c>
      <c r="E87" s="21" t="n">
        <f aca="false">$D87+ft_abf*(E69-E86-$D69)+ft_oth*((E78-E69)-($D78-$D69))+E86-(E84-$D84)</f>
        <v>60.8841694940383</v>
      </c>
      <c r="F87" s="21" t="n">
        <f aca="false">$D87+ft_abf*(F69-F86-$D69)+ft_oth*((F78-F69)-($D78-$D69))+F86-(F84-$D84)</f>
        <v>65.5321451081038</v>
      </c>
      <c r="G87" s="21" t="n">
        <f aca="false">$D87+ft_abf*(G69-G86-$D69)+ft_oth*((G78-G69)-($D78-$D69))+G86-(G84-$D84)</f>
        <v>70.0908499312969</v>
      </c>
      <c r="K87" s="3" t="s">
        <v>634</v>
      </c>
    </row>
    <row r="88" customFormat="false" ht="15" hidden="false" customHeight="false" outlineLevel="0" collapsed="false">
      <c r="A88" s="3" t="s">
        <v>491</v>
      </c>
      <c r="B88" s="0" t="s">
        <v>44</v>
      </c>
      <c r="C88" s="16" t="n">
        <f aca="false">C87/C78</f>
        <v>0.139377176339711</v>
      </c>
      <c r="D88" s="16" t="n">
        <f aca="false">D87/D78</f>
        <v>0.251412029627899</v>
      </c>
      <c r="E88" s="16" t="n">
        <f aca="false">E87/E78</f>
        <v>0.272723643111927</v>
      </c>
      <c r="F88" s="16" t="n">
        <f aca="false">F87/F78</f>
        <v>0.262973763233566</v>
      </c>
      <c r="G88" s="16" t="n">
        <f aca="false">G87/G78</f>
        <v>0.255323681596523</v>
      </c>
    </row>
    <row r="89" customFormat="false" ht="15" hidden="false" customHeight="false" outlineLevel="0" collapsed="false">
      <c r="A89" s="3" t="s">
        <v>493</v>
      </c>
      <c r="B89" s="0" t="s">
        <v>302</v>
      </c>
      <c r="C89" s="21" t="n">
        <f aca="false">a25_opx</f>
        <v>11.618</v>
      </c>
      <c r="D89" s="21" t="n">
        <f aca="false">a26_opx</f>
        <v>16.6539532</v>
      </c>
      <c r="E89" s="21" t="n">
        <f aca="false">D89*(1+phi*E79)</f>
        <v>18.5103309577819</v>
      </c>
      <c r="F89" s="21" t="n">
        <f aca="false">E89*(1+phi*F79)</f>
        <v>19.8013949823141</v>
      </c>
      <c r="G89" s="21" t="n">
        <f aca="false">F89*(1+phi*G79)</f>
        <v>21.0086187542953</v>
      </c>
    </row>
    <row r="90" customFormat="false" ht="15" hidden="false" customHeight="false" outlineLevel="0" collapsed="false">
      <c r="A90" s="3" t="s">
        <v>496</v>
      </c>
      <c r="B90" s="0" t="s">
        <v>302</v>
      </c>
      <c r="C90" s="21" t="n">
        <f aca="false">C87-C89</f>
        <v>6.674</v>
      </c>
      <c r="D90" s="21" t="n">
        <f aca="false">D87-D89</f>
        <v>30.6790125</v>
      </c>
      <c r="E90" s="21" t="n">
        <f aca="false">E87-E89</f>
        <v>42.3738385362564</v>
      </c>
      <c r="F90" s="21" t="n">
        <f aca="false">F87-F89</f>
        <v>45.7307501257897</v>
      </c>
      <c r="G90" s="21" t="n">
        <f aca="false">G87-G89</f>
        <v>49.0822311770016</v>
      </c>
    </row>
    <row r="91" customFormat="false" ht="15" hidden="false" customHeight="false" outlineLevel="0" collapsed="false">
      <c r="A91" s="3" t="s">
        <v>575</v>
      </c>
      <c r="B91" s="0" t="s">
        <v>44</v>
      </c>
      <c r="C91" s="16" t="n">
        <f aca="false">C90/C78</f>
        <v>0.0508530108731265</v>
      </c>
      <c r="D91" s="16" t="n">
        <f aca="false">D90/D78</f>
        <v>0.162953507888999</v>
      </c>
      <c r="E91" s="16" t="n">
        <f aca="false">E90/E78</f>
        <v>0.189808741981378</v>
      </c>
      <c r="F91" s="16" t="n">
        <f aca="false">F90/F78</f>
        <v>0.183512800263662</v>
      </c>
      <c r="G91" s="16" t="n">
        <f aca="false">G90/G78</f>
        <v>0.17879446428981</v>
      </c>
    </row>
    <row r="92" customFormat="false" ht="17.15" hidden="false" customHeight="false" outlineLevel="0" collapsed="false">
      <c r="A92" s="3" t="s">
        <v>635</v>
      </c>
      <c r="B92" s="0" t="s">
        <v>302</v>
      </c>
      <c r="C92" s="21" t="n">
        <f aca="false">a25_nonop</f>
        <v>-0.00100000000000033</v>
      </c>
      <c r="D92" s="21" t="n">
        <f aca="false">a26_nonop</f>
        <v>14.466</v>
      </c>
      <c r="E92" s="21" t="n">
        <f aca="false">nonop27</f>
        <v>2</v>
      </c>
      <c r="F92" s="21" t="n">
        <f aca="false">nonop28</f>
        <v>2</v>
      </c>
      <c r="G92" s="21" t="n">
        <f aca="false">nonop29</f>
        <v>2</v>
      </c>
      <c r="K92" s="7" t="s">
        <v>636</v>
      </c>
    </row>
    <row r="93" customFormat="false" ht="15" hidden="false" customHeight="false" outlineLevel="0" collapsed="false">
      <c r="A93" s="3" t="s">
        <v>502</v>
      </c>
      <c r="B93" s="0" t="s">
        <v>302</v>
      </c>
      <c r="C93" s="21" t="n">
        <f aca="false">C90+C92</f>
        <v>6.673</v>
      </c>
      <c r="D93" s="21" t="n">
        <f aca="false">D90+D92</f>
        <v>45.1450125</v>
      </c>
      <c r="E93" s="21" t="n">
        <f aca="false">E90+E92</f>
        <v>44.3738385362564</v>
      </c>
      <c r="F93" s="21" t="n">
        <f aca="false">F90+F92</f>
        <v>47.7307501257897</v>
      </c>
      <c r="G93" s="21" t="n">
        <f aca="false">G90+G92</f>
        <v>51.0822311770016</v>
      </c>
    </row>
    <row r="94" customFormat="false" ht="15" hidden="false" customHeight="false" outlineLevel="0" collapsed="false">
      <c r="A94" s="3" t="s">
        <v>506</v>
      </c>
      <c r="B94" s="0" t="s">
        <v>302</v>
      </c>
      <c r="E94" s="21" t="n">
        <f aca="false">E93*tax</f>
        <v>7.98729093652616</v>
      </c>
      <c r="F94" s="21" t="n">
        <f aca="false">F93*tax</f>
        <v>8.59153502264214</v>
      </c>
      <c r="G94" s="21" t="n">
        <f aca="false">G93*tax</f>
        <v>9.19480161186028</v>
      </c>
    </row>
    <row r="95" customFormat="false" ht="15" hidden="false" customHeight="false" outlineLevel="0" collapsed="false">
      <c r="A95" s="3" t="s">
        <v>504</v>
      </c>
      <c r="B95" s="0" t="s">
        <v>302</v>
      </c>
      <c r="C95" s="21" t="n">
        <f aca="false">a25_ni</f>
        <v>6.673</v>
      </c>
      <c r="D95" s="21" t="n">
        <f aca="false">a26_ni</f>
        <v>37.23923025</v>
      </c>
      <c r="E95" s="21" t="n">
        <f aca="false">E93-E94</f>
        <v>36.3865475997303</v>
      </c>
      <c r="F95" s="21" t="n">
        <f aca="false">F93-F94</f>
        <v>39.1392151031475</v>
      </c>
      <c r="G95" s="21" t="n">
        <f aca="false">G93-G94</f>
        <v>41.8874295651413</v>
      </c>
      <c r="H95" s="30" t="n">
        <f aca="false">H78*H99</f>
        <v>47.6772246177964</v>
      </c>
      <c r="I95" s="30" t="n">
        <f aca="false">I78*I99</f>
        <v>53.4699246518452</v>
      </c>
      <c r="J95" s="30" t="n">
        <f aca="false">J78*J99</f>
        <v>59.085133680314</v>
      </c>
    </row>
    <row r="96" customFormat="false" ht="15" hidden="false" customHeight="false" outlineLevel="0" collapsed="false">
      <c r="A96" s="3" t="s">
        <v>637</v>
      </c>
      <c r="B96" s="3" t="s">
        <v>380</v>
      </c>
      <c r="C96" s="29" t="n">
        <f aca="false">a25_sh</f>
        <v>1.52351598173516</v>
      </c>
      <c r="D96" s="29" t="n">
        <f aca="false">a26_sh</f>
        <v>1.59236316568047</v>
      </c>
      <c r="E96" s="29" t="n">
        <f aca="false">a26_shend*(1+sh_g)</f>
        <v>1.64</v>
      </c>
      <c r="F96" s="29" t="n">
        <f aca="false">E96*(1+sh_g)</f>
        <v>1.64</v>
      </c>
      <c r="G96" s="29" t="n">
        <f aca="false">F96*(1+sh_g)</f>
        <v>1.64</v>
      </c>
      <c r="H96" s="31" t="n">
        <f aca="false">G96*(1+sh_g)</f>
        <v>1.64</v>
      </c>
      <c r="I96" s="31" t="n">
        <f aca="false">H96*(1+sh_g)</f>
        <v>1.64</v>
      </c>
      <c r="J96" s="31" t="n">
        <f aca="false">I96*(1+sh_g)</f>
        <v>1.64</v>
      </c>
    </row>
    <row r="97" customFormat="false" ht="17.15" hidden="false" customHeight="false" outlineLevel="0" collapsed="false">
      <c r="A97" s="0" t="s">
        <v>509</v>
      </c>
      <c r="B97" s="0" t="s">
        <v>386</v>
      </c>
      <c r="C97" s="18" t="n">
        <f aca="false">C95/C96</f>
        <v>4.38</v>
      </c>
      <c r="D97" s="18" t="n">
        <f aca="false">D95/D96</f>
        <v>23.3861414610695</v>
      </c>
      <c r="E97" s="18" t="n">
        <f aca="false">E95/E96</f>
        <v>22.1869192681282</v>
      </c>
      <c r="F97" s="18" t="n">
        <f aca="false">F95/F96</f>
        <v>23.8653750628948</v>
      </c>
      <c r="G97" s="18" t="n">
        <f aca="false">G95/G96</f>
        <v>25.5411155885008</v>
      </c>
      <c r="H97" s="28" t="n">
        <f aca="false">H95/H96</f>
        <v>29.0714784254856</v>
      </c>
      <c r="I97" s="28" t="n">
        <f aca="false">I95/I96</f>
        <v>32.6036125925885</v>
      </c>
      <c r="J97" s="28" t="n">
        <f aca="false">J95/J96</f>
        <v>36.0275205367769</v>
      </c>
    </row>
    <row r="98" customFormat="false" ht="17.15" hidden="false" customHeight="false" outlineLevel="0" collapsed="false">
      <c r="A98" s="0" t="s">
        <v>638</v>
      </c>
      <c r="B98" s="0" t="s">
        <v>44</v>
      </c>
      <c r="D98" s="20" t="n">
        <f aca="false">D97/C97-1</f>
        <v>4.33930170344053</v>
      </c>
      <c r="E98" s="20" t="n">
        <f aca="false">E97/D97-1</f>
        <v>-0.0512791815160103</v>
      </c>
      <c r="F98" s="20" t="n">
        <f aca="false">F97/E97-1</f>
        <v>0.0756506919452191</v>
      </c>
      <c r="G98" s="20" t="n">
        <f aca="false">G97/F97-1</f>
        <v>0.0702163917889283</v>
      </c>
      <c r="H98" s="26" t="n">
        <f aca="false">H97/G97-1</f>
        <v>0.138222734428025</v>
      </c>
      <c r="I98" s="26" t="n">
        <f aca="false">I97/H97-1</f>
        <v>0.121498264223344</v>
      </c>
      <c r="J98" s="26" t="n">
        <f aca="false">J97/I97-1</f>
        <v>0.105016213601025</v>
      </c>
    </row>
    <row r="99" customFormat="false" ht="17.15" hidden="false" customHeight="false" outlineLevel="0" collapsed="false">
      <c r="A99" s="3" t="s">
        <v>639</v>
      </c>
      <c r="B99" s="0" t="s">
        <v>44</v>
      </c>
      <c r="C99" s="16" t="n">
        <f aca="false">C95/C78</f>
        <v>0.0508453913030227</v>
      </c>
      <c r="D99" s="16" t="n">
        <f aca="false">D95/D78</f>
        <v>0.197798517808343</v>
      </c>
      <c r="E99" s="16" t="n">
        <f aca="false">E95/E78</f>
        <v>0.162989360027908</v>
      </c>
      <c r="F99" s="16" t="n">
        <f aca="false">F95/F78</f>
        <v>0.157061647664726</v>
      </c>
      <c r="G99" s="16" t="n">
        <f aca="false">G95/G78</f>
        <v>0.152585576286634</v>
      </c>
      <c r="H99" s="27" t="n">
        <f aca="false">$G99+(fade_mA-$G99)*1/3</f>
        <v>0.159667075799799</v>
      </c>
      <c r="I99" s="27" t="n">
        <f aca="false">$G99+(fade_mA-$G99)*2/3</f>
        <v>0.166748575312964</v>
      </c>
      <c r="J99" s="27" t="n">
        <f aca="false">$G99+(fade_mA-$G99)*3/3</f>
        <v>0.17383007482613</v>
      </c>
    </row>
    <row r="100" customFormat="false" ht="17.15" hidden="false" customHeight="false" outlineLevel="0" collapsed="false">
      <c r="A100" s="3" t="s">
        <v>640</v>
      </c>
      <c r="B100" s="0" t="s">
        <v>44</v>
      </c>
      <c r="C100" s="20" t="n">
        <f aca="false">C83/C78</f>
        <v>0.195190527350447</v>
      </c>
      <c r="D100" s="20" t="n">
        <f aca="false">D83/D78</f>
        <v>0.285230933480641</v>
      </c>
      <c r="E100" s="20" t="n">
        <f aca="false">E83/E78</f>
        <v>0.246366181813891</v>
      </c>
      <c r="F100" s="20" t="n">
        <f aca="false">F83/F78</f>
        <v>0.200644861235472</v>
      </c>
      <c r="G100" s="20" t="n">
        <f aca="false">G83/G78</f>
        <v>0.163923902807651</v>
      </c>
      <c r="H100" s="26" t="n">
        <f aca="false">$G100+($G85*(1+tp_g)^(life/2)-$G100)*1/3</f>
        <v>0.15380008280054</v>
      </c>
      <c r="I100" s="26" t="n">
        <f aca="false">$G100+($G85*(1+tp_g)^(life/2)-$G100)*2/3</f>
        <v>0.14367626279343</v>
      </c>
      <c r="J100" s="26" t="n">
        <f aca="false">$G100+($G85*(1+tp_g)^(life/2)-$G100)*3/3</f>
        <v>0.13355244278632</v>
      </c>
      <c r="K100" s="7" t="s">
        <v>641</v>
      </c>
    </row>
    <row r="101" customFormat="false" ht="15" hidden="false" customHeight="false" outlineLevel="0" collapsed="false">
      <c r="A101" s="3" t="s">
        <v>642</v>
      </c>
      <c r="B101" s="0" t="s">
        <v>302</v>
      </c>
      <c r="E101" s="21" t="n">
        <f aca="false">E95+E84-E83</f>
        <v>6.29904759973029</v>
      </c>
      <c r="F101" s="21" t="n">
        <f aca="false">F95+F84-F83</f>
        <v>17.8126526031475</v>
      </c>
      <c r="G101" s="21" t="n">
        <f aca="false">G95+G84-G83</f>
        <v>28.2266873776413</v>
      </c>
      <c r="H101" s="30" t="n">
        <f aca="false">H95+H84-H83</f>
        <v>35.8408927358958</v>
      </c>
      <c r="I101" s="30" t="n">
        <f aca="false">I95+I84-I83</f>
        <v>44.0055629193713</v>
      </c>
      <c r="J101" s="30" t="n">
        <f aca="false">J95+J84-J83</f>
        <v>52.4940136264559</v>
      </c>
      <c r="K101" s="3" t="s">
        <v>643</v>
      </c>
    </row>
    <row r="102" customFormat="false" ht="15" hidden="false" customHeight="false" outlineLevel="0" collapsed="false">
      <c r="A102" s="3" t="s">
        <v>644</v>
      </c>
      <c r="B102" s="0" t="s">
        <v>386</v>
      </c>
      <c r="E102" s="18" t="n">
        <f aca="false">E101/E96</f>
        <v>3.84088268276237</v>
      </c>
      <c r="F102" s="18" t="n">
        <f aca="false">F101/F96</f>
        <v>10.8613735385046</v>
      </c>
      <c r="G102" s="18" t="n">
        <f aca="false">G101/G96</f>
        <v>17.2113947424642</v>
      </c>
      <c r="H102" s="28" t="n">
        <f aca="false">H101/H96</f>
        <v>21.8542028877413</v>
      </c>
      <c r="I102" s="28" t="n">
        <f aca="false">I101/I96</f>
        <v>26.8326603166898</v>
      </c>
      <c r="J102" s="28" t="n">
        <f aca="false">J101/J96</f>
        <v>32.0085448941804</v>
      </c>
    </row>
    <row r="105" customFormat="false" ht="17.15" hidden="false" customHeight="false" outlineLevel="0" collapsed="false">
      <c r="A105" s="1" t="s">
        <v>945</v>
      </c>
    </row>
    <row r="106" customFormat="false" ht="17.15" hidden="false" customHeight="false" outlineLevel="0" collapsed="false">
      <c r="A106" s="4" t="s">
        <v>21</v>
      </c>
      <c r="B106" s="4" t="s">
        <v>22</v>
      </c>
      <c r="C106" s="13" t="s">
        <v>477</v>
      </c>
      <c r="D106" s="13" t="s">
        <v>562</v>
      </c>
      <c r="E106" s="13" t="s">
        <v>563</v>
      </c>
      <c r="F106" s="13" t="s">
        <v>564</v>
      </c>
      <c r="G106" s="13" t="s">
        <v>565</v>
      </c>
      <c r="H106" s="13" t="s">
        <v>566</v>
      </c>
      <c r="I106" s="13" t="s">
        <v>567</v>
      </c>
      <c r="J106" s="13" t="s">
        <v>568</v>
      </c>
      <c r="K106" s="4" t="s">
        <v>533</v>
      </c>
    </row>
    <row r="107" customFormat="false" ht="17.15" hidden="false" customHeight="false" outlineLevel="0" collapsed="false">
      <c r="A107" s="5" t="s">
        <v>586</v>
      </c>
    </row>
    <row r="108" customFormat="false" ht="17.15" hidden="false" customHeight="false" outlineLevel="0" collapsed="false">
      <c r="A108" s="0" t="s">
        <v>587</v>
      </c>
      <c r="B108" s="3" t="s">
        <v>32</v>
      </c>
      <c r="D108" s="21" t="n">
        <f aca="false">(u_bw_26+u_rb_26+u_ru_26+u_hp_26)*1</f>
        <v>7.6</v>
      </c>
      <c r="E108" s="21" t="n">
        <f aca="false">(u_bw_27+u_rb_27+u_ru_27+u_hp_27)*1*1.2</f>
        <v>11.64</v>
      </c>
      <c r="F108" s="21" t="n">
        <f aca="false">(u_bw_28+u_rb_28+u_ru_28+u_hp_28)*um28_A*1.2</f>
        <v>11.4</v>
      </c>
      <c r="G108" s="21" t="n">
        <f aca="false">(u_bw_28*(1+g29_bw)+u_rb_28*(1+g29_rb)+u_ru_28*(1+g29_ru)+u_hp_28*(1+g29_hp))*um29_A*1.2</f>
        <v>12.72</v>
      </c>
      <c r="K108" s="7" t="s">
        <v>588</v>
      </c>
    </row>
    <row r="109" customFormat="false" ht="17.15" hidden="false" customHeight="false" outlineLevel="0" collapsed="false">
      <c r="A109" s="3" t="s">
        <v>589</v>
      </c>
      <c r="B109" s="3" t="s">
        <v>32</v>
      </c>
      <c r="D109" s="21" t="n">
        <f aca="false">(u_amd_26+u_tpu_26+u_trn_26+u_oth_26)*1</f>
        <v>7.6</v>
      </c>
      <c r="E109" s="21" t="n">
        <f aca="false">(u_amd_27+u_tpu_27+u_trn_27+u_oth_27)*1*1.2</f>
        <v>16.8</v>
      </c>
      <c r="F109" s="21" t="n">
        <f aca="false">(u_amd_28+u_tpu_28+u_trn_28+u_oth_28)*um28_A*1.2</f>
        <v>20.4</v>
      </c>
      <c r="G109" s="21" t="n">
        <f aca="false">(u_amd_28*(1+g29_amd)+u_tpu_28*(1+g29_tpu)+u_trn_28*(1+g29_trn)+u_oth_28*(1+g29_oth))*um29_A*1.2</f>
        <v>23.46</v>
      </c>
      <c r="K109" s="7" t="s">
        <v>590</v>
      </c>
    </row>
    <row r="110" customFormat="false" ht="17.15" hidden="false" customHeight="false" outlineLevel="0" collapsed="false">
      <c r="A110" s="3" t="s">
        <v>591</v>
      </c>
      <c r="B110" s="0" t="s">
        <v>144</v>
      </c>
      <c r="D110" s="19" t="n">
        <f aca="false">1</f>
        <v>1</v>
      </c>
      <c r="E110" s="19" t="n">
        <f aca="false">D110*(1+g_asp)</f>
        <v>1.18</v>
      </c>
      <c r="F110" s="19" t="n">
        <f aca="false">E110*(1+g_asp)</f>
        <v>1.3924</v>
      </c>
      <c r="G110" s="19" t="n">
        <f aca="false">F110*(1+g_asp)</f>
        <v>1.643032</v>
      </c>
      <c r="K110" s="7" t="s">
        <v>592</v>
      </c>
    </row>
    <row r="111" customFormat="false" ht="17.15" hidden="false" customHeight="false" outlineLevel="0" collapsed="false">
      <c r="A111" s="0" t="s">
        <v>593</v>
      </c>
      <c r="B111" s="0" t="s">
        <v>144</v>
      </c>
      <c r="D111" s="18" t="n">
        <f aca="false">1</f>
        <v>1</v>
      </c>
      <c r="E111" s="18" t="n">
        <f aca="false">ibpp_27</f>
        <v>1</v>
      </c>
      <c r="F111" s="18" t="n">
        <f aca="false">ibpp_28</f>
        <v>0.95</v>
      </c>
      <c r="G111" s="18" t="n">
        <f aca="false">ibpp_29</f>
        <v>0.9</v>
      </c>
      <c r="K111" s="7" t="s">
        <v>594</v>
      </c>
    </row>
    <row r="112" customFormat="false" ht="17.15" hidden="false" customHeight="false" outlineLevel="0" collapsed="false">
      <c r="A112" s="3" t="s">
        <v>595</v>
      </c>
      <c r="B112" s="0" t="s">
        <v>144</v>
      </c>
      <c r="D112" s="18" t="n">
        <f aca="false">1</f>
        <v>1</v>
      </c>
      <c r="E112" s="18" t="n">
        <f aca="false">1+carry</f>
        <v>1.05</v>
      </c>
      <c r="F112" s="18" t="n">
        <f aca="false">1+carry</f>
        <v>1.05</v>
      </c>
      <c r="G112" s="18" t="n">
        <f aca="false">1+carry</f>
        <v>1.05</v>
      </c>
      <c r="K112" s="7" t="s">
        <v>596</v>
      </c>
    </row>
    <row r="113" customFormat="false" ht="17.15" hidden="false" customHeight="false" outlineLevel="0" collapsed="false">
      <c r="A113" s="3" t="s">
        <v>597</v>
      </c>
      <c r="B113" s="0" t="s">
        <v>598</v>
      </c>
      <c r="D113" s="23" t="n">
        <f aca="false">v26*D110*D111</f>
        <v>215.308596</v>
      </c>
      <c r="E113" s="23" t="n">
        <f aca="false">v26*E110*E111</f>
        <v>254.06414328</v>
      </c>
      <c r="F113" s="23" t="n">
        <f aca="false">v26*F110*F111</f>
        <v>284.80590461688</v>
      </c>
      <c r="G113" s="23" t="n">
        <f aca="false">v26*G110*G111</f>
        <v>318.383021792765</v>
      </c>
      <c r="K113" s="7" t="s">
        <v>599</v>
      </c>
    </row>
    <row r="114" customFormat="false" ht="17.15" hidden="false" customHeight="false" outlineLevel="0" collapsed="false">
      <c r="A114" s="3" t="s">
        <v>600</v>
      </c>
      <c r="B114" s="0" t="s">
        <v>44</v>
      </c>
      <c r="D114" s="20" t="n">
        <f aca="false">sh_nv_26</f>
        <v>0.25</v>
      </c>
      <c r="E114" s="20" t="n">
        <f aca="false">sh_nv_27</f>
        <v>0.27</v>
      </c>
      <c r="F114" s="20" t="n">
        <f aca="false">sh_nv_28</f>
        <v>0.29</v>
      </c>
      <c r="G114" s="20" t="n">
        <f aca="false">sh_nv_29</f>
        <v>0.3</v>
      </c>
    </row>
    <row r="115" customFormat="false" ht="17.15" hidden="false" customHeight="false" outlineLevel="0" collapsed="false">
      <c r="A115" s="3" t="s">
        <v>601</v>
      </c>
      <c r="B115" s="0" t="s">
        <v>44</v>
      </c>
      <c r="D115" s="20" t="n">
        <f aca="false">sh_ot_26</f>
        <v>0.3</v>
      </c>
      <c r="E115" s="20" t="n">
        <f aca="false">sh_ot_27</f>
        <v>0.31</v>
      </c>
      <c r="F115" s="20" t="n">
        <f aca="false">sh_ot_28</f>
        <v>0.32</v>
      </c>
      <c r="G115" s="20" t="n">
        <f aca="false">sh_ot_29</f>
        <v>0.33</v>
      </c>
    </row>
    <row r="116" customFormat="false" ht="17.15" hidden="false" customHeight="false" outlineLevel="0" collapsed="false">
      <c r="A116" s="3" t="s">
        <v>602</v>
      </c>
      <c r="B116" s="0" t="s">
        <v>552</v>
      </c>
      <c r="D116" s="22" t="n">
        <f aca="false">(D108*D113*D114+D109*D113*v_ot*D115)*D112</f>
        <v>801.809211504</v>
      </c>
      <c r="E116" s="22" t="n">
        <f aca="false">(E108*E113*E114+E109*E113*v_ot*E115)*E112</f>
        <v>1949.85591786529</v>
      </c>
      <c r="F116" s="22" t="n">
        <f aca="false">(F108*F113*F114+F109*F113*v_ot*F115)*F112</f>
        <v>2550.38561078133</v>
      </c>
      <c r="G116" s="22" t="n">
        <f aca="false">(G108*G113*G114+G109*G113*v_ot*G115)*G112</f>
        <v>3346.17754133604</v>
      </c>
    </row>
    <row r="117" customFormat="false" ht="15" hidden="false" customHeight="false" outlineLevel="0" collapsed="false">
      <c r="A117" s="3" t="s">
        <v>603</v>
      </c>
      <c r="B117" s="0" t="s">
        <v>302</v>
      </c>
      <c r="D117" s="21" t="n">
        <f aca="false">D116*fx/1000</f>
        <v>26.05879937388</v>
      </c>
      <c r="E117" s="21" t="n">
        <f aca="false">E116*fx/1000</f>
        <v>63.3703173306218</v>
      </c>
      <c r="F117" s="21" t="n">
        <f aca="false">F116*fx/1000</f>
        <v>82.8875323503932</v>
      </c>
      <c r="G117" s="21" t="n">
        <f aca="false">G116*fx/1000</f>
        <v>108.750770093421</v>
      </c>
    </row>
    <row r="118" customFormat="false" ht="17.15" hidden="false" customHeight="false" outlineLevel="0" collapsed="false">
      <c r="A118" s="5" t="s">
        <v>604</v>
      </c>
    </row>
    <row r="119" customFormat="false" ht="17.15" hidden="false" customHeight="false" outlineLevel="0" collapsed="false">
      <c r="A119" s="0" t="s">
        <v>605</v>
      </c>
      <c r="B119" s="0" t="s">
        <v>302</v>
      </c>
      <c r="D119" s="21" t="n">
        <f aca="false">a26_abf*ai_abf</f>
        <v>74.83672875</v>
      </c>
      <c r="K119" s="3" t="s">
        <v>606</v>
      </c>
    </row>
    <row r="120" customFormat="false" ht="17.15" hidden="false" customHeight="false" outlineLevel="0" collapsed="false">
      <c r="A120" s="3" t="s">
        <v>607</v>
      </c>
      <c r="B120" s="0" t="s">
        <v>302</v>
      </c>
      <c r="D120" s="21" t="n">
        <f aca="false">D119-D117</f>
        <v>48.77792937612</v>
      </c>
      <c r="E120" s="21" t="n">
        <f aca="false">$D120*(itc_27/itc_26)^el_o*1*1.2*E111*E112</f>
        <v>86.9624065254879</v>
      </c>
      <c r="F120" s="21" t="n">
        <f aca="false">$D120*(itc_28/itc_26)^el_o*um28_A*1.2*F111*F112</f>
        <v>93.0141754436922</v>
      </c>
      <c r="G120" s="21" t="n">
        <f aca="false">$D120*(itc_29/itc_26)^el_o*um29_A*1.2*G111*G112</f>
        <v>94.0502697555145</v>
      </c>
      <c r="K120" s="7" t="s">
        <v>608</v>
      </c>
    </row>
    <row r="121" customFormat="false" ht="17.15" hidden="false" customHeight="false" outlineLevel="0" collapsed="false">
      <c r="A121" s="3" t="s">
        <v>609</v>
      </c>
      <c r="B121" s="0" t="s">
        <v>302</v>
      </c>
      <c r="D121" s="21" t="n">
        <f aca="false">a26_abf-D119</f>
        <v>24.94557625</v>
      </c>
      <c r="E121" s="21" t="n">
        <f aca="false">D121*(1+g_nai)</f>
        <v>25.6939435375</v>
      </c>
      <c r="F121" s="21" t="n">
        <f aca="false">E121*(1+g_nai)</f>
        <v>26.464761843625</v>
      </c>
      <c r="G121" s="21" t="n">
        <f aca="false">F121*(1+g_nai)</f>
        <v>27.2587046989338</v>
      </c>
    </row>
    <row r="122" customFormat="false" ht="17.15" hidden="false" customHeight="false" outlineLevel="0" collapsed="false">
      <c r="A122" s="0" t="s">
        <v>610</v>
      </c>
      <c r="B122" s="0" t="s">
        <v>302</v>
      </c>
      <c r="D122" s="21" t="n">
        <f aca="false">D117+D120+D121</f>
        <v>99.782305</v>
      </c>
      <c r="E122" s="21" t="n">
        <f aca="false">E117+E120+E121</f>
        <v>176.02666739361</v>
      </c>
      <c r="F122" s="21" t="n">
        <f aca="false">F117+F120+F121</f>
        <v>202.36646963771</v>
      </c>
      <c r="G122" s="21" t="n">
        <f aca="false">G117+G120+G121</f>
        <v>230.05974454787</v>
      </c>
    </row>
    <row r="123" customFormat="false" ht="17.15" hidden="false" customHeight="false" outlineLevel="0" collapsed="false">
      <c r="A123" s="0" t="s">
        <v>611</v>
      </c>
      <c r="B123" s="0" t="s">
        <v>302</v>
      </c>
      <c r="D123" s="21" t="n">
        <f aca="false">a26_abf</f>
        <v>99.782305</v>
      </c>
      <c r="E123" s="21" t="n">
        <f aca="false">$D122*cap_27*(1+g_mix)^1*E111*E112</f>
        <v>148.513488204375</v>
      </c>
      <c r="F123" s="21" t="n">
        <f aca="false">$D122*cap_28*(1+g_mix)^2*F111*F112</f>
        <v>186.549442683384</v>
      </c>
      <c r="G123" s="21" t="n">
        <f aca="false">$D122*cap_29*(1+g_mix)^3*G111*G112</f>
        <v>218.314827660431</v>
      </c>
      <c r="K123" s="7" t="s">
        <v>612</v>
      </c>
    </row>
    <row r="124" customFormat="false" ht="17.15" hidden="false" customHeight="false" outlineLevel="0" collapsed="false">
      <c r="A124" s="0" t="s">
        <v>613</v>
      </c>
      <c r="B124" s="0" t="s">
        <v>302</v>
      </c>
      <c r="D124" s="21" t="n">
        <f aca="false">a26_abf</f>
        <v>99.782305</v>
      </c>
      <c r="E124" s="21" t="n">
        <f aca="false">MIN(E122,E123)</f>
        <v>148.513488204375</v>
      </c>
      <c r="F124" s="21" t="n">
        <f aca="false">MIN(F122,F123)</f>
        <v>186.549442683384</v>
      </c>
      <c r="G124" s="21" t="n">
        <f aca="false">MIN(G122,G123)</f>
        <v>218.314827660431</v>
      </c>
    </row>
    <row r="125" customFormat="false" ht="17.15" hidden="false" customHeight="false" outlineLevel="0" collapsed="false">
      <c r="A125" s="3" t="s">
        <v>614</v>
      </c>
      <c r="B125" s="0" t="s">
        <v>44</v>
      </c>
      <c r="D125" s="20" t="n">
        <f aca="false">D124/D122</f>
        <v>1</v>
      </c>
      <c r="E125" s="20" t="n">
        <f aca="false">E124/E122</f>
        <v>0.84369880088843</v>
      </c>
      <c r="F125" s="20" t="n">
        <f aca="false">F124/F122</f>
        <v>0.921839685286586</v>
      </c>
      <c r="G125" s="20" t="n">
        <f aca="false">G124/G122</f>
        <v>0.948948405073994</v>
      </c>
    </row>
    <row r="126" customFormat="false" ht="17.15" hidden="false" customHeight="false" outlineLevel="0" collapsed="false">
      <c r="A126" s="0" t="s">
        <v>615</v>
      </c>
      <c r="B126" s="0" t="s">
        <v>302</v>
      </c>
      <c r="D126" s="21" t="n">
        <f aca="false">(D117+D120)*D125</f>
        <v>74.83672875</v>
      </c>
      <c r="E126" s="21" t="n">
        <f aca="false">(E117+E120)*E125</f>
        <v>126.835538851691</v>
      </c>
      <c r="F126" s="21" t="n">
        <f aca="false">(F117+F120)*F125</f>
        <v>162.153174954273</v>
      </c>
      <c r="G126" s="21" t="n">
        <f aca="false">(G117+G120)*G125</f>
        <v>192.447723311995</v>
      </c>
    </row>
    <row r="127" customFormat="false" ht="17.15" hidden="false" customHeight="false" outlineLevel="0" collapsed="false">
      <c r="A127" s="3" t="s">
        <v>616</v>
      </c>
      <c r="B127" s="0" t="s">
        <v>44</v>
      </c>
      <c r="D127" s="20" t="n">
        <f aca="false">D117/(D117+D120)</f>
        <v>0.348208691228771</v>
      </c>
      <c r="E127" s="20" t="n">
        <f aca="false">E117/(E117+E120)</f>
        <v>0.421533753298293</v>
      </c>
      <c r="F127" s="20" t="n">
        <f aca="false">F117/(F117+F120)</f>
        <v>0.471215051802813</v>
      </c>
      <c r="G127" s="20" t="n">
        <f aca="false">G117/(G117+G120)</f>
        <v>0.536243651287136</v>
      </c>
    </row>
    <row r="128" customFormat="false" ht="17.15" hidden="false" customHeight="false" outlineLevel="0" collapsed="false">
      <c r="A128" s="5" t="s">
        <v>617</v>
      </c>
    </row>
    <row r="129" customFormat="false" ht="17.15" hidden="false" customHeight="false" outlineLevel="0" collapsed="false">
      <c r="A129" s="0" t="s">
        <v>519</v>
      </c>
      <c r="B129" s="0" t="s">
        <v>302</v>
      </c>
      <c r="D129" s="21" t="n">
        <f aca="false">a26_bt</f>
        <v>16.944165</v>
      </c>
      <c r="E129" s="21" t="n">
        <f aca="false">D129*(1+g_bt)</f>
        <v>17.79137325</v>
      </c>
      <c r="F129" s="21" t="n">
        <f aca="false">E129*(1+g_bt)</f>
        <v>18.6809419125</v>
      </c>
      <c r="G129" s="21" t="n">
        <f aca="false">F129*(1+g_bt)</f>
        <v>19.614989008125</v>
      </c>
    </row>
    <row r="130" customFormat="false" ht="17.15" hidden="false" customHeight="false" outlineLevel="0" collapsed="false">
      <c r="A130" s="0" t="s">
        <v>618</v>
      </c>
      <c r="B130" s="0" t="s">
        <v>302</v>
      </c>
      <c r="D130" s="21" t="n">
        <f aca="false">a26_pcb*ai_pcb</f>
        <v>37.93610275</v>
      </c>
      <c r="E130" s="21" t="n">
        <f aca="false">D130*(1+g_pai_27)</f>
        <v>45.5233233</v>
      </c>
      <c r="F130" s="21" t="n">
        <f aca="false">D130*(1+g_pai_27)*(1+g_pai_28)*um28_A</f>
        <v>52.351821795</v>
      </c>
      <c r="G130" s="21" t="n">
        <f aca="false">D130*(1+g_pai_27)*(1+g_pai_28)*(1+g_pai_29)*um29_A</f>
        <v>57.5870039745</v>
      </c>
      <c r="K130" s="3" t="s">
        <v>619</v>
      </c>
    </row>
    <row r="131" customFormat="false" ht="17.15" hidden="false" customHeight="false" outlineLevel="0" collapsed="false">
      <c r="A131" s="3" t="s">
        <v>620</v>
      </c>
      <c r="B131" s="0" t="s">
        <v>302</v>
      </c>
      <c r="D131" s="21" t="n">
        <f aca="false">a26_pcb*(1-ai_pcb)</f>
        <v>20.42713225</v>
      </c>
      <c r="E131" s="21" t="n">
        <f aca="false">D131*(1+g_pcbn)</f>
        <v>20.835674895</v>
      </c>
      <c r="F131" s="21" t="n">
        <f aca="false">E131*(1+g_pcbn)</f>
        <v>21.2523883929</v>
      </c>
      <c r="G131" s="21" t="n">
        <f aca="false">F131*(1+g_pcbn)</f>
        <v>21.677436160758</v>
      </c>
    </row>
    <row r="132" customFormat="false" ht="15" hidden="false" customHeight="false" outlineLevel="0" collapsed="false">
      <c r="A132" s="3" t="s">
        <v>521</v>
      </c>
      <c r="B132" s="0" t="s">
        <v>302</v>
      </c>
      <c r="D132" s="21" t="n">
        <f aca="false">a26_fpc</f>
        <v>13.178795</v>
      </c>
      <c r="E132" s="21" t="n">
        <f aca="false">D132*(1+g_fpc)</f>
        <v>13.178795</v>
      </c>
      <c r="F132" s="21" t="n">
        <f aca="false">E132*(1+g_fpc)</f>
        <v>13.178795</v>
      </c>
      <c r="G132" s="21" t="n">
        <f aca="false">F132*(1+g_fpc)</f>
        <v>13.178795</v>
      </c>
    </row>
    <row r="133" customFormat="false" ht="17.15" hidden="false" customHeight="false" outlineLevel="0" collapsed="false">
      <c r="A133" s="3" t="s">
        <v>484</v>
      </c>
      <c r="B133" s="0" t="s">
        <v>302</v>
      </c>
      <c r="C133" s="23" t="n">
        <f aca="false">a25_rev</f>
        <v>131.241</v>
      </c>
      <c r="D133" s="23" t="n">
        <f aca="false">D124+D129+D130+D131+D132</f>
        <v>188.2685</v>
      </c>
      <c r="E133" s="23" t="n">
        <f aca="false">E124+E129+E130+E131+E132</f>
        <v>245.842654649375</v>
      </c>
      <c r="F133" s="23" t="n">
        <f aca="false">F124+F129+F130+F131+F132</f>
        <v>292.013389783784</v>
      </c>
      <c r="G133" s="23" t="n">
        <f aca="false">G124+G129+G130+G131+G132</f>
        <v>330.373051803814</v>
      </c>
      <c r="H133" s="25" t="n">
        <f aca="false">G133*(1+H134)</f>
        <v>365.912972905286</v>
      </c>
      <c r="I133" s="25" t="n">
        <f aca="false">H133*(1+I134)</f>
        <v>396.571928303815</v>
      </c>
      <c r="J133" s="25" t="n">
        <f aca="false">I133*(1+J134)</f>
        <v>420.366244002044</v>
      </c>
      <c r="K133" s="7" t="s">
        <v>621</v>
      </c>
    </row>
    <row r="134" customFormat="false" ht="15" hidden="false" customHeight="false" outlineLevel="0" collapsed="false">
      <c r="A134" s="3" t="s">
        <v>622</v>
      </c>
      <c r="B134" s="0" t="s">
        <v>44</v>
      </c>
      <c r="D134" s="20" t="n">
        <f aca="false">D133/C133-1</f>
        <v>0.434525034097576</v>
      </c>
      <c r="E134" s="20" t="n">
        <f aca="false">E133/D133-1</f>
        <v>0.30580875</v>
      </c>
      <c r="F134" s="20" t="n">
        <f aca="false">F133/E133-1</f>
        <v>0.187806038786308</v>
      </c>
      <c r="G134" s="20" t="n">
        <f aca="false">G133/F133-1</f>
        <v>0.131362681856584</v>
      </c>
      <c r="H134" s="26" t="n">
        <f aca="false">$G134+(fade_gA-$G134)*1/3</f>
        <v>0.107575121237723</v>
      </c>
      <c r="I134" s="26" t="n">
        <f aca="false">$G134+(fade_gA-$G134)*2/3</f>
        <v>0.0837875606188614</v>
      </c>
      <c r="J134" s="26" t="n">
        <f aca="false">$G134+(fade_gA-$G134)*3/3</f>
        <v>0.06</v>
      </c>
    </row>
    <row r="135" customFormat="false" ht="17.15" hidden="false" customHeight="false" outlineLevel="0" collapsed="false">
      <c r="A135" s="0" t="s">
        <v>623</v>
      </c>
      <c r="B135" s="0" t="s">
        <v>44</v>
      </c>
      <c r="D135" s="20" t="n">
        <f aca="false">D124/D133</f>
        <v>0.53</v>
      </c>
      <c r="E135" s="20" t="n">
        <f aca="false">E124/E133</f>
        <v>0.604099758100105</v>
      </c>
      <c r="F135" s="20" t="n">
        <f aca="false">F124/F133</f>
        <v>0.638838660177574</v>
      </c>
      <c r="G135" s="20" t="n">
        <f aca="false">G124/G133</f>
        <v>0.660813061078824</v>
      </c>
    </row>
    <row r="136" customFormat="false" ht="17.15" hidden="false" customHeight="false" outlineLevel="0" collapsed="false">
      <c r="A136" s="0" t="s">
        <v>624</v>
      </c>
      <c r="B136" s="0" t="s">
        <v>44</v>
      </c>
      <c r="D136" s="20" t="n">
        <f aca="false">(D126+D130)/D133</f>
        <v>0.599</v>
      </c>
      <c r="E136" s="20" t="n">
        <f aca="false">(E126+E130)/E133</f>
        <v>0.701094211651401</v>
      </c>
      <c r="F136" s="20" t="n">
        <f aca="false">(F126+F130)/F133</f>
        <v>0.734572469118963</v>
      </c>
      <c r="G136" s="20" t="n">
        <f aca="false">(G126+G130)/G133</f>
        <v>0.756825430891904</v>
      </c>
      <c r="K136" s="3" t="s">
        <v>625</v>
      </c>
    </row>
    <row r="137" customFormat="false" ht="17.15" hidden="false" customHeight="false" outlineLevel="0" collapsed="false">
      <c r="A137" s="5" t="s">
        <v>626</v>
      </c>
    </row>
    <row r="138" customFormat="false" ht="15" hidden="false" customHeight="false" outlineLevel="0" collapsed="false">
      <c r="A138" s="3" t="s">
        <v>627</v>
      </c>
      <c r="B138" s="0" t="s">
        <v>302</v>
      </c>
      <c r="C138" s="23" t="n">
        <f aca="false">a25_cx</f>
        <v>25.617</v>
      </c>
      <c r="D138" s="23" t="n">
        <f aca="false">capex26</f>
        <v>53.7</v>
      </c>
      <c r="E138" s="23" t="n">
        <f aca="false">cx27_A</f>
        <v>55</v>
      </c>
      <c r="F138" s="23" t="n">
        <f aca="false">cx28_A</f>
        <v>50</v>
      </c>
      <c r="G138" s="23" t="n">
        <f aca="false">cx29_A</f>
        <v>45</v>
      </c>
      <c r="H138" s="25" t="n">
        <f aca="false">H133*H155</f>
        <v>46.7627442346397</v>
      </c>
      <c r="I138" s="25" t="n">
        <f aca="false">I133*I155</f>
        <v>47.3448347556311</v>
      </c>
      <c r="J138" s="25" t="n">
        <f aca="false">J133*J155</f>
        <v>46.6493163499198</v>
      </c>
    </row>
    <row r="139" customFormat="false" ht="17.15" hidden="false" customHeight="false" outlineLevel="0" collapsed="false">
      <c r="A139" s="3" t="s">
        <v>628</v>
      </c>
      <c r="B139" s="0" t="s">
        <v>302</v>
      </c>
      <c r="C139" s="23" t="n">
        <f aca="false">a25_da</f>
        <v>18.8</v>
      </c>
      <c r="D139" s="23" t="n">
        <f aca="false">da26</f>
        <v>20.8</v>
      </c>
      <c r="E139" s="23" t="n">
        <f aca="false">D139*(1-1/life)+D138/life</f>
        <v>24.9125</v>
      </c>
      <c r="F139" s="23" t="n">
        <f aca="false">E139*(1-1/life)+E138/life</f>
        <v>28.6734375</v>
      </c>
      <c r="G139" s="23" t="n">
        <f aca="false">F139*(1-1/life)+F138/life</f>
        <v>31.3392578125</v>
      </c>
      <c r="H139" s="25" t="n">
        <f aca="false">H133*H140</f>
        <v>34.7105822711799</v>
      </c>
      <c r="I139" s="25" t="n">
        <f aca="false">I133*I140</f>
        <v>37.6188972873424</v>
      </c>
      <c r="J139" s="25" t="n">
        <f aca="false">J133*J140</f>
        <v>39.876031124583</v>
      </c>
      <c r="K139" s="3" t="s">
        <v>629</v>
      </c>
    </row>
    <row r="140" customFormat="false" ht="17.15" hidden="false" customHeight="false" outlineLevel="0" collapsed="false">
      <c r="A140" s="3" t="s">
        <v>630</v>
      </c>
      <c r="B140" s="0" t="s">
        <v>44</v>
      </c>
      <c r="C140" s="20" t="n">
        <f aca="false">C139/C133</f>
        <v>0.143247917952469</v>
      </c>
      <c r="D140" s="20" t="n">
        <f aca="false">D139/D133</f>
        <v>0.110480510547436</v>
      </c>
      <c r="E140" s="20" t="n">
        <f aca="false">E139/E133</f>
        <v>0.101335140704247</v>
      </c>
      <c r="F140" s="20" t="n">
        <f aca="false">F139/F133</f>
        <v>0.0981922011221153</v>
      </c>
      <c r="G140" s="20" t="n">
        <f aca="false">G139/G133</f>
        <v>0.0948602122400414</v>
      </c>
      <c r="H140" s="26" t="n">
        <f aca="false">$G140</f>
        <v>0.0948602122400414</v>
      </c>
      <c r="I140" s="26" t="n">
        <f aca="false">$G140</f>
        <v>0.0948602122400414</v>
      </c>
      <c r="J140" s="26" t="n">
        <f aca="false">$G140</f>
        <v>0.0948602122400414</v>
      </c>
    </row>
    <row r="141" customFormat="false" ht="17.15" hidden="false" customHeight="false" outlineLevel="0" collapsed="false">
      <c r="A141" s="3" t="s">
        <v>631</v>
      </c>
      <c r="B141" s="0" t="s">
        <v>302</v>
      </c>
      <c r="E141" s="21" t="n">
        <f aca="false">E126*(1-1/(E111*E112))</f>
        <v>6.03978756436626</v>
      </c>
      <c r="F141" s="21" t="n">
        <f aca="false">F126*(1-1/(F111*F112))</f>
        <v>-0.406398934722515</v>
      </c>
      <c r="G141" s="21" t="n">
        <f aca="false">G126*(1-1/(G111*G112))</f>
        <v>-11.2006611451426</v>
      </c>
      <c r="K141" s="7" t="s">
        <v>632</v>
      </c>
    </row>
    <row r="142" customFormat="false" ht="17.15" hidden="false" customHeight="false" outlineLevel="0" collapsed="false">
      <c r="A142" s="3" t="s">
        <v>633</v>
      </c>
      <c r="B142" s="0" t="s">
        <v>302</v>
      </c>
      <c r="C142" s="21" t="n">
        <f aca="false">a25_gp</f>
        <v>18.292</v>
      </c>
      <c r="D142" s="21" t="n">
        <f aca="false">a26_gp</f>
        <v>47.3329657</v>
      </c>
      <c r="E142" s="21" t="n">
        <f aca="false">$D142+ft_abf*(E124-E141-$D124)+ft_oth*((E133-E124)-($D133-$D124))+E141-(E139-$D139)</f>
        <v>72.8166939456206</v>
      </c>
      <c r="F142" s="21" t="n">
        <f aca="false">$D142+ft_abf*(F124-F141-$D124)+ft_oth*((F133-F124)-($D133-$D124))+F141-(F139-$D139)</f>
        <v>86.8843355994309</v>
      </c>
      <c r="G142" s="21" t="n">
        <f aca="false">$D142+ft_abf*(G124-G141-$D124)+ft_oth*((G133-G124)-($D133-$D124))+G141-(G139-$D139)</f>
        <v>96.3526459309901</v>
      </c>
      <c r="K142" s="3" t="s">
        <v>634</v>
      </c>
    </row>
    <row r="143" customFormat="false" ht="15" hidden="false" customHeight="false" outlineLevel="0" collapsed="false">
      <c r="A143" s="3" t="s">
        <v>491</v>
      </c>
      <c r="B143" s="0" t="s">
        <v>44</v>
      </c>
      <c r="C143" s="16" t="n">
        <f aca="false">C142/C133</f>
        <v>0.139377176339711</v>
      </c>
      <c r="D143" s="16" t="n">
        <f aca="false">D142/D133</f>
        <v>0.251412029627899</v>
      </c>
      <c r="E143" s="16" t="n">
        <f aca="false">E142/E133</f>
        <v>0.296192270008933</v>
      </c>
      <c r="F143" s="16" t="n">
        <f aca="false">F142/F133</f>
        <v>0.297535450904367</v>
      </c>
      <c r="G143" s="16" t="n">
        <f aca="false">G142/G133</f>
        <v>0.291648018520007</v>
      </c>
    </row>
    <row r="144" customFormat="false" ht="15" hidden="false" customHeight="false" outlineLevel="0" collapsed="false">
      <c r="A144" s="3" t="s">
        <v>493</v>
      </c>
      <c r="B144" s="0" t="s">
        <v>302</v>
      </c>
      <c r="C144" s="21" t="n">
        <f aca="false">a25_opx</f>
        <v>11.618</v>
      </c>
      <c r="D144" s="21" t="n">
        <f aca="false">a26_opx</f>
        <v>16.6539532</v>
      </c>
      <c r="E144" s="21" t="n">
        <f aca="false">D144*(1+phi*E134)</f>
        <v>19.7097079663903</v>
      </c>
      <c r="F144" s="21" t="n">
        <f aca="false">E144*(1+phi*F134)</f>
        <v>21.9306692736719</v>
      </c>
      <c r="G144" s="21" t="n">
        <f aca="false">F144*(1+phi*G134)</f>
        <v>23.6591921920915</v>
      </c>
    </row>
    <row r="145" customFormat="false" ht="15" hidden="false" customHeight="false" outlineLevel="0" collapsed="false">
      <c r="A145" s="3" t="s">
        <v>496</v>
      </c>
      <c r="B145" s="0" t="s">
        <v>302</v>
      </c>
      <c r="C145" s="21" t="n">
        <f aca="false">C142-C144</f>
        <v>6.674</v>
      </c>
      <c r="D145" s="21" t="n">
        <f aca="false">D142-D144</f>
        <v>30.6790125</v>
      </c>
      <c r="E145" s="21" t="n">
        <f aca="false">E142-E144</f>
        <v>53.1069859792303</v>
      </c>
      <c r="F145" s="21" t="n">
        <f aca="false">F142-F144</f>
        <v>64.953666325759</v>
      </c>
      <c r="G145" s="21" t="n">
        <f aca="false">G142-G144</f>
        <v>72.6934537388986</v>
      </c>
    </row>
    <row r="146" customFormat="false" ht="15" hidden="false" customHeight="false" outlineLevel="0" collapsed="false">
      <c r="A146" s="3" t="s">
        <v>575</v>
      </c>
      <c r="B146" s="0" t="s">
        <v>44</v>
      </c>
      <c r="C146" s="16" t="n">
        <f aca="false">C145/C133</f>
        <v>0.0508530108731265</v>
      </c>
      <c r="D146" s="16" t="n">
        <f aca="false">D145/D133</f>
        <v>0.162953507888999</v>
      </c>
      <c r="E146" s="16" t="n">
        <f aca="false">E145/E133</f>
        <v>0.216020226656649</v>
      </c>
      <c r="F146" s="16" t="n">
        <f aca="false">F145/F133</f>
        <v>0.222433862960369</v>
      </c>
      <c r="G146" s="16" t="n">
        <f aca="false">G145/G133</f>
        <v>0.220034452997898</v>
      </c>
    </row>
    <row r="147" customFormat="false" ht="17.15" hidden="false" customHeight="false" outlineLevel="0" collapsed="false">
      <c r="A147" s="3" t="s">
        <v>635</v>
      </c>
      <c r="B147" s="0" t="s">
        <v>302</v>
      </c>
      <c r="C147" s="21" t="n">
        <f aca="false">a25_nonop</f>
        <v>-0.00100000000000033</v>
      </c>
      <c r="D147" s="21" t="n">
        <f aca="false">a26_nonop</f>
        <v>14.466</v>
      </c>
      <c r="E147" s="21" t="n">
        <f aca="false">nonop27</f>
        <v>2</v>
      </c>
      <c r="F147" s="21" t="n">
        <f aca="false">nonop28</f>
        <v>2</v>
      </c>
      <c r="G147" s="21" t="n">
        <f aca="false">nonop29</f>
        <v>2</v>
      </c>
      <c r="K147" s="7" t="s">
        <v>636</v>
      </c>
    </row>
    <row r="148" customFormat="false" ht="15" hidden="false" customHeight="false" outlineLevel="0" collapsed="false">
      <c r="A148" s="3" t="s">
        <v>502</v>
      </c>
      <c r="B148" s="0" t="s">
        <v>302</v>
      </c>
      <c r="C148" s="21" t="n">
        <f aca="false">C145+C147</f>
        <v>6.673</v>
      </c>
      <c r="D148" s="21" t="n">
        <f aca="false">D145+D147</f>
        <v>45.1450125</v>
      </c>
      <c r="E148" s="21" t="n">
        <f aca="false">E145+E147</f>
        <v>55.1069859792303</v>
      </c>
      <c r="F148" s="21" t="n">
        <f aca="false">F145+F147</f>
        <v>66.953666325759</v>
      </c>
      <c r="G148" s="21" t="n">
        <f aca="false">G145+G147</f>
        <v>74.6934537388986</v>
      </c>
    </row>
    <row r="149" customFormat="false" ht="15" hidden="false" customHeight="false" outlineLevel="0" collapsed="false">
      <c r="A149" s="3" t="s">
        <v>506</v>
      </c>
      <c r="B149" s="0" t="s">
        <v>302</v>
      </c>
      <c r="E149" s="21" t="n">
        <f aca="false">E148*tax</f>
        <v>9.91925747626146</v>
      </c>
      <c r="F149" s="21" t="n">
        <f aca="false">F148*tax</f>
        <v>12.0516599386366</v>
      </c>
      <c r="G149" s="21" t="n">
        <f aca="false">G148*tax</f>
        <v>13.4448216730017</v>
      </c>
    </row>
    <row r="150" customFormat="false" ht="15" hidden="false" customHeight="false" outlineLevel="0" collapsed="false">
      <c r="A150" s="3" t="s">
        <v>504</v>
      </c>
      <c r="B150" s="0" t="s">
        <v>302</v>
      </c>
      <c r="C150" s="21" t="n">
        <f aca="false">a25_ni</f>
        <v>6.673</v>
      </c>
      <c r="D150" s="21" t="n">
        <f aca="false">a26_ni</f>
        <v>37.23923025</v>
      </c>
      <c r="E150" s="21" t="n">
        <f aca="false">E148-E149</f>
        <v>45.1877285029689</v>
      </c>
      <c r="F150" s="21" t="n">
        <f aca="false">F148-F149</f>
        <v>54.9020063871224</v>
      </c>
      <c r="G150" s="21" t="n">
        <f aca="false">G148-G149</f>
        <v>61.2486320658968</v>
      </c>
      <c r="H150" s="30" t="n">
        <f aca="false">H133*H154</f>
        <v>66.4272005440127</v>
      </c>
      <c r="I150" s="30" t="n">
        <f aca="false">I133*I154</f>
        <v>70.4645508036651</v>
      </c>
      <c r="J150" s="30" t="n">
        <f aca="false">J133*J154</f>
        <v>73.0722956492544</v>
      </c>
    </row>
    <row r="151" customFormat="false" ht="15" hidden="false" customHeight="false" outlineLevel="0" collapsed="false">
      <c r="A151" s="3" t="s">
        <v>637</v>
      </c>
      <c r="B151" s="3" t="s">
        <v>380</v>
      </c>
      <c r="C151" s="29" t="n">
        <f aca="false">a25_sh</f>
        <v>1.52351598173516</v>
      </c>
      <c r="D151" s="29" t="n">
        <f aca="false">a26_sh</f>
        <v>1.59236316568047</v>
      </c>
      <c r="E151" s="29" t="n">
        <f aca="false">a26_shend*(1+sh_g)</f>
        <v>1.64</v>
      </c>
      <c r="F151" s="29" t="n">
        <f aca="false">E151*(1+sh_g)</f>
        <v>1.64</v>
      </c>
      <c r="G151" s="29" t="n">
        <f aca="false">F151*(1+sh_g)</f>
        <v>1.64</v>
      </c>
      <c r="H151" s="31" t="n">
        <f aca="false">G151*(1+sh_g)</f>
        <v>1.64</v>
      </c>
      <c r="I151" s="31" t="n">
        <f aca="false">H151*(1+sh_g)</f>
        <v>1.64</v>
      </c>
      <c r="J151" s="31" t="n">
        <f aca="false">I151*(1+sh_g)</f>
        <v>1.64</v>
      </c>
    </row>
    <row r="152" customFormat="false" ht="17.15" hidden="false" customHeight="false" outlineLevel="0" collapsed="false">
      <c r="A152" s="0" t="s">
        <v>509</v>
      </c>
      <c r="B152" s="0" t="s">
        <v>386</v>
      </c>
      <c r="C152" s="18" t="n">
        <f aca="false">C150/C151</f>
        <v>4.38</v>
      </c>
      <c r="D152" s="18" t="n">
        <f aca="false">D150/D151</f>
        <v>23.3861414610695</v>
      </c>
      <c r="E152" s="18" t="n">
        <f aca="false">E150/E151</f>
        <v>27.5534929896152</v>
      </c>
      <c r="F152" s="18" t="n">
        <f aca="false">F150/F151</f>
        <v>33.4768331628795</v>
      </c>
      <c r="G152" s="18" t="n">
        <f aca="false">G150/G151</f>
        <v>37.3467268694493</v>
      </c>
      <c r="H152" s="28" t="n">
        <f aca="false">H150/H151</f>
        <v>40.5043905756175</v>
      </c>
      <c r="I152" s="28" t="n">
        <f aca="false">I150/I151</f>
        <v>42.9661895144299</v>
      </c>
      <c r="J152" s="28" t="n">
        <f aca="false">J150/J151</f>
        <v>44.5562778349112</v>
      </c>
    </row>
    <row r="153" customFormat="false" ht="17.15" hidden="false" customHeight="false" outlineLevel="0" collapsed="false">
      <c r="A153" s="0" t="s">
        <v>638</v>
      </c>
      <c r="B153" s="0" t="s">
        <v>44</v>
      </c>
      <c r="D153" s="20" t="n">
        <f aca="false">D152/C152-1</f>
        <v>4.33930170344053</v>
      </c>
      <c r="E153" s="20" t="n">
        <f aca="false">E152/D152-1</f>
        <v>0.178197482277398</v>
      </c>
      <c r="F153" s="20" t="n">
        <f aca="false">F152/E152-1</f>
        <v>0.214976016851904</v>
      </c>
      <c r="G153" s="20" t="n">
        <f aca="false">G152/F152-1</f>
        <v>0.11559915741555</v>
      </c>
      <c r="H153" s="26" t="n">
        <f aca="false">H152/G152-1</f>
        <v>0.0845499450917415</v>
      </c>
      <c r="I153" s="26" t="n">
        <f aca="false">I152/H152-1</f>
        <v>0.0607785700223411</v>
      </c>
      <c r="J153" s="26" t="n">
        <f aca="false">J152/I152-1</f>
        <v>0.0370078971035417</v>
      </c>
    </row>
    <row r="154" customFormat="false" ht="17.15" hidden="false" customHeight="false" outlineLevel="0" collapsed="false">
      <c r="A154" s="3" t="s">
        <v>639</v>
      </c>
      <c r="B154" s="0" t="s">
        <v>44</v>
      </c>
      <c r="C154" s="16" t="n">
        <f aca="false">C150/C133</f>
        <v>0.0508453913030227</v>
      </c>
      <c r="D154" s="16" t="n">
        <f aca="false">D150/D133</f>
        <v>0.197798517808343</v>
      </c>
      <c r="E154" s="16" t="n">
        <f aca="false">E150/E133</f>
        <v>0.183807519355892</v>
      </c>
      <c r="F154" s="16" t="n">
        <f aca="false">F150/F133</f>
        <v>0.188011948451314</v>
      </c>
      <c r="G154" s="16" t="n">
        <f aca="false">G150/G133</f>
        <v>0.185392336728082</v>
      </c>
      <c r="H154" s="27" t="n">
        <f aca="false">$G154+(fade_mA-$G154)*1/3</f>
        <v>0.181538249427431</v>
      </c>
      <c r="I154" s="27" t="n">
        <f aca="false">$G154+(fade_mA-$G154)*2/3</f>
        <v>0.17768416212678</v>
      </c>
      <c r="J154" s="27" t="n">
        <f aca="false">$G154+(fade_mA-$G154)*3/3</f>
        <v>0.17383007482613</v>
      </c>
    </row>
    <row r="155" customFormat="false" ht="17.15" hidden="false" customHeight="false" outlineLevel="0" collapsed="false">
      <c r="A155" s="3" t="s">
        <v>640</v>
      </c>
      <c r="B155" s="0" t="s">
        <v>44</v>
      </c>
      <c r="C155" s="20" t="n">
        <f aca="false">C138/C133</f>
        <v>0.195190527350447</v>
      </c>
      <c r="D155" s="20" t="n">
        <f aca="false">D138/D133</f>
        <v>0.285230933480641</v>
      </c>
      <c r="E155" s="20" t="n">
        <f aca="false">E138/E133</f>
        <v>0.223720330706817</v>
      </c>
      <c r="F155" s="20" t="n">
        <f aca="false">F138/F133</f>
        <v>0.171225025116217</v>
      </c>
      <c r="G155" s="20" t="n">
        <f aca="false">G138/G133</f>
        <v>0.136209656793443</v>
      </c>
      <c r="H155" s="26" t="n">
        <f aca="false">$G155+($G140*(1+tp_g)^(life/2)-$G155)*1/3</f>
        <v>0.127797448293105</v>
      </c>
      <c r="I155" s="26" t="n">
        <f aca="false">$G155+($G140*(1+tp_g)^(life/2)-$G155)*2/3</f>
        <v>0.119385239792767</v>
      </c>
      <c r="J155" s="26" t="n">
        <f aca="false">$G155+($G140*(1+tp_g)^(life/2)-$G155)*3/3</f>
        <v>0.110973031292429</v>
      </c>
      <c r="K155" s="7" t="s">
        <v>641</v>
      </c>
    </row>
    <row r="156" customFormat="false" ht="15" hidden="false" customHeight="false" outlineLevel="0" collapsed="false">
      <c r="A156" s="3" t="s">
        <v>642</v>
      </c>
      <c r="B156" s="0" t="s">
        <v>302</v>
      </c>
      <c r="E156" s="21" t="n">
        <f aca="false">E150+E139-E138</f>
        <v>15.1002285029689</v>
      </c>
      <c r="F156" s="21" t="n">
        <f aca="false">F150+F139-F138</f>
        <v>33.5754438871224</v>
      </c>
      <c r="G156" s="21" t="n">
        <f aca="false">G150+G139-G138</f>
        <v>47.5878898783969</v>
      </c>
      <c r="H156" s="30" t="n">
        <f aca="false">H150+H139-H138</f>
        <v>54.3750385805529</v>
      </c>
      <c r="I156" s="30" t="n">
        <f aca="false">I150+I139-I138</f>
        <v>60.7386133353764</v>
      </c>
      <c r="J156" s="30" t="n">
        <f aca="false">J150+J139-J138</f>
        <v>66.2990104239176</v>
      </c>
      <c r="K156" s="3" t="s">
        <v>643</v>
      </c>
    </row>
    <row r="157" customFormat="false" ht="15" hidden="false" customHeight="false" outlineLevel="0" collapsed="false">
      <c r="A157" s="3" t="s">
        <v>644</v>
      </c>
      <c r="B157" s="0" t="s">
        <v>386</v>
      </c>
      <c r="E157" s="18" t="n">
        <f aca="false">E156/E151</f>
        <v>9.20745640424931</v>
      </c>
      <c r="F157" s="18" t="n">
        <f aca="false">F156/F151</f>
        <v>20.4728316384892</v>
      </c>
      <c r="G157" s="18" t="n">
        <f aca="false">G156/G151</f>
        <v>29.0170060234127</v>
      </c>
      <c r="H157" s="28" t="n">
        <f aca="false">H156/H151</f>
        <v>33.1555113296055</v>
      </c>
      <c r="I157" s="28" t="n">
        <f aca="false">I156/I151</f>
        <v>37.0357398386441</v>
      </c>
      <c r="J157" s="28" t="n">
        <f aca="false">J156/J151</f>
        <v>40.4262258682424</v>
      </c>
    </row>
    <row r="160" customFormat="false" ht="17.15" hidden="false" customHeight="false" outlineLevel="0" collapsed="false">
      <c r="A160" s="1" t="s">
        <v>946</v>
      </c>
    </row>
    <row r="161" customFormat="false" ht="17.15" hidden="false" customHeight="false" outlineLevel="0" collapsed="false">
      <c r="A161" s="4" t="s">
        <v>21</v>
      </c>
      <c r="B161" s="4" t="s">
        <v>22</v>
      </c>
      <c r="C161" s="13" t="s">
        <v>477</v>
      </c>
      <c r="D161" s="13" t="s">
        <v>562</v>
      </c>
      <c r="E161" s="13" t="s">
        <v>563</v>
      </c>
      <c r="F161" s="13" t="s">
        <v>564</v>
      </c>
      <c r="G161" s="13" t="s">
        <v>565</v>
      </c>
      <c r="H161" s="13" t="s">
        <v>566</v>
      </c>
      <c r="I161" s="13" t="s">
        <v>567</v>
      </c>
      <c r="J161" s="13" t="s">
        <v>568</v>
      </c>
      <c r="K161" s="4" t="s">
        <v>533</v>
      </c>
    </row>
    <row r="162" customFormat="false" ht="17.15" hidden="false" customHeight="false" outlineLevel="0" collapsed="false">
      <c r="A162" s="5" t="s">
        <v>586</v>
      </c>
    </row>
    <row r="163" customFormat="false" ht="17.15" hidden="false" customHeight="false" outlineLevel="0" collapsed="false">
      <c r="A163" s="0" t="s">
        <v>587</v>
      </c>
      <c r="B163" s="3" t="s">
        <v>32</v>
      </c>
      <c r="D163" s="21" t="n">
        <f aca="false">(u_bw_26+u_rb_26+u_ru_26+u_hp_26)*1</f>
        <v>7.6</v>
      </c>
      <c r="E163" s="21" t="n">
        <f aca="false">(u_bw_27+u_rb_27+u_ru_27+u_hp_27)*1*1</f>
        <v>9.7</v>
      </c>
      <c r="F163" s="21" t="n">
        <f aca="false">(u_bw_28+u_rb_28+u_ru_28+u_hp_28)*um28_A*1</f>
        <v>9.5</v>
      </c>
      <c r="G163" s="21" t="n">
        <f aca="false">(u_bw_28*(1+g29_bw)+u_rb_28*(1+g29_rb)+u_ru_28*(1+g29_ru)+u_hp_28*(1+g29_hp))*um29_A*1</f>
        <v>10.6</v>
      </c>
      <c r="K163" s="7" t="s">
        <v>588</v>
      </c>
    </row>
    <row r="164" customFormat="false" ht="17.15" hidden="false" customHeight="false" outlineLevel="0" collapsed="false">
      <c r="A164" s="3" t="s">
        <v>589</v>
      </c>
      <c r="B164" s="3" t="s">
        <v>32</v>
      </c>
      <c r="D164" s="21" t="n">
        <f aca="false">(u_amd_26+u_tpu_26+u_trn_26+u_oth_26)*1</f>
        <v>7.6</v>
      </c>
      <c r="E164" s="21" t="n">
        <f aca="false">(u_amd_27+u_tpu_27+u_trn_27+u_oth_27)*1*1</f>
        <v>14</v>
      </c>
      <c r="F164" s="21" t="n">
        <f aca="false">(u_amd_28+u_tpu_28+u_trn_28+u_oth_28)*um28_A*1</f>
        <v>17</v>
      </c>
      <c r="G164" s="21" t="n">
        <f aca="false">(u_amd_28*(1+g29_amd)+u_tpu_28*(1+g29_tpu)+u_trn_28*(1+g29_trn)+u_oth_28*(1+g29_oth))*um29_A*1</f>
        <v>19.55</v>
      </c>
      <c r="K164" s="7" t="s">
        <v>590</v>
      </c>
    </row>
    <row r="165" customFormat="false" ht="17.15" hidden="false" customHeight="false" outlineLevel="0" collapsed="false">
      <c r="A165" s="3" t="s">
        <v>591</v>
      </c>
      <c r="B165" s="0" t="s">
        <v>144</v>
      </c>
      <c r="D165" s="19" t="n">
        <f aca="false">1</f>
        <v>1</v>
      </c>
      <c r="E165" s="19" t="n">
        <f aca="false">D165*(1+g_asp)</f>
        <v>1.18</v>
      </c>
      <c r="F165" s="19" t="n">
        <f aca="false">E165*(1+g_asp)</f>
        <v>1.3924</v>
      </c>
      <c r="G165" s="19" t="n">
        <f aca="false">F165*(1+g_asp)</f>
        <v>1.643032</v>
      </c>
      <c r="K165" s="7" t="s">
        <v>592</v>
      </c>
    </row>
    <row r="166" customFormat="false" ht="17.15" hidden="false" customHeight="false" outlineLevel="0" collapsed="false">
      <c r="A166" s="0" t="s">
        <v>593</v>
      </c>
      <c r="B166" s="0" t="s">
        <v>144</v>
      </c>
      <c r="D166" s="18" t="n">
        <f aca="false">1</f>
        <v>1</v>
      </c>
      <c r="E166" s="18" t="n">
        <f aca="false">ibpp_27</f>
        <v>1</v>
      </c>
      <c r="F166" s="18" t="n">
        <f aca="false">ibpp_28</f>
        <v>0.95</v>
      </c>
      <c r="G166" s="18" t="n">
        <f aca="false">ibpp_29</f>
        <v>0.9</v>
      </c>
      <c r="K166" s="7" t="s">
        <v>594</v>
      </c>
    </row>
    <row r="167" customFormat="false" ht="17.15" hidden="false" customHeight="false" outlineLevel="0" collapsed="false">
      <c r="A167" s="3" t="s">
        <v>595</v>
      </c>
      <c r="B167" s="0" t="s">
        <v>144</v>
      </c>
      <c r="D167" s="18" t="n">
        <f aca="false">1</f>
        <v>1</v>
      </c>
      <c r="E167" s="18" t="n">
        <f aca="false">1+carry</f>
        <v>1.05</v>
      </c>
      <c r="F167" s="18" t="n">
        <f aca="false">1+carry</f>
        <v>1.05</v>
      </c>
      <c r="G167" s="18" t="n">
        <f aca="false">1+carry</f>
        <v>1.05</v>
      </c>
      <c r="K167" s="7" t="s">
        <v>596</v>
      </c>
    </row>
    <row r="168" customFormat="false" ht="17.15" hidden="false" customHeight="false" outlineLevel="0" collapsed="false">
      <c r="A168" s="3" t="s">
        <v>597</v>
      </c>
      <c r="B168" s="0" t="s">
        <v>598</v>
      </c>
      <c r="D168" s="23" t="n">
        <f aca="false">v26*D165*D166</f>
        <v>215.308596</v>
      </c>
      <c r="E168" s="23" t="n">
        <f aca="false">v26*E165*E166</f>
        <v>254.06414328</v>
      </c>
      <c r="F168" s="23" t="n">
        <f aca="false">v26*F165*F166</f>
        <v>284.80590461688</v>
      </c>
      <c r="G168" s="23" t="n">
        <f aca="false">v26*G165*G166</f>
        <v>318.383021792765</v>
      </c>
      <c r="K168" s="7" t="s">
        <v>599</v>
      </c>
    </row>
    <row r="169" customFormat="false" ht="17.15" hidden="false" customHeight="false" outlineLevel="0" collapsed="false">
      <c r="A169" s="3" t="s">
        <v>600</v>
      </c>
      <c r="B169" s="0" t="s">
        <v>44</v>
      </c>
      <c r="D169" s="20" t="n">
        <f aca="false">sh_nv_26</f>
        <v>0.25</v>
      </c>
      <c r="E169" s="20" t="n">
        <f aca="false">sh_nv_27</f>
        <v>0.27</v>
      </c>
      <c r="F169" s="20" t="n">
        <f aca="false">sh_nv_28</f>
        <v>0.29</v>
      </c>
      <c r="G169" s="20" t="n">
        <f aca="false">sh_nv_29</f>
        <v>0.3</v>
      </c>
    </row>
    <row r="170" customFormat="false" ht="17.15" hidden="false" customHeight="false" outlineLevel="0" collapsed="false">
      <c r="A170" s="3" t="s">
        <v>601</v>
      </c>
      <c r="B170" s="0" t="s">
        <v>44</v>
      </c>
      <c r="D170" s="20" t="n">
        <f aca="false">sh_ot_26</f>
        <v>0.3</v>
      </c>
      <c r="E170" s="20" t="n">
        <f aca="false">sh_ot_27</f>
        <v>0.31</v>
      </c>
      <c r="F170" s="20" t="n">
        <f aca="false">sh_ot_28</f>
        <v>0.32</v>
      </c>
      <c r="G170" s="20" t="n">
        <f aca="false">sh_ot_29</f>
        <v>0.33</v>
      </c>
    </row>
    <row r="171" customFormat="false" ht="17.15" hidden="false" customHeight="false" outlineLevel="0" collapsed="false">
      <c r="A171" s="3" t="s">
        <v>602</v>
      </c>
      <c r="B171" s="0" t="s">
        <v>552</v>
      </c>
      <c r="D171" s="22" t="n">
        <f aca="false">(D163*D168*D169+D164*D168*v_ot*D170)*D167</f>
        <v>801.809211504</v>
      </c>
      <c r="E171" s="22" t="n">
        <f aca="false">(E163*E168*E169+E164*E168*v_ot*E170)*E167</f>
        <v>1624.8799315544</v>
      </c>
      <c r="F171" s="22" t="n">
        <f aca="false">(F163*F168*F169+F164*F168*v_ot*F170)*F167</f>
        <v>2125.32134231777</v>
      </c>
      <c r="G171" s="22" t="n">
        <f aca="false">(G163*G168*G169+G164*G168*v_ot*G170)*G167</f>
        <v>2788.4812844467</v>
      </c>
    </row>
    <row r="172" customFormat="false" ht="15" hidden="false" customHeight="false" outlineLevel="0" collapsed="false">
      <c r="A172" s="3" t="s">
        <v>603</v>
      </c>
      <c r="B172" s="0" t="s">
        <v>302</v>
      </c>
      <c r="D172" s="21" t="n">
        <f aca="false">D171*fx/1000</f>
        <v>26.05879937388</v>
      </c>
      <c r="E172" s="21" t="n">
        <f aca="false">E171*fx/1000</f>
        <v>52.8085977755181</v>
      </c>
      <c r="F172" s="21" t="n">
        <f aca="false">F171*fx/1000</f>
        <v>69.0729436253277</v>
      </c>
      <c r="G172" s="21" t="n">
        <f aca="false">G171*fx/1000</f>
        <v>90.6256417445177</v>
      </c>
    </row>
    <row r="173" customFormat="false" ht="17.15" hidden="false" customHeight="false" outlineLevel="0" collapsed="false">
      <c r="A173" s="5" t="s">
        <v>604</v>
      </c>
    </row>
    <row r="174" customFormat="false" ht="17.15" hidden="false" customHeight="false" outlineLevel="0" collapsed="false">
      <c r="A174" s="0" t="s">
        <v>605</v>
      </c>
      <c r="B174" s="0" t="s">
        <v>302</v>
      </c>
      <c r="D174" s="21" t="n">
        <f aca="false">a26_abf*ai_abf</f>
        <v>74.83672875</v>
      </c>
      <c r="K174" s="3" t="s">
        <v>606</v>
      </c>
    </row>
    <row r="175" customFormat="false" ht="17.15" hidden="false" customHeight="false" outlineLevel="0" collapsed="false">
      <c r="A175" s="3" t="s">
        <v>607</v>
      </c>
      <c r="B175" s="0" t="s">
        <v>302</v>
      </c>
      <c r="D175" s="21" t="n">
        <f aca="false">D174-D172</f>
        <v>48.77792937612</v>
      </c>
      <c r="E175" s="21" t="n">
        <f aca="false">$D175*(itc_27/itc_26)^el_o*1*1*E166*E167</f>
        <v>72.4686721045733</v>
      </c>
      <c r="F175" s="21" t="n">
        <f aca="false">$D175*(itc_28/itc_26)^el_o*um28_A*1*F166*F167</f>
        <v>77.5118128697435</v>
      </c>
      <c r="G175" s="21" t="n">
        <f aca="false">$D175*(itc_29/itc_26)^el_o*um29_A*1*G166*G167</f>
        <v>78.3752247962621</v>
      </c>
      <c r="K175" s="7" t="s">
        <v>608</v>
      </c>
    </row>
    <row r="176" customFormat="false" ht="17.15" hidden="false" customHeight="false" outlineLevel="0" collapsed="false">
      <c r="A176" s="3" t="s">
        <v>609</v>
      </c>
      <c r="B176" s="0" t="s">
        <v>302</v>
      </c>
      <c r="D176" s="21" t="n">
        <f aca="false">a26_abf-D174</f>
        <v>24.94557625</v>
      </c>
      <c r="E176" s="21" t="n">
        <f aca="false">D176*(1+g_nai)</f>
        <v>25.6939435375</v>
      </c>
      <c r="F176" s="21" t="n">
        <f aca="false">E176*(1+g_nai)</f>
        <v>26.464761843625</v>
      </c>
      <c r="G176" s="21" t="n">
        <f aca="false">F176*(1+g_nai)</f>
        <v>27.2587046989338</v>
      </c>
    </row>
    <row r="177" customFormat="false" ht="17.15" hidden="false" customHeight="false" outlineLevel="0" collapsed="false">
      <c r="A177" s="0" t="s">
        <v>610</v>
      </c>
      <c r="B177" s="0" t="s">
        <v>302</v>
      </c>
      <c r="D177" s="21" t="n">
        <f aca="false">D172+D175+D176</f>
        <v>99.782305</v>
      </c>
      <c r="E177" s="21" t="n">
        <f aca="false">E172+E175+E176</f>
        <v>150.971213417591</v>
      </c>
      <c r="F177" s="21" t="n">
        <f aca="false">F172+F175+F176</f>
        <v>173.049518338696</v>
      </c>
      <c r="G177" s="21" t="n">
        <f aca="false">G172+G175+G176</f>
        <v>196.259571239714</v>
      </c>
    </row>
    <row r="178" customFormat="false" ht="17.15" hidden="false" customHeight="false" outlineLevel="0" collapsed="false">
      <c r="A178" s="0" t="s">
        <v>611</v>
      </c>
      <c r="B178" s="0" t="s">
        <v>302</v>
      </c>
      <c r="D178" s="21" t="n">
        <f aca="false">a26_abf</f>
        <v>99.782305</v>
      </c>
      <c r="E178" s="21" t="n">
        <f aca="false">$D177*cap_27_lo*(1+g_mix)^1*E166*E167</f>
        <v>137.512489078125</v>
      </c>
      <c r="F178" s="21" t="n">
        <f aca="false">$D177*cap_28_lo*(1+g_mix)^2*F166*F167</f>
        <v>164.602449426516</v>
      </c>
      <c r="G178" s="21" t="n">
        <f aca="false">$D177*cap_29_lo*(1+g_mix)^3*G166*G167</f>
        <v>185.567603511367</v>
      </c>
      <c r="K178" s="7" t="s">
        <v>612</v>
      </c>
    </row>
    <row r="179" customFormat="false" ht="17.15" hidden="false" customHeight="false" outlineLevel="0" collapsed="false">
      <c r="A179" s="0" t="s">
        <v>613</v>
      </c>
      <c r="B179" s="0" t="s">
        <v>302</v>
      </c>
      <c r="D179" s="21" t="n">
        <f aca="false">a26_abf</f>
        <v>99.782305</v>
      </c>
      <c r="E179" s="21" t="n">
        <f aca="false">MIN(E177,E178)</f>
        <v>137.512489078125</v>
      </c>
      <c r="F179" s="21" t="n">
        <f aca="false">MIN(F177,F178)</f>
        <v>164.602449426516</v>
      </c>
      <c r="G179" s="21" t="n">
        <f aca="false">MIN(G177,G178)</f>
        <v>185.567603511367</v>
      </c>
    </row>
    <row r="180" customFormat="false" ht="17.15" hidden="false" customHeight="false" outlineLevel="0" collapsed="false">
      <c r="A180" s="3" t="s">
        <v>614</v>
      </c>
      <c r="B180" s="0" t="s">
        <v>44</v>
      </c>
      <c r="D180" s="20" t="n">
        <f aca="false">D179/D177</f>
        <v>1</v>
      </c>
      <c r="E180" s="20" t="n">
        <f aca="false">E179/E177</f>
        <v>0.910852380167078</v>
      </c>
      <c r="F180" s="20" t="n">
        <f aca="false">F179/F177</f>
        <v>0.951186983972716</v>
      </c>
      <c r="G180" s="20" t="n">
        <f aca="false">G179/G177</f>
        <v>0.945521292740991</v>
      </c>
    </row>
    <row r="181" customFormat="false" ht="17.15" hidden="false" customHeight="false" outlineLevel="0" collapsed="false">
      <c r="A181" s="0" t="s">
        <v>615</v>
      </c>
      <c r="B181" s="0" t="s">
        <v>302</v>
      </c>
      <c r="D181" s="21" t="n">
        <f aca="false">(D172+D175)*D180</f>
        <v>74.83672875</v>
      </c>
      <c r="E181" s="21" t="n">
        <f aca="false">(E172+E175)*E180</f>
        <v>114.109099451115</v>
      </c>
      <c r="F181" s="21" t="n">
        <f aca="false">(F172+F175)*F180</f>
        <v>139.429512426922</v>
      </c>
      <c r="G181" s="21" t="n">
        <f aca="false">(G172+G175)*G180</f>
        <v>159.793917805986</v>
      </c>
    </row>
    <row r="182" customFormat="false" ht="17.15" hidden="false" customHeight="false" outlineLevel="0" collapsed="false">
      <c r="A182" s="3" t="s">
        <v>616</v>
      </c>
      <c r="B182" s="0" t="s">
        <v>44</v>
      </c>
      <c r="D182" s="20" t="n">
        <f aca="false">D172/(D172+D175)</f>
        <v>0.348208691228771</v>
      </c>
      <c r="E182" s="20" t="n">
        <f aca="false">E172/(E172+E175)</f>
        <v>0.421533753298293</v>
      </c>
      <c r="F182" s="20" t="n">
        <f aca="false">F172/(F172+F175)</f>
        <v>0.471215051802813</v>
      </c>
      <c r="G182" s="20" t="n">
        <f aca="false">G172/(G172+G175)</f>
        <v>0.536243651287136</v>
      </c>
    </row>
    <row r="183" customFormat="false" ht="17.15" hidden="false" customHeight="false" outlineLevel="0" collapsed="false">
      <c r="A183" s="5" t="s">
        <v>617</v>
      </c>
    </row>
    <row r="184" customFormat="false" ht="17.15" hidden="false" customHeight="false" outlineLevel="0" collapsed="false">
      <c r="A184" s="0" t="s">
        <v>519</v>
      </c>
      <c r="B184" s="0" t="s">
        <v>302</v>
      </c>
      <c r="D184" s="21" t="n">
        <f aca="false">a26_bt</f>
        <v>16.944165</v>
      </c>
      <c r="E184" s="21" t="n">
        <f aca="false">D184*(1+g_bt)</f>
        <v>17.79137325</v>
      </c>
      <c r="F184" s="21" t="n">
        <f aca="false">E184*(1+g_bt)</f>
        <v>18.6809419125</v>
      </c>
      <c r="G184" s="21" t="n">
        <f aca="false">F184*(1+g_bt)</f>
        <v>19.614989008125</v>
      </c>
    </row>
    <row r="185" customFormat="false" ht="17.15" hidden="false" customHeight="false" outlineLevel="0" collapsed="false">
      <c r="A185" s="0" t="s">
        <v>618</v>
      </c>
      <c r="B185" s="0" t="s">
        <v>302</v>
      </c>
      <c r="D185" s="21" t="n">
        <f aca="false">a26_pcb*ai_pcb</f>
        <v>37.93610275</v>
      </c>
      <c r="E185" s="21" t="n">
        <f aca="false">D185*(1+g_pai_27)</f>
        <v>45.5233233</v>
      </c>
      <c r="F185" s="21" t="n">
        <f aca="false">D185*(1+g_pai_27)*(1+g_pai_28)*um28_A</f>
        <v>52.351821795</v>
      </c>
      <c r="G185" s="21" t="n">
        <f aca="false">D185*(1+g_pai_27)*(1+g_pai_28)*(1+g_pai_29)*um29_A</f>
        <v>57.5870039745</v>
      </c>
      <c r="K185" s="3" t="s">
        <v>619</v>
      </c>
    </row>
    <row r="186" customFormat="false" ht="17.15" hidden="false" customHeight="false" outlineLevel="0" collapsed="false">
      <c r="A186" s="3" t="s">
        <v>620</v>
      </c>
      <c r="B186" s="0" t="s">
        <v>302</v>
      </c>
      <c r="D186" s="21" t="n">
        <f aca="false">a26_pcb*(1-ai_pcb)</f>
        <v>20.42713225</v>
      </c>
      <c r="E186" s="21" t="n">
        <f aca="false">D186*(1+g_pcbn)</f>
        <v>20.835674895</v>
      </c>
      <c r="F186" s="21" t="n">
        <f aca="false">E186*(1+g_pcbn)</f>
        <v>21.2523883929</v>
      </c>
      <c r="G186" s="21" t="n">
        <f aca="false">F186*(1+g_pcbn)</f>
        <v>21.677436160758</v>
      </c>
    </row>
    <row r="187" customFormat="false" ht="15" hidden="false" customHeight="false" outlineLevel="0" collapsed="false">
      <c r="A187" s="3" t="s">
        <v>521</v>
      </c>
      <c r="B187" s="0" t="s">
        <v>302</v>
      </c>
      <c r="D187" s="21" t="n">
        <f aca="false">a26_fpc</f>
        <v>13.178795</v>
      </c>
      <c r="E187" s="21" t="n">
        <f aca="false">D187*(1+g_fpc)</f>
        <v>13.178795</v>
      </c>
      <c r="F187" s="21" t="n">
        <f aca="false">E187*(1+g_fpc)</f>
        <v>13.178795</v>
      </c>
      <c r="G187" s="21" t="n">
        <f aca="false">F187*(1+g_fpc)</f>
        <v>13.178795</v>
      </c>
    </row>
    <row r="188" customFormat="false" ht="17.15" hidden="false" customHeight="false" outlineLevel="0" collapsed="false">
      <c r="A188" s="3" t="s">
        <v>484</v>
      </c>
      <c r="B188" s="0" t="s">
        <v>302</v>
      </c>
      <c r="C188" s="23" t="n">
        <f aca="false">a25_rev</f>
        <v>131.241</v>
      </c>
      <c r="D188" s="23" t="n">
        <f aca="false">D179+D184+D185+D186+D187</f>
        <v>188.2685</v>
      </c>
      <c r="E188" s="23" t="n">
        <f aca="false">E179+E184+E185+E186+E187</f>
        <v>234.841655523125</v>
      </c>
      <c r="F188" s="23" t="n">
        <f aca="false">F179+F184+F185+F186+F187</f>
        <v>270.066396526916</v>
      </c>
      <c r="G188" s="23" t="n">
        <f aca="false">G179+G184+G185+G186+G187</f>
        <v>297.62582765475</v>
      </c>
      <c r="H188" s="25" t="n">
        <f aca="false">G188*(1+H189)</f>
        <v>323.826200795705</v>
      </c>
      <c r="I188" s="25" t="n">
        <f aca="false">H188*(1+I189)</f>
        <v>347.794399167088</v>
      </c>
      <c r="J188" s="25" t="n">
        <f aca="false">I188*(1+J189)</f>
        <v>368.662063117113</v>
      </c>
      <c r="K188" s="7" t="s">
        <v>621</v>
      </c>
    </row>
    <row r="189" customFormat="false" ht="15" hidden="false" customHeight="false" outlineLevel="0" collapsed="false">
      <c r="A189" s="3" t="s">
        <v>622</v>
      </c>
      <c r="B189" s="0" t="s">
        <v>44</v>
      </c>
      <c r="D189" s="20" t="n">
        <f aca="false">D188/C188-1</f>
        <v>0.434525034097576</v>
      </c>
      <c r="E189" s="20" t="n">
        <f aca="false">E188/D188-1</f>
        <v>0.24737625</v>
      </c>
      <c r="F189" s="20" t="n">
        <f aca="false">F188/E188-1</f>
        <v>0.149993581527626</v>
      </c>
      <c r="G189" s="20" t="n">
        <f aca="false">G188/F188-1</f>
        <v>0.10204687248118</v>
      </c>
      <c r="H189" s="26" t="n">
        <f aca="false">$G189+(fade_gA-$G189)*1/3</f>
        <v>0.0880312483207867</v>
      </c>
      <c r="I189" s="26" t="n">
        <f aca="false">$G189+(fade_gA-$G189)*2/3</f>
        <v>0.0740156241603934</v>
      </c>
      <c r="J189" s="26" t="n">
        <f aca="false">$G189+(fade_gA-$G189)*3/3</f>
        <v>0.06</v>
      </c>
    </row>
    <row r="190" customFormat="false" ht="17.15" hidden="false" customHeight="false" outlineLevel="0" collapsed="false">
      <c r="A190" s="0" t="s">
        <v>623</v>
      </c>
      <c r="B190" s="0" t="s">
        <v>44</v>
      </c>
      <c r="D190" s="20" t="n">
        <f aca="false">D179/D188</f>
        <v>0.53</v>
      </c>
      <c r="E190" s="20" t="n">
        <f aca="false">E179/E188</f>
        <v>0.585554078009743</v>
      </c>
      <c r="F190" s="20" t="n">
        <f aca="false">F179/F188</f>
        <v>0.609488820317232</v>
      </c>
      <c r="G190" s="20" t="n">
        <f aca="false">G179/G188</f>
        <v>0.623492944055338</v>
      </c>
    </row>
    <row r="191" customFormat="false" ht="17.15" hidden="false" customHeight="false" outlineLevel="0" collapsed="false">
      <c r="A191" s="0" t="s">
        <v>624</v>
      </c>
      <c r="B191" s="0" t="s">
        <v>44</v>
      </c>
      <c r="D191" s="20" t="n">
        <f aca="false">(D181+D185)/D188</f>
        <v>0.599</v>
      </c>
      <c r="E191" s="20" t="n">
        <f aca="false">(E181+E185)/E188</f>
        <v>0.679744921724057</v>
      </c>
      <c r="F191" s="20" t="n">
        <f aca="false">(F181+F185)/F188</f>
        <v>0.710126608449816</v>
      </c>
      <c r="G191" s="20" t="n">
        <f aca="false">(G181+G185)/G188</f>
        <v>0.730383258379884</v>
      </c>
      <c r="K191" s="3" t="s">
        <v>625</v>
      </c>
    </row>
    <row r="192" customFormat="false" ht="17.15" hidden="false" customHeight="false" outlineLevel="0" collapsed="false">
      <c r="A192" s="5" t="s">
        <v>626</v>
      </c>
    </row>
    <row r="193" customFormat="false" ht="15" hidden="false" customHeight="false" outlineLevel="0" collapsed="false">
      <c r="A193" s="3" t="s">
        <v>627</v>
      </c>
      <c r="B193" s="0" t="s">
        <v>302</v>
      </c>
      <c r="C193" s="23" t="n">
        <f aca="false">a25_cx</f>
        <v>25.617</v>
      </c>
      <c r="D193" s="23" t="n">
        <f aca="false">capex26</f>
        <v>53.7</v>
      </c>
      <c r="E193" s="23" t="n">
        <f aca="false">cx27_A</f>
        <v>55</v>
      </c>
      <c r="F193" s="23" t="n">
        <f aca="false">cx28_A</f>
        <v>50</v>
      </c>
      <c r="G193" s="23" t="n">
        <f aca="false">cx29_A</f>
        <v>45</v>
      </c>
      <c r="H193" s="25" t="n">
        <f aca="false">H188*H210</f>
        <v>45.9375856399363</v>
      </c>
      <c r="I193" s="25" t="n">
        <f aca="false">I188*I210</f>
        <v>46.0900542147887</v>
      </c>
      <c r="J193" s="25" t="n">
        <f aca="false">J188*J210</f>
        <v>45.4129691390444</v>
      </c>
    </row>
    <row r="194" customFormat="false" ht="17.15" hidden="false" customHeight="false" outlineLevel="0" collapsed="false">
      <c r="A194" s="3" t="s">
        <v>628</v>
      </c>
      <c r="B194" s="0" t="s">
        <v>302</v>
      </c>
      <c r="C194" s="23" t="n">
        <f aca="false">a25_da</f>
        <v>18.8</v>
      </c>
      <c r="D194" s="23" t="n">
        <f aca="false">da26</f>
        <v>20.8</v>
      </c>
      <c r="E194" s="23" t="n">
        <f aca="false">D194*(1-1/life)+D193/life</f>
        <v>24.9125</v>
      </c>
      <c r="F194" s="23" t="n">
        <f aca="false">E194*(1-1/life)+E193/life</f>
        <v>28.6734375</v>
      </c>
      <c r="G194" s="23" t="n">
        <f aca="false">F194*(1-1/life)+F193/life</f>
        <v>31.3392578125</v>
      </c>
      <c r="H194" s="25" t="n">
        <f aca="false">H188*H195</f>
        <v>34.0980917991814</v>
      </c>
      <c r="I194" s="25" t="n">
        <f aca="false">I188*I195</f>
        <v>36.6218833463761</v>
      </c>
      <c r="J194" s="25" t="n">
        <f aca="false">J188*J195</f>
        <v>38.8191963471587</v>
      </c>
      <c r="K194" s="3" t="s">
        <v>629</v>
      </c>
    </row>
    <row r="195" customFormat="false" ht="17.15" hidden="false" customHeight="false" outlineLevel="0" collapsed="false">
      <c r="A195" s="3" t="s">
        <v>630</v>
      </c>
      <c r="B195" s="0" t="s">
        <v>44</v>
      </c>
      <c r="C195" s="20" t="n">
        <f aca="false">C194/C188</f>
        <v>0.143247917952469</v>
      </c>
      <c r="D195" s="20" t="n">
        <f aca="false">D194/D188</f>
        <v>0.110480510547436</v>
      </c>
      <c r="E195" s="20" t="n">
        <f aca="false">E194/E188</f>
        <v>0.106082117095052</v>
      </c>
      <c r="F195" s="20" t="n">
        <f aca="false">F194/F188</f>
        <v>0.106171807632285</v>
      </c>
      <c r="G195" s="20" t="n">
        <f aca="false">G194/G188</f>
        <v>0.10529750747591</v>
      </c>
      <c r="H195" s="26" t="n">
        <f aca="false">$G195</f>
        <v>0.10529750747591</v>
      </c>
      <c r="I195" s="26" t="n">
        <f aca="false">$G195</f>
        <v>0.10529750747591</v>
      </c>
      <c r="J195" s="26" t="n">
        <f aca="false">$G195</f>
        <v>0.10529750747591</v>
      </c>
    </row>
    <row r="196" customFormat="false" ht="17.15" hidden="false" customHeight="false" outlineLevel="0" collapsed="false">
      <c r="A196" s="3" t="s">
        <v>631</v>
      </c>
      <c r="B196" s="0" t="s">
        <v>302</v>
      </c>
      <c r="E196" s="21" t="n">
        <f aca="false">E181*(1-1/(E166*E167))</f>
        <v>5.43376664052927</v>
      </c>
      <c r="F196" s="21" t="n">
        <f aca="false">F181*(1-1/(F166*F167))</f>
        <v>-0.349447399566243</v>
      </c>
      <c r="G196" s="21" t="n">
        <f aca="false">G181*(1-1/(G166*G167))</f>
        <v>-9.30017511040128</v>
      </c>
      <c r="K196" s="7" t="s">
        <v>632</v>
      </c>
    </row>
    <row r="197" customFormat="false" ht="17.15" hidden="false" customHeight="false" outlineLevel="0" collapsed="false">
      <c r="A197" s="3" t="s">
        <v>633</v>
      </c>
      <c r="B197" s="0" t="s">
        <v>302</v>
      </c>
      <c r="C197" s="21" t="n">
        <f aca="false">a25_gp</f>
        <v>18.292</v>
      </c>
      <c r="D197" s="21" t="n">
        <f aca="false">a26_gp</f>
        <v>47.3329657</v>
      </c>
      <c r="E197" s="21" t="n">
        <f aca="false">$D197+ft_abf*(E179-E196-$D179)+ft_oth*((E188-E179)-($D188-$D179))+E196-(E194-$D194)</f>
        <v>67.0131839205772</v>
      </c>
      <c r="F197" s="21" t="n">
        <f aca="false">$D197+ft_abf*(F179-F196-$D179)+ft_oth*((F188-F179)-($D188-$D179))+F196-(F194-$D194)</f>
        <v>75.9393147385747</v>
      </c>
      <c r="G197" s="21" t="n">
        <f aca="false">$D197+ft_abf*(G179-G196-$D179)+ft_oth*((G188-G179)-($D188-$D179))+G196-(G194-$D194)</f>
        <v>80.9292768738284</v>
      </c>
      <c r="K197" s="3" t="s">
        <v>634</v>
      </c>
    </row>
    <row r="198" customFormat="false" ht="15" hidden="false" customHeight="false" outlineLevel="0" collapsed="false">
      <c r="A198" s="3" t="s">
        <v>491</v>
      </c>
      <c r="B198" s="0" t="s">
        <v>44</v>
      </c>
      <c r="C198" s="16" t="n">
        <f aca="false">C197/C188</f>
        <v>0.139377176339711</v>
      </c>
      <c r="D198" s="16" t="n">
        <f aca="false">D197/D188</f>
        <v>0.251412029627899</v>
      </c>
      <c r="E198" s="16" t="n">
        <f aca="false">E197/E188</f>
        <v>0.28535475859809</v>
      </c>
      <c r="F198" s="16" t="n">
        <f aca="false">F197/F188</f>
        <v>0.281187573556588</v>
      </c>
      <c r="G198" s="16" t="n">
        <f aca="false">G197/G188</f>
        <v>0.271916175795427</v>
      </c>
    </row>
    <row r="199" customFormat="false" ht="15" hidden="false" customHeight="false" outlineLevel="0" collapsed="false">
      <c r="A199" s="3" t="s">
        <v>493</v>
      </c>
      <c r="B199" s="0" t="s">
        <v>302</v>
      </c>
      <c r="C199" s="21" t="n">
        <f aca="false">a25_opx</f>
        <v>11.618</v>
      </c>
      <c r="D199" s="21" t="n">
        <f aca="false">a26_opx</f>
        <v>16.6539532</v>
      </c>
      <c r="E199" s="21" t="n">
        <f aca="false">D199*(1+phi*E189)</f>
        <v>19.1258286941749</v>
      </c>
      <c r="F199" s="21" t="n">
        <f aca="false">E199*(1+phi*F189)</f>
        <v>20.8470796214888</v>
      </c>
      <c r="G199" s="21" t="n">
        <f aca="false">F199*(1+phi*G189)</f>
        <v>22.1235071869322</v>
      </c>
    </row>
    <row r="200" customFormat="false" ht="15" hidden="false" customHeight="false" outlineLevel="0" collapsed="false">
      <c r="A200" s="3" t="s">
        <v>496</v>
      </c>
      <c r="B200" s="0" t="s">
        <v>302</v>
      </c>
      <c r="C200" s="21" t="n">
        <f aca="false">C197-C199</f>
        <v>6.674</v>
      </c>
      <c r="D200" s="21" t="n">
        <f aca="false">D197-D199</f>
        <v>30.6790125</v>
      </c>
      <c r="E200" s="21" t="n">
        <f aca="false">E197-E199</f>
        <v>47.8873552264022</v>
      </c>
      <c r="F200" s="21" t="n">
        <f aca="false">F197-F199</f>
        <v>55.0922351170859</v>
      </c>
      <c r="G200" s="21" t="n">
        <f aca="false">G197-G199</f>
        <v>58.8057696868962</v>
      </c>
    </row>
    <row r="201" customFormat="false" ht="15" hidden="false" customHeight="false" outlineLevel="0" collapsed="false">
      <c r="A201" s="3" t="s">
        <v>575</v>
      </c>
      <c r="B201" s="0" t="s">
        <v>44</v>
      </c>
      <c r="C201" s="16" t="n">
        <f aca="false">C200/C188</f>
        <v>0.0508530108731265</v>
      </c>
      <c r="D201" s="16" t="n">
        <f aca="false">D200/D188</f>
        <v>0.162953507888999</v>
      </c>
      <c r="E201" s="16" t="n">
        <f aca="false">E200/E188</f>
        <v>0.20391337780229</v>
      </c>
      <c r="F201" s="16" t="n">
        <f aca="false">F200/F188</f>
        <v>0.203995150176321</v>
      </c>
      <c r="G201" s="16" t="n">
        <f aca="false">G200/G188</f>
        <v>0.197582885028082</v>
      </c>
    </row>
    <row r="202" customFormat="false" ht="17.15" hidden="false" customHeight="false" outlineLevel="0" collapsed="false">
      <c r="A202" s="3" t="s">
        <v>635</v>
      </c>
      <c r="B202" s="0" t="s">
        <v>302</v>
      </c>
      <c r="C202" s="21" t="n">
        <f aca="false">a25_nonop</f>
        <v>-0.00100000000000033</v>
      </c>
      <c r="D202" s="21" t="n">
        <f aca="false">a26_nonop</f>
        <v>14.466</v>
      </c>
      <c r="E202" s="21" t="n">
        <f aca="false">nonop27</f>
        <v>2</v>
      </c>
      <c r="F202" s="21" t="n">
        <f aca="false">nonop28</f>
        <v>2</v>
      </c>
      <c r="G202" s="21" t="n">
        <f aca="false">nonop29</f>
        <v>2</v>
      </c>
      <c r="K202" s="7" t="s">
        <v>636</v>
      </c>
    </row>
    <row r="203" customFormat="false" ht="15" hidden="false" customHeight="false" outlineLevel="0" collapsed="false">
      <c r="A203" s="3" t="s">
        <v>502</v>
      </c>
      <c r="B203" s="0" t="s">
        <v>302</v>
      </c>
      <c r="C203" s="21" t="n">
        <f aca="false">C200+C202</f>
        <v>6.673</v>
      </c>
      <c r="D203" s="21" t="n">
        <f aca="false">D200+D202</f>
        <v>45.1450125</v>
      </c>
      <c r="E203" s="21" t="n">
        <f aca="false">E200+E202</f>
        <v>49.8873552264022</v>
      </c>
      <c r="F203" s="21" t="n">
        <f aca="false">F200+F202</f>
        <v>57.0922351170859</v>
      </c>
      <c r="G203" s="21" t="n">
        <f aca="false">G200+G202</f>
        <v>60.8057696868962</v>
      </c>
    </row>
    <row r="204" customFormat="false" ht="15" hidden="false" customHeight="false" outlineLevel="0" collapsed="false">
      <c r="A204" s="3" t="s">
        <v>506</v>
      </c>
      <c r="B204" s="0" t="s">
        <v>302</v>
      </c>
      <c r="E204" s="21" t="n">
        <f aca="false">E203*tax</f>
        <v>8.9797239407524</v>
      </c>
      <c r="F204" s="21" t="n">
        <f aca="false">F203*tax</f>
        <v>10.2766023210755</v>
      </c>
      <c r="G204" s="21" t="n">
        <f aca="false">G203*tax</f>
        <v>10.9450385436413</v>
      </c>
    </row>
    <row r="205" customFormat="false" ht="15" hidden="false" customHeight="false" outlineLevel="0" collapsed="false">
      <c r="A205" s="3" t="s">
        <v>504</v>
      </c>
      <c r="B205" s="0" t="s">
        <v>302</v>
      </c>
      <c r="C205" s="21" t="n">
        <f aca="false">a25_ni</f>
        <v>6.673</v>
      </c>
      <c r="D205" s="21" t="n">
        <f aca="false">a26_ni</f>
        <v>37.23923025</v>
      </c>
      <c r="E205" s="21" t="n">
        <f aca="false">E203-E204</f>
        <v>40.9076312856498</v>
      </c>
      <c r="F205" s="21" t="n">
        <f aca="false">F203-F204</f>
        <v>46.8156327960104</v>
      </c>
      <c r="G205" s="21" t="n">
        <f aca="false">G203-G204</f>
        <v>49.8607311432548</v>
      </c>
      <c r="H205" s="30" t="n">
        <f aca="false">H188*H209</f>
        <v>54.930266603648</v>
      </c>
      <c r="I205" s="30" t="n">
        <f aca="false">I188*I209</f>
        <v>59.7265455014687</v>
      </c>
      <c r="J205" s="30" t="n">
        <f aca="false">J188*J209</f>
        <v>64.084554017203</v>
      </c>
    </row>
    <row r="206" customFormat="false" ht="15" hidden="false" customHeight="false" outlineLevel="0" collapsed="false">
      <c r="A206" s="3" t="s">
        <v>637</v>
      </c>
      <c r="B206" s="3" t="s">
        <v>380</v>
      </c>
      <c r="C206" s="29" t="n">
        <f aca="false">a25_sh</f>
        <v>1.52351598173516</v>
      </c>
      <c r="D206" s="29" t="n">
        <f aca="false">a26_sh</f>
        <v>1.59236316568047</v>
      </c>
      <c r="E206" s="29" t="n">
        <f aca="false">a26_shend*(1+sh_g)</f>
        <v>1.64</v>
      </c>
      <c r="F206" s="29" t="n">
        <f aca="false">E206*(1+sh_g)</f>
        <v>1.64</v>
      </c>
      <c r="G206" s="29" t="n">
        <f aca="false">F206*(1+sh_g)</f>
        <v>1.64</v>
      </c>
      <c r="H206" s="31" t="n">
        <f aca="false">G206*(1+sh_g)</f>
        <v>1.64</v>
      </c>
      <c r="I206" s="31" t="n">
        <f aca="false">H206*(1+sh_g)</f>
        <v>1.64</v>
      </c>
      <c r="J206" s="31" t="n">
        <f aca="false">I206*(1+sh_g)</f>
        <v>1.64</v>
      </c>
    </row>
    <row r="207" customFormat="false" ht="17.15" hidden="false" customHeight="false" outlineLevel="0" collapsed="false">
      <c r="A207" s="0" t="s">
        <v>509</v>
      </c>
      <c r="B207" s="0" t="s">
        <v>386</v>
      </c>
      <c r="C207" s="18" t="n">
        <f aca="false">C205/C206</f>
        <v>4.38</v>
      </c>
      <c r="D207" s="18" t="n">
        <f aca="false">D205/D206</f>
        <v>23.3861414610695</v>
      </c>
      <c r="E207" s="18" t="n">
        <f aca="false">E205/E206</f>
        <v>24.9436776132011</v>
      </c>
      <c r="F207" s="18" t="n">
        <f aca="false">F205/F206</f>
        <v>28.5461175585429</v>
      </c>
      <c r="G207" s="18" t="n">
        <f aca="false">G205/G206</f>
        <v>30.4028848434481</v>
      </c>
      <c r="H207" s="28" t="n">
        <f aca="false">H205/H206</f>
        <v>33.4940650022244</v>
      </c>
      <c r="I207" s="28" t="n">
        <f aca="false">I205/I206</f>
        <v>36.4186253057736</v>
      </c>
      <c r="J207" s="28" t="n">
        <f aca="false">J205/J206</f>
        <v>39.0759475714653</v>
      </c>
    </row>
    <row r="208" customFormat="false" ht="17.15" hidden="false" customHeight="false" outlineLevel="0" collapsed="false">
      <c r="A208" s="0" t="s">
        <v>638</v>
      </c>
      <c r="B208" s="0" t="s">
        <v>44</v>
      </c>
      <c r="D208" s="20" t="n">
        <f aca="false">D207/C207-1</f>
        <v>4.33930170344053</v>
      </c>
      <c r="E208" s="20" t="n">
        <f aca="false">E207/D207-1</f>
        <v>0.0666008180410789</v>
      </c>
      <c r="F208" s="20" t="n">
        <f aca="false">F207/E207-1</f>
        <v>0.144422967663568</v>
      </c>
      <c r="G208" s="20" t="n">
        <f aca="false">G207/F207-1</f>
        <v>0.0650444769274576</v>
      </c>
      <c r="H208" s="26" t="n">
        <f aca="false">H207/G207-1</f>
        <v>0.101673909390295</v>
      </c>
      <c r="I208" s="26" t="n">
        <f aca="false">I207/H207-1</f>
        <v>0.0873157767907533</v>
      </c>
      <c r="J208" s="26" t="n">
        <f aca="false">J207/I207-1</f>
        <v>0.0729660233844789</v>
      </c>
    </row>
    <row r="209" customFormat="false" ht="17.15" hidden="false" customHeight="false" outlineLevel="0" collapsed="false">
      <c r="A209" s="3" t="s">
        <v>639</v>
      </c>
      <c r="B209" s="0" t="s">
        <v>44</v>
      </c>
      <c r="C209" s="16" t="n">
        <f aca="false">C205/C188</f>
        <v>0.0508453913030227</v>
      </c>
      <c r="D209" s="16" t="n">
        <f aca="false">D205/D188</f>
        <v>0.197798517808343</v>
      </c>
      <c r="E209" s="16" t="n">
        <f aca="false">E205/E188</f>
        <v>0.174192398680402</v>
      </c>
      <c r="F209" s="16" t="n">
        <f aca="false">F205/F188</f>
        <v>0.173348603891727</v>
      </c>
      <c r="G209" s="16" t="n">
        <f aca="false">G205/G188</f>
        <v>0.167528240193906</v>
      </c>
      <c r="H209" s="27" t="n">
        <f aca="false">$G209+(fade_mA-$G209)*1/3</f>
        <v>0.16962885173798</v>
      </c>
      <c r="I209" s="27" t="n">
        <f aca="false">$G209+(fade_mA-$G209)*2/3</f>
        <v>0.171729463282055</v>
      </c>
      <c r="J209" s="27" t="n">
        <f aca="false">$G209+(fade_mA-$G209)*3/3</f>
        <v>0.17383007482613</v>
      </c>
    </row>
    <row r="210" customFormat="false" ht="17.15" hidden="false" customHeight="false" outlineLevel="0" collapsed="false">
      <c r="A210" s="3" t="s">
        <v>640</v>
      </c>
      <c r="B210" s="0" t="s">
        <v>44</v>
      </c>
      <c r="C210" s="20" t="n">
        <f aca="false">C193/C188</f>
        <v>0.195190527350447</v>
      </c>
      <c r="D210" s="20" t="n">
        <f aca="false">D193/D188</f>
        <v>0.285230933480641</v>
      </c>
      <c r="E210" s="20" t="n">
        <f aca="false">E193/E188</f>
        <v>0.234200358865142</v>
      </c>
      <c r="F210" s="20" t="n">
        <f aca="false">F193/F188</f>
        <v>0.185139656925133</v>
      </c>
      <c r="G210" s="20" t="n">
        <f aca="false">G193/G188</f>
        <v>0.151196555603369</v>
      </c>
      <c r="H210" s="26" t="n">
        <f aca="false">$G210+($G195*(1+tp_g)^(life/2)-$G210)*1/3</f>
        <v>0.141858767224698</v>
      </c>
      <c r="I210" s="26" t="n">
        <f aca="false">$G210+($G195*(1+tp_g)^(life/2)-$G210)*2/3</f>
        <v>0.132520978846028</v>
      </c>
      <c r="J210" s="26" t="n">
        <f aca="false">$G210+($G195*(1+tp_g)^(life/2)-$G210)*3/3</f>
        <v>0.123183190467358</v>
      </c>
      <c r="K210" s="7" t="s">
        <v>641</v>
      </c>
    </row>
    <row r="211" customFormat="false" ht="15" hidden="false" customHeight="false" outlineLevel="0" collapsed="false">
      <c r="A211" s="3" t="s">
        <v>642</v>
      </c>
      <c r="B211" s="0" t="s">
        <v>302</v>
      </c>
      <c r="E211" s="21" t="n">
        <f aca="false">E205+E194-E193</f>
        <v>10.8201312856498</v>
      </c>
      <c r="F211" s="21" t="n">
        <f aca="false">F205+F194-F193</f>
        <v>25.4890702960104</v>
      </c>
      <c r="G211" s="21" t="n">
        <f aca="false">G205+G194-G193</f>
        <v>36.1999889557549</v>
      </c>
      <c r="H211" s="30" t="n">
        <f aca="false">H205+H194-H193</f>
        <v>43.090772762893</v>
      </c>
      <c r="I211" s="30" t="n">
        <f aca="false">I205+I194-I193</f>
        <v>50.2583746330562</v>
      </c>
      <c r="J211" s="30" t="n">
        <f aca="false">J205+J194-J193</f>
        <v>57.4907812253174</v>
      </c>
      <c r="K211" s="3" t="s">
        <v>643</v>
      </c>
    </row>
    <row r="212" customFormat="false" ht="15" hidden="false" customHeight="false" outlineLevel="0" collapsed="false">
      <c r="A212" s="3" t="s">
        <v>644</v>
      </c>
      <c r="B212" s="0" t="s">
        <v>386</v>
      </c>
      <c r="E212" s="18" t="n">
        <f aca="false">E211/E206</f>
        <v>6.59764102783527</v>
      </c>
      <c r="F212" s="18" t="n">
        <f aca="false">F211/F206</f>
        <v>15.5421160341527</v>
      </c>
      <c r="G212" s="18" t="n">
        <f aca="false">G211/G206</f>
        <v>22.0731639974115</v>
      </c>
      <c r="H212" s="28" t="n">
        <f aca="false">H211/H206</f>
        <v>26.2748614407884</v>
      </c>
      <c r="I212" s="28" t="n">
        <f aca="false">I211/I206</f>
        <v>30.6453503860099</v>
      </c>
      <c r="J212" s="28" t="n">
        <f aca="false">J211/J206</f>
        <v>35.0553544056813</v>
      </c>
    </row>
    <row r="215" customFormat="false" ht="17.15" hidden="false" customHeight="false" outlineLevel="0" collapsed="false">
      <c r="A215" s="1" t="s">
        <v>947</v>
      </c>
    </row>
    <row r="216" customFormat="false" ht="17.15" hidden="false" customHeight="false" outlineLevel="0" collapsed="false">
      <c r="A216" s="4" t="s">
        <v>21</v>
      </c>
      <c r="B216" s="4" t="s">
        <v>22</v>
      </c>
      <c r="C216" s="13" t="s">
        <v>477</v>
      </c>
      <c r="D216" s="13" t="s">
        <v>562</v>
      </c>
      <c r="E216" s="13" t="s">
        <v>563</v>
      </c>
      <c r="F216" s="13" t="s">
        <v>564</v>
      </c>
      <c r="G216" s="13" t="s">
        <v>565</v>
      </c>
      <c r="H216" s="13" t="s">
        <v>566</v>
      </c>
      <c r="I216" s="13" t="s">
        <v>567</v>
      </c>
      <c r="J216" s="13" t="s">
        <v>568</v>
      </c>
      <c r="K216" s="4" t="s">
        <v>533</v>
      </c>
    </row>
    <row r="217" customFormat="false" ht="17.15" hidden="false" customHeight="false" outlineLevel="0" collapsed="false">
      <c r="A217" s="5" t="s">
        <v>586</v>
      </c>
    </row>
    <row r="218" customFormat="false" ht="17.15" hidden="false" customHeight="false" outlineLevel="0" collapsed="false">
      <c r="A218" s="0" t="s">
        <v>587</v>
      </c>
      <c r="B218" s="3" t="s">
        <v>32</v>
      </c>
      <c r="D218" s="21" t="n">
        <f aca="false">(u_bw_26+u_rb_26+u_ru_26+u_hp_26)*1</f>
        <v>7.6</v>
      </c>
      <c r="E218" s="21" t="n">
        <f aca="false">(u_bw_27+u_rb_27+u_ru_27+u_hp_27)*1*1</f>
        <v>9.7</v>
      </c>
      <c r="F218" s="21" t="n">
        <f aca="false">(u_bw_28+u_rb_28+u_ru_28+u_hp_28)*um28_A*1</f>
        <v>9.5</v>
      </c>
      <c r="G218" s="21" t="n">
        <f aca="false">(u_bw_28*(1+g29_bw)+u_rb_28*(1+g29_rb)+u_ru_28*(1+g29_ru)+u_hp_28*(1+g29_hp))*um29_A*1</f>
        <v>10.6</v>
      </c>
      <c r="K218" s="7" t="s">
        <v>588</v>
      </c>
    </row>
    <row r="219" customFormat="false" ht="17.15" hidden="false" customHeight="false" outlineLevel="0" collapsed="false">
      <c r="A219" s="3" t="s">
        <v>589</v>
      </c>
      <c r="B219" s="3" t="s">
        <v>32</v>
      </c>
      <c r="D219" s="21" t="n">
        <f aca="false">(u_amd_26+u_tpu_26+u_trn_26+u_oth_26)*1</f>
        <v>7.6</v>
      </c>
      <c r="E219" s="21" t="n">
        <f aca="false">(u_amd_27+u_tpu_27+u_trn_27+u_oth_27)*1*1</f>
        <v>14</v>
      </c>
      <c r="F219" s="21" t="n">
        <f aca="false">(u_amd_28+u_tpu_28+u_trn_28+u_oth_28)*um28_A*1</f>
        <v>17</v>
      </c>
      <c r="G219" s="21" t="n">
        <f aca="false">(u_amd_28*(1+g29_amd)+u_tpu_28*(1+g29_tpu)+u_trn_28*(1+g29_trn)+u_oth_28*(1+g29_oth))*um29_A*1</f>
        <v>19.55</v>
      </c>
      <c r="K219" s="7" t="s">
        <v>590</v>
      </c>
    </row>
    <row r="220" customFormat="false" ht="17.15" hidden="false" customHeight="false" outlineLevel="0" collapsed="false">
      <c r="A220" s="3" t="s">
        <v>591</v>
      </c>
      <c r="B220" s="0" t="s">
        <v>144</v>
      </c>
      <c r="D220" s="19" t="n">
        <f aca="false">1</f>
        <v>1</v>
      </c>
      <c r="E220" s="19" t="n">
        <f aca="false">D220*(1+g_asp)</f>
        <v>1.18</v>
      </c>
      <c r="F220" s="19" t="n">
        <f aca="false">E220*(1+g_asp)</f>
        <v>1.3924</v>
      </c>
      <c r="G220" s="19" t="n">
        <f aca="false">F220*(1+g_asp)</f>
        <v>1.643032</v>
      </c>
      <c r="K220" s="7" t="s">
        <v>592</v>
      </c>
    </row>
    <row r="221" customFormat="false" ht="17.15" hidden="false" customHeight="false" outlineLevel="0" collapsed="false">
      <c r="A221" s="0" t="s">
        <v>593</v>
      </c>
      <c r="B221" s="0" t="s">
        <v>144</v>
      </c>
      <c r="D221" s="18" t="n">
        <f aca="false">1</f>
        <v>1</v>
      </c>
      <c r="E221" s="18" t="n">
        <f aca="false">ibpp_27</f>
        <v>1</v>
      </c>
      <c r="F221" s="18" t="n">
        <f aca="false">ibpp_28</f>
        <v>0.95</v>
      </c>
      <c r="G221" s="18" t="n">
        <f aca="false">ibpp_29</f>
        <v>0.9</v>
      </c>
      <c r="K221" s="7" t="s">
        <v>594</v>
      </c>
    </row>
    <row r="222" customFormat="false" ht="17.15" hidden="false" customHeight="false" outlineLevel="0" collapsed="false">
      <c r="A222" s="3" t="s">
        <v>595</v>
      </c>
      <c r="B222" s="0" t="s">
        <v>144</v>
      </c>
      <c r="D222" s="18" t="n">
        <f aca="false">1</f>
        <v>1</v>
      </c>
      <c r="E222" s="18" t="n">
        <f aca="false">1+carry</f>
        <v>1.05</v>
      </c>
      <c r="F222" s="18" t="n">
        <f aca="false">1+carry</f>
        <v>1.05</v>
      </c>
      <c r="G222" s="18" t="n">
        <f aca="false">1+carry</f>
        <v>1.05</v>
      </c>
      <c r="K222" s="7" t="s">
        <v>596</v>
      </c>
    </row>
    <row r="223" customFormat="false" ht="17.15" hidden="false" customHeight="false" outlineLevel="0" collapsed="false">
      <c r="A223" s="3" t="s">
        <v>597</v>
      </c>
      <c r="B223" s="0" t="s">
        <v>598</v>
      </c>
      <c r="D223" s="23" t="n">
        <f aca="false">v26*D220*D221</f>
        <v>215.308596</v>
      </c>
      <c r="E223" s="23" t="n">
        <f aca="false">v26*E220*E221</f>
        <v>254.06414328</v>
      </c>
      <c r="F223" s="23" t="n">
        <f aca="false">v26*F220*F221</f>
        <v>284.80590461688</v>
      </c>
      <c r="G223" s="23" t="n">
        <f aca="false">v26*G220*G221</f>
        <v>318.383021792765</v>
      </c>
      <c r="K223" s="7" t="s">
        <v>599</v>
      </c>
    </row>
    <row r="224" customFormat="false" ht="17.15" hidden="false" customHeight="false" outlineLevel="0" collapsed="false">
      <c r="A224" s="3" t="s">
        <v>600</v>
      </c>
      <c r="B224" s="0" t="s">
        <v>44</v>
      </c>
      <c r="D224" s="20" t="n">
        <f aca="false">sh_nv_26</f>
        <v>0.25</v>
      </c>
      <c r="E224" s="20" t="n">
        <f aca="false">sh_nv_27</f>
        <v>0.27</v>
      </c>
      <c r="F224" s="20" t="n">
        <f aca="false">sh_nv_28</f>
        <v>0.29</v>
      </c>
      <c r="G224" s="20" t="n">
        <f aca="false">sh_nv_29</f>
        <v>0.3</v>
      </c>
    </row>
    <row r="225" customFormat="false" ht="17.15" hidden="false" customHeight="false" outlineLevel="0" collapsed="false">
      <c r="A225" s="3" t="s">
        <v>601</v>
      </c>
      <c r="B225" s="0" t="s">
        <v>44</v>
      </c>
      <c r="D225" s="20" t="n">
        <f aca="false">sh_ot_26</f>
        <v>0.3</v>
      </c>
      <c r="E225" s="20" t="n">
        <f aca="false">sh_ot_27</f>
        <v>0.31</v>
      </c>
      <c r="F225" s="20" t="n">
        <f aca="false">sh_ot_28</f>
        <v>0.32</v>
      </c>
      <c r="G225" s="20" t="n">
        <f aca="false">sh_ot_29</f>
        <v>0.33</v>
      </c>
    </row>
    <row r="226" customFormat="false" ht="17.15" hidden="false" customHeight="false" outlineLevel="0" collapsed="false">
      <c r="A226" s="3" t="s">
        <v>602</v>
      </c>
      <c r="B226" s="0" t="s">
        <v>552</v>
      </c>
      <c r="D226" s="22" t="n">
        <f aca="false">(D218*D223*D224+D219*D223*v_ot*D225)*D222</f>
        <v>801.809211504</v>
      </c>
      <c r="E226" s="22" t="n">
        <f aca="false">(E218*E223*E224+E219*E223*v_ot*E225)*E222</f>
        <v>1624.8799315544</v>
      </c>
      <c r="F226" s="22" t="n">
        <f aca="false">(F218*F223*F224+F219*F223*v_ot*F225)*F222</f>
        <v>2125.32134231777</v>
      </c>
      <c r="G226" s="22" t="n">
        <f aca="false">(G218*G223*G224+G219*G223*v_ot*G225)*G222</f>
        <v>2788.4812844467</v>
      </c>
    </row>
    <row r="227" customFormat="false" ht="15" hidden="false" customHeight="false" outlineLevel="0" collapsed="false">
      <c r="A227" s="3" t="s">
        <v>603</v>
      </c>
      <c r="B227" s="0" t="s">
        <v>302</v>
      </c>
      <c r="D227" s="21" t="n">
        <f aca="false">D226*fx/1000</f>
        <v>26.05879937388</v>
      </c>
      <c r="E227" s="21" t="n">
        <f aca="false">E226*fx/1000</f>
        <v>52.8085977755181</v>
      </c>
      <c r="F227" s="21" t="n">
        <f aca="false">F226*fx/1000</f>
        <v>69.0729436253277</v>
      </c>
      <c r="G227" s="21" t="n">
        <f aca="false">G226*fx/1000</f>
        <v>90.6256417445177</v>
      </c>
    </row>
    <row r="228" customFormat="false" ht="17.15" hidden="false" customHeight="false" outlineLevel="0" collapsed="false">
      <c r="A228" s="5" t="s">
        <v>604</v>
      </c>
    </row>
    <row r="229" customFormat="false" ht="17.15" hidden="false" customHeight="false" outlineLevel="0" collapsed="false">
      <c r="A229" s="0" t="s">
        <v>605</v>
      </c>
      <c r="B229" s="0" t="s">
        <v>302</v>
      </c>
      <c r="D229" s="21" t="n">
        <f aca="false">a26_abf*ai_abf</f>
        <v>74.83672875</v>
      </c>
      <c r="K229" s="3" t="s">
        <v>606</v>
      </c>
    </row>
    <row r="230" customFormat="false" ht="17.15" hidden="false" customHeight="false" outlineLevel="0" collapsed="false">
      <c r="A230" s="3" t="s">
        <v>607</v>
      </c>
      <c r="B230" s="0" t="s">
        <v>302</v>
      </c>
      <c r="D230" s="21" t="n">
        <f aca="false">D229-D227</f>
        <v>48.77792937612</v>
      </c>
      <c r="E230" s="21" t="n">
        <f aca="false">$D230*(itc_27/itc_26)^el_o*1*1*E221*E222</f>
        <v>72.4686721045733</v>
      </c>
      <c r="F230" s="21" t="n">
        <f aca="false">$D230*(itc_28/itc_26)^el_o*um28_A*1*F221*F222</f>
        <v>77.5118128697435</v>
      </c>
      <c r="G230" s="21" t="n">
        <f aca="false">$D230*(itc_29/itc_26)^el_o*um29_A*1*G221*G222</f>
        <v>78.3752247962621</v>
      </c>
      <c r="K230" s="7" t="s">
        <v>608</v>
      </c>
    </row>
    <row r="231" customFormat="false" ht="17.15" hidden="false" customHeight="false" outlineLevel="0" collapsed="false">
      <c r="A231" s="3" t="s">
        <v>609</v>
      </c>
      <c r="B231" s="0" t="s">
        <v>302</v>
      </c>
      <c r="D231" s="21" t="n">
        <f aca="false">a26_abf-D229</f>
        <v>24.94557625</v>
      </c>
      <c r="E231" s="21" t="n">
        <f aca="false">D231*(1+g_nai)</f>
        <v>25.6939435375</v>
      </c>
      <c r="F231" s="21" t="n">
        <f aca="false">E231*(1+g_nai)</f>
        <v>26.464761843625</v>
      </c>
      <c r="G231" s="21" t="n">
        <f aca="false">F231*(1+g_nai)</f>
        <v>27.2587046989338</v>
      </c>
    </row>
    <row r="232" customFormat="false" ht="17.15" hidden="false" customHeight="false" outlineLevel="0" collapsed="false">
      <c r="A232" s="0" t="s">
        <v>610</v>
      </c>
      <c r="B232" s="0" t="s">
        <v>302</v>
      </c>
      <c r="D232" s="21" t="n">
        <f aca="false">D227+D230+D231</f>
        <v>99.782305</v>
      </c>
      <c r="E232" s="21" t="n">
        <f aca="false">E227+E230+E231</f>
        <v>150.971213417591</v>
      </c>
      <c r="F232" s="21" t="n">
        <f aca="false">F227+F230+F231</f>
        <v>173.049518338696</v>
      </c>
      <c r="G232" s="21" t="n">
        <f aca="false">G227+G230+G231</f>
        <v>196.259571239714</v>
      </c>
    </row>
    <row r="233" customFormat="false" ht="17.15" hidden="false" customHeight="false" outlineLevel="0" collapsed="false">
      <c r="A233" s="0" t="s">
        <v>611</v>
      </c>
      <c r="B233" s="0" t="s">
        <v>302</v>
      </c>
      <c r="D233" s="21" t="n">
        <f aca="false">a26_abf</f>
        <v>99.782305</v>
      </c>
      <c r="E233" s="21" t="n">
        <f aca="false">$D232*cap_27_hi*(1+g_mix)^1*E221*E222</f>
        <v>159.514487330625</v>
      </c>
      <c r="F233" s="21" t="n">
        <f aca="false">$D232*cap_28_hi*(1+g_mix)^2*F221*F222</f>
        <v>208.496435940253</v>
      </c>
      <c r="G233" s="21" t="n">
        <f aca="false">$D232*cap_29_hi*(1+g_mix)^3*G221*G222</f>
        <v>251.062051809496</v>
      </c>
      <c r="K233" s="7" t="s">
        <v>612</v>
      </c>
    </row>
    <row r="234" customFormat="false" ht="17.15" hidden="false" customHeight="false" outlineLevel="0" collapsed="false">
      <c r="A234" s="0" t="s">
        <v>613</v>
      </c>
      <c r="B234" s="0" t="s">
        <v>302</v>
      </c>
      <c r="D234" s="21" t="n">
        <f aca="false">a26_abf</f>
        <v>99.782305</v>
      </c>
      <c r="E234" s="21" t="n">
        <f aca="false">MIN(E232,E233)</f>
        <v>150.971213417591</v>
      </c>
      <c r="F234" s="21" t="n">
        <f aca="false">MIN(F232,F233)</f>
        <v>173.049518338696</v>
      </c>
      <c r="G234" s="21" t="n">
        <f aca="false">MIN(G232,G233)</f>
        <v>196.259571239714</v>
      </c>
    </row>
    <row r="235" customFormat="false" ht="17.15" hidden="false" customHeight="false" outlineLevel="0" collapsed="false">
      <c r="A235" s="3" t="s">
        <v>614</v>
      </c>
      <c r="B235" s="0" t="s">
        <v>44</v>
      </c>
      <c r="D235" s="20" t="n">
        <f aca="false">D234/D232</f>
        <v>1</v>
      </c>
      <c r="E235" s="20" t="n">
        <f aca="false">E234/E232</f>
        <v>1</v>
      </c>
      <c r="F235" s="20" t="n">
        <f aca="false">F234/F232</f>
        <v>1</v>
      </c>
      <c r="G235" s="20" t="n">
        <f aca="false">G234/G232</f>
        <v>1</v>
      </c>
    </row>
    <row r="236" customFormat="false" ht="17.15" hidden="false" customHeight="false" outlineLevel="0" collapsed="false">
      <c r="A236" s="0" t="s">
        <v>615</v>
      </c>
      <c r="B236" s="0" t="s">
        <v>302</v>
      </c>
      <c r="D236" s="21" t="n">
        <f aca="false">(D227+D230)*D235</f>
        <v>74.83672875</v>
      </c>
      <c r="E236" s="21" t="n">
        <f aca="false">(E227+E230)*E235</f>
        <v>125.277269880091</v>
      </c>
      <c r="F236" s="21" t="n">
        <f aca="false">(F227+F230)*F235</f>
        <v>146.584756495071</v>
      </c>
      <c r="G236" s="21" t="n">
        <f aca="false">(G227+G230)*G235</f>
        <v>169.00086654078</v>
      </c>
    </row>
    <row r="237" customFormat="false" ht="17.15" hidden="false" customHeight="false" outlineLevel="0" collapsed="false">
      <c r="A237" s="3" t="s">
        <v>616</v>
      </c>
      <c r="B237" s="0" t="s">
        <v>44</v>
      </c>
      <c r="D237" s="20" t="n">
        <f aca="false">D227/(D227+D230)</f>
        <v>0.348208691228771</v>
      </c>
      <c r="E237" s="20" t="n">
        <f aca="false">E227/(E227+E230)</f>
        <v>0.421533753298293</v>
      </c>
      <c r="F237" s="20" t="n">
        <f aca="false">F227/(F227+F230)</f>
        <v>0.471215051802813</v>
      </c>
      <c r="G237" s="20" t="n">
        <f aca="false">G227/(G227+G230)</f>
        <v>0.536243651287136</v>
      </c>
    </row>
    <row r="238" customFormat="false" ht="17.15" hidden="false" customHeight="false" outlineLevel="0" collapsed="false">
      <c r="A238" s="5" t="s">
        <v>617</v>
      </c>
    </row>
    <row r="239" customFormat="false" ht="17.15" hidden="false" customHeight="false" outlineLevel="0" collapsed="false">
      <c r="A239" s="0" t="s">
        <v>519</v>
      </c>
      <c r="B239" s="0" t="s">
        <v>302</v>
      </c>
      <c r="D239" s="21" t="n">
        <f aca="false">a26_bt</f>
        <v>16.944165</v>
      </c>
      <c r="E239" s="21" t="n">
        <f aca="false">D239*(1+g_bt)</f>
        <v>17.79137325</v>
      </c>
      <c r="F239" s="21" t="n">
        <f aca="false">E239*(1+g_bt)</f>
        <v>18.6809419125</v>
      </c>
      <c r="G239" s="21" t="n">
        <f aca="false">F239*(1+g_bt)</f>
        <v>19.614989008125</v>
      </c>
    </row>
    <row r="240" customFormat="false" ht="17.15" hidden="false" customHeight="false" outlineLevel="0" collapsed="false">
      <c r="A240" s="0" t="s">
        <v>618</v>
      </c>
      <c r="B240" s="0" t="s">
        <v>302</v>
      </c>
      <c r="D240" s="21" t="n">
        <f aca="false">a26_pcb*ai_pcb</f>
        <v>37.93610275</v>
      </c>
      <c r="E240" s="21" t="n">
        <f aca="false">D240*(1+g_pai_27)</f>
        <v>45.5233233</v>
      </c>
      <c r="F240" s="21" t="n">
        <f aca="false">D240*(1+g_pai_27)*(1+g_pai_28)*um28_A</f>
        <v>52.351821795</v>
      </c>
      <c r="G240" s="21" t="n">
        <f aca="false">D240*(1+g_pai_27)*(1+g_pai_28)*(1+g_pai_29)*um29_A</f>
        <v>57.5870039745</v>
      </c>
      <c r="K240" s="3" t="s">
        <v>619</v>
      </c>
    </row>
    <row r="241" customFormat="false" ht="17.15" hidden="false" customHeight="false" outlineLevel="0" collapsed="false">
      <c r="A241" s="3" t="s">
        <v>620</v>
      </c>
      <c r="B241" s="0" t="s">
        <v>302</v>
      </c>
      <c r="D241" s="21" t="n">
        <f aca="false">a26_pcb*(1-ai_pcb)</f>
        <v>20.42713225</v>
      </c>
      <c r="E241" s="21" t="n">
        <f aca="false">D241*(1+g_pcbn)</f>
        <v>20.835674895</v>
      </c>
      <c r="F241" s="21" t="n">
        <f aca="false">E241*(1+g_pcbn)</f>
        <v>21.2523883929</v>
      </c>
      <c r="G241" s="21" t="n">
        <f aca="false">F241*(1+g_pcbn)</f>
        <v>21.677436160758</v>
      </c>
    </row>
    <row r="242" customFormat="false" ht="15" hidden="false" customHeight="false" outlineLevel="0" collapsed="false">
      <c r="A242" s="3" t="s">
        <v>521</v>
      </c>
      <c r="B242" s="0" t="s">
        <v>302</v>
      </c>
      <c r="D242" s="21" t="n">
        <f aca="false">a26_fpc</f>
        <v>13.178795</v>
      </c>
      <c r="E242" s="21" t="n">
        <f aca="false">D242*(1+g_fpc)</f>
        <v>13.178795</v>
      </c>
      <c r="F242" s="21" t="n">
        <f aca="false">E242*(1+g_fpc)</f>
        <v>13.178795</v>
      </c>
      <c r="G242" s="21" t="n">
        <f aca="false">F242*(1+g_fpc)</f>
        <v>13.178795</v>
      </c>
    </row>
    <row r="243" customFormat="false" ht="17.15" hidden="false" customHeight="false" outlineLevel="0" collapsed="false">
      <c r="A243" s="3" t="s">
        <v>484</v>
      </c>
      <c r="B243" s="0" t="s">
        <v>302</v>
      </c>
      <c r="C243" s="23" t="n">
        <f aca="false">a25_rev</f>
        <v>131.241</v>
      </c>
      <c r="D243" s="23" t="n">
        <f aca="false">D234+D239+D240+D241+D242</f>
        <v>188.2685</v>
      </c>
      <c r="E243" s="23" t="n">
        <f aca="false">E234+E239+E240+E241+E242</f>
        <v>248.300379862591</v>
      </c>
      <c r="F243" s="23" t="n">
        <f aca="false">F234+F239+F240+F241+F242</f>
        <v>278.513465439096</v>
      </c>
      <c r="G243" s="23" t="n">
        <f aca="false">G234+G239+G240+G241+G242</f>
        <v>308.317795383097</v>
      </c>
      <c r="H243" s="25" t="n">
        <f aca="false">G243*(1+H244)</f>
        <v>336.479988575722</v>
      </c>
      <c r="I243" s="25" t="n">
        <f aca="false">H243*(1+I244)</f>
        <v>361.941672550702</v>
      </c>
      <c r="J243" s="25" t="n">
        <f aca="false">I243*(1+J244)</f>
        <v>383.658172903744</v>
      </c>
      <c r="K243" s="7" t="s">
        <v>621</v>
      </c>
    </row>
    <row r="244" customFormat="false" ht="15" hidden="false" customHeight="false" outlineLevel="0" collapsed="false">
      <c r="A244" s="3" t="s">
        <v>622</v>
      </c>
      <c r="B244" s="0" t="s">
        <v>44</v>
      </c>
      <c r="D244" s="20" t="n">
        <f aca="false">D243/C243-1</f>
        <v>0.434525034097576</v>
      </c>
      <c r="E244" s="20" t="n">
        <f aca="false">E243/D243-1</f>
        <v>0.318863112324108</v>
      </c>
      <c r="F244" s="20" t="n">
        <f aca="false">F243/E243-1</f>
        <v>0.121679578554107</v>
      </c>
      <c r="G244" s="20" t="n">
        <f aca="false">G243/F243-1</f>
        <v>0.107012168682803</v>
      </c>
      <c r="H244" s="26" t="n">
        <f aca="false">$G244+(fade_gA-$G244)*1/3</f>
        <v>0.091341445788535</v>
      </c>
      <c r="I244" s="26" t="n">
        <f aca="false">$G244+(fade_gA-$G244)*2/3</f>
        <v>0.0756707228942675</v>
      </c>
      <c r="J244" s="26" t="n">
        <f aca="false">$G244+(fade_gA-$G244)*3/3</f>
        <v>0.06</v>
      </c>
    </row>
    <row r="245" customFormat="false" ht="17.15" hidden="false" customHeight="false" outlineLevel="0" collapsed="false">
      <c r="A245" s="0" t="s">
        <v>623</v>
      </c>
      <c r="B245" s="0" t="s">
        <v>44</v>
      </c>
      <c r="D245" s="20" t="n">
        <f aca="false">D234/D243</f>
        <v>0.53</v>
      </c>
      <c r="E245" s="20" t="n">
        <f aca="false">E234/E243</f>
        <v>0.608018455312627</v>
      </c>
      <c r="F245" s="20" t="n">
        <f aca="false">F234/F243</f>
        <v>0.62133268158461</v>
      </c>
      <c r="G245" s="20" t="n">
        <f aca="false">G234/G243</f>
        <v>0.636549606213464</v>
      </c>
    </row>
    <row r="246" customFormat="false" ht="17.15" hidden="false" customHeight="false" outlineLevel="0" collapsed="false">
      <c r="A246" s="0" t="s">
        <v>624</v>
      </c>
      <c r="B246" s="0" t="s">
        <v>44</v>
      </c>
      <c r="D246" s="20" t="n">
        <f aca="false">(D236+D240)/D243</f>
        <v>0.599</v>
      </c>
      <c r="E246" s="20" t="n">
        <f aca="false">(E236+E240)/E243</f>
        <v>0.687878904070191</v>
      </c>
      <c r="F246" s="20" t="n">
        <f aca="false">(F236+F240)/F243</f>
        <v>0.714279928894761</v>
      </c>
      <c r="G246" s="20" t="n">
        <f aca="false">(G236+G240)/G243</f>
        <v>0.734916614961312</v>
      </c>
      <c r="K246" s="3" t="s">
        <v>625</v>
      </c>
    </row>
    <row r="247" customFormat="false" ht="17.15" hidden="false" customHeight="false" outlineLevel="0" collapsed="false">
      <c r="A247" s="5" t="s">
        <v>626</v>
      </c>
    </row>
    <row r="248" customFormat="false" ht="15" hidden="false" customHeight="false" outlineLevel="0" collapsed="false">
      <c r="A248" s="3" t="s">
        <v>627</v>
      </c>
      <c r="B248" s="0" t="s">
        <v>302</v>
      </c>
      <c r="C248" s="23" t="n">
        <f aca="false">a25_cx</f>
        <v>25.617</v>
      </c>
      <c r="D248" s="23" t="n">
        <f aca="false">capex26</f>
        <v>53.7</v>
      </c>
      <c r="E248" s="23" t="n">
        <f aca="false">cx27_A</f>
        <v>55</v>
      </c>
      <c r="F248" s="23" t="n">
        <f aca="false">cx28_A</f>
        <v>50</v>
      </c>
      <c r="G248" s="23" t="n">
        <f aca="false">cx29_A</f>
        <v>45</v>
      </c>
      <c r="H248" s="25" t="n">
        <f aca="false">H243*H265</f>
        <v>46.0773449344368</v>
      </c>
      <c r="I248" s="25" t="n">
        <f aca="false">I243*I265</f>
        <v>46.301519983136</v>
      </c>
      <c r="J248" s="25" t="n">
        <f aca="false">J243*J265</f>
        <v>45.6213283734937</v>
      </c>
    </row>
    <row r="249" customFormat="false" ht="17.15" hidden="false" customHeight="false" outlineLevel="0" collapsed="false">
      <c r="A249" s="3" t="s">
        <v>628</v>
      </c>
      <c r="B249" s="0" t="s">
        <v>302</v>
      </c>
      <c r="C249" s="23" t="n">
        <f aca="false">a25_da</f>
        <v>18.8</v>
      </c>
      <c r="D249" s="23" t="n">
        <f aca="false">da26</f>
        <v>20.8</v>
      </c>
      <c r="E249" s="23" t="n">
        <f aca="false">D249*(1-1/life)+D248/life</f>
        <v>24.9125</v>
      </c>
      <c r="F249" s="23" t="n">
        <f aca="false">E249*(1-1/life)+E248/life</f>
        <v>28.6734375</v>
      </c>
      <c r="G249" s="23" t="n">
        <f aca="false">F249*(1-1/life)+F248/life</f>
        <v>31.3392578125</v>
      </c>
      <c r="H249" s="25" t="n">
        <f aca="false">H243*H250</f>
        <v>34.2018309310334</v>
      </c>
      <c r="I249" s="25" t="n">
        <f aca="false">I243*I250</f>
        <v>36.7899082018922</v>
      </c>
      <c r="J249" s="25" t="n">
        <f aca="false">J243*J250</f>
        <v>38.9973026940057</v>
      </c>
      <c r="K249" s="3" t="s">
        <v>629</v>
      </c>
    </row>
    <row r="250" customFormat="false" ht="17.15" hidden="false" customHeight="false" outlineLevel="0" collapsed="false">
      <c r="A250" s="3" t="s">
        <v>630</v>
      </c>
      <c r="B250" s="0" t="s">
        <v>44</v>
      </c>
      <c r="C250" s="20" t="n">
        <f aca="false">C249/C243</f>
        <v>0.143247917952469</v>
      </c>
      <c r="D250" s="20" t="n">
        <f aca="false">D249/D243</f>
        <v>0.110480510547436</v>
      </c>
      <c r="E250" s="20" t="n">
        <f aca="false">E249/E243</f>
        <v>0.100332105870263</v>
      </c>
      <c r="F250" s="20" t="n">
        <f aca="false">F249/F243</f>
        <v>0.102951709910307</v>
      </c>
      <c r="G250" s="20" t="n">
        <f aca="false">G249/G243</f>
        <v>0.101645958429223</v>
      </c>
      <c r="H250" s="26" t="n">
        <f aca="false">$G250</f>
        <v>0.101645958429223</v>
      </c>
      <c r="I250" s="26" t="n">
        <f aca="false">$G250</f>
        <v>0.101645958429223</v>
      </c>
      <c r="J250" s="26" t="n">
        <f aca="false">$G250</f>
        <v>0.101645958429223</v>
      </c>
    </row>
    <row r="251" customFormat="false" ht="17.15" hidden="false" customHeight="false" outlineLevel="0" collapsed="false">
      <c r="A251" s="3" t="s">
        <v>631</v>
      </c>
      <c r="B251" s="0" t="s">
        <v>302</v>
      </c>
      <c r="E251" s="21" t="n">
        <f aca="false">E236*(1-1/(E221*E222))</f>
        <v>5.96558428000436</v>
      </c>
      <c r="F251" s="21" t="n">
        <f aca="false">F236*(1-1/(F221*F222))</f>
        <v>-0.367380342092935</v>
      </c>
      <c r="G251" s="21" t="n">
        <f aca="false">G236*(1-1/(G221*G222))</f>
        <v>-9.83602926956918</v>
      </c>
      <c r="K251" s="7" t="s">
        <v>632</v>
      </c>
    </row>
    <row r="252" customFormat="false" ht="17.15" hidden="false" customHeight="false" outlineLevel="0" collapsed="false">
      <c r="A252" s="3" t="s">
        <v>633</v>
      </c>
      <c r="B252" s="0" t="s">
        <v>302</v>
      </c>
      <c r="C252" s="21" t="n">
        <f aca="false">a25_gp</f>
        <v>18.292</v>
      </c>
      <c r="D252" s="21" t="n">
        <f aca="false">a26_gp</f>
        <v>47.3329657</v>
      </c>
      <c r="E252" s="21" t="n">
        <f aca="false">$D252+ft_abf*(E234-E251-$D234)+ft_oth*((E243-E234)-($D243-$D234))+E251-(E249-$D249)</f>
        <v>74.0084549100479</v>
      </c>
      <c r="F252" s="21" t="n">
        <f aca="false">$D252+ft_abf*(F234-F251-$D234)+ft_oth*((F243-F234)-($D243-$D234))+F251-(F249-$D249)</f>
        <v>80.1538827234016</v>
      </c>
      <c r="G252" s="21" t="n">
        <f aca="false">$D252+ft_abf*(G234-G251-$D234)+ft_oth*((G243-G234)-($D243-$D234))+G251-(G249-$D249)</f>
        <v>86.0073336584179</v>
      </c>
      <c r="K252" s="3" t="s">
        <v>634</v>
      </c>
    </row>
    <row r="253" customFormat="false" ht="15" hidden="false" customHeight="false" outlineLevel="0" collapsed="false">
      <c r="A253" s="3" t="s">
        <v>491</v>
      </c>
      <c r="B253" s="0" t="s">
        <v>44</v>
      </c>
      <c r="C253" s="16" t="n">
        <f aca="false">C252/C243</f>
        <v>0.139377176339711</v>
      </c>
      <c r="D253" s="16" t="n">
        <f aca="false">D252/D243</f>
        <v>0.251412029627899</v>
      </c>
      <c r="E253" s="16" t="n">
        <f aca="false">E252/E243</f>
        <v>0.298060175949002</v>
      </c>
      <c r="F253" s="16" t="n">
        <f aca="false">F252/F243</f>
        <v>0.287791768333475</v>
      </c>
      <c r="G253" s="16" t="n">
        <f aca="false">G252/G243</f>
        <v>0.278956761323331</v>
      </c>
    </row>
    <row r="254" customFormat="false" ht="15" hidden="false" customHeight="false" outlineLevel="0" collapsed="false">
      <c r="A254" s="3" t="s">
        <v>493</v>
      </c>
      <c r="B254" s="0" t="s">
        <v>302</v>
      </c>
      <c r="C254" s="21" t="n">
        <f aca="false">a25_opx</f>
        <v>11.618</v>
      </c>
      <c r="D254" s="21" t="n">
        <f aca="false">a26_opx</f>
        <v>16.6539532</v>
      </c>
      <c r="E254" s="21" t="n">
        <f aca="false">D254*(1+phi*E244)</f>
        <v>19.8401520099112</v>
      </c>
      <c r="F254" s="21" t="n">
        <f aca="false">E254*(1+phi*F244)</f>
        <v>21.2886368109205</v>
      </c>
      <c r="G254" s="21" t="n">
        <f aca="false">F254*(1+phi*G244)</f>
        <v>22.6555227269828</v>
      </c>
    </row>
    <row r="255" customFormat="false" ht="15" hidden="false" customHeight="false" outlineLevel="0" collapsed="false">
      <c r="A255" s="3" t="s">
        <v>496</v>
      </c>
      <c r="B255" s="0" t="s">
        <v>302</v>
      </c>
      <c r="C255" s="21" t="n">
        <f aca="false">C252-C254</f>
        <v>6.674</v>
      </c>
      <c r="D255" s="21" t="n">
        <f aca="false">D252-D254</f>
        <v>30.6790125</v>
      </c>
      <c r="E255" s="21" t="n">
        <f aca="false">E252-E254</f>
        <v>54.1683029001367</v>
      </c>
      <c r="F255" s="21" t="n">
        <f aca="false">F252-F254</f>
        <v>58.8652459124811</v>
      </c>
      <c r="G255" s="21" t="n">
        <f aca="false">G252-G254</f>
        <v>63.3518109314352</v>
      </c>
    </row>
    <row r="256" customFormat="false" ht="15" hidden="false" customHeight="false" outlineLevel="0" collapsed="false">
      <c r="A256" s="3" t="s">
        <v>575</v>
      </c>
      <c r="B256" s="0" t="s">
        <v>44</v>
      </c>
      <c r="C256" s="16" t="n">
        <f aca="false">C255/C243</f>
        <v>0.0508530108731265</v>
      </c>
      <c r="D256" s="16" t="n">
        <f aca="false">D255/D243</f>
        <v>0.162953507888999</v>
      </c>
      <c r="E256" s="16" t="n">
        <f aca="false">E255/E243</f>
        <v>0.218156343256958</v>
      </c>
      <c r="F256" s="16" t="n">
        <f aca="false">F255/F243</f>
        <v>0.211355116420227</v>
      </c>
      <c r="G256" s="16" t="n">
        <f aca="false">G255/G243</f>
        <v>0.205475687359266</v>
      </c>
    </row>
    <row r="257" customFormat="false" ht="17.15" hidden="false" customHeight="false" outlineLevel="0" collapsed="false">
      <c r="A257" s="3" t="s">
        <v>635</v>
      </c>
      <c r="B257" s="0" t="s">
        <v>302</v>
      </c>
      <c r="C257" s="21" t="n">
        <f aca="false">a25_nonop</f>
        <v>-0.00100000000000033</v>
      </c>
      <c r="D257" s="21" t="n">
        <f aca="false">a26_nonop</f>
        <v>14.466</v>
      </c>
      <c r="E257" s="21" t="n">
        <f aca="false">nonop27</f>
        <v>2</v>
      </c>
      <c r="F257" s="21" t="n">
        <f aca="false">nonop28</f>
        <v>2</v>
      </c>
      <c r="G257" s="21" t="n">
        <f aca="false">nonop29</f>
        <v>2</v>
      </c>
      <c r="K257" s="7" t="s">
        <v>636</v>
      </c>
    </row>
    <row r="258" customFormat="false" ht="15" hidden="false" customHeight="false" outlineLevel="0" collapsed="false">
      <c r="A258" s="3" t="s">
        <v>502</v>
      </c>
      <c r="B258" s="0" t="s">
        <v>302</v>
      </c>
      <c r="C258" s="21" t="n">
        <f aca="false">C255+C257</f>
        <v>6.673</v>
      </c>
      <c r="D258" s="21" t="n">
        <f aca="false">D255+D257</f>
        <v>45.1450125</v>
      </c>
      <c r="E258" s="21" t="n">
        <f aca="false">E255+E257</f>
        <v>56.1683029001367</v>
      </c>
      <c r="F258" s="21" t="n">
        <f aca="false">F255+F257</f>
        <v>60.8652459124811</v>
      </c>
      <c r="G258" s="21" t="n">
        <f aca="false">G255+G257</f>
        <v>65.3518109314352</v>
      </c>
    </row>
    <row r="259" customFormat="false" ht="15" hidden="false" customHeight="false" outlineLevel="0" collapsed="false">
      <c r="A259" s="3" t="s">
        <v>506</v>
      </c>
      <c r="B259" s="0" t="s">
        <v>302</v>
      </c>
      <c r="E259" s="21" t="n">
        <f aca="false">E258*tax</f>
        <v>10.1102945220246</v>
      </c>
      <c r="F259" s="21" t="n">
        <f aca="false">F258*tax</f>
        <v>10.9557442642466</v>
      </c>
      <c r="G259" s="21" t="n">
        <f aca="false">G258*tax</f>
        <v>11.7633259676583</v>
      </c>
    </row>
    <row r="260" customFormat="false" ht="15" hidden="false" customHeight="false" outlineLevel="0" collapsed="false">
      <c r="A260" s="3" t="s">
        <v>504</v>
      </c>
      <c r="B260" s="0" t="s">
        <v>302</v>
      </c>
      <c r="C260" s="21" t="n">
        <f aca="false">a25_ni</f>
        <v>6.673</v>
      </c>
      <c r="D260" s="21" t="n">
        <f aca="false">a26_ni</f>
        <v>37.23923025</v>
      </c>
      <c r="E260" s="21" t="n">
        <f aca="false">E258-E259</f>
        <v>46.0580083781121</v>
      </c>
      <c r="F260" s="21" t="n">
        <f aca="false">F258-F259</f>
        <v>49.9095016482345</v>
      </c>
      <c r="G260" s="21" t="n">
        <f aca="false">G258-G259</f>
        <v>53.5884849637768</v>
      </c>
      <c r="H260" s="30" t="n">
        <f aca="false">H243*H264</f>
        <v>58.4856703025279</v>
      </c>
      <c r="I260" s="30" t="n">
        <f aca="false">I243*I264</f>
        <v>62.9138356377295</v>
      </c>
      <c r="J260" s="30" t="n">
        <f aca="false">J243*J264</f>
        <v>66.691328903514</v>
      </c>
    </row>
    <row r="261" customFormat="false" ht="15" hidden="false" customHeight="false" outlineLevel="0" collapsed="false">
      <c r="A261" s="3" t="s">
        <v>637</v>
      </c>
      <c r="B261" s="3" t="s">
        <v>380</v>
      </c>
      <c r="C261" s="29" t="n">
        <f aca="false">a25_sh</f>
        <v>1.52351598173516</v>
      </c>
      <c r="D261" s="29" t="n">
        <f aca="false">a26_sh</f>
        <v>1.59236316568047</v>
      </c>
      <c r="E261" s="29" t="n">
        <f aca="false">a26_shend*(1+sh_g)</f>
        <v>1.64</v>
      </c>
      <c r="F261" s="29" t="n">
        <f aca="false">E261*(1+sh_g)</f>
        <v>1.64</v>
      </c>
      <c r="G261" s="29" t="n">
        <f aca="false">F261*(1+sh_g)</f>
        <v>1.64</v>
      </c>
      <c r="H261" s="31" t="n">
        <f aca="false">G261*(1+sh_g)</f>
        <v>1.64</v>
      </c>
      <c r="I261" s="31" t="n">
        <f aca="false">H261*(1+sh_g)</f>
        <v>1.64</v>
      </c>
      <c r="J261" s="31" t="n">
        <f aca="false">I261*(1+sh_g)</f>
        <v>1.64</v>
      </c>
    </row>
    <row r="262" customFormat="false" ht="17.15" hidden="false" customHeight="false" outlineLevel="0" collapsed="false">
      <c r="A262" s="0" t="s">
        <v>509</v>
      </c>
      <c r="B262" s="0" t="s">
        <v>386</v>
      </c>
      <c r="C262" s="18" t="n">
        <f aca="false">C260/C261</f>
        <v>4.38</v>
      </c>
      <c r="D262" s="18" t="n">
        <f aca="false">D260/D261</f>
        <v>23.3861414610695</v>
      </c>
      <c r="E262" s="18" t="n">
        <f aca="false">E260/E261</f>
        <v>28.0841514500683</v>
      </c>
      <c r="F262" s="18" t="n">
        <f aca="false">F260/F261</f>
        <v>30.4326229562406</v>
      </c>
      <c r="G262" s="18" t="n">
        <f aca="false">G260/G261</f>
        <v>32.6759054657176</v>
      </c>
      <c r="H262" s="28" t="n">
        <f aca="false">H260/H261</f>
        <v>35.6619940869073</v>
      </c>
      <c r="I262" s="28" t="n">
        <f aca="false">I260/I261</f>
        <v>38.3620949010546</v>
      </c>
      <c r="J262" s="28" t="n">
        <f aca="false">J260/J261</f>
        <v>40.6654444533622</v>
      </c>
    </row>
    <row r="263" customFormat="false" ht="17.15" hidden="false" customHeight="false" outlineLevel="0" collapsed="false">
      <c r="A263" s="0" t="s">
        <v>638</v>
      </c>
      <c r="B263" s="0" t="s">
        <v>44</v>
      </c>
      <c r="D263" s="20" t="n">
        <f aca="false">D262/C262-1</f>
        <v>4.33930170344053</v>
      </c>
      <c r="E263" s="20" t="n">
        <f aca="false">E262/D262-1</f>
        <v>0.20088863298888</v>
      </c>
      <c r="F263" s="20" t="n">
        <f aca="false">F262/E262-1</f>
        <v>0.0836226620678802</v>
      </c>
      <c r="G263" s="20" t="n">
        <f aca="false">G262/F262-1</f>
        <v>0.073713084563978</v>
      </c>
      <c r="H263" s="26" t="n">
        <f aca="false">H262/G262-1</f>
        <v>0.0913850306098663</v>
      </c>
      <c r="I263" s="26" t="n">
        <f aca="false">I262/H262-1</f>
        <v>0.0757136801595346</v>
      </c>
      <c r="J263" s="26" t="n">
        <f aca="false">J262/I262-1</f>
        <v>0.0600423297593242</v>
      </c>
    </row>
    <row r="264" customFormat="false" ht="17.15" hidden="false" customHeight="false" outlineLevel="0" collapsed="false">
      <c r="A264" s="3" t="s">
        <v>639</v>
      </c>
      <c r="B264" s="0" t="s">
        <v>44</v>
      </c>
      <c r="C264" s="16" t="n">
        <f aca="false">C260/C243</f>
        <v>0.0508453913030227</v>
      </c>
      <c r="D264" s="16" t="n">
        <f aca="false">D260/D243</f>
        <v>0.197798517808343</v>
      </c>
      <c r="E264" s="16" t="n">
        <f aca="false">E260/E243</f>
        <v>0.185493104777369</v>
      </c>
      <c r="F264" s="16" t="n">
        <f aca="false">F260/F243</f>
        <v>0.179199600168519</v>
      </c>
      <c r="G264" s="16" t="n">
        <f aca="false">G260/G243</f>
        <v>0.173809250605179</v>
      </c>
      <c r="H264" s="27" t="n">
        <f aca="false">$G264+(fade_mA-$G264)*1/3</f>
        <v>0.173816192012162</v>
      </c>
      <c r="I264" s="27" t="n">
        <f aca="false">$G264+(fade_mA-$G264)*2/3</f>
        <v>0.173823133419146</v>
      </c>
      <c r="J264" s="27" t="n">
        <f aca="false">$G264+(fade_mA-$G264)*3/3</f>
        <v>0.17383007482613</v>
      </c>
    </row>
    <row r="265" customFormat="false" ht="17.15" hidden="false" customHeight="false" outlineLevel="0" collapsed="false">
      <c r="A265" s="3" t="s">
        <v>640</v>
      </c>
      <c r="B265" s="0" t="s">
        <v>44</v>
      </c>
      <c r="C265" s="20" t="n">
        <f aca="false">C248/C243</f>
        <v>0.195190527350447</v>
      </c>
      <c r="D265" s="20" t="n">
        <f aca="false">D248/D243</f>
        <v>0.285230933480641</v>
      </c>
      <c r="E265" s="20" t="n">
        <f aca="false">E248/E243</f>
        <v>0.221505903577098</v>
      </c>
      <c r="F265" s="20" t="n">
        <f aca="false">F248/F243</f>
        <v>0.179524533656466</v>
      </c>
      <c r="G265" s="20" t="n">
        <f aca="false">G248/G243</f>
        <v>0.145953301022037</v>
      </c>
      <c r="H265" s="26" t="n">
        <f aca="false">$G265+($G250*(1+tp_g)^(life/2)-$G265)*1/3</f>
        <v>0.136939332200635</v>
      </c>
      <c r="I265" s="26" t="n">
        <f aca="false">$G265+($G250*(1+tp_g)^(life/2)-$G265)*2/3</f>
        <v>0.127925363379233</v>
      </c>
      <c r="J265" s="26" t="n">
        <f aca="false">$G265+($G250*(1+tp_g)^(life/2)-$G265)*3/3</f>
        <v>0.118911394557831</v>
      </c>
      <c r="K265" s="7" t="s">
        <v>641</v>
      </c>
    </row>
    <row r="266" customFormat="false" ht="15" hidden="false" customHeight="false" outlineLevel="0" collapsed="false">
      <c r="A266" s="3" t="s">
        <v>642</v>
      </c>
      <c r="B266" s="0" t="s">
        <v>302</v>
      </c>
      <c r="E266" s="21" t="n">
        <f aca="false">E260+E249-E248</f>
        <v>15.9705083781121</v>
      </c>
      <c r="F266" s="21" t="n">
        <f aca="false">F260+F249-F248</f>
        <v>28.5829391482345</v>
      </c>
      <c r="G266" s="21" t="n">
        <f aca="false">G260+G249-G248</f>
        <v>39.9277427762768</v>
      </c>
      <c r="H266" s="30" t="n">
        <f aca="false">H260+H249-H248</f>
        <v>46.6101562991245</v>
      </c>
      <c r="I266" s="30" t="n">
        <f aca="false">I260+I249-I248</f>
        <v>53.4022238564858</v>
      </c>
      <c r="J266" s="30" t="n">
        <f aca="false">J260+J249-J248</f>
        <v>60.0673032240261</v>
      </c>
      <c r="K266" s="3" t="s">
        <v>643</v>
      </c>
    </row>
    <row r="267" customFormat="false" ht="15" hidden="false" customHeight="false" outlineLevel="0" collapsed="false">
      <c r="A267" s="3" t="s">
        <v>644</v>
      </c>
      <c r="B267" s="0" t="s">
        <v>386</v>
      </c>
      <c r="E267" s="18" t="n">
        <f aca="false">E266/E261</f>
        <v>9.73811486470248</v>
      </c>
      <c r="F267" s="18" t="n">
        <f aca="false">F266/F261</f>
        <v>17.4286214318503</v>
      </c>
      <c r="G267" s="18" t="n">
        <f aca="false">G266/G261</f>
        <v>24.346184619681</v>
      </c>
      <c r="H267" s="28" t="n">
        <f aca="false">H266/H261</f>
        <v>28.4208270116613</v>
      </c>
      <c r="I267" s="28" t="n">
        <f aca="false">I266/I261</f>
        <v>32.5623316198084</v>
      </c>
      <c r="J267" s="28" t="n">
        <f aca="false">J266/J261</f>
        <v>36.6264044048939</v>
      </c>
    </row>
    <row r="270" customFormat="false" ht="17.15" hidden="false" customHeight="false" outlineLevel="0" collapsed="false">
      <c r="A270" s="1" t="s">
        <v>948</v>
      </c>
    </row>
    <row r="271" customFormat="false" ht="17.15" hidden="false" customHeight="false" outlineLevel="0" collapsed="false">
      <c r="A271" s="4" t="s">
        <v>21</v>
      </c>
      <c r="B271" s="4" t="s">
        <v>22</v>
      </c>
      <c r="C271" s="13" t="s">
        <v>477</v>
      </c>
      <c r="D271" s="13" t="s">
        <v>562</v>
      </c>
      <c r="E271" s="13" t="s">
        <v>563</v>
      </c>
      <c r="F271" s="13" t="s">
        <v>564</v>
      </c>
      <c r="G271" s="13" t="s">
        <v>565</v>
      </c>
      <c r="H271" s="13" t="s">
        <v>566</v>
      </c>
      <c r="I271" s="13" t="s">
        <v>567</v>
      </c>
      <c r="J271" s="13" t="s">
        <v>568</v>
      </c>
      <c r="K271" s="4" t="s">
        <v>533</v>
      </c>
    </row>
    <row r="272" customFormat="false" ht="17.15" hidden="false" customHeight="false" outlineLevel="0" collapsed="false">
      <c r="A272" s="5" t="s">
        <v>586</v>
      </c>
    </row>
    <row r="273" customFormat="false" ht="17.15" hidden="false" customHeight="false" outlineLevel="0" collapsed="false">
      <c r="A273" s="0" t="s">
        <v>587</v>
      </c>
      <c r="B273" s="3" t="s">
        <v>32</v>
      </c>
      <c r="D273" s="21" t="n">
        <f aca="false">(u_bw_26+u_rb_26+u_ru_26+u_hp_26)*1</f>
        <v>7.6</v>
      </c>
      <c r="E273" s="21" t="n">
        <f aca="false">(u_bw_27+u_rb_27+u_ru_27+u_hp_27)*1*1</f>
        <v>9.7</v>
      </c>
      <c r="F273" s="21" t="n">
        <f aca="false">(u_bw_28+u_rb_28+u_ru_28+u_hp_28)*um28_A*1</f>
        <v>9.5</v>
      </c>
      <c r="G273" s="21" t="n">
        <f aca="false">(u_bw_28*(1+g29_bw)+u_rb_28*(1+g29_rb)+u_ru_28*(1+g29_ru)+u_hp_28*(1+g29_hp))*um29_A*1</f>
        <v>10.6</v>
      </c>
      <c r="K273" s="7" t="s">
        <v>588</v>
      </c>
    </row>
    <row r="274" customFormat="false" ht="17.15" hidden="false" customHeight="false" outlineLevel="0" collapsed="false">
      <c r="A274" s="3" t="s">
        <v>589</v>
      </c>
      <c r="B274" s="3" t="s">
        <v>32</v>
      </c>
      <c r="D274" s="21" t="n">
        <f aca="false">(u_amd_26+u_tpu_26+u_trn_26+u_oth_26)*1</f>
        <v>7.6</v>
      </c>
      <c r="E274" s="21" t="n">
        <f aca="false">(u_amd_27+u_tpu_27+u_trn_27+u_oth_27)*1*1</f>
        <v>14</v>
      </c>
      <c r="F274" s="21" t="n">
        <f aca="false">(u_amd_28+u_tpu_28+u_trn_28+u_oth_28)*um28_A*1</f>
        <v>17</v>
      </c>
      <c r="G274" s="21" t="n">
        <f aca="false">(u_amd_28*(1+g29_amd)+u_tpu_28*(1+g29_tpu)+u_trn_28*(1+g29_trn)+u_oth_28*(1+g29_oth))*um29_A*1</f>
        <v>19.55</v>
      </c>
      <c r="K274" s="7" t="s">
        <v>590</v>
      </c>
    </row>
    <row r="275" customFormat="false" ht="17.15" hidden="false" customHeight="false" outlineLevel="0" collapsed="false">
      <c r="A275" s="3" t="s">
        <v>591</v>
      </c>
      <c r="B275" s="0" t="s">
        <v>144</v>
      </c>
      <c r="D275" s="19" t="n">
        <f aca="false">1</f>
        <v>1</v>
      </c>
      <c r="E275" s="19" t="n">
        <f aca="false">D275*(1+g_asp)</f>
        <v>1.18</v>
      </c>
      <c r="F275" s="19" t="n">
        <f aca="false">E275*(1+g_asp)</f>
        <v>1.3924</v>
      </c>
      <c r="G275" s="19" t="n">
        <f aca="false">F275*(1+g_asp)</f>
        <v>1.643032</v>
      </c>
      <c r="K275" s="7" t="s">
        <v>592</v>
      </c>
    </row>
    <row r="276" customFormat="false" ht="17.15" hidden="false" customHeight="false" outlineLevel="0" collapsed="false">
      <c r="A276" s="0" t="s">
        <v>593</v>
      </c>
      <c r="B276" s="0" t="s">
        <v>144</v>
      </c>
      <c r="D276" s="18" t="n">
        <f aca="false">1</f>
        <v>1</v>
      </c>
      <c r="E276" s="18" t="n">
        <f aca="false">ibpp_27_lo</f>
        <v>0.95</v>
      </c>
      <c r="F276" s="18" t="n">
        <f aca="false">ibpp_28_lo</f>
        <v>0.85</v>
      </c>
      <c r="G276" s="18" t="n">
        <f aca="false">ibpp_29_lo</f>
        <v>0.75</v>
      </c>
      <c r="K276" s="7" t="s">
        <v>594</v>
      </c>
    </row>
    <row r="277" customFormat="false" ht="17.15" hidden="false" customHeight="false" outlineLevel="0" collapsed="false">
      <c r="A277" s="3" t="s">
        <v>595</v>
      </c>
      <c r="B277" s="0" t="s">
        <v>144</v>
      </c>
      <c r="D277" s="18" t="n">
        <f aca="false">1</f>
        <v>1</v>
      </c>
      <c r="E277" s="18" t="n">
        <f aca="false">1+carry</f>
        <v>1.05</v>
      </c>
      <c r="F277" s="18" t="n">
        <f aca="false">1+carry</f>
        <v>1.05</v>
      </c>
      <c r="G277" s="18" t="n">
        <f aca="false">1+carry</f>
        <v>1.05</v>
      </c>
      <c r="K277" s="7" t="s">
        <v>596</v>
      </c>
    </row>
    <row r="278" customFormat="false" ht="17.15" hidden="false" customHeight="false" outlineLevel="0" collapsed="false">
      <c r="A278" s="3" t="s">
        <v>597</v>
      </c>
      <c r="B278" s="0" t="s">
        <v>598</v>
      </c>
      <c r="D278" s="23" t="n">
        <f aca="false">v26*D275*D276</f>
        <v>215.308596</v>
      </c>
      <c r="E278" s="23" t="n">
        <f aca="false">v26*E275*E276</f>
        <v>241.360936116</v>
      </c>
      <c r="F278" s="23" t="n">
        <f aca="false">v26*F275*F276</f>
        <v>254.82633570984</v>
      </c>
      <c r="G278" s="23" t="n">
        <f aca="false">v26*G275*G276</f>
        <v>265.319184827304</v>
      </c>
      <c r="K278" s="7" t="s">
        <v>599</v>
      </c>
    </row>
    <row r="279" customFormat="false" ht="17.15" hidden="false" customHeight="false" outlineLevel="0" collapsed="false">
      <c r="A279" s="3" t="s">
        <v>600</v>
      </c>
      <c r="B279" s="0" t="s">
        <v>44</v>
      </c>
      <c r="D279" s="20" t="n">
        <f aca="false">sh_nv_26</f>
        <v>0.25</v>
      </c>
      <c r="E279" s="20" t="n">
        <f aca="false">sh_nv_27</f>
        <v>0.27</v>
      </c>
      <c r="F279" s="20" t="n">
        <f aca="false">sh_nv_28</f>
        <v>0.29</v>
      </c>
      <c r="G279" s="20" t="n">
        <f aca="false">sh_nv_29</f>
        <v>0.3</v>
      </c>
    </row>
    <row r="280" customFormat="false" ht="17.15" hidden="false" customHeight="false" outlineLevel="0" collapsed="false">
      <c r="A280" s="3" t="s">
        <v>601</v>
      </c>
      <c r="B280" s="0" t="s">
        <v>44</v>
      </c>
      <c r="D280" s="20" t="n">
        <f aca="false">sh_ot_26</f>
        <v>0.3</v>
      </c>
      <c r="E280" s="20" t="n">
        <f aca="false">sh_ot_27</f>
        <v>0.31</v>
      </c>
      <c r="F280" s="20" t="n">
        <f aca="false">sh_ot_28</f>
        <v>0.32</v>
      </c>
      <c r="G280" s="20" t="n">
        <f aca="false">sh_ot_29</f>
        <v>0.33</v>
      </c>
    </row>
    <row r="281" customFormat="false" ht="17.15" hidden="false" customHeight="false" outlineLevel="0" collapsed="false">
      <c r="A281" s="3" t="s">
        <v>602</v>
      </c>
      <c r="B281" s="0" t="s">
        <v>552</v>
      </c>
      <c r="D281" s="22" t="n">
        <f aca="false">(D273*D278*D279+D274*D278*v_ot*D280)*D277</f>
        <v>801.809211504</v>
      </c>
      <c r="E281" s="22" t="n">
        <f aca="false">(E273*E278*E279+E274*E278*v_ot*E280)*E277</f>
        <v>1543.63593497668</v>
      </c>
      <c r="F281" s="22" t="n">
        <f aca="false">(F273*F278*F279+F274*F278*v_ot*F280)*F277</f>
        <v>1901.60330628432</v>
      </c>
      <c r="G281" s="22" t="n">
        <f aca="false">(G273*G278*G279+G274*G278*v_ot*G280)*G277</f>
        <v>2323.73440370558</v>
      </c>
    </row>
    <row r="282" customFormat="false" ht="15" hidden="false" customHeight="false" outlineLevel="0" collapsed="false">
      <c r="A282" s="3" t="s">
        <v>603</v>
      </c>
      <c r="B282" s="0" t="s">
        <v>302</v>
      </c>
      <c r="D282" s="21" t="n">
        <f aca="false">D281*fx/1000</f>
        <v>26.05879937388</v>
      </c>
      <c r="E282" s="21" t="n">
        <f aca="false">E281*fx/1000</f>
        <v>50.1681678867422</v>
      </c>
      <c r="F282" s="21" t="n">
        <f aca="false">F281*fx/1000</f>
        <v>61.8021074542405</v>
      </c>
      <c r="G282" s="21" t="n">
        <f aca="false">G281*fx/1000</f>
        <v>75.5213681204314</v>
      </c>
    </row>
    <row r="283" customFormat="false" ht="17.15" hidden="false" customHeight="false" outlineLevel="0" collapsed="false">
      <c r="A283" s="5" t="s">
        <v>604</v>
      </c>
    </row>
    <row r="284" customFormat="false" ht="17.15" hidden="false" customHeight="false" outlineLevel="0" collapsed="false">
      <c r="A284" s="0" t="s">
        <v>605</v>
      </c>
      <c r="B284" s="0" t="s">
        <v>302</v>
      </c>
      <c r="D284" s="21" t="n">
        <f aca="false">a26_abf*ai_abf</f>
        <v>74.83672875</v>
      </c>
      <c r="K284" s="3" t="s">
        <v>606</v>
      </c>
    </row>
    <row r="285" customFormat="false" ht="17.15" hidden="false" customHeight="false" outlineLevel="0" collapsed="false">
      <c r="A285" s="3" t="s">
        <v>607</v>
      </c>
      <c r="B285" s="0" t="s">
        <v>302</v>
      </c>
      <c r="D285" s="21" t="n">
        <f aca="false">D284-D282</f>
        <v>48.77792937612</v>
      </c>
      <c r="E285" s="21" t="n">
        <f aca="false">$D285*(itc_27/itc_26)^el_o*1*1*E276*E277</f>
        <v>68.8452384993446</v>
      </c>
      <c r="F285" s="21" t="n">
        <f aca="false">$D285*(itc_28/itc_26)^el_o*um28_A*1*F276*F277</f>
        <v>69.3526746729284</v>
      </c>
      <c r="G285" s="21" t="n">
        <f aca="false">$D285*(itc_29/itc_26)^el_o*um29_A*1*G276*G277</f>
        <v>65.3126873302184</v>
      </c>
      <c r="K285" s="7" t="s">
        <v>608</v>
      </c>
    </row>
    <row r="286" customFormat="false" ht="17.15" hidden="false" customHeight="false" outlineLevel="0" collapsed="false">
      <c r="A286" s="3" t="s">
        <v>609</v>
      </c>
      <c r="B286" s="0" t="s">
        <v>302</v>
      </c>
      <c r="D286" s="21" t="n">
        <f aca="false">a26_abf-D284</f>
        <v>24.94557625</v>
      </c>
      <c r="E286" s="21" t="n">
        <f aca="false">D286*(1+g_nai)</f>
        <v>25.6939435375</v>
      </c>
      <c r="F286" s="21" t="n">
        <f aca="false">E286*(1+g_nai)</f>
        <v>26.464761843625</v>
      </c>
      <c r="G286" s="21" t="n">
        <f aca="false">F286*(1+g_nai)</f>
        <v>27.2587046989338</v>
      </c>
    </row>
    <row r="287" customFormat="false" ht="17.15" hidden="false" customHeight="false" outlineLevel="0" collapsed="false">
      <c r="A287" s="0" t="s">
        <v>610</v>
      </c>
      <c r="B287" s="0" t="s">
        <v>302</v>
      </c>
      <c r="D287" s="21" t="n">
        <f aca="false">D282+D285+D286</f>
        <v>99.782305</v>
      </c>
      <c r="E287" s="21" t="n">
        <f aca="false">E282+E285+E286</f>
        <v>144.707349923587</v>
      </c>
      <c r="F287" s="21" t="n">
        <f aca="false">F282+F285+F286</f>
        <v>157.619543970794</v>
      </c>
      <c r="G287" s="21" t="n">
        <f aca="false">G282+G285+G286</f>
        <v>168.092760149584</v>
      </c>
    </row>
    <row r="288" customFormat="false" ht="17.15" hidden="false" customHeight="false" outlineLevel="0" collapsed="false">
      <c r="A288" s="0" t="s">
        <v>611</v>
      </c>
      <c r="B288" s="0" t="s">
        <v>302</v>
      </c>
      <c r="D288" s="21" t="n">
        <f aca="false">a26_abf</f>
        <v>99.782305</v>
      </c>
      <c r="E288" s="21" t="n">
        <f aca="false">$D287*cap_27*(1+g_mix)^1*E276*E277</f>
        <v>141.087813794156</v>
      </c>
      <c r="F288" s="21" t="n">
        <f aca="false">$D287*cap_28*(1+g_mix)^2*F276*F277</f>
        <v>166.912659243028</v>
      </c>
      <c r="G288" s="21" t="n">
        <f aca="false">$D287*cap_29*(1+g_mix)^3*G276*G277</f>
        <v>181.929023050359</v>
      </c>
      <c r="K288" s="7" t="s">
        <v>612</v>
      </c>
    </row>
    <row r="289" customFormat="false" ht="17.15" hidden="false" customHeight="false" outlineLevel="0" collapsed="false">
      <c r="A289" s="0" t="s">
        <v>613</v>
      </c>
      <c r="B289" s="0" t="s">
        <v>302</v>
      </c>
      <c r="D289" s="21" t="n">
        <f aca="false">a26_abf</f>
        <v>99.782305</v>
      </c>
      <c r="E289" s="21" t="n">
        <f aca="false">MIN(E287,E288)</f>
        <v>141.087813794156</v>
      </c>
      <c r="F289" s="21" t="n">
        <f aca="false">MIN(F287,F288)</f>
        <v>157.619543970794</v>
      </c>
      <c r="G289" s="21" t="n">
        <f aca="false">MIN(G287,G288)</f>
        <v>168.092760149584</v>
      </c>
    </row>
    <row r="290" customFormat="false" ht="17.15" hidden="false" customHeight="false" outlineLevel="0" collapsed="false">
      <c r="A290" s="3" t="s">
        <v>614</v>
      </c>
      <c r="B290" s="0" t="s">
        <v>44</v>
      </c>
      <c r="D290" s="20" t="n">
        <f aca="false">D289/D287</f>
        <v>1</v>
      </c>
      <c r="E290" s="20" t="n">
        <f aca="false">E289/E287</f>
        <v>0.974987199120557</v>
      </c>
      <c r="F290" s="20" t="n">
        <f aca="false">F289/F287</f>
        <v>1</v>
      </c>
      <c r="G290" s="20" t="n">
        <f aca="false">G289/G287</f>
        <v>1</v>
      </c>
    </row>
    <row r="291" customFormat="false" ht="17.15" hidden="false" customHeight="false" outlineLevel="0" collapsed="false">
      <c r="A291" s="0" t="s">
        <v>615</v>
      </c>
      <c r="B291" s="0" t="s">
        <v>302</v>
      </c>
      <c r="D291" s="21" t="n">
        <f aca="false">(D282+D285)*D290</f>
        <v>74.83672875</v>
      </c>
      <c r="E291" s="21" t="n">
        <f aca="false">(E282+E285)*E290</f>
        <v>116.036547750167</v>
      </c>
      <c r="F291" s="21" t="n">
        <f aca="false">(F282+F285)*F290</f>
        <v>131.154782127169</v>
      </c>
      <c r="G291" s="21" t="n">
        <f aca="false">(G282+G285)*G290</f>
        <v>140.83405545065</v>
      </c>
    </row>
    <row r="292" customFormat="false" ht="17.15" hidden="false" customHeight="false" outlineLevel="0" collapsed="false">
      <c r="A292" s="3" t="s">
        <v>616</v>
      </c>
      <c r="B292" s="0" t="s">
        <v>44</v>
      </c>
      <c r="D292" s="20" t="n">
        <f aca="false">D282/(D282+D285)</f>
        <v>0.348208691228771</v>
      </c>
      <c r="E292" s="20" t="n">
        <f aca="false">E282/(E282+E285)</f>
        <v>0.421533753298293</v>
      </c>
      <c r="F292" s="20" t="n">
        <f aca="false">F282/(F282+F285)</f>
        <v>0.471215051802813</v>
      </c>
      <c r="G292" s="20" t="n">
        <f aca="false">G282/(G282+G285)</f>
        <v>0.536243651287136</v>
      </c>
    </row>
    <row r="293" customFormat="false" ht="17.15" hidden="false" customHeight="false" outlineLevel="0" collapsed="false">
      <c r="A293" s="5" t="s">
        <v>617</v>
      </c>
    </row>
    <row r="294" customFormat="false" ht="17.15" hidden="false" customHeight="false" outlineLevel="0" collapsed="false">
      <c r="A294" s="0" t="s">
        <v>519</v>
      </c>
      <c r="B294" s="0" t="s">
        <v>302</v>
      </c>
      <c r="D294" s="21" t="n">
        <f aca="false">a26_bt</f>
        <v>16.944165</v>
      </c>
      <c r="E294" s="21" t="n">
        <f aca="false">D294*(1+g_bt)</f>
        <v>17.79137325</v>
      </c>
      <c r="F294" s="21" t="n">
        <f aca="false">E294*(1+g_bt)</f>
        <v>18.6809419125</v>
      </c>
      <c r="G294" s="21" t="n">
        <f aca="false">F294*(1+g_bt)</f>
        <v>19.614989008125</v>
      </c>
    </row>
    <row r="295" customFormat="false" ht="17.15" hidden="false" customHeight="false" outlineLevel="0" collapsed="false">
      <c r="A295" s="0" t="s">
        <v>618</v>
      </c>
      <c r="B295" s="0" t="s">
        <v>302</v>
      </c>
      <c r="D295" s="21" t="n">
        <f aca="false">a26_pcb*ai_pcb</f>
        <v>37.93610275</v>
      </c>
      <c r="E295" s="21" t="n">
        <f aca="false">D295*(1+g_pai_27)</f>
        <v>45.5233233</v>
      </c>
      <c r="F295" s="21" t="n">
        <f aca="false">D295*(1+g_pai_27)*(1+g_pai_28)*um28_A</f>
        <v>52.351821795</v>
      </c>
      <c r="G295" s="21" t="n">
        <f aca="false">D295*(1+g_pai_27)*(1+g_pai_28)*(1+g_pai_29)*um29_A</f>
        <v>57.5870039745</v>
      </c>
      <c r="K295" s="3" t="s">
        <v>619</v>
      </c>
    </row>
    <row r="296" customFormat="false" ht="17.15" hidden="false" customHeight="false" outlineLevel="0" collapsed="false">
      <c r="A296" s="3" t="s">
        <v>620</v>
      </c>
      <c r="B296" s="0" t="s">
        <v>302</v>
      </c>
      <c r="D296" s="21" t="n">
        <f aca="false">a26_pcb*(1-ai_pcb)</f>
        <v>20.42713225</v>
      </c>
      <c r="E296" s="21" t="n">
        <f aca="false">D296*(1+g_pcbn)</f>
        <v>20.835674895</v>
      </c>
      <c r="F296" s="21" t="n">
        <f aca="false">E296*(1+g_pcbn)</f>
        <v>21.2523883929</v>
      </c>
      <c r="G296" s="21" t="n">
        <f aca="false">F296*(1+g_pcbn)</f>
        <v>21.677436160758</v>
      </c>
    </row>
    <row r="297" customFormat="false" ht="15" hidden="false" customHeight="false" outlineLevel="0" collapsed="false">
      <c r="A297" s="3" t="s">
        <v>521</v>
      </c>
      <c r="B297" s="0" t="s">
        <v>302</v>
      </c>
      <c r="D297" s="21" t="n">
        <f aca="false">a26_fpc</f>
        <v>13.178795</v>
      </c>
      <c r="E297" s="21" t="n">
        <f aca="false">D297*(1+g_fpc)</f>
        <v>13.178795</v>
      </c>
      <c r="F297" s="21" t="n">
        <f aca="false">E297*(1+g_fpc)</f>
        <v>13.178795</v>
      </c>
      <c r="G297" s="21" t="n">
        <f aca="false">F297*(1+g_fpc)</f>
        <v>13.178795</v>
      </c>
    </row>
    <row r="298" customFormat="false" ht="17.15" hidden="false" customHeight="false" outlineLevel="0" collapsed="false">
      <c r="A298" s="3" t="s">
        <v>484</v>
      </c>
      <c r="B298" s="0" t="s">
        <v>302</v>
      </c>
      <c r="C298" s="23" t="n">
        <f aca="false">a25_rev</f>
        <v>131.241</v>
      </c>
      <c r="D298" s="23" t="n">
        <f aca="false">D289+D294+D295+D296+D297</f>
        <v>188.2685</v>
      </c>
      <c r="E298" s="23" t="n">
        <f aca="false">E289+E294+E295+E296+E297</f>
        <v>238.416980239156</v>
      </c>
      <c r="F298" s="23" t="n">
        <f aca="false">F289+F294+F295+F296+F297</f>
        <v>263.083491071194</v>
      </c>
      <c r="G298" s="23" t="n">
        <f aca="false">G289+G294+G295+G296+G297</f>
        <v>280.150984292967</v>
      </c>
      <c r="H298" s="25" t="n">
        <f aca="false">G298*(1+H299)</f>
        <v>297.87049978788</v>
      </c>
      <c r="I298" s="25" t="n">
        <f aca="false">H298*(1+I299)</f>
        <v>316.226751122978</v>
      </c>
      <c r="J298" s="25" t="n">
        <f aca="false">I298*(1+J299)</f>
        <v>335.200356190357</v>
      </c>
      <c r="K298" s="7" t="s">
        <v>621</v>
      </c>
    </row>
    <row r="299" customFormat="false" ht="15" hidden="false" customHeight="false" outlineLevel="0" collapsed="false">
      <c r="A299" s="3" t="s">
        <v>622</v>
      </c>
      <c r="B299" s="0" t="s">
        <v>44</v>
      </c>
      <c r="D299" s="20" t="n">
        <f aca="false">D298/C298-1</f>
        <v>0.434525034097576</v>
      </c>
      <c r="E299" s="20" t="n">
        <f aca="false">E298/D298-1</f>
        <v>0.2663668125</v>
      </c>
      <c r="F299" s="20" t="n">
        <f aca="false">F298/E298-1</f>
        <v>0.103459538860423</v>
      </c>
      <c r="G299" s="20" t="n">
        <f aca="false">G298/F298-1</f>
        <v>0.0648748165545439</v>
      </c>
      <c r="H299" s="26" t="n">
        <f aca="false">$G299+(fade_gA-$G299)*1/3</f>
        <v>0.0632498777030292</v>
      </c>
      <c r="I299" s="26" t="n">
        <f aca="false">$G299+(fade_gA-$G299)*2/3</f>
        <v>0.0616249388515146</v>
      </c>
      <c r="J299" s="26" t="n">
        <f aca="false">$G299+(fade_gA-$G299)*3/3</f>
        <v>0.06</v>
      </c>
    </row>
    <row r="300" customFormat="false" ht="17.15" hidden="false" customHeight="false" outlineLevel="0" collapsed="false">
      <c r="A300" s="0" t="s">
        <v>623</v>
      </c>
      <c r="B300" s="0" t="s">
        <v>44</v>
      </c>
      <c r="D300" s="20" t="n">
        <f aca="false">D289/D298</f>
        <v>0.53</v>
      </c>
      <c r="E300" s="20" t="n">
        <f aca="false">E289/E298</f>
        <v>0.591769150220051</v>
      </c>
      <c r="F300" s="20" t="n">
        <f aca="false">F289/F298</f>
        <v>0.599123659675551</v>
      </c>
      <c r="G300" s="20" t="n">
        <f aca="false">G289/G298</f>
        <v>0.600007744301913</v>
      </c>
    </row>
    <row r="301" customFormat="false" ht="17.15" hidden="false" customHeight="false" outlineLevel="0" collapsed="false">
      <c r="A301" s="0" t="s">
        <v>624</v>
      </c>
      <c r="B301" s="0" t="s">
        <v>44</v>
      </c>
      <c r="D301" s="20" t="n">
        <f aca="false">(D291+D295)/D298</f>
        <v>0.599</v>
      </c>
      <c r="E301" s="20" t="n">
        <f aca="false">(E291+E295)/E298</f>
        <v>0.677635757688511</v>
      </c>
      <c r="F301" s="20" t="n">
        <f aca="false">(F291+F295)/F298</f>
        <v>0.697522308127307</v>
      </c>
      <c r="G301" s="20" t="n">
        <f aca="false">(G291+G295)/G298</f>
        <v>0.708264723488003</v>
      </c>
      <c r="K301" s="3" t="s">
        <v>625</v>
      </c>
    </row>
    <row r="302" customFormat="false" ht="17.15" hidden="false" customHeight="false" outlineLevel="0" collapsed="false">
      <c r="A302" s="5" t="s">
        <v>626</v>
      </c>
    </row>
    <row r="303" customFormat="false" ht="15" hidden="false" customHeight="false" outlineLevel="0" collapsed="false">
      <c r="A303" s="3" t="s">
        <v>627</v>
      </c>
      <c r="B303" s="0" t="s">
        <v>302</v>
      </c>
      <c r="C303" s="23" t="n">
        <f aca="false">a25_cx</f>
        <v>25.617</v>
      </c>
      <c r="D303" s="23" t="n">
        <f aca="false">capex26</f>
        <v>53.7</v>
      </c>
      <c r="E303" s="23" t="n">
        <f aca="false">cx27_A</f>
        <v>55</v>
      </c>
      <c r="F303" s="23" t="n">
        <f aca="false">cx28_A</f>
        <v>50</v>
      </c>
      <c r="G303" s="23" t="n">
        <f aca="false">cx29_A</f>
        <v>45</v>
      </c>
      <c r="H303" s="25" t="n">
        <f aca="false">H298*H320</f>
        <v>44.8912955294407</v>
      </c>
      <c r="I303" s="25" t="n">
        <f aca="false">I298*I320</f>
        <v>44.5206713547994</v>
      </c>
      <c r="J303" s="25" t="n">
        <f aca="false">J298*J320</f>
        <v>43.8666412684824</v>
      </c>
    </row>
    <row r="304" customFormat="false" ht="17.15" hidden="false" customHeight="false" outlineLevel="0" collapsed="false">
      <c r="A304" s="3" t="s">
        <v>628</v>
      </c>
      <c r="B304" s="0" t="s">
        <v>302</v>
      </c>
      <c r="C304" s="23" t="n">
        <f aca="false">a25_da</f>
        <v>18.8</v>
      </c>
      <c r="D304" s="23" t="n">
        <f aca="false">da26</f>
        <v>20.8</v>
      </c>
      <c r="E304" s="23" t="n">
        <f aca="false">D304*(1-1/life)+D303/life</f>
        <v>24.9125</v>
      </c>
      <c r="F304" s="23" t="n">
        <f aca="false">E304*(1-1/life)+E303/life</f>
        <v>28.6734375</v>
      </c>
      <c r="G304" s="23" t="n">
        <f aca="false">F304*(1-1/life)+F303/life</f>
        <v>31.3392578125</v>
      </c>
      <c r="H304" s="25" t="n">
        <f aca="false">H298*H305</f>
        <v>33.3214620364443</v>
      </c>
      <c r="I304" s="25" t="n">
        <f aca="false">I298*I305</f>
        <v>35.3748950968833</v>
      </c>
      <c r="J304" s="25" t="n">
        <f aca="false">J298*J305</f>
        <v>37.4973888026963</v>
      </c>
      <c r="K304" s="3" t="s">
        <v>629</v>
      </c>
    </row>
    <row r="305" customFormat="false" ht="17.15" hidden="false" customHeight="false" outlineLevel="0" collapsed="false">
      <c r="A305" s="3" t="s">
        <v>630</v>
      </c>
      <c r="B305" s="0" t="s">
        <v>44</v>
      </c>
      <c r="C305" s="20" t="n">
        <f aca="false">C304/C298</f>
        <v>0.143247917952469</v>
      </c>
      <c r="D305" s="20" t="n">
        <f aca="false">D304/D298</f>
        <v>0.110480510547436</v>
      </c>
      <c r="E305" s="20" t="n">
        <f aca="false">E304/E298</f>
        <v>0.104491299130667</v>
      </c>
      <c r="F305" s="20" t="n">
        <f aca="false">F304/F298</f>
        <v>0.108989877636376</v>
      </c>
      <c r="G305" s="20" t="n">
        <f aca="false">G304/G298</f>
        <v>0.111865599514464</v>
      </c>
      <c r="H305" s="26" t="n">
        <f aca="false">$G305</f>
        <v>0.111865599514464</v>
      </c>
      <c r="I305" s="26" t="n">
        <f aca="false">$G305</f>
        <v>0.111865599514464</v>
      </c>
      <c r="J305" s="26" t="n">
        <f aca="false">$G305</f>
        <v>0.111865599514464</v>
      </c>
    </row>
    <row r="306" customFormat="false" ht="17.15" hidden="false" customHeight="false" outlineLevel="0" collapsed="false">
      <c r="A306" s="3" t="s">
        <v>631</v>
      </c>
      <c r="B306" s="0" t="s">
        <v>302</v>
      </c>
      <c r="E306" s="21" t="n">
        <f aca="false">E291*(1-1/(E276*E277))</f>
        <v>-0.290818415413973</v>
      </c>
      <c r="F306" s="21" t="n">
        <f aca="false">F291*(1-1/(F276*F277))</f>
        <v>-15.7973547099951</v>
      </c>
      <c r="G306" s="21" t="n">
        <f aca="false">G291*(1-1/(G276*G277))</f>
        <v>-38.0028403596992</v>
      </c>
      <c r="K306" s="7" t="s">
        <v>632</v>
      </c>
    </row>
    <row r="307" customFormat="false" ht="17.15" hidden="false" customHeight="false" outlineLevel="0" collapsed="false">
      <c r="A307" s="3" t="s">
        <v>633</v>
      </c>
      <c r="B307" s="0" t="s">
        <v>302</v>
      </c>
      <c r="C307" s="21" t="n">
        <f aca="false">a25_gp</f>
        <v>18.292</v>
      </c>
      <c r="D307" s="21" t="n">
        <f aca="false">a26_gp</f>
        <v>47.3329657</v>
      </c>
      <c r="E307" s="21" t="n">
        <f aca="false">$D307+ft_abf*(E289-E306-$D289)+ft_oth*((E298-E289)-($D298-$D289))+E306-(E304-$D304)</f>
        <v>65.9385537506211</v>
      </c>
      <c r="F307" s="21" t="n">
        <f aca="false">$D307+ft_abf*(F289-F306-$D289)+ft_oth*((F298-F289)-($D298-$D289))+F306-(F304-$D304)</f>
        <v>64.7239083554994</v>
      </c>
      <c r="G307" s="21" t="n">
        <f aca="false">$D307+ft_abf*(G289-G306-$D289)+ft_oth*((G298-G289)-($D298-$D289))+G306-(G304-$D304)</f>
        <v>57.840522568288</v>
      </c>
      <c r="K307" s="3" t="s">
        <v>634</v>
      </c>
    </row>
    <row r="308" customFormat="false" ht="15" hidden="false" customHeight="false" outlineLevel="0" collapsed="false">
      <c r="A308" s="3" t="s">
        <v>491</v>
      </c>
      <c r="B308" s="0" t="s">
        <v>44</v>
      </c>
      <c r="C308" s="16" t="n">
        <f aca="false">C307/C298</f>
        <v>0.139377176339711</v>
      </c>
      <c r="D308" s="16" t="n">
        <f aca="false">D307/D298</f>
        <v>0.251412029627899</v>
      </c>
      <c r="E308" s="16" t="n">
        <f aca="false">E307/E298</f>
        <v>0.276568194448559</v>
      </c>
      <c r="F308" s="16" t="n">
        <f aca="false">F307/F298</f>
        <v>0.246020410068164</v>
      </c>
      <c r="G308" s="16" t="n">
        <f aca="false">G307/G298</f>
        <v>0.206461964480558</v>
      </c>
    </row>
    <row r="309" customFormat="false" ht="15" hidden="false" customHeight="false" outlineLevel="0" collapsed="false">
      <c r="A309" s="3" t="s">
        <v>493</v>
      </c>
      <c r="B309" s="0" t="s">
        <v>302</v>
      </c>
      <c r="C309" s="21" t="n">
        <f aca="false">a25_opx</f>
        <v>11.618</v>
      </c>
      <c r="D309" s="21" t="n">
        <f aca="false">a26_opx</f>
        <v>16.6539532</v>
      </c>
      <c r="E309" s="21" t="n">
        <f aca="false">D309*(1+phi*E299)</f>
        <v>19.3155894576449</v>
      </c>
      <c r="F309" s="21" t="n">
        <f aca="false">E309*(1+phi*F299)</f>
        <v>20.514618644508</v>
      </c>
      <c r="G309" s="21" t="n">
        <f aca="false">F309*(1+phi*G299)</f>
        <v>21.3131479172574</v>
      </c>
    </row>
    <row r="310" customFormat="false" ht="15" hidden="false" customHeight="false" outlineLevel="0" collapsed="false">
      <c r="A310" s="3" t="s">
        <v>496</v>
      </c>
      <c r="B310" s="0" t="s">
        <v>302</v>
      </c>
      <c r="C310" s="21" t="n">
        <f aca="false">C307-C309</f>
        <v>6.674</v>
      </c>
      <c r="D310" s="21" t="n">
        <f aca="false">D307-D309</f>
        <v>30.6790125</v>
      </c>
      <c r="E310" s="21" t="n">
        <f aca="false">E307-E309</f>
        <v>46.6229642929762</v>
      </c>
      <c r="F310" s="21" t="n">
        <f aca="false">F307-F309</f>
        <v>44.2092897109914</v>
      </c>
      <c r="G310" s="21" t="n">
        <f aca="false">G307-G309</f>
        <v>36.5273746510306</v>
      </c>
    </row>
    <row r="311" customFormat="false" ht="15" hidden="false" customHeight="false" outlineLevel="0" collapsed="false">
      <c r="A311" s="3" t="s">
        <v>575</v>
      </c>
      <c r="B311" s="0" t="s">
        <v>44</v>
      </c>
      <c r="C311" s="16" t="n">
        <f aca="false">C310/C298</f>
        <v>0.0508530108731265</v>
      </c>
      <c r="D311" s="16" t="n">
        <f aca="false">D310/D298</f>
        <v>0.162953507888999</v>
      </c>
      <c r="E311" s="16" t="n">
        <f aca="false">E310/E298</f>
        <v>0.195552197021406</v>
      </c>
      <c r="F311" s="16" t="n">
        <f aca="false">F310/F298</f>
        <v>0.168042812306409</v>
      </c>
      <c r="G311" s="16" t="n">
        <f aca="false">G310/G298</f>
        <v>0.130384602228748</v>
      </c>
    </row>
    <row r="312" customFormat="false" ht="17.15" hidden="false" customHeight="false" outlineLevel="0" collapsed="false">
      <c r="A312" s="3" t="s">
        <v>635</v>
      </c>
      <c r="B312" s="0" t="s">
        <v>302</v>
      </c>
      <c r="C312" s="21" t="n">
        <f aca="false">a25_nonop</f>
        <v>-0.00100000000000033</v>
      </c>
      <c r="D312" s="21" t="n">
        <f aca="false">a26_nonop</f>
        <v>14.466</v>
      </c>
      <c r="E312" s="21" t="n">
        <f aca="false">nonop27</f>
        <v>2</v>
      </c>
      <c r="F312" s="21" t="n">
        <f aca="false">nonop28</f>
        <v>2</v>
      </c>
      <c r="G312" s="21" t="n">
        <f aca="false">nonop29</f>
        <v>2</v>
      </c>
      <c r="K312" s="7" t="s">
        <v>636</v>
      </c>
    </row>
    <row r="313" customFormat="false" ht="15" hidden="false" customHeight="false" outlineLevel="0" collapsed="false">
      <c r="A313" s="3" t="s">
        <v>502</v>
      </c>
      <c r="B313" s="0" t="s">
        <v>302</v>
      </c>
      <c r="C313" s="21" t="n">
        <f aca="false">C310+C312</f>
        <v>6.673</v>
      </c>
      <c r="D313" s="21" t="n">
        <f aca="false">D310+D312</f>
        <v>45.1450125</v>
      </c>
      <c r="E313" s="21" t="n">
        <f aca="false">E310+E312</f>
        <v>48.6229642929762</v>
      </c>
      <c r="F313" s="21" t="n">
        <f aca="false">F310+F312</f>
        <v>46.2092897109914</v>
      </c>
      <c r="G313" s="21" t="n">
        <f aca="false">G310+G312</f>
        <v>38.5273746510306</v>
      </c>
    </row>
    <row r="314" customFormat="false" ht="15" hidden="false" customHeight="false" outlineLevel="0" collapsed="false">
      <c r="A314" s="3" t="s">
        <v>506</v>
      </c>
      <c r="B314" s="0" t="s">
        <v>302</v>
      </c>
      <c r="E314" s="21" t="n">
        <f aca="false">E313*tax</f>
        <v>8.75213357273572</v>
      </c>
      <c r="F314" s="21" t="n">
        <f aca="false">F313*tax</f>
        <v>8.31767214797845</v>
      </c>
      <c r="G314" s="21" t="n">
        <f aca="false">G313*tax</f>
        <v>6.93492743718551</v>
      </c>
    </row>
    <row r="315" customFormat="false" ht="15" hidden="false" customHeight="false" outlineLevel="0" collapsed="false">
      <c r="A315" s="3" t="s">
        <v>504</v>
      </c>
      <c r="B315" s="0" t="s">
        <v>302</v>
      </c>
      <c r="C315" s="21" t="n">
        <f aca="false">a25_ni</f>
        <v>6.673</v>
      </c>
      <c r="D315" s="21" t="n">
        <f aca="false">a26_ni</f>
        <v>37.23923025</v>
      </c>
      <c r="E315" s="21" t="n">
        <f aca="false">E313-E314</f>
        <v>39.8708307202405</v>
      </c>
      <c r="F315" s="21" t="n">
        <f aca="false">F313-F314</f>
        <v>37.8916175630129</v>
      </c>
      <c r="G315" s="21" t="n">
        <f aca="false">G313-G314</f>
        <v>31.5924472138451</v>
      </c>
      <c r="H315" s="30" t="n">
        <f aca="false">H298*H319</f>
        <v>39.6533941798481</v>
      </c>
      <c r="I315" s="30" t="n">
        <f aca="false">I298*I319</f>
        <v>48.5333759905837</v>
      </c>
      <c r="J315" s="30" t="n">
        <f aca="false">J298*J319</f>
        <v>58.267902998315</v>
      </c>
    </row>
    <row r="316" customFormat="false" ht="15" hidden="false" customHeight="false" outlineLevel="0" collapsed="false">
      <c r="A316" s="3" t="s">
        <v>637</v>
      </c>
      <c r="B316" s="3" t="s">
        <v>380</v>
      </c>
      <c r="C316" s="29" t="n">
        <f aca="false">a25_sh</f>
        <v>1.52351598173516</v>
      </c>
      <c r="D316" s="29" t="n">
        <f aca="false">a26_sh</f>
        <v>1.59236316568047</v>
      </c>
      <c r="E316" s="29" t="n">
        <f aca="false">a26_shend*(1+sh_g)</f>
        <v>1.64</v>
      </c>
      <c r="F316" s="29" t="n">
        <f aca="false">E316*(1+sh_g)</f>
        <v>1.64</v>
      </c>
      <c r="G316" s="29" t="n">
        <f aca="false">F316*(1+sh_g)</f>
        <v>1.64</v>
      </c>
      <c r="H316" s="31" t="n">
        <f aca="false">G316*(1+sh_g)</f>
        <v>1.64</v>
      </c>
      <c r="I316" s="31" t="n">
        <f aca="false">H316*(1+sh_g)</f>
        <v>1.64</v>
      </c>
      <c r="J316" s="31" t="n">
        <f aca="false">I316*(1+sh_g)</f>
        <v>1.64</v>
      </c>
    </row>
    <row r="317" customFormat="false" ht="17.15" hidden="false" customHeight="false" outlineLevel="0" collapsed="false">
      <c r="A317" s="0" t="s">
        <v>509</v>
      </c>
      <c r="B317" s="0" t="s">
        <v>386</v>
      </c>
      <c r="C317" s="18" t="n">
        <f aca="false">C315/C316</f>
        <v>4.38</v>
      </c>
      <c r="D317" s="18" t="n">
        <f aca="false">D315/D316</f>
        <v>23.3861414610695</v>
      </c>
      <c r="E317" s="18" t="n">
        <f aca="false">E315/E316</f>
        <v>24.3114821464881</v>
      </c>
      <c r="F317" s="18" t="n">
        <f aca="false">F315/F316</f>
        <v>23.1046448554957</v>
      </c>
      <c r="G317" s="18" t="n">
        <f aca="false">G315/G316</f>
        <v>19.2636873255153</v>
      </c>
      <c r="H317" s="28" t="n">
        <f aca="false">H315/H316</f>
        <v>24.1788988901513</v>
      </c>
      <c r="I317" s="28" t="n">
        <f aca="false">I315/I316</f>
        <v>29.5935219454779</v>
      </c>
      <c r="J317" s="28" t="n">
        <f aca="false">J315/J316</f>
        <v>35.529209145314</v>
      </c>
    </row>
    <row r="318" customFormat="false" ht="17.15" hidden="false" customHeight="false" outlineLevel="0" collapsed="false">
      <c r="A318" s="0" t="s">
        <v>638</v>
      </c>
      <c r="B318" s="0" t="s">
        <v>44</v>
      </c>
      <c r="D318" s="20" t="n">
        <f aca="false">D317/C317-1</f>
        <v>4.33930170344053</v>
      </c>
      <c r="E318" s="20" t="n">
        <f aca="false">E317/D317-1</f>
        <v>0.0395679076413273</v>
      </c>
      <c r="F318" s="20" t="n">
        <f aca="false">F317/E317-1</f>
        <v>-0.0496406300414212</v>
      </c>
      <c r="G318" s="20" t="n">
        <f aca="false">G317/F317-1</f>
        <v>-0.16624179051455</v>
      </c>
      <c r="H318" s="26" t="n">
        <f aca="false">H317/G317-1</f>
        <v>0.255154243399997</v>
      </c>
      <c r="I318" s="26" t="n">
        <f aca="false">I317/H317-1</f>
        <v>0.223940018109432</v>
      </c>
      <c r="J318" s="26" t="n">
        <f aca="false">J317/I317-1</f>
        <v>0.200573869199209</v>
      </c>
    </row>
    <row r="319" customFormat="false" ht="17.15" hidden="false" customHeight="false" outlineLevel="0" collapsed="false">
      <c r="A319" s="3" t="s">
        <v>639</v>
      </c>
      <c r="B319" s="0" t="s">
        <v>44</v>
      </c>
      <c r="C319" s="16" t="n">
        <f aca="false">C315/C298</f>
        <v>0.0508453913030227</v>
      </c>
      <c r="D319" s="16" t="n">
        <f aca="false">D315/D298</f>
        <v>0.197798517808343</v>
      </c>
      <c r="E319" s="16" t="n">
        <f aca="false">E315/E298</f>
        <v>0.167231506246938</v>
      </c>
      <c r="F319" s="16" t="n">
        <f aca="false">F315/F298</f>
        <v>0.144028868587421</v>
      </c>
      <c r="G319" s="16" t="n">
        <f aca="false">G315/G298</f>
        <v>0.112769360041967</v>
      </c>
      <c r="H319" s="27" t="n">
        <f aca="false">$G319+(fade_mA-$G319)*1/3</f>
        <v>0.133122931636688</v>
      </c>
      <c r="I319" s="27" t="n">
        <f aca="false">$G319+(fade_mA-$G319)*2/3</f>
        <v>0.153476503231409</v>
      </c>
      <c r="J319" s="27" t="n">
        <f aca="false">$G319+(fade_mA-$G319)*3/3</f>
        <v>0.17383007482613</v>
      </c>
    </row>
    <row r="320" customFormat="false" ht="17.15" hidden="false" customHeight="false" outlineLevel="0" collapsed="false">
      <c r="A320" s="3" t="s">
        <v>640</v>
      </c>
      <c r="B320" s="0" t="s">
        <v>44</v>
      </c>
      <c r="C320" s="20" t="n">
        <f aca="false">C303/C298</f>
        <v>0.195190527350447</v>
      </c>
      <c r="D320" s="20" t="n">
        <f aca="false">D303/D298</f>
        <v>0.285230933480641</v>
      </c>
      <c r="E320" s="20" t="n">
        <f aca="false">E303/E298</f>
        <v>0.230688267022045</v>
      </c>
      <c r="F320" s="20" t="n">
        <f aca="false">F303/F298</f>
        <v>0.190053734639204</v>
      </c>
      <c r="G320" s="20" t="n">
        <f aca="false">G303/G298</f>
        <v>0.160627670516915</v>
      </c>
      <c r="H320" s="26" t="n">
        <f aca="false">$G320+($G305*(1+tp_g)^(life/2)-$G320)*1/3</f>
        <v>0.150707423398453</v>
      </c>
      <c r="I320" s="26" t="n">
        <f aca="false">$G320+($G305*(1+tp_g)^(life/2)-$G320)*2/3</f>
        <v>0.14078717627999</v>
      </c>
      <c r="J320" s="26" t="n">
        <f aca="false">$G320+($G305*(1+tp_g)^(life/2)-$G320)*3/3</f>
        <v>0.130866929161528</v>
      </c>
      <c r="K320" s="7" t="s">
        <v>641</v>
      </c>
    </row>
    <row r="321" customFormat="false" ht="15" hidden="false" customHeight="false" outlineLevel="0" collapsed="false">
      <c r="A321" s="3" t="s">
        <v>642</v>
      </c>
      <c r="B321" s="0" t="s">
        <v>302</v>
      </c>
      <c r="E321" s="21" t="n">
        <f aca="false">E315+E304-E303</f>
        <v>9.78333072024051</v>
      </c>
      <c r="F321" s="21" t="n">
        <f aca="false">F315+F304-F303</f>
        <v>16.5650550630129</v>
      </c>
      <c r="G321" s="21" t="n">
        <f aca="false">G315+G304-G303</f>
        <v>17.9317050263451</v>
      </c>
      <c r="H321" s="30" t="n">
        <f aca="false">H315+H304-H303</f>
        <v>28.0835606868517</v>
      </c>
      <c r="I321" s="30" t="n">
        <f aca="false">I315+I304-I303</f>
        <v>39.3875997326676</v>
      </c>
      <c r="J321" s="30" t="n">
        <f aca="false">J315+J304-J303</f>
        <v>51.8986505325289</v>
      </c>
      <c r="K321" s="3" t="s">
        <v>643</v>
      </c>
    </row>
    <row r="322" customFormat="false" ht="15" hidden="false" customHeight="false" outlineLevel="0" collapsed="false">
      <c r="A322" s="3" t="s">
        <v>644</v>
      </c>
      <c r="B322" s="0" t="s">
        <v>386</v>
      </c>
      <c r="E322" s="18" t="n">
        <f aca="false">E321/E316</f>
        <v>5.96544556112227</v>
      </c>
      <c r="F322" s="18" t="n">
        <f aca="false">F321/F316</f>
        <v>10.1006433311054</v>
      </c>
      <c r="G322" s="18" t="n">
        <f aca="false">G321/G316</f>
        <v>10.9339664794787</v>
      </c>
      <c r="H322" s="28" t="n">
        <f aca="false">H321/H316</f>
        <v>17.1241223700315</v>
      </c>
      <c r="I322" s="28" t="n">
        <f aca="false">I321/I316</f>
        <v>24.0168291052851</v>
      </c>
      <c r="J322" s="28" t="n">
        <f aca="false">J321/J316</f>
        <v>31.6455186173957</v>
      </c>
    </row>
    <row r="325" customFormat="false" ht="17.15" hidden="false" customHeight="false" outlineLevel="0" collapsed="false">
      <c r="A325" s="1" t="s">
        <v>949</v>
      </c>
    </row>
    <row r="326" customFormat="false" ht="17.15" hidden="false" customHeight="false" outlineLevel="0" collapsed="false">
      <c r="A326" s="4" t="s">
        <v>21</v>
      </c>
      <c r="B326" s="4" t="s">
        <v>22</v>
      </c>
      <c r="C326" s="13" t="s">
        <v>477</v>
      </c>
      <c r="D326" s="13" t="s">
        <v>562</v>
      </c>
      <c r="E326" s="13" t="s">
        <v>563</v>
      </c>
      <c r="F326" s="13" t="s">
        <v>564</v>
      </c>
      <c r="G326" s="13" t="s">
        <v>565</v>
      </c>
      <c r="H326" s="13" t="s">
        <v>566</v>
      </c>
      <c r="I326" s="13" t="s">
        <v>567</v>
      </c>
      <c r="J326" s="13" t="s">
        <v>568</v>
      </c>
      <c r="K326" s="4" t="s">
        <v>533</v>
      </c>
    </row>
    <row r="327" customFormat="false" ht="17.15" hidden="false" customHeight="false" outlineLevel="0" collapsed="false">
      <c r="A327" s="5" t="s">
        <v>586</v>
      </c>
    </row>
    <row r="328" customFormat="false" ht="17.15" hidden="false" customHeight="false" outlineLevel="0" collapsed="false">
      <c r="A328" s="0" t="s">
        <v>587</v>
      </c>
      <c r="B328" s="3" t="s">
        <v>32</v>
      </c>
      <c r="D328" s="21" t="n">
        <f aca="false">(u_bw_26+u_rb_26+u_ru_26+u_hp_26)*1</f>
        <v>7.6</v>
      </c>
      <c r="E328" s="21" t="n">
        <f aca="false">(u_bw_27+u_rb_27+u_ru_27+u_hp_27)*1*1</f>
        <v>9.7</v>
      </c>
      <c r="F328" s="21" t="n">
        <f aca="false">(u_bw_28+u_rb_28+u_ru_28+u_hp_28)*um28_A*1</f>
        <v>9.5</v>
      </c>
      <c r="G328" s="21" t="n">
        <f aca="false">(u_bw_28*(1+g29_bw)+u_rb_28*(1+g29_rb)+u_ru_28*(1+g29_ru)+u_hp_28*(1+g29_hp))*um29_A*1</f>
        <v>10.6</v>
      </c>
      <c r="K328" s="7" t="s">
        <v>588</v>
      </c>
    </row>
    <row r="329" customFormat="false" ht="17.15" hidden="false" customHeight="false" outlineLevel="0" collapsed="false">
      <c r="A329" s="3" t="s">
        <v>589</v>
      </c>
      <c r="B329" s="3" t="s">
        <v>32</v>
      </c>
      <c r="D329" s="21" t="n">
        <f aca="false">(u_amd_26+u_tpu_26+u_trn_26+u_oth_26)*1</f>
        <v>7.6</v>
      </c>
      <c r="E329" s="21" t="n">
        <f aca="false">(u_amd_27+u_tpu_27+u_trn_27+u_oth_27)*1*1</f>
        <v>14</v>
      </c>
      <c r="F329" s="21" t="n">
        <f aca="false">(u_amd_28+u_tpu_28+u_trn_28+u_oth_28)*um28_A*1</f>
        <v>17</v>
      </c>
      <c r="G329" s="21" t="n">
        <f aca="false">(u_amd_28*(1+g29_amd)+u_tpu_28*(1+g29_tpu)+u_trn_28*(1+g29_trn)+u_oth_28*(1+g29_oth))*um29_A*1</f>
        <v>19.55</v>
      </c>
      <c r="K329" s="7" t="s">
        <v>590</v>
      </c>
    </row>
    <row r="330" customFormat="false" ht="17.15" hidden="false" customHeight="false" outlineLevel="0" collapsed="false">
      <c r="A330" s="3" t="s">
        <v>591</v>
      </c>
      <c r="B330" s="0" t="s">
        <v>144</v>
      </c>
      <c r="D330" s="19" t="n">
        <f aca="false">1</f>
        <v>1</v>
      </c>
      <c r="E330" s="19" t="n">
        <f aca="false">D330*(1+g_asp)</f>
        <v>1.18</v>
      </c>
      <c r="F330" s="19" t="n">
        <f aca="false">E330*(1+g_asp)</f>
        <v>1.3924</v>
      </c>
      <c r="G330" s="19" t="n">
        <f aca="false">F330*(1+g_asp)</f>
        <v>1.643032</v>
      </c>
      <c r="K330" s="7" t="s">
        <v>592</v>
      </c>
    </row>
    <row r="331" customFormat="false" ht="17.15" hidden="false" customHeight="false" outlineLevel="0" collapsed="false">
      <c r="A331" s="0" t="s">
        <v>593</v>
      </c>
      <c r="B331" s="0" t="s">
        <v>144</v>
      </c>
      <c r="D331" s="18" t="n">
        <f aca="false">1</f>
        <v>1</v>
      </c>
      <c r="E331" s="18" t="n">
        <f aca="false">ibpp_27_hi</f>
        <v>1.05</v>
      </c>
      <c r="F331" s="18" t="n">
        <f aca="false">ibpp_28_hi</f>
        <v>1.05</v>
      </c>
      <c r="G331" s="18" t="n">
        <f aca="false">ibpp_29_hi</f>
        <v>1</v>
      </c>
      <c r="K331" s="7" t="s">
        <v>594</v>
      </c>
    </row>
    <row r="332" customFormat="false" ht="17.15" hidden="false" customHeight="false" outlineLevel="0" collapsed="false">
      <c r="A332" s="3" t="s">
        <v>595</v>
      </c>
      <c r="B332" s="0" t="s">
        <v>144</v>
      </c>
      <c r="D332" s="18" t="n">
        <f aca="false">1</f>
        <v>1</v>
      </c>
      <c r="E332" s="18" t="n">
        <f aca="false">1+carry</f>
        <v>1.05</v>
      </c>
      <c r="F332" s="18" t="n">
        <f aca="false">1+carry</f>
        <v>1.05</v>
      </c>
      <c r="G332" s="18" t="n">
        <f aca="false">1+carry</f>
        <v>1.05</v>
      </c>
      <c r="K332" s="7" t="s">
        <v>596</v>
      </c>
    </row>
    <row r="333" customFormat="false" ht="17.15" hidden="false" customHeight="false" outlineLevel="0" collapsed="false">
      <c r="A333" s="3" t="s">
        <v>597</v>
      </c>
      <c r="B333" s="0" t="s">
        <v>598</v>
      </c>
      <c r="D333" s="23" t="n">
        <f aca="false">v26*D330*D331</f>
        <v>215.308596</v>
      </c>
      <c r="E333" s="23" t="n">
        <f aca="false">v26*E330*E331</f>
        <v>266.767350444</v>
      </c>
      <c r="F333" s="23" t="n">
        <f aca="false">v26*F330*F331</f>
        <v>314.78547352392</v>
      </c>
      <c r="G333" s="23" t="n">
        <f aca="false">v26*G330*G331</f>
        <v>353.758913103072</v>
      </c>
      <c r="K333" s="7" t="s">
        <v>599</v>
      </c>
    </row>
    <row r="334" customFormat="false" ht="17.15" hidden="false" customHeight="false" outlineLevel="0" collapsed="false">
      <c r="A334" s="3" t="s">
        <v>600</v>
      </c>
      <c r="B334" s="0" t="s">
        <v>44</v>
      </c>
      <c r="D334" s="20" t="n">
        <f aca="false">sh_nv_26</f>
        <v>0.25</v>
      </c>
      <c r="E334" s="20" t="n">
        <f aca="false">sh_nv_27</f>
        <v>0.27</v>
      </c>
      <c r="F334" s="20" t="n">
        <f aca="false">sh_nv_28</f>
        <v>0.29</v>
      </c>
      <c r="G334" s="20" t="n">
        <f aca="false">sh_nv_29</f>
        <v>0.3</v>
      </c>
    </row>
    <row r="335" customFormat="false" ht="17.15" hidden="false" customHeight="false" outlineLevel="0" collapsed="false">
      <c r="A335" s="3" t="s">
        <v>601</v>
      </c>
      <c r="B335" s="0" t="s">
        <v>44</v>
      </c>
      <c r="D335" s="20" t="n">
        <f aca="false">sh_ot_26</f>
        <v>0.3</v>
      </c>
      <c r="E335" s="20" t="n">
        <f aca="false">sh_ot_27</f>
        <v>0.31</v>
      </c>
      <c r="F335" s="20" t="n">
        <f aca="false">sh_ot_28</f>
        <v>0.32</v>
      </c>
      <c r="G335" s="20" t="n">
        <f aca="false">sh_ot_29</f>
        <v>0.33</v>
      </c>
    </row>
    <row r="336" customFormat="false" ht="17.15" hidden="false" customHeight="false" outlineLevel="0" collapsed="false">
      <c r="A336" s="3" t="s">
        <v>602</v>
      </c>
      <c r="B336" s="0" t="s">
        <v>552</v>
      </c>
      <c r="D336" s="22" t="n">
        <f aca="false">(D328*D333*D334+D329*D333*v_ot*D335)*D332</f>
        <v>801.809211504</v>
      </c>
      <c r="E336" s="22" t="n">
        <f aca="false">(E328*E333*E334+E329*E333*v_ot*E335)*E332</f>
        <v>1706.12392813212</v>
      </c>
      <c r="F336" s="22" t="n">
        <f aca="false">(F328*F333*F334+F329*F333*v_ot*F335)*F332</f>
        <v>2349.03937835123</v>
      </c>
      <c r="G336" s="22" t="n">
        <f aca="false">(G328*G333*G334+G329*G333*v_ot*G335)*G332</f>
        <v>3098.31253827411</v>
      </c>
    </row>
    <row r="337" customFormat="false" ht="15" hidden="false" customHeight="false" outlineLevel="0" collapsed="false">
      <c r="A337" s="3" t="s">
        <v>603</v>
      </c>
      <c r="B337" s="0" t="s">
        <v>302</v>
      </c>
      <c r="D337" s="21" t="n">
        <f aca="false">D336*fx/1000</f>
        <v>26.05879937388</v>
      </c>
      <c r="E337" s="21" t="n">
        <f aca="false">E336*fx/1000</f>
        <v>55.449027664294</v>
      </c>
      <c r="F337" s="21" t="n">
        <f aca="false">F336*fx/1000</f>
        <v>76.3437797964148</v>
      </c>
      <c r="G337" s="21" t="n">
        <f aca="false">G336*fx/1000</f>
        <v>100.695157493909</v>
      </c>
    </row>
    <row r="338" customFormat="false" ht="17.15" hidden="false" customHeight="false" outlineLevel="0" collapsed="false">
      <c r="A338" s="5" t="s">
        <v>604</v>
      </c>
    </row>
    <row r="339" customFormat="false" ht="17.15" hidden="false" customHeight="false" outlineLevel="0" collapsed="false">
      <c r="A339" s="0" t="s">
        <v>605</v>
      </c>
      <c r="B339" s="0" t="s">
        <v>302</v>
      </c>
      <c r="D339" s="21" t="n">
        <f aca="false">a26_abf*ai_abf</f>
        <v>74.83672875</v>
      </c>
      <c r="K339" s="3" t="s">
        <v>606</v>
      </c>
    </row>
    <row r="340" customFormat="false" ht="17.15" hidden="false" customHeight="false" outlineLevel="0" collapsed="false">
      <c r="A340" s="3" t="s">
        <v>607</v>
      </c>
      <c r="B340" s="0" t="s">
        <v>302</v>
      </c>
      <c r="D340" s="21" t="n">
        <f aca="false">D339-D337</f>
        <v>48.77792937612</v>
      </c>
      <c r="E340" s="21" t="n">
        <f aca="false">$D340*(itc_27/itc_26)^el_o*1*1*E331*E332</f>
        <v>76.0921057098019</v>
      </c>
      <c r="F340" s="21" t="n">
        <f aca="false">$D340*(itc_28/itc_26)^el_o*um28_A*1*F331*F332</f>
        <v>85.6709510665586</v>
      </c>
      <c r="G340" s="21" t="n">
        <f aca="false">$D340*(itc_29/itc_26)^el_o*um29_A*1*G331*G332</f>
        <v>87.0835831069579</v>
      </c>
      <c r="K340" s="7" t="s">
        <v>608</v>
      </c>
    </row>
    <row r="341" customFormat="false" ht="17.15" hidden="false" customHeight="false" outlineLevel="0" collapsed="false">
      <c r="A341" s="3" t="s">
        <v>609</v>
      </c>
      <c r="B341" s="0" t="s">
        <v>302</v>
      </c>
      <c r="D341" s="21" t="n">
        <f aca="false">a26_abf-D339</f>
        <v>24.94557625</v>
      </c>
      <c r="E341" s="21" t="n">
        <f aca="false">D341*(1+g_nai)</f>
        <v>25.6939435375</v>
      </c>
      <c r="F341" s="21" t="n">
        <f aca="false">E341*(1+g_nai)</f>
        <v>26.464761843625</v>
      </c>
      <c r="G341" s="21" t="n">
        <f aca="false">F341*(1+g_nai)</f>
        <v>27.2587046989338</v>
      </c>
    </row>
    <row r="342" customFormat="false" ht="17.15" hidden="false" customHeight="false" outlineLevel="0" collapsed="false">
      <c r="A342" s="0" t="s">
        <v>610</v>
      </c>
      <c r="B342" s="0" t="s">
        <v>302</v>
      </c>
      <c r="D342" s="21" t="n">
        <f aca="false">D337+D340+D341</f>
        <v>99.782305</v>
      </c>
      <c r="E342" s="21" t="n">
        <f aca="false">E337+E340+E341</f>
        <v>157.235076911596</v>
      </c>
      <c r="F342" s="21" t="n">
        <f aca="false">F337+F340+F341</f>
        <v>188.479492706598</v>
      </c>
      <c r="G342" s="21" t="n">
        <f aca="false">G337+G340+G341</f>
        <v>215.0374452998</v>
      </c>
    </row>
    <row r="343" customFormat="false" ht="17.15" hidden="false" customHeight="false" outlineLevel="0" collapsed="false">
      <c r="A343" s="0" t="s">
        <v>611</v>
      </c>
      <c r="B343" s="0" t="s">
        <v>302</v>
      </c>
      <c r="D343" s="21" t="n">
        <f aca="false">a26_abf</f>
        <v>99.782305</v>
      </c>
      <c r="E343" s="21" t="n">
        <f aca="false">$D342*cap_27*(1+g_mix)^1*E331*E332</f>
        <v>155.939162614594</v>
      </c>
      <c r="F343" s="21" t="n">
        <f aca="false">$D342*cap_28*(1+g_mix)^2*F331*F332</f>
        <v>206.186226123741</v>
      </c>
      <c r="G343" s="21" t="n">
        <f aca="false">$D342*cap_29*(1+g_mix)^3*G331*G332</f>
        <v>242.572030733813</v>
      </c>
      <c r="K343" s="7" t="s">
        <v>612</v>
      </c>
    </row>
    <row r="344" customFormat="false" ht="17.15" hidden="false" customHeight="false" outlineLevel="0" collapsed="false">
      <c r="A344" s="0" t="s">
        <v>613</v>
      </c>
      <c r="B344" s="0" t="s">
        <v>302</v>
      </c>
      <c r="D344" s="21" t="n">
        <f aca="false">a26_abf</f>
        <v>99.782305</v>
      </c>
      <c r="E344" s="21" t="n">
        <f aca="false">MIN(E342,E343)</f>
        <v>155.939162614594</v>
      </c>
      <c r="F344" s="21" t="n">
        <f aca="false">MIN(F342,F343)</f>
        <v>188.479492706598</v>
      </c>
      <c r="G344" s="21" t="n">
        <f aca="false">MIN(G342,G343)</f>
        <v>215.0374452998</v>
      </c>
    </row>
    <row r="345" customFormat="false" ht="17.15" hidden="false" customHeight="false" outlineLevel="0" collapsed="false">
      <c r="A345" s="3" t="s">
        <v>614</v>
      </c>
      <c r="B345" s="0" t="s">
        <v>44</v>
      </c>
      <c r="D345" s="20" t="n">
        <f aca="false">D344/D342</f>
        <v>1</v>
      </c>
      <c r="E345" s="20" t="n">
        <f aca="false">E344/E342</f>
        <v>0.991758109434253</v>
      </c>
      <c r="F345" s="20" t="n">
        <f aca="false">F344/F342</f>
        <v>1</v>
      </c>
      <c r="G345" s="20" t="n">
        <f aca="false">G344/G342</f>
        <v>1</v>
      </c>
    </row>
    <row r="346" customFormat="false" ht="17.15" hidden="false" customHeight="false" outlineLevel="0" collapsed="false">
      <c r="A346" s="0" t="s">
        <v>615</v>
      </c>
      <c r="B346" s="0" t="s">
        <v>302</v>
      </c>
      <c r="D346" s="21" t="n">
        <f aca="false">(D337+D340)*D345</f>
        <v>74.83672875</v>
      </c>
      <c r="E346" s="21" t="n">
        <f aca="false">(E337+E340)*E345</f>
        <v>130.456985747932</v>
      </c>
      <c r="F346" s="21" t="n">
        <f aca="false">(F337+F340)*F345</f>
        <v>162.014730862973</v>
      </c>
      <c r="G346" s="21" t="n">
        <f aca="false">(G337+G340)*G345</f>
        <v>187.778740600866</v>
      </c>
    </row>
    <row r="347" customFormat="false" ht="17.15" hidden="false" customHeight="false" outlineLevel="0" collapsed="false">
      <c r="A347" s="3" t="s">
        <v>616</v>
      </c>
      <c r="B347" s="0" t="s">
        <v>44</v>
      </c>
      <c r="D347" s="20" t="n">
        <f aca="false">D337/(D337+D340)</f>
        <v>0.348208691228771</v>
      </c>
      <c r="E347" s="20" t="n">
        <f aca="false">E337/(E337+E340)</f>
        <v>0.421533753298293</v>
      </c>
      <c r="F347" s="20" t="n">
        <f aca="false">F337/(F337+F340)</f>
        <v>0.471215051802813</v>
      </c>
      <c r="G347" s="20" t="n">
        <f aca="false">G337/(G337+G340)</f>
        <v>0.536243651287136</v>
      </c>
    </row>
    <row r="348" customFormat="false" ht="17.15" hidden="false" customHeight="false" outlineLevel="0" collapsed="false">
      <c r="A348" s="5" t="s">
        <v>617</v>
      </c>
    </row>
    <row r="349" customFormat="false" ht="17.15" hidden="false" customHeight="false" outlineLevel="0" collapsed="false">
      <c r="A349" s="0" t="s">
        <v>519</v>
      </c>
      <c r="B349" s="0" t="s">
        <v>302</v>
      </c>
      <c r="D349" s="21" t="n">
        <f aca="false">a26_bt</f>
        <v>16.944165</v>
      </c>
      <c r="E349" s="21" t="n">
        <f aca="false">D349*(1+g_bt)</f>
        <v>17.79137325</v>
      </c>
      <c r="F349" s="21" t="n">
        <f aca="false">E349*(1+g_bt)</f>
        <v>18.6809419125</v>
      </c>
      <c r="G349" s="21" t="n">
        <f aca="false">F349*(1+g_bt)</f>
        <v>19.614989008125</v>
      </c>
    </row>
    <row r="350" customFormat="false" ht="17.15" hidden="false" customHeight="false" outlineLevel="0" collapsed="false">
      <c r="A350" s="0" t="s">
        <v>618</v>
      </c>
      <c r="B350" s="0" t="s">
        <v>302</v>
      </c>
      <c r="D350" s="21" t="n">
        <f aca="false">a26_pcb*ai_pcb</f>
        <v>37.93610275</v>
      </c>
      <c r="E350" s="21" t="n">
        <f aca="false">D350*(1+g_pai_27)</f>
        <v>45.5233233</v>
      </c>
      <c r="F350" s="21" t="n">
        <f aca="false">D350*(1+g_pai_27)*(1+g_pai_28)*um28_A</f>
        <v>52.351821795</v>
      </c>
      <c r="G350" s="21" t="n">
        <f aca="false">D350*(1+g_pai_27)*(1+g_pai_28)*(1+g_pai_29)*um29_A</f>
        <v>57.5870039745</v>
      </c>
      <c r="K350" s="3" t="s">
        <v>619</v>
      </c>
    </row>
    <row r="351" customFormat="false" ht="17.15" hidden="false" customHeight="false" outlineLevel="0" collapsed="false">
      <c r="A351" s="3" t="s">
        <v>620</v>
      </c>
      <c r="B351" s="0" t="s">
        <v>302</v>
      </c>
      <c r="D351" s="21" t="n">
        <f aca="false">a26_pcb*(1-ai_pcb)</f>
        <v>20.42713225</v>
      </c>
      <c r="E351" s="21" t="n">
        <f aca="false">D351*(1+g_pcbn)</f>
        <v>20.835674895</v>
      </c>
      <c r="F351" s="21" t="n">
        <f aca="false">E351*(1+g_pcbn)</f>
        <v>21.2523883929</v>
      </c>
      <c r="G351" s="21" t="n">
        <f aca="false">F351*(1+g_pcbn)</f>
        <v>21.677436160758</v>
      </c>
    </row>
    <row r="352" customFormat="false" ht="15" hidden="false" customHeight="false" outlineLevel="0" collapsed="false">
      <c r="A352" s="3" t="s">
        <v>521</v>
      </c>
      <c r="B352" s="0" t="s">
        <v>302</v>
      </c>
      <c r="D352" s="21" t="n">
        <f aca="false">a26_fpc</f>
        <v>13.178795</v>
      </c>
      <c r="E352" s="21" t="n">
        <f aca="false">D352*(1+g_fpc)</f>
        <v>13.178795</v>
      </c>
      <c r="F352" s="21" t="n">
        <f aca="false">E352*(1+g_fpc)</f>
        <v>13.178795</v>
      </c>
      <c r="G352" s="21" t="n">
        <f aca="false">F352*(1+g_fpc)</f>
        <v>13.178795</v>
      </c>
    </row>
    <row r="353" customFormat="false" ht="17.15" hidden="false" customHeight="false" outlineLevel="0" collapsed="false">
      <c r="A353" s="3" t="s">
        <v>484</v>
      </c>
      <c r="B353" s="0" t="s">
        <v>302</v>
      </c>
      <c r="C353" s="23" t="n">
        <f aca="false">a25_rev</f>
        <v>131.241</v>
      </c>
      <c r="D353" s="23" t="n">
        <f aca="false">D344+D349+D350+D351+D352</f>
        <v>188.2685</v>
      </c>
      <c r="E353" s="23" t="n">
        <f aca="false">E344+E349+E350+E351+E352</f>
        <v>253.268329059594</v>
      </c>
      <c r="F353" s="23" t="n">
        <f aca="false">F344+F349+F350+F351+F352</f>
        <v>293.943439806998</v>
      </c>
      <c r="G353" s="23" t="n">
        <f aca="false">G344+G349+G350+G351+G352</f>
        <v>327.095669443183</v>
      </c>
      <c r="H353" s="25" t="n">
        <f aca="false">G353*(1+H354)</f>
        <v>358.231771776474</v>
      </c>
      <c r="I353" s="25" t="n">
        <f aca="false">H353*(1+I354)</f>
        <v>386.028692488274</v>
      </c>
      <c r="J353" s="25" t="n">
        <f aca="false">I353*(1+J354)</f>
        <v>409.19041403757</v>
      </c>
      <c r="K353" s="7" t="s">
        <v>621</v>
      </c>
    </row>
    <row r="354" customFormat="false" ht="15" hidden="false" customHeight="false" outlineLevel="0" collapsed="false">
      <c r="A354" s="3" t="s">
        <v>622</v>
      </c>
      <c r="B354" s="0" t="s">
        <v>44</v>
      </c>
      <c r="D354" s="20" t="n">
        <f aca="false">D353/C353-1</f>
        <v>0.434525034097576</v>
      </c>
      <c r="E354" s="20" t="n">
        <f aca="false">E353/D353-1</f>
        <v>0.3452506875</v>
      </c>
      <c r="F354" s="20" t="n">
        <f aca="false">F353/E353-1</f>
        <v>0.160600857195349</v>
      </c>
      <c r="G354" s="20" t="n">
        <f aca="false">G353/F353-1</f>
        <v>0.11278438347851</v>
      </c>
      <c r="H354" s="26" t="n">
        <f aca="false">$G354+(fade_gA-$G354)*1/3</f>
        <v>0.0951895889856734</v>
      </c>
      <c r="I354" s="26" t="n">
        <f aca="false">$G354+(fade_gA-$G354)*2/3</f>
        <v>0.0775947944928367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623</v>
      </c>
      <c r="B355" s="0" t="s">
        <v>44</v>
      </c>
      <c r="D355" s="20" t="n">
        <f aca="false">D344/D353</f>
        <v>0.53</v>
      </c>
      <c r="E355" s="20" t="n">
        <f aca="false">E344/E353</f>
        <v>0.615707314031757</v>
      </c>
      <c r="F355" s="20" t="n">
        <f aca="false">F344/F353</f>
        <v>0.641210066910672</v>
      </c>
      <c r="G355" s="20" t="n">
        <f aca="false">G344/G353</f>
        <v>0.657414528495164</v>
      </c>
    </row>
    <row r="356" customFormat="false" ht="17.15" hidden="false" customHeight="false" outlineLevel="0" collapsed="false">
      <c r="A356" s="0" t="s">
        <v>624</v>
      </c>
      <c r="B356" s="0" t="s">
        <v>44</v>
      </c>
      <c r="D356" s="20" t="n">
        <f aca="false">(D346+D350)/D353</f>
        <v>0.599</v>
      </c>
      <c r="E356" s="20" t="n">
        <f aca="false">(E346+E350)/E353</f>
        <v>0.694837407035304</v>
      </c>
      <c r="F356" s="20" t="n">
        <f aca="false">(F346+F350)/F353</f>
        <v>0.729278233930736</v>
      </c>
      <c r="G356" s="20" t="n">
        <f aca="false">(G346+G350)/G353</f>
        <v>0.750134494269074</v>
      </c>
      <c r="K356" s="3" t="s">
        <v>625</v>
      </c>
    </row>
    <row r="357" customFormat="false" ht="17.15" hidden="false" customHeight="false" outlineLevel="0" collapsed="false">
      <c r="A357" s="5" t="s">
        <v>626</v>
      </c>
    </row>
    <row r="358" customFormat="false" ht="15" hidden="false" customHeight="false" outlineLevel="0" collapsed="false">
      <c r="A358" s="3" t="s">
        <v>627</v>
      </c>
      <c r="B358" s="0" t="s">
        <v>302</v>
      </c>
      <c r="C358" s="23" t="n">
        <f aca="false">a25_cx</f>
        <v>25.617</v>
      </c>
      <c r="D358" s="23" t="n">
        <f aca="false">capex26</f>
        <v>53.7</v>
      </c>
      <c r="E358" s="23" t="n">
        <f aca="false">cx27_A</f>
        <v>55</v>
      </c>
      <c r="F358" s="23" t="n">
        <f aca="false">cx28_A</f>
        <v>50</v>
      </c>
      <c r="G358" s="23" t="n">
        <f aca="false">cx29_A</f>
        <v>45</v>
      </c>
      <c r="H358" s="25" t="n">
        <f aca="false">H353*H375</f>
        <v>46.2398167457438</v>
      </c>
      <c r="I358" s="25" t="n">
        <f aca="false">I353*I375</f>
        <v>46.5478946437154</v>
      </c>
      <c r="J358" s="25" t="n">
        <f aca="false">J353*J375</f>
        <v>45.8640836717495</v>
      </c>
    </row>
    <row r="359" customFormat="false" ht="17.15" hidden="false" customHeight="false" outlineLevel="0" collapsed="false">
      <c r="A359" s="3" t="s">
        <v>628</v>
      </c>
      <c r="B359" s="0" t="s">
        <v>302</v>
      </c>
      <c r="C359" s="23" t="n">
        <f aca="false">a25_da</f>
        <v>18.8</v>
      </c>
      <c r="D359" s="23" t="n">
        <f aca="false">da26</f>
        <v>20.8</v>
      </c>
      <c r="E359" s="23" t="n">
        <f aca="false">D359*(1-1/life)+D358/life</f>
        <v>24.9125</v>
      </c>
      <c r="F359" s="23" t="n">
        <f aca="false">E359*(1-1/life)+E358/life</f>
        <v>28.6734375</v>
      </c>
      <c r="G359" s="23" t="n">
        <f aca="false">F359*(1-1/life)+F358/life</f>
        <v>31.3392578125</v>
      </c>
      <c r="H359" s="25" t="n">
        <f aca="false">H353*H360</f>
        <v>34.3224288827879</v>
      </c>
      <c r="I359" s="25" t="n">
        <f aca="false">I353*I360</f>
        <v>36.9856706984429</v>
      </c>
      <c r="J359" s="25" t="n">
        <f aca="false">J353*J360</f>
        <v>39.2048109403494</v>
      </c>
      <c r="K359" s="3" t="s">
        <v>629</v>
      </c>
    </row>
    <row r="360" customFormat="false" ht="17.15" hidden="false" customHeight="false" outlineLevel="0" collapsed="false">
      <c r="A360" s="3" t="s">
        <v>630</v>
      </c>
      <c r="B360" s="0" t="s">
        <v>44</v>
      </c>
      <c r="C360" s="20" t="n">
        <f aca="false">C359/C353</f>
        <v>0.143247917952469</v>
      </c>
      <c r="D360" s="20" t="n">
        <f aca="false">D359/D353</f>
        <v>0.110480510547436</v>
      </c>
      <c r="E360" s="20" t="n">
        <f aca="false">E359/E353</f>
        <v>0.0983640555947211</v>
      </c>
      <c r="F360" s="20" t="n">
        <f aca="false">F359/F353</f>
        <v>0.0975474653179089</v>
      </c>
      <c r="G360" s="20" t="n">
        <f aca="false">G359/G353</f>
        <v>0.0958106778541244</v>
      </c>
      <c r="H360" s="26" t="n">
        <f aca="false">$G360</f>
        <v>0.0958106778541244</v>
      </c>
      <c r="I360" s="26" t="n">
        <f aca="false">$G360</f>
        <v>0.0958106778541244</v>
      </c>
      <c r="J360" s="26" t="n">
        <f aca="false">$G360</f>
        <v>0.0958106778541244</v>
      </c>
    </row>
    <row r="361" customFormat="false" ht="17.15" hidden="false" customHeight="false" outlineLevel="0" collapsed="false">
      <c r="A361" s="3" t="s">
        <v>631</v>
      </c>
      <c r="B361" s="0" t="s">
        <v>302</v>
      </c>
      <c r="E361" s="21" t="n">
        <f aca="false">E346*(1-1/(E331*E332))</f>
        <v>12.128654003776</v>
      </c>
      <c r="F361" s="21" t="n">
        <f aca="false">F346*(1-1/(F331*F332))</f>
        <v>15.0625940258093</v>
      </c>
      <c r="G361" s="21" t="n">
        <f aca="false">G346*(1-1/(G331*G332))</f>
        <v>8.94184479051746</v>
      </c>
      <c r="K361" s="7" t="s">
        <v>632</v>
      </c>
    </row>
    <row r="362" customFormat="false" ht="17.15" hidden="false" customHeight="false" outlineLevel="0" collapsed="false">
      <c r="A362" s="3" t="s">
        <v>633</v>
      </c>
      <c r="B362" s="0" t="s">
        <v>302</v>
      </c>
      <c r="C362" s="21" t="n">
        <f aca="false">a25_gp</f>
        <v>18.292</v>
      </c>
      <c r="D362" s="21" t="n">
        <f aca="false">a26_gp</f>
        <v>47.3329657</v>
      </c>
      <c r="E362" s="21" t="n">
        <f aca="false">$D362+ft_abf*(E344-E361-$D344)+ft_oth*((E353-E344)-($D353-$D344))+E361-(E359-$D359)</f>
        <v>79.5739643704349</v>
      </c>
      <c r="F362" s="21" t="n">
        <f aca="false">$D362+ft_abf*(F344-F361-$D344)+ft_oth*((F353-F344)-($D353-$D344))+F361-(F359-$D359)</f>
        <v>95.5838570913039</v>
      </c>
      <c r="G362" s="21" t="n">
        <f aca="false">$D362+ft_abf*(G344-G361-$D344)+ft_oth*((G353-G344)-($D353-$D344))+G361-(G359-$D359)</f>
        <v>104.785207718505</v>
      </c>
      <c r="K362" s="3" t="s">
        <v>634</v>
      </c>
    </row>
    <row r="363" customFormat="false" ht="15" hidden="false" customHeight="false" outlineLevel="0" collapsed="false">
      <c r="A363" s="3" t="s">
        <v>491</v>
      </c>
      <c r="B363" s="0" t="s">
        <v>44</v>
      </c>
      <c r="C363" s="16" t="n">
        <f aca="false">C362/C353</f>
        <v>0.139377176339711</v>
      </c>
      <c r="D363" s="16" t="n">
        <f aca="false">D362/D353</f>
        <v>0.251412029627899</v>
      </c>
      <c r="E363" s="16" t="n">
        <f aca="false">E362/E353</f>
        <v>0.31418837351634</v>
      </c>
      <c r="F363" s="16" t="n">
        <f aca="false">F362/F353</f>
        <v>0.325177718387128</v>
      </c>
      <c r="G363" s="16" t="n">
        <f aca="false">G362/G353</f>
        <v>0.3203503363309</v>
      </c>
    </row>
    <row r="364" customFormat="false" ht="15" hidden="false" customHeight="false" outlineLevel="0" collapsed="false">
      <c r="A364" s="3" t="s">
        <v>493</v>
      </c>
      <c r="B364" s="0" t="s">
        <v>302</v>
      </c>
      <c r="C364" s="21" t="n">
        <f aca="false">a25_opx</f>
        <v>11.618</v>
      </c>
      <c r="D364" s="21" t="n">
        <f aca="false">a26_opx</f>
        <v>16.6539532</v>
      </c>
      <c r="E364" s="21" t="n">
        <f aca="false">D364*(1+phi*E354)</f>
        <v>20.1038264751357</v>
      </c>
      <c r="F364" s="21" t="n">
        <f aca="false">E364*(1+phi*F354)</f>
        <v>22.0410415340237</v>
      </c>
      <c r="G364" s="21" t="n">
        <f aca="false">F364*(1+phi*G354)</f>
        <v>23.5325727024072</v>
      </c>
    </row>
    <row r="365" customFormat="false" ht="15" hidden="false" customHeight="false" outlineLevel="0" collapsed="false">
      <c r="A365" s="3" t="s">
        <v>496</v>
      </c>
      <c r="B365" s="0" t="s">
        <v>302</v>
      </c>
      <c r="C365" s="21" t="n">
        <f aca="false">C362-C364</f>
        <v>6.674</v>
      </c>
      <c r="D365" s="21" t="n">
        <f aca="false">D362-D364</f>
        <v>30.6790125</v>
      </c>
      <c r="E365" s="21" t="n">
        <f aca="false">E362-E364</f>
        <v>59.4701378952992</v>
      </c>
      <c r="F365" s="21" t="n">
        <f aca="false">F362-F364</f>
        <v>73.5428155572802</v>
      </c>
      <c r="G365" s="21" t="n">
        <f aca="false">G362-G364</f>
        <v>81.2526350160974</v>
      </c>
    </row>
    <row r="366" customFormat="false" ht="15" hidden="false" customHeight="false" outlineLevel="0" collapsed="false">
      <c r="A366" s="3" t="s">
        <v>575</v>
      </c>
      <c r="B366" s="0" t="s">
        <v>44</v>
      </c>
      <c r="C366" s="16" t="n">
        <f aca="false">C365/C353</f>
        <v>0.0508530108731265</v>
      </c>
      <c r="D366" s="16" t="n">
        <f aca="false">D365/D353</f>
        <v>0.162953507888999</v>
      </c>
      <c r="E366" s="16" t="n">
        <f aca="false">E365/E353</f>
        <v>0.234810795791628</v>
      </c>
      <c r="F366" s="16" t="n">
        <f aca="false">F365/F353</f>
        <v>0.25019376382602</v>
      </c>
      <c r="G366" s="16" t="n">
        <f aca="false">G365/G353</f>
        <v>0.248406330644531</v>
      </c>
    </row>
    <row r="367" customFormat="false" ht="17.15" hidden="false" customHeight="false" outlineLevel="0" collapsed="false">
      <c r="A367" s="3" t="s">
        <v>635</v>
      </c>
      <c r="B367" s="0" t="s">
        <v>302</v>
      </c>
      <c r="C367" s="21" t="n">
        <f aca="false">a25_nonop</f>
        <v>-0.00100000000000033</v>
      </c>
      <c r="D367" s="21" t="n">
        <f aca="false">a26_nonop</f>
        <v>14.466</v>
      </c>
      <c r="E367" s="21" t="n">
        <f aca="false">nonop27</f>
        <v>2</v>
      </c>
      <c r="F367" s="21" t="n">
        <f aca="false">nonop28</f>
        <v>2</v>
      </c>
      <c r="G367" s="21" t="n">
        <f aca="false">nonop29</f>
        <v>2</v>
      </c>
      <c r="K367" s="7" t="s">
        <v>636</v>
      </c>
    </row>
    <row r="368" customFormat="false" ht="15" hidden="false" customHeight="false" outlineLevel="0" collapsed="false">
      <c r="A368" s="3" t="s">
        <v>502</v>
      </c>
      <c r="B368" s="0" t="s">
        <v>302</v>
      </c>
      <c r="C368" s="21" t="n">
        <f aca="false">C365+C367</f>
        <v>6.673</v>
      </c>
      <c r="D368" s="21" t="n">
        <f aca="false">D365+D367</f>
        <v>45.1450125</v>
      </c>
      <c r="E368" s="21" t="n">
        <f aca="false">E365+E367</f>
        <v>61.4701378952992</v>
      </c>
      <c r="F368" s="21" t="n">
        <f aca="false">F365+F367</f>
        <v>75.5428155572802</v>
      </c>
      <c r="G368" s="21" t="n">
        <f aca="false">G365+G367</f>
        <v>83.2526350160974</v>
      </c>
    </row>
    <row r="369" customFormat="false" ht="15" hidden="false" customHeight="false" outlineLevel="0" collapsed="false">
      <c r="A369" s="3" t="s">
        <v>506</v>
      </c>
      <c r="B369" s="0" t="s">
        <v>302</v>
      </c>
      <c r="E369" s="21" t="n">
        <f aca="false">E368*tax</f>
        <v>11.0646248211539</v>
      </c>
      <c r="F369" s="21" t="n">
        <f aca="false">F368*tax</f>
        <v>13.5977068003104</v>
      </c>
      <c r="G369" s="21" t="n">
        <f aca="false">G368*tax</f>
        <v>14.9854743028975</v>
      </c>
    </row>
    <row r="370" customFormat="false" ht="15" hidden="false" customHeight="false" outlineLevel="0" collapsed="false">
      <c r="A370" s="3" t="s">
        <v>504</v>
      </c>
      <c r="B370" s="0" t="s">
        <v>302</v>
      </c>
      <c r="C370" s="21" t="n">
        <f aca="false">a25_ni</f>
        <v>6.673</v>
      </c>
      <c r="D370" s="21" t="n">
        <f aca="false">a26_ni</f>
        <v>37.23923025</v>
      </c>
      <c r="E370" s="21" t="n">
        <f aca="false">E368-E369</f>
        <v>50.4055130741453</v>
      </c>
      <c r="F370" s="21" t="n">
        <f aca="false">F368-F369</f>
        <v>61.9451087569697</v>
      </c>
      <c r="G370" s="21" t="n">
        <f aca="false">G368-G369</f>
        <v>68.2671607131999</v>
      </c>
      <c r="H370" s="30" t="n">
        <f aca="false">H353*H374</f>
        <v>70.6008076861393</v>
      </c>
      <c r="I370" s="30" t="n">
        <f aca="false">I353*I374</f>
        <v>71.5912296749216</v>
      </c>
      <c r="J370" s="30" t="n">
        <f aca="false">J353*J374</f>
        <v>71.1296002902858</v>
      </c>
    </row>
    <row r="371" customFormat="false" ht="15" hidden="false" customHeight="false" outlineLevel="0" collapsed="false">
      <c r="A371" s="3" t="s">
        <v>637</v>
      </c>
      <c r="B371" s="3" t="s">
        <v>380</v>
      </c>
      <c r="C371" s="29" t="n">
        <f aca="false">a25_sh</f>
        <v>1.52351598173516</v>
      </c>
      <c r="D371" s="29" t="n">
        <f aca="false">a26_sh</f>
        <v>1.59236316568047</v>
      </c>
      <c r="E371" s="29" t="n">
        <f aca="false">a26_shend*(1+sh_g)</f>
        <v>1.64</v>
      </c>
      <c r="F371" s="29" t="n">
        <f aca="false">E371*(1+sh_g)</f>
        <v>1.64</v>
      </c>
      <c r="G371" s="29" t="n">
        <f aca="false">F371*(1+sh_g)</f>
        <v>1.64</v>
      </c>
      <c r="H371" s="31" t="n">
        <f aca="false">G371*(1+sh_g)</f>
        <v>1.64</v>
      </c>
      <c r="I371" s="31" t="n">
        <f aca="false">H371*(1+sh_g)</f>
        <v>1.64</v>
      </c>
      <c r="J371" s="31" t="n">
        <f aca="false">I371*(1+sh_g)</f>
        <v>1.64</v>
      </c>
    </row>
    <row r="372" customFormat="false" ht="17.15" hidden="false" customHeight="false" outlineLevel="0" collapsed="false">
      <c r="A372" s="0" t="s">
        <v>509</v>
      </c>
      <c r="B372" s="0" t="s">
        <v>386</v>
      </c>
      <c r="C372" s="18" t="n">
        <f aca="false">C370/C371</f>
        <v>4.38</v>
      </c>
      <c r="D372" s="18" t="n">
        <f aca="false">D370/D371</f>
        <v>23.3861414610695</v>
      </c>
      <c r="E372" s="18" t="n">
        <f aca="false">E370/E371</f>
        <v>30.7350689476496</v>
      </c>
      <c r="F372" s="18" t="n">
        <f aca="false">F370/F371</f>
        <v>37.7714077786401</v>
      </c>
      <c r="G372" s="18" t="n">
        <f aca="false">G370/G371</f>
        <v>41.6263175080487</v>
      </c>
      <c r="H372" s="28" t="n">
        <f aca="false">H370/H371</f>
        <v>43.0492729793533</v>
      </c>
      <c r="I372" s="28" t="n">
        <f aca="false">I370/I371</f>
        <v>43.6531888261717</v>
      </c>
      <c r="J372" s="28" t="n">
        <f aca="false">J370/J371</f>
        <v>43.3717074940767</v>
      </c>
    </row>
    <row r="373" customFormat="false" ht="17.15" hidden="false" customHeight="false" outlineLevel="0" collapsed="false">
      <c r="A373" s="0" t="s">
        <v>638</v>
      </c>
      <c r="B373" s="0" t="s">
        <v>44</v>
      </c>
      <c r="D373" s="20" t="n">
        <f aca="false">D372/C372-1</f>
        <v>4.33930170344053</v>
      </c>
      <c r="E373" s="20" t="n">
        <f aca="false">E372/D372-1</f>
        <v>0.314242839025571</v>
      </c>
      <c r="F373" s="20" t="n">
        <f aca="false">F372/E372-1</f>
        <v>0.228935189407752</v>
      </c>
      <c r="G373" s="20" t="n">
        <f aca="false">G372/F372-1</f>
        <v>0.102058937066905</v>
      </c>
      <c r="H373" s="26" t="n">
        <f aca="false">H372/G372-1</f>
        <v>0.0341840344399764</v>
      </c>
      <c r="I373" s="26" t="n">
        <f aca="false">I372/H372-1</f>
        <v>0.0140284795775318</v>
      </c>
      <c r="J373" s="26" t="n">
        <f aca="false">J372/I372-1</f>
        <v>-0.00644812760909375</v>
      </c>
    </row>
    <row r="374" customFormat="false" ht="17.15" hidden="false" customHeight="false" outlineLevel="0" collapsed="false">
      <c r="A374" s="3" t="s">
        <v>639</v>
      </c>
      <c r="B374" s="0" t="s">
        <v>44</v>
      </c>
      <c r="C374" s="16" t="n">
        <f aca="false">C370/C353</f>
        <v>0.0508453913030227</v>
      </c>
      <c r="D374" s="16" t="n">
        <f aca="false">D370/D353</f>
        <v>0.197798517808343</v>
      </c>
      <c r="E374" s="16" t="n">
        <f aca="false">E370/E353</f>
        <v>0.199020198306299</v>
      </c>
      <c r="F374" s="16" t="n">
        <f aca="false">F370/F353</f>
        <v>0.210738190985458</v>
      </c>
      <c r="G374" s="16" t="n">
        <f aca="false">G370/G353</f>
        <v>0.208707014768528</v>
      </c>
      <c r="H374" s="27" t="n">
        <f aca="false">$G374+(fade_mA-$G374)*1/3</f>
        <v>0.197081368121062</v>
      </c>
      <c r="I374" s="27" t="n">
        <f aca="false">$G374+(fade_mA-$G374)*2/3</f>
        <v>0.185455721473596</v>
      </c>
      <c r="J374" s="27" t="n">
        <f aca="false">$G374+(fade_mA-$G374)*3/3</f>
        <v>0.17383007482613</v>
      </c>
    </row>
    <row r="375" customFormat="false" ht="17.15" hidden="false" customHeight="false" outlineLevel="0" collapsed="false">
      <c r="A375" s="3" t="s">
        <v>640</v>
      </c>
      <c r="B375" s="0" t="s">
        <v>44</v>
      </c>
      <c r="C375" s="20" t="n">
        <f aca="false">C358/C353</f>
        <v>0.195190527350447</v>
      </c>
      <c r="D375" s="20" t="n">
        <f aca="false">D358/D353</f>
        <v>0.285230933480641</v>
      </c>
      <c r="E375" s="20" t="n">
        <f aca="false">E358/E353</f>
        <v>0.217160985758541</v>
      </c>
      <c r="F375" s="20" t="n">
        <f aca="false">F358/F353</f>
        <v>0.170100751467118</v>
      </c>
      <c r="G375" s="20" t="n">
        <f aca="false">G358/G353</f>
        <v>0.137574429146689</v>
      </c>
      <c r="H375" s="26" t="n">
        <f aca="false">$G375+($G360*(1+tp_g)^(life/2)-$G375)*1/3</f>
        <v>0.129077933306809</v>
      </c>
      <c r="I375" s="26" t="n">
        <f aca="false">$G375+($G360*(1+tp_g)^(life/2)-$G375)*2/3</f>
        <v>0.12058143746693</v>
      </c>
      <c r="J375" s="26" t="n">
        <f aca="false">$G375+($G360*(1+tp_g)^(life/2)-$G375)*3/3</f>
        <v>0.11208494162705</v>
      </c>
      <c r="K375" s="7" t="s">
        <v>641</v>
      </c>
    </row>
    <row r="376" customFormat="false" ht="15" hidden="false" customHeight="false" outlineLevel="0" collapsed="false">
      <c r="A376" s="3" t="s">
        <v>642</v>
      </c>
      <c r="B376" s="0" t="s">
        <v>302</v>
      </c>
      <c r="E376" s="21" t="n">
        <f aca="false">E370+E359-E358</f>
        <v>20.3180130741453</v>
      </c>
      <c r="F376" s="21" t="n">
        <f aca="false">F370+F359-F358</f>
        <v>40.6185462569697</v>
      </c>
      <c r="G376" s="21" t="n">
        <f aca="false">G370+G359-G358</f>
        <v>54.6064185256999</v>
      </c>
      <c r="H376" s="30" t="n">
        <f aca="false">H370+H359-H358</f>
        <v>58.6834198231835</v>
      </c>
      <c r="I376" s="30" t="n">
        <f aca="false">I370+I359-I358</f>
        <v>62.0290057296491</v>
      </c>
      <c r="J376" s="30" t="n">
        <f aca="false">J370+J359-J358</f>
        <v>64.4703275588857</v>
      </c>
      <c r="K376" s="3" t="s">
        <v>643</v>
      </c>
    </row>
    <row r="377" customFormat="false" ht="15" hidden="false" customHeight="false" outlineLevel="0" collapsed="false">
      <c r="A377" s="3" t="s">
        <v>644</v>
      </c>
      <c r="B377" s="0" t="s">
        <v>386</v>
      </c>
      <c r="E377" s="18" t="n">
        <f aca="false">E376/E371</f>
        <v>12.3890323622837</v>
      </c>
      <c r="F377" s="18" t="n">
        <f aca="false">F376/F371</f>
        <v>24.7674062542498</v>
      </c>
      <c r="G377" s="18" t="n">
        <f aca="false">G376/G371</f>
        <v>33.2965966620121</v>
      </c>
      <c r="H377" s="28" t="n">
        <f aca="false">H376/H371</f>
        <v>35.7825730629168</v>
      </c>
      <c r="I377" s="28" t="n">
        <f aca="false">I376/I371</f>
        <v>37.8225644692982</v>
      </c>
      <c r="J377" s="28" t="n">
        <f aca="false">J376/J371</f>
        <v>39.311175340784</v>
      </c>
    </row>
    <row r="380" customFormat="false" ht="17.15" hidden="false" customHeight="false" outlineLevel="0" collapsed="false">
      <c r="A380" s="1" t="s">
        <v>950</v>
      </c>
    </row>
    <row r="381" customFormat="false" ht="17.15" hidden="false" customHeight="false" outlineLevel="0" collapsed="false">
      <c r="A381" s="4" t="s">
        <v>21</v>
      </c>
      <c r="B381" s="4" t="s">
        <v>22</v>
      </c>
      <c r="C381" s="13" t="s">
        <v>477</v>
      </c>
      <c r="D381" s="13" t="s">
        <v>562</v>
      </c>
      <c r="E381" s="13" t="s">
        <v>563</v>
      </c>
      <c r="F381" s="13" t="s">
        <v>564</v>
      </c>
      <c r="G381" s="13" t="s">
        <v>565</v>
      </c>
      <c r="H381" s="13" t="s">
        <v>566</v>
      </c>
      <c r="I381" s="13" t="s">
        <v>567</v>
      </c>
      <c r="J381" s="13" t="s">
        <v>568</v>
      </c>
      <c r="K381" s="4" t="s">
        <v>533</v>
      </c>
    </row>
    <row r="382" customFormat="false" ht="17.15" hidden="false" customHeight="false" outlineLevel="0" collapsed="false">
      <c r="A382" s="5" t="s">
        <v>586</v>
      </c>
    </row>
    <row r="383" customFormat="false" ht="17.15" hidden="false" customHeight="false" outlineLevel="0" collapsed="false">
      <c r="A383" s="0" t="s">
        <v>587</v>
      </c>
      <c r="B383" s="3" t="s">
        <v>32</v>
      </c>
      <c r="D383" s="21" t="n">
        <f aca="false">(u_bw_26+u_rb_26+u_ru_26+u_hp_26)*1</f>
        <v>7.6</v>
      </c>
      <c r="E383" s="21" t="n">
        <f aca="false">(u_bw_27+u_rb_27+u_ru_27+u_hp_27)*1*1</f>
        <v>9.7</v>
      </c>
      <c r="F383" s="21" t="n">
        <f aca="false">(u_bw_28+u_rb_28+u_ru_28+u_hp_28)*um28_A*1</f>
        <v>9.5</v>
      </c>
      <c r="G383" s="21" t="n">
        <f aca="false">(u_bw_28*(1+g29_bw)+u_rb_28*(1+g29_rb)+u_ru_28*(1+g29_ru)+u_hp_28*(1+g29_hp))*um29_A*1</f>
        <v>10.6</v>
      </c>
      <c r="K383" s="7" t="s">
        <v>588</v>
      </c>
    </row>
    <row r="384" customFormat="false" ht="17.15" hidden="false" customHeight="false" outlineLevel="0" collapsed="false">
      <c r="A384" s="3" t="s">
        <v>589</v>
      </c>
      <c r="B384" s="3" t="s">
        <v>32</v>
      </c>
      <c r="D384" s="21" t="n">
        <f aca="false">(u_amd_26+u_tpu_26+u_trn_26+u_oth_26)*1</f>
        <v>7.6</v>
      </c>
      <c r="E384" s="21" t="n">
        <f aca="false">(u_amd_27+u_tpu_27+u_trn_27+u_oth_27)*1*1</f>
        <v>14</v>
      </c>
      <c r="F384" s="21" t="n">
        <f aca="false">(u_amd_28+u_tpu_28+u_trn_28+u_oth_28)*um28_A*1</f>
        <v>17</v>
      </c>
      <c r="G384" s="21" t="n">
        <f aca="false">(u_amd_28*(1+g29_amd)+u_tpu_28*(1+g29_tpu)+u_trn_28*(1+g29_trn)+u_oth_28*(1+g29_oth))*um29_A*1</f>
        <v>19.55</v>
      </c>
      <c r="K384" s="7" t="s">
        <v>590</v>
      </c>
    </row>
    <row r="385" customFormat="false" ht="17.15" hidden="false" customHeight="false" outlineLevel="0" collapsed="false">
      <c r="A385" s="3" t="s">
        <v>591</v>
      </c>
      <c r="B385" s="0" t="s">
        <v>144</v>
      </c>
      <c r="D385" s="19" t="n">
        <f aca="false">1</f>
        <v>1</v>
      </c>
      <c r="E385" s="19" t="n">
        <f aca="false">D385*(1+g_asp)</f>
        <v>1.18</v>
      </c>
      <c r="F385" s="19" t="n">
        <f aca="false">E385*(1+g_asp)</f>
        <v>1.3924</v>
      </c>
      <c r="G385" s="19" t="n">
        <f aca="false">F385*(1+g_asp)</f>
        <v>1.643032</v>
      </c>
      <c r="K385" s="7" t="s">
        <v>592</v>
      </c>
    </row>
    <row r="386" customFormat="false" ht="17.15" hidden="false" customHeight="false" outlineLevel="0" collapsed="false">
      <c r="A386" s="0" t="s">
        <v>593</v>
      </c>
      <c r="B386" s="0" t="s">
        <v>144</v>
      </c>
      <c r="D386" s="18" t="n">
        <f aca="false">1</f>
        <v>1</v>
      </c>
      <c r="E386" s="18" t="n">
        <f aca="false">ibpp_27</f>
        <v>1</v>
      </c>
      <c r="F386" s="18" t="n">
        <f aca="false">ibpp_28</f>
        <v>0.95</v>
      </c>
      <c r="G386" s="18" t="n">
        <f aca="false">ibpp_29</f>
        <v>0.9</v>
      </c>
      <c r="K386" s="7" t="s">
        <v>594</v>
      </c>
    </row>
    <row r="387" customFormat="false" ht="17.15" hidden="false" customHeight="false" outlineLevel="0" collapsed="false">
      <c r="A387" s="3" t="s">
        <v>595</v>
      </c>
      <c r="B387" s="0" t="s">
        <v>144</v>
      </c>
      <c r="D387" s="18" t="n">
        <f aca="false">1</f>
        <v>1</v>
      </c>
      <c r="E387" s="18" t="n">
        <f aca="false">1+carry_lo</f>
        <v>1</v>
      </c>
      <c r="F387" s="18" t="n">
        <f aca="false">1+carry_lo</f>
        <v>1</v>
      </c>
      <c r="G387" s="18" t="n">
        <f aca="false">1+carry_lo</f>
        <v>1</v>
      </c>
      <c r="K387" s="7" t="s">
        <v>596</v>
      </c>
    </row>
    <row r="388" customFormat="false" ht="17.15" hidden="false" customHeight="false" outlineLevel="0" collapsed="false">
      <c r="A388" s="3" t="s">
        <v>597</v>
      </c>
      <c r="B388" s="0" t="s">
        <v>598</v>
      </c>
      <c r="D388" s="23" t="n">
        <f aca="false">v26*D385*D386</f>
        <v>215.308596</v>
      </c>
      <c r="E388" s="23" t="n">
        <f aca="false">v26*E385*E386</f>
        <v>254.06414328</v>
      </c>
      <c r="F388" s="23" t="n">
        <f aca="false">v26*F385*F386</f>
        <v>284.80590461688</v>
      </c>
      <c r="G388" s="23" t="n">
        <f aca="false">v26*G385*G386</f>
        <v>318.383021792765</v>
      </c>
      <c r="K388" s="7" t="s">
        <v>599</v>
      </c>
    </row>
    <row r="389" customFormat="false" ht="17.15" hidden="false" customHeight="false" outlineLevel="0" collapsed="false">
      <c r="A389" s="3" t="s">
        <v>600</v>
      </c>
      <c r="B389" s="0" t="s">
        <v>44</v>
      </c>
      <c r="D389" s="20" t="n">
        <f aca="false">sh_nv_26</f>
        <v>0.25</v>
      </c>
      <c r="E389" s="20" t="n">
        <f aca="false">sh_nv_27</f>
        <v>0.27</v>
      </c>
      <c r="F389" s="20" t="n">
        <f aca="false">sh_nv_28</f>
        <v>0.29</v>
      </c>
      <c r="G389" s="20" t="n">
        <f aca="false">sh_nv_29</f>
        <v>0.3</v>
      </c>
    </row>
    <row r="390" customFormat="false" ht="17.15" hidden="false" customHeight="false" outlineLevel="0" collapsed="false">
      <c r="A390" s="3" t="s">
        <v>601</v>
      </c>
      <c r="B390" s="0" t="s">
        <v>44</v>
      </c>
      <c r="D390" s="20" t="n">
        <f aca="false">sh_ot_26</f>
        <v>0.3</v>
      </c>
      <c r="E390" s="20" t="n">
        <f aca="false">sh_ot_27</f>
        <v>0.31</v>
      </c>
      <c r="F390" s="20" t="n">
        <f aca="false">sh_ot_28</f>
        <v>0.32</v>
      </c>
      <c r="G390" s="20" t="n">
        <f aca="false">sh_ot_29</f>
        <v>0.33</v>
      </c>
    </row>
    <row r="391" customFormat="false" ht="17.15" hidden="false" customHeight="false" outlineLevel="0" collapsed="false">
      <c r="A391" s="3" t="s">
        <v>602</v>
      </c>
      <c r="B391" s="0" t="s">
        <v>552</v>
      </c>
      <c r="D391" s="22" t="n">
        <f aca="false">(D383*D388*D389+D384*D388*v_ot*D390)*D387</f>
        <v>801.809211504</v>
      </c>
      <c r="E391" s="22" t="n">
        <f aca="false">(E383*E388*E389+E384*E388*v_ot*E390)*E387</f>
        <v>1547.50469671848</v>
      </c>
      <c r="F391" s="22" t="n">
        <f aca="false">(F383*F388*F389+F384*F388*v_ot*F390)*F387</f>
        <v>2024.11556411217</v>
      </c>
      <c r="G391" s="22" t="n">
        <f aca="false">(G383*G388*G389+G384*G388*v_ot*G390)*G387</f>
        <v>2655.69646137781</v>
      </c>
    </row>
    <row r="392" customFormat="false" ht="15" hidden="false" customHeight="false" outlineLevel="0" collapsed="false">
      <c r="A392" s="3" t="s">
        <v>603</v>
      </c>
      <c r="B392" s="0" t="s">
        <v>302</v>
      </c>
      <c r="D392" s="21" t="n">
        <f aca="false">D391*fx/1000</f>
        <v>26.05879937388</v>
      </c>
      <c r="E392" s="21" t="n">
        <f aca="false">E391*fx/1000</f>
        <v>50.2939026433506</v>
      </c>
      <c r="F392" s="21" t="n">
        <f aca="false">F391*fx/1000</f>
        <v>65.7837558336454</v>
      </c>
      <c r="G392" s="21" t="n">
        <f aca="false">G391*fx/1000</f>
        <v>86.3101349947788</v>
      </c>
    </row>
    <row r="393" customFormat="false" ht="17.15" hidden="false" customHeight="false" outlineLevel="0" collapsed="false">
      <c r="A393" s="5" t="s">
        <v>604</v>
      </c>
    </row>
    <row r="394" customFormat="false" ht="17.15" hidden="false" customHeight="false" outlineLevel="0" collapsed="false">
      <c r="A394" s="0" t="s">
        <v>605</v>
      </c>
      <c r="B394" s="0" t="s">
        <v>302</v>
      </c>
      <c r="D394" s="21" t="n">
        <f aca="false">a26_abf*ai_abf</f>
        <v>74.83672875</v>
      </c>
      <c r="K394" s="3" t="s">
        <v>606</v>
      </c>
    </row>
    <row r="395" customFormat="false" ht="17.15" hidden="false" customHeight="false" outlineLevel="0" collapsed="false">
      <c r="A395" s="3" t="s">
        <v>607</v>
      </c>
      <c r="B395" s="0" t="s">
        <v>302</v>
      </c>
      <c r="D395" s="21" t="n">
        <f aca="false">D394-D392</f>
        <v>48.77792937612</v>
      </c>
      <c r="E395" s="21" t="n">
        <f aca="false">$D395*(itc_27/itc_26)^el_o*1*1*E386*E387</f>
        <v>69.0177829567364</v>
      </c>
      <c r="F395" s="21" t="n">
        <f aca="false">$D395*(itc_28/itc_26)^el_o*um28_A*1*F386*F387</f>
        <v>73.8207741616604</v>
      </c>
      <c r="G395" s="21" t="n">
        <f aca="false">$D395*(itc_29/itc_26)^el_o*um29_A*1*G386*G387</f>
        <v>74.6430712345353</v>
      </c>
      <c r="K395" s="7" t="s">
        <v>608</v>
      </c>
    </row>
    <row r="396" customFormat="false" ht="17.15" hidden="false" customHeight="false" outlineLevel="0" collapsed="false">
      <c r="A396" s="3" t="s">
        <v>609</v>
      </c>
      <c r="B396" s="0" t="s">
        <v>302</v>
      </c>
      <c r="D396" s="21" t="n">
        <f aca="false">a26_abf-D394</f>
        <v>24.94557625</v>
      </c>
      <c r="E396" s="21" t="n">
        <f aca="false">D396*(1+g_nai)</f>
        <v>25.6939435375</v>
      </c>
      <c r="F396" s="21" t="n">
        <f aca="false">E396*(1+g_nai)</f>
        <v>26.464761843625</v>
      </c>
      <c r="G396" s="21" t="n">
        <f aca="false">F396*(1+g_nai)</f>
        <v>27.2587046989338</v>
      </c>
    </row>
    <row r="397" customFormat="false" ht="17.15" hidden="false" customHeight="false" outlineLevel="0" collapsed="false">
      <c r="A397" s="0" t="s">
        <v>610</v>
      </c>
      <c r="B397" s="0" t="s">
        <v>302</v>
      </c>
      <c r="D397" s="21" t="n">
        <f aca="false">D392+D395+D396</f>
        <v>99.782305</v>
      </c>
      <c r="E397" s="21" t="n">
        <f aca="false">E392+E395+E396</f>
        <v>145.005629137587</v>
      </c>
      <c r="F397" s="21" t="n">
        <f aca="false">F392+F395+F396</f>
        <v>166.069291838931</v>
      </c>
      <c r="G397" s="21" t="n">
        <f aca="false">G392+G395+G396</f>
        <v>188.211910928248</v>
      </c>
    </row>
    <row r="398" customFormat="false" ht="17.15" hidden="false" customHeight="false" outlineLevel="0" collapsed="false">
      <c r="A398" s="0" t="s">
        <v>611</v>
      </c>
      <c r="B398" s="0" t="s">
        <v>302</v>
      </c>
      <c r="D398" s="21" t="n">
        <f aca="false">a26_abf</f>
        <v>99.782305</v>
      </c>
      <c r="E398" s="21" t="n">
        <f aca="false">$D397*cap_27*(1+g_mix)^1*E386*E387</f>
        <v>141.4414173375</v>
      </c>
      <c r="F398" s="21" t="n">
        <f aca="false">$D397*cap_28*(1+g_mix)^2*F386*F387</f>
        <v>177.666135888937</v>
      </c>
      <c r="G398" s="21" t="n">
        <f aca="false">$D397*cap_29*(1+g_mix)^3*G386*G387</f>
        <v>207.918883486125</v>
      </c>
      <c r="K398" s="7" t="s">
        <v>612</v>
      </c>
    </row>
    <row r="399" customFormat="false" ht="17.15" hidden="false" customHeight="false" outlineLevel="0" collapsed="false">
      <c r="A399" s="0" t="s">
        <v>613</v>
      </c>
      <c r="B399" s="0" t="s">
        <v>302</v>
      </c>
      <c r="D399" s="21" t="n">
        <f aca="false">a26_abf</f>
        <v>99.782305</v>
      </c>
      <c r="E399" s="21" t="n">
        <f aca="false">MIN(E397,E398)</f>
        <v>141.4414173375</v>
      </c>
      <c r="F399" s="21" t="n">
        <f aca="false">MIN(F397,F398)</f>
        <v>166.069291838931</v>
      </c>
      <c r="G399" s="21" t="n">
        <f aca="false">MIN(G397,G398)</f>
        <v>188.211910928248</v>
      </c>
    </row>
    <row r="400" customFormat="false" ht="17.15" hidden="false" customHeight="false" outlineLevel="0" collapsed="false">
      <c r="A400" s="3" t="s">
        <v>614</v>
      </c>
      <c r="B400" s="0" t="s">
        <v>44</v>
      </c>
      <c r="D400" s="20" t="n">
        <f aca="false">D399/D397</f>
        <v>1</v>
      </c>
      <c r="E400" s="20" t="n">
        <f aca="false">E399/E397</f>
        <v>0.97542018319368</v>
      </c>
      <c r="F400" s="20" t="n">
        <f aca="false">F399/F397</f>
        <v>1</v>
      </c>
      <c r="G400" s="20" t="n">
        <f aca="false">G399/G397</f>
        <v>1</v>
      </c>
    </row>
    <row r="401" customFormat="false" ht="17.15" hidden="false" customHeight="false" outlineLevel="0" collapsed="false">
      <c r="A401" s="0" t="s">
        <v>615</v>
      </c>
      <c r="B401" s="0" t="s">
        <v>302</v>
      </c>
      <c r="D401" s="21" t="n">
        <f aca="false">(D392+D395)*D400</f>
        <v>74.83672875</v>
      </c>
      <c r="E401" s="21" t="n">
        <f aca="false">(E392+E395)*E400</f>
        <v>116.379026225184</v>
      </c>
      <c r="F401" s="21" t="n">
        <f aca="false">(F392+F395)*F400</f>
        <v>139.604529995306</v>
      </c>
      <c r="G401" s="21" t="n">
        <f aca="false">(G392+G395)*G400</f>
        <v>160.953206229314</v>
      </c>
    </row>
    <row r="402" customFormat="false" ht="17.15" hidden="false" customHeight="false" outlineLevel="0" collapsed="false">
      <c r="A402" s="3" t="s">
        <v>616</v>
      </c>
      <c r="B402" s="0" t="s">
        <v>44</v>
      </c>
      <c r="D402" s="20" t="n">
        <f aca="false">D392/(D392+D395)</f>
        <v>0.348208691228771</v>
      </c>
      <c r="E402" s="20" t="n">
        <f aca="false">E392/(E392+E395)</f>
        <v>0.421533753298293</v>
      </c>
      <c r="F402" s="20" t="n">
        <f aca="false">F392/(F392+F395)</f>
        <v>0.471215051802813</v>
      </c>
      <c r="G402" s="20" t="n">
        <f aca="false">G392/(G392+G395)</f>
        <v>0.536243651287136</v>
      </c>
    </row>
    <row r="403" customFormat="false" ht="17.15" hidden="false" customHeight="false" outlineLevel="0" collapsed="false">
      <c r="A403" s="5" t="s">
        <v>617</v>
      </c>
    </row>
    <row r="404" customFormat="false" ht="17.15" hidden="false" customHeight="false" outlineLevel="0" collapsed="false">
      <c r="A404" s="0" t="s">
        <v>519</v>
      </c>
      <c r="B404" s="0" t="s">
        <v>302</v>
      </c>
      <c r="D404" s="21" t="n">
        <f aca="false">a26_bt</f>
        <v>16.944165</v>
      </c>
      <c r="E404" s="21" t="n">
        <f aca="false">D404*(1+g_bt)</f>
        <v>17.79137325</v>
      </c>
      <c r="F404" s="21" t="n">
        <f aca="false">E404*(1+g_bt)</f>
        <v>18.6809419125</v>
      </c>
      <c r="G404" s="21" t="n">
        <f aca="false">F404*(1+g_bt)</f>
        <v>19.614989008125</v>
      </c>
    </row>
    <row r="405" customFormat="false" ht="17.15" hidden="false" customHeight="false" outlineLevel="0" collapsed="false">
      <c r="A405" s="0" t="s">
        <v>618</v>
      </c>
      <c r="B405" s="0" t="s">
        <v>302</v>
      </c>
      <c r="D405" s="21" t="n">
        <f aca="false">a26_pcb*ai_pcb</f>
        <v>37.93610275</v>
      </c>
      <c r="E405" s="21" t="n">
        <f aca="false">D405*(1+g_pai_27)</f>
        <v>45.5233233</v>
      </c>
      <c r="F405" s="21" t="n">
        <f aca="false">D405*(1+g_pai_27)*(1+g_pai_28)*um28_A</f>
        <v>52.351821795</v>
      </c>
      <c r="G405" s="21" t="n">
        <f aca="false">D405*(1+g_pai_27)*(1+g_pai_28)*(1+g_pai_29)*um29_A</f>
        <v>57.5870039745</v>
      </c>
      <c r="K405" s="3" t="s">
        <v>619</v>
      </c>
    </row>
    <row r="406" customFormat="false" ht="17.15" hidden="false" customHeight="false" outlineLevel="0" collapsed="false">
      <c r="A406" s="3" t="s">
        <v>620</v>
      </c>
      <c r="B406" s="0" t="s">
        <v>302</v>
      </c>
      <c r="D406" s="21" t="n">
        <f aca="false">a26_pcb*(1-ai_pcb)</f>
        <v>20.42713225</v>
      </c>
      <c r="E406" s="21" t="n">
        <f aca="false">D406*(1+g_pcbn)</f>
        <v>20.835674895</v>
      </c>
      <c r="F406" s="21" t="n">
        <f aca="false">E406*(1+g_pcbn)</f>
        <v>21.2523883929</v>
      </c>
      <c r="G406" s="21" t="n">
        <f aca="false">F406*(1+g_pcbn)</f>
        <v>21.677436160758</v>
      </c>
    </row>
    <row r="407" customFormat="false" ht="15" hidden="false" customHeight="false" outlineLevel="0" collapsed="false">
      <c r="A407" s="3" t="s">
        <v>521</v>
      </c>
      <c r="B407" s="0" t="s">
        <v>302</v>
      </c>
      <c r="D407" s="21" t="n">
        <f aca="false">a26_fpc</f>
        <v>13.178795</v>
      </c>
      <c r="E407" s="21" t="n">
        <f aca="false">D407*(1+g_fpc)</f>
        <v>13.178795</v>
      </c>
      <c r="F407" s="21" t="n">
        <f aca="false">E407*(1+g_fpc)</f>
        <v>13.178795</v>
      </c>
      <c r="G407" s="21" t="n">
        <f aca="false">F407*(1+g_fpc)</f>
        <v>13.178795</v>
      </c>
    </row>
    <row r="408" customFormat="false" ht="17.15" hidden="false" customHeight="false" outlineLevel="0" collapsed="false">
      <c r="A408" s="3" t="s">
        <v>484</v>
      </c>
      <c r="B408" s="0" t="s">
        <v>302</v>
      </c>
      <c r="C408" s="23" t="n">
        <f aca="false">a25_rev</f>
        <v>131.241</v>
      </c>
      <c r="D408" s="23" t="n">
        <f aca="false">D399+D404+D405+D406+D407</f>
        <v>188.2685</v>
      </c>
      <c r="E408" s="23" t="n">
        <f aca="false">E399+E404+E405+E406+E407</f>
        <v>238.7705837825</v>
      </c>
      <c r="F408" s="23" t="n">
        <f aca="false">F399+F404+F405+F406+F407</f>
        <v>271.533238939331</v>
      </c>
      <c r="G408" s="23" t="n">
        <f aca="false">G399+G404+G405+G406+G407</f>
        <v>300.270135071631</v>
      </c>
      <c r="H408" s="25" t="n">
        <f aca="false">G408*(1+H409)</f>
        <v>327.460989977469</v>
      </c>
      <c r="I408" s="25" t="n">
        <f aca="false">H408*(1+I409)</f>
        <v>352.111376210089</v>
      </c>
      <c r="J408" s="25" t="n">
        <f aca="false">I408*(1+J409)</f>
        <v>373.238058782695</v>
      </c>
      <c r="K408" s="7" t="s">
        <v>621</v>
      </c>
    </row>
    <row r="409" customFormat="false" ht="15" hidden="false" customHeight="false" outlineLevel="0" collapsed="false">
      <c r="A409" s="3" t="s">
        <v>622</v>
      </c>
      <c r="B409" s="0" t="s">
        <v>44</v>
      </c>
      <c r="D409" s="20" t="n">
        <f aca="false">D408/C408-1</f>
        <v>0.434525034097576</v>
      </c>
      <c r="E409" s="20" t="n">
        <f aca="false">E408/D408-1</f>
        <v>0.268245</v>
      </c>
      <c r="F409" s="20" t="n">
        <f aca="false">F408/E408-1</f>
        <v>0.137213950888837</v>
      </c>
      <c r="G409" s="20" t="n">
        <f aca="false">G408/F408-1</f>
        <v>0.105831964604233</v>
      </c>
      <c r="H409" s="26" t="n">
        <f aca="false">$G409+(fade_gA-$G409)*1/3</f>
        <v>0.0905546430694886</v>
      </c>
      <c r="I409" s="26" t="n">
        <f aca="false">$G409+(fade_gA-$G409)*2/3</f>
        <v>0.0752773215347443</v>
      </c>
      <c r="J409" s="26" t="n">
        <f aca="false">$G409+(fade_gA-$G409)*3/3</f>
        <v>0.06</v>
      </c>
    </row>
    <row r="410" customFormat="false" ht="17.15" hidden="false" customHeight="false" outlineLevel="0" collapsed="false">
      <c r="A410" s="0" t="s">
        <v>623</v>
      </c>
      <c r="B410" s="0" t="s">
        <v>44</v>
      </c>
      <c r="D410" s="20" t="n">
        <f aca="false">D399/D408</f>
        <v>0.53</v>
      </c>
      <c r="E410" s="20" t="n">
        <f aca="false">E399/E408</f>
        <v>0.592373713280951</v>
      </c>
      <c r="F410" s="20" t="n">
        <f aca="false">F399/F408</f>
        <v>0.611598390265716</v>
      </c>
      <c r="G410" s="20" t="n">
        <f aca="false">G399/G408</f>
        <v>0.626808626450143</v>
      </c>
    </row>
    <row r="411" customFormat="false" ht="17.15" hidden="false" customHeight="false" outlineLevel="0" collapsed="false">
      <c r="A411" s="0" t="s">
        <v>624</v>
      </c>
      <c r="B411" s="0" t="s">
        <v>44</v>
      </c>
      <c r="D411" s="20" t="n">
        <f aca="false">(D401+D405)/D408</f>
        <v>0.599</v>
      </c>
      <c r="E411" s="20" t="n">
        <f aca="false">(E401+E405)/E408</f>
        <v>0.678066564818818</v>
      </c>
      <c r="F411" s="20" t="n">
        <f aca="false">(F401+F405)/F408</f>
        <v>0.70693500560053</v>
      </c>
      <c r="G411" s="20" t="n">
        <f aca="false">(G401+G405)/G408</f>
        <v>0.7278120088489</v>
      </c>
      <c r="K411" s="3" t="s">
        <v>625</v>
      </c>
    </row>
    <row r="412" customFormat="false" ht="17.15" hidden="false" customHeight="false" outlineLevel="0" collapsed="false">
      <c r="A412" s="5" t="s">
        <v>626</v>
      </c>
    </row>
    <row r="413" customFormat="false" ht="15" hidden="false" customHeight="false" outlineLevel="0" collapsed="false">
      <c r="A413" s="3" t="s">
        <v>627</v>
      </c>
      <c r="B413" s="0" t="s">
        <v>302</v>
      </c>
      <c r="C413" s="23" t="n">
        <f aca="false">a25_cx</f>
        <v>25.617</v>
      </c>
      <c r="D413" s="23" t="n">
        <f aca="false">capex26</f>
        <v>53.7</v>
      </c>
      <c r="E413" s="23" t="n">
        <f aca="false">cx27_A</f>
        <v>55</v>
      </c>
      <c r="F413" s="23" t="n">
        <f aca="false">cx28_A</f>
        <v>50</v>
      </c>
      <c r="G413" s="23" t="n">
        <f aca="false">cx29_A</f>
        <v>45</v>
      </c>
      <c r="H413" s="25" t="n">
        <f aca="false">H408*H430</f>
        <v>46.0441254682278</v>
      </c>
      <c r="I413" s="25" t="n">
        <f aca="false">I408*I430</f>
        <v>46.2512174103546</v>
      </c>
      <c r="J413" s="25" t="n">
        <f aca="false">J408*J430</f>
        <v>45.5717647697129</v>
      </c>
    </row>
    <row r="414" customFormat="false" ht="17.15" hidden="false" customHeight="false" outlineLevel="0" collapsed="false">
      <c r="A414" s="3" t="s">
        <v>628</v>
      </c>
      <c r="B414" s="0" t="s">
        <v>302</v>
      </c>
      <c r="C414" s="23" t="n">
        <f aca="false">a25_da</f>
        <v>18.8</v>
      </c>
      <c r="D414" s="23" t="n">
        <f aca="false">da26</f>
        <v>20.8</v>
      </c>
      <c r="E414" s="23" t="n">
        <f aca="false">D414*(1-1/life)+D413/life</f>
        <v>24.9125</v>
      </c>
      <c r="F414" s="23" t="n">
        <f aca="false">E414*(1-1/life)+E413/life</f>
        <v>28.6734375</v>
      </c>
      <c r="G414" s="23" t="n">
        <f aca="false">F414*(1-1/life)+F413/life</f>
        <v>31.3392578125</v>
      </c>
      <c r="H414" s="25" t="n">
        <f aca="false">H408*H415</f>
        <v>34.1771731177736</v>
      </c>
      <c r="I414" s="25" t="n">
        <f aca="false">I408*I415</f>
        <v>36.7499391677089</v>
      </c>
      <c r="J414" s="25" t="n">
        <f aca="false">J408*J415</f>
        <v>38.9549355177714</v>
      </c>
      <c r="K414" s="3" t="s">
        <v>629</v>
      </c>
    </row>
    <row r="415" customFormat="false" ht="17.15" hidden="false" customHeight="false" outlineLevel="0" collapsed="false">
      <c r="A415" s="3" t="s">
        <v>630</v>
      </c>
      <c r="B415" s="0" t="s">
        <v>44</v>
      </c>
      <c r="C415" s="20" t="n">
        <f aca="false">C414/C408</f>
        <v>0.143247917952469</v>
      </c>
      <c r="D415" s="20" t="n">
        <f aca="false">D414/D408</f>
        <v>0.110480510547436</v>
      </c>
      <c r="E415" s="20" t="n">
        <f aca="false">E414/E408</f>
        <v>0.104336554383488</v>
      </c>
      <c r="F415" s="20" t="n">
        <f aca="false">F414/F408</f>
        <v>0.105598259763721</v>
      </c>
      <c r="G415" s="20" t="n">
        <f aca="false">G414/G408</f>
        <v>0.104370212525544</v>
      </c>
      <c r="H415" s="26" t="n">
        <f aca="false">$G415</f>
        <v>0.104370212525544</v>
      </c>
      <c r="I415" s="26" t="n">
        <f aca="false">$G415</f>
        <v>0.104370212525544</v>
      </c>
      <c r="J415" s="26" t="n">
        <f aca="false">$G415</f>
        <v>0.104370212525544</v>
      </c>
    </row>
    <row r="416" customFormat="false" ht="17.15" hidden="false" customHeight="false" outlineLevel="0" collapsed="false">
      <c r="A416" s="3" t="s">
        <v>631</v>
      </c>
      <c r="B416" s="0" t="s">
        <v>302</v>
      </c>
      <c r="E416" s="21" t="n">
        <f aca="false">E401*(1-1/(E386*E387))</f>
        <v>0</v>
      </c>
      <c r="F416" s="21" t="n">
        <f aca="false">F401*(1-1/(F386*F387))</f>
        <v>-7.34760684185819</v>
      </c>
      <c r="G416" s="21" t="n">
        <f aca="false">G401*(1-1/(G386*G387))</f>
        <v>-17.8836895810349</v>
      </c>
      <c r="K416" s="7" t="s">
        <v>632</v>
      </c>
    </row>
    <row r="417" customFormat="false" ht="17.15" hidden="false" customHeight="false" outlineLevel="0" collapsed="false">
      <c r="A417" s="3" t="s">
        <v>633</v>
      </c>
      <c r="B417" s="0" t="s">
        <v>302</v>
      </c>
      <c r="C417" s="21" t="n">
        <f aca="false">a25_gp</f>
        <v>18.292</v>
      </c>
      <c r="D417" s="21" t="n">
        <f aca="false">a26_gp</f>
        <v>47.3329657</v>
      </c>
      <c r="E417" s="21" t="n">
        <f aca="false">$D417+ft_abf*(E399-E416-$D399)+ft_oth*((E408-E399)-($D408-$D399))+E416-(E414-$D414)</f>
        <v>66.26076473</v>
      </c>
      <c r="F417" s="21" t="n">
        <f aca="false">$D417+ft_abf*(F399-F416-$D399)+ft_oth*((F408-F399)-($D408-$D399))+F416-(F414-$D414)</f>
        <v>73.1736562236363</v>
      </c>
      <c r="G417" s="21" t="n">
        <f aca="false">$D417+ft_abf*(G399-G416-$D399)+ft_oth*((G408-G399)-($D408-$D399))+G416-(G414-$D414)</f>
        <v>77.9596733469522</v>
      </c>
      <c r="K417" s="3" t="s">
        <v>634</v>
      </c>
    </row>
    <row r="418" customFormat="false" ht="15" hidden="false" customHeight="false" outlineLevel="0" collapsed="false">
      <c r="A418" s="3" t="s">
        <v>491</v>
      </c>
      <c r="B418" s="0" t="s">
        <v>44</v>
      </c>
      <c r="C418" s="16" t="n">
        <f aca="false">C417/C408</f>
        <v>0.139377176339711</v>
      </c>
      <c r="D418" s="16" t="n">
        <f aca="false">D417/D408</f>
        <v>0.251412029627899</v>
      </c>
      <c r="E418" s="16" t="n">
        <f aca="false">E417/E408</f>
        <v>0.277508073567211</v>
      </c>
      <c r="F418" s="16" t="n">
        <f aca="false">F417/F408</f>
        <v>0.269483237151624</v>
      </c>
      <c r="G418" s="16" t="n">
        <f aca="false">G417/G408</f>
        <v>0.259631792313793</v>
      </c>
    </row>
    <row r="419" customFormat="false" ht="15" hidden="false" customHeight="false" outlineLevel="0" collapsed="false">
      <c r="A419" s="3" t="s">
        <v>493</v>
      </c>
      <c r="B419" s="0" t="s">
        <v>302</v>
      </c>
      <c r="C419" s="21" t="n">
        <f aca="false">a25_opx</f>
        <v>11.618</v>
      </c>
      <c r="D419" s="21" t="n">
        <f aca="false">a26_opx</f>
        <v>16.6539532</v>
      </c>
      <c r="E419" s="21" t="n">
        <f aca="false">D419*(1+phi*E409)</f>
        <v>19.3343570056804</v>
      </c>
      <c r="F419" s="21" t="n">
        <f aca="false">E419*(1+phi*F409)</f>
        <v>20.9261231132672</v>
      </c>
      <c r="G419" s="21" t="n">
        <f aca="false">F419*(1+phi*G409)</f>
        <v>22.2549147456435</v>
      </c>
    </row>
    <row r="420" customFormat="false" ht="15" hidden="false" customHeight="false" outlineLevel="0" collapsed="false">
      <c r="A420" s="3" t="s">
        <v>496</v>
      </c>
      <c r="B420" s="0" t="s">
        <v>302</v>
      </c>
      <c r="C420" s="21" t="n">
        <f aca="false">C417-C419</f>
        <v>6.674</v>
      </c>
      <c r="D420" s="21" t="n">
        <f aca="false">D417-D419</f>
        <v>30.6790125</v>
      </c>
      <c r="E420" s="21" t="n">
        <f aca="false">E417-E419</f>
        <v>46.9264077243196</v>
      </c>
      <c r="F420" s="21" t="n">
        <f aca="false">F417-F419</f>
        <v>52.2475331103691</v>
      </c>
      <c r="G420" s="21" t="n">
        <f aca="false">G417-G419</f>
        <v>55.7047586013087</v>
      </c>
    </row>
    <row r="421" customFormat="false" ht="15" hidden="false" customHeight="false" outlineLevel="0" collapsed="false">
      <c r="A421" s="3" t="s">
        <v>575</v>
      </c>
      <c r="B421" s="0" t="s">
        <v>44</v>
      </c>
      <c r="C421" s="16" t="n">
        <f aca="false">C420/C408</f>
        <v>0.0508530108731265</v>
      </c>
      <c r="D421" s="16" t="n">
        <f aca="false">D420/D408</f>
        <v>0.162953507888999</v>
      </c>
      <c r="E421" s="16" t="n">
        <f aca="false">E420/E408</f>
        <v>0.196533454753646</v>
      </c>
      <c r="F421" s="16" t="n">
        <f aca="false">F420/F408</f>
        <v>0.192416712276035</v>
      </c>
      <c r="G421" s="16" t="n">
        <f aca="false">G420/G408</f>
        <v>0.185515481211677</v>
      </c>
    </row>
    <row r="422" customFormat="false" ht="17.15" hidden="false" customHeight="false" outlineLevel="0" collapsed="false">
      <c r="A422" s="3" t="s">
        <v>635</v>
      </c>
      <c r="B422" s="0" t="s">
        <v>302</v>
      </c>
      <c r="C422" s="21" t="n">
        <f aca="false">a25_nonop</f>
        <v>-0.00100000000000033</v>
      </c>
      <c r="D422" s="21" t="n">
        <f aca="false">a26_nonop</f>
        <v>14.466</v>
      </c>
      <c r="E422" s="21" t="n">
        <f aca="false">nonop27</f>
        <v>2</v>
      </c>
      <c r="F422" s="21" t="n">
        <f aca="false">nonop28</f>
        <v>2</v>
      </c>
      <c r="G422" s="21" t="n">
        <f aca="false">nonop29</f>
        <v>2</v>
      </c>
      <c r="K422" s="7" t="s">
        <v>636</v>
      </c>
    </row>
    <row r="423" customFormat="false" ht="15" hidden="false" customHeight="false" outlineLevel="0" collapsed="false">
      <c r="A423" s="3" t="s">
        <v>502</v>
      </c>
      <c r="B423" s="0" t="s">
        <v>302</v>
      </c>
      <c r="C423" s="21" t="n">
        <f aca="false">C420+C422</f>
        <v>6.673</v>
      </c>
      <c r="D423" s="21" t="n">
        <f aca="false">D420+D422</f>
        <v>45.1450125</v>
      </c>
      <c r="E423" s="21" t="n">
        <f aca="false">E420+E422</f>
        <v>48.9264077243196</v>
      </c>
      <c r="F423" s="21" t="n">
        <f aca="false">F420+F422</f>
        <v>54.2475331103691</v>
      </c>
      <c r="G423" s="21" t="n">
        <f aca="false">G420+G422</f>
        <v>57.7047586013087</v>
      </c>
    </row>
    <row r="424" customFormat="false" ht="15" hidden="false" customHeight="false" outlineLevel="0" collapsed="false">
      <c r="A424" s="3" t="s">
        <v>506</v>
      </c>
      <c r="B424" s="0" t="s">
        <v>302</v>
      </c>
      <c r="E424" s="21" t="n">
        <f aca="false">E423*tax</f>
        <v>8.80675339037753</v>
      </c>
      <c r="F424" s="21" t="n">
        <f aca="false">F423*tax</f>
        <v>9.76455595986644</v>
      </c>
      <c r="G424" s="21" t="n">
        <f aca="false">G423*tax</f>
        <v>10.3868565482356</v>
      </c>
    </row>
    <row r="425" customFormat="false" ht="15" hidden="false" customHeight="false" outlineLevel="0" collapsed="false">
      <c r="A425" s="3" t="s">
        <v>504</v>
      </c>
      <c r="B425" s="0" t="s">
        <v>302</v>
      </c>
      <c r="C425" s="21" t="n">
        <f aca="false">a25_ni</f>
        <v>6.673</v>
      </c>
      <c r="D425" s="21" t="n">
        <f aca="false">a26_ni</f>
        <v>37.23923025</v>
      </c>
      <c r="E425" s="21" t="n">
        <f aca="false">E423-E424</f>
        <v>40.1196543339421</v>
      </c>
      <c r="F425" s="21" t="n">
        <f aca="false">F423-F424</f>
        <v>44.4829771505027</v>
      </c>
      <c r="G425" s="21" t="n">
        <f aca="false">G423-G424</f>
        <v>47.3179020530732</v>
      </c>
      <c r="H425" s="30" t="n">
        <f aca="false">H408*H429</f>
        <v>53.3760279863315</v>
      </c>
      <c r="I425" s="30" t="n">
        <f aca="false">I408*I429</f>
        <v>59.3007896405187</v>
      </c>
      <c r="J425" s="30" t="n">
        <f aca="false">J408*J429</f>
        <v>64.8799996861551</v>
      </c>
    </row>
    <row r="426" customFormat="false" ht="15" hidden="false" customHeight="false" outlineLevel="0" collapsed="false">
      <c r="A426" s="3" t="s">
        <v>637</v>
      </c>
      <c r="B426" s="3" t="s">
        <v>380</v>
      </c>
      <c r="C426" s="29" t="n">
        <f aca="false">a25_sh</f>
        <v>1.52351598173516</v>
      </c>
      <c r="D426" s="29" t="n">
        <f aca="false">a26_sh</f>
        <v>1.59236316568047</v>
      </c>
      <c r="E426" s="29" t="n">
        <f aca="false">a26_shend*(1+sh_g)</f>
        <v>1.64</v>
      </c>
      <c r="F426" s="29" t="n">
        <f aca="false">E426*(1+sh_g)</f>
        <v>1.64</v>
      </c>
      <c r="G426" s="29" t="n">
        <f aca="false">F426*(1+sh_g)</f>
        <v>1.64</v>
      </c>
      <c r="H426" s="31" t="n">
        <f aca="false">G426*(1+sh_g)</f>
        <v>1.64</v>
      </c>
      <c r="I426" s="31" t="n">
        <f aca="false">H426*(1+sh_g)</f>
        <v>1.64</v>
      </c>
      <c r="J426" s="31" t="n">
        <f aca="false">I426*(1+sh_g)</f>
        <v>1.64</v>
      </c>
    </row>
    <row r="427" customFormat="false" ht="17.15" hidden="false" customHeight="false" outlineLevel="0" collapsed="false">
      <c r="A427" s="0" t="s">
        <v>509</v>
      </c>
      <c r="B427" s="0" t="s">
        <v>386</v>
      </c>
      <c r="C427" s="18" t="n">
        <f aca="false">C425/C426</f>
        <v>4.38</v>
      </c>
      <c r="D427" s="18" t="n">
        <f aca="false">D425/D426</f>
        <v>23.3861414610695</v>
      </c>
      <c r="E427" s="18" t="n">
        <f aca="false">E425/E426</f>
        <v>24.4632038621598</v>
      </c>
      <c r="F427" s="18" t="n">
        <f aca="false">F425/F426</f>
        <v>27.1237665551846</v>
      </c>
      <c r="G427" s="18" t="n">
        <f aca="false">G425/G426</f>
        <v>28.8523793006544</v>
      </c>
      <c r="H427" s="28" t="n">
        <f aca="false">H425/H426</f>
        <v>32.5463585282509</v>
      </c>
      <c r="I427" s="28" t="n">
        <f aca="false">I425/I426</f>
        <v>36.159018073487</v>
      </c>
      <c r="J427" s="28" t="n">
        <f aca="false">J425/J426</f>
        <v>39.5609754183873</v>
      </c>
    </row>
    <row r="428" customFormat="false" ht="17.15" hidden="false" customHeight="false" outlineLevel="0" collapsed="false">
      <c r="A428" s="0" t="s">
        <v>638</v>
      </c>
      <c r="B428" s="0" t="s">
        <v>44</v>
      </c>
      <c r="D428" s="20" t="n">
        <f aca="false">D427/C427-1</f>
        <v>4.33930170344053</v>
      </c>
      <c r="E428" s="20" t="n">
        <f aca="false">E427/D427-1</f>
        <v>0.0460555839398844</v>
      </c>
      <c r="F428" s="20" t="n">
        <f aca="false">F427/E427-1</f>
        <v>0.108757737049323</v>
      </c>
      <c r="G428" s="20" t="n">
        <f aca="false">G427/F427-1</f>
        <v>0.063730556814551</v>
      </c>
      <c r="H428" s="26" t="n">
        <f aca="false">H427/G427-1</f>
        <v>0.128030315597326</v>
      </c>
      <c r="I428" s="26" t="n">
        <f aca="false">I427/H427-1</f>
        <v>0.111000422431291</v>
      </c>
      <c r="J428" s="26" t="n">
        <f aca="false">J427/I427-1</f>
        <v>0.0940832336206252</v>
      </c>
    </row>
    <row r="429" customFormat="false" ht="17.15" hidden="false" customHeight="false" outlineLevel="0" collapsed="false">
      <c r="A429" s="3" t="s">
        <v>639</v>
      </c>
      <c r="B429" s="0" t="s">
        <v>44</v>
      </c>
      <c r="C429" s="16" t="n">
        <f aca="false">C425/C408</f>
        <v>0.0508453913030227</v>
      </c>
      <c r="D429" s="16" t="n">
        <f aca="false">D425/D408</f>
        <v>0.197798517808343</v>
      </c>
      <c r="E429" s="16" t="n">
        <f aca="false">E425/E408</f>
        <v>0.168025950677776</v>
      </c>
      <c r="F429" s="16" t="n">
        <f aca="false">F425/F408</f>
        <v>0.163821480288244</v>
      </c>
      <c r="G429" s="16" t="n">
        <f aca="false">G425/G408</f>
        <v>0.15758444322738</v>
      </c>
      <c r="H429" s="27" t="n">
        <f aca="false">$G429+(fade_mA-$G429)*1/3</f>
        <v>0.162999653760297</v>
      </c>
      <c r="I429" s="27" t="n">
        <f aca="false">$G429+(fade_mA-$G429)*2/3</f>
        <v>0.168414864293213</v>
      </c>
      <c r="J429" s="27" t="n">
        <f aca="false">$G429+(fade_mA-$G429)*3/3</f>
        <v>0.17383007482613</v>
      </c>
    </row>
    <row r="430" customFormat="false" ht="17.15" hidden="false" customHeight="false" outlineLevel="0" collapsed="false">
      <c r="A430" s="3" t="s">
        <v>640</v>
      </c>
      <c r="B430" s="0" t="s">
        <v>44</v>
      </c>
      <c r="C430" s="20" t="n">
        <f aca="false">C413/C408</f>
        <v>0.195190527350447</v>
      </c>
      <c r="D430" s="20" t="n">
        <f aca="false">D413/D408</f>
        <v>0.285230933480641</v>
      </c>
      <c r="E430" s="20" t="n">
        <f aca="false">E413/E408</f>
        <v>0.230346632858679</v>
      </c>
      <c r="F430" s="20" t="n">
        <f aca="false">F413/F408</f>
        <v>0.184139518960224</v>
      </c>
      <c r="G430" s="20" t="n">
        <f aca="false">G413/G408</f>
        <v>0.149865053976364</v>
      </c>
      <c r="H430" s="26" t="n">
        <f aca="false">$G430+($G415*(1+tp_g)^(life/2)-$G430)*1/3</f>
        <v>0.140609498161585</v>
      </c>
      <c r="I430" s="26" t="n">
        <f aca="false">$G430+($G415*(1+tp_g)^(life/2)-$G430)*2/3</f>
        <v>0.131353942346806</v>
      </c>
      <c r="J430" s="26" t="n">
        <f aca="false">$G430+($G415*(1+tp_g)^(life/2)-$G430)*3/3</f>
        <v>0.122098386532027</v>
      </c>
      <c r="K430" s="7" t="s">
        <v>641</v>
      </c>
    </row>
    <row r="431" customFormat="false" ht="15" hidden="false" customHeight="false" outlineLevel="0" collapsed="false">
      <c r="A431" s="3" t="s">
        <v>642</v>
      </c>
      <c r="B431" s="0" t="s">
        <v>302</v>
      </c>
      <c r="E431" s="21" t="n">
        <f aca="false">E425+E414-E413</f>
        <v>10.0321543339421</v>
      </c>
      <c r="F431" s="21" t="n">
        <f aca="false">F425+F414-F413</f>
        <v>23.1564146505027</v>
      </c>
      <c r="G431" s="21" t="n">
        <f aca="false">G425+G414-G413</f>
        <v>33.6571598655732</v>
      </c>
      <c r="H431" s="30" t="n">
        <f aca="false">H425+H414-H413</f>
        <v>41.5090756358773</v>
      </c>
      <c r="I431" s="30" t="n">
        <f aca="false">I425+I414-I413</f>
        <v>49.799511397873</v>
      </c>
      <c r="J431" s="30" t="n">
        <f aca="false">J425+J414-J413</f>
        <v>58.2631704342136</v>
      </c>
      <c r="K431" s="3" t="s">
        <v>643</v>
      </c>
    </row>
    <row r="432" customFormat="false" ht="15" hidden="false" customHeight="false" outlineLevel="0" collapsed="false">
      <c r="A432" s="3" t="s">
        <v>644</v>
      </c>
      <c r="B432" s="0" t="s">
        <v>386</v>
      </c>
      <c r="E432" s="18" t="n">
        <f aca="false">E431/E426</f>
        <v>6.11716727679394</v>
      </c>
      <c r="F432" s="18" t="n">
        <f aca="false">F431/F426</f>
        <v>14.1197650307943</v>
      </c>
      <c r="G432" s="18" t="n">
        <f aca="false">G431/G426</f>
        <v>20.5226584546178</v>
      </c>
      <c r="H432" s="28" t="n">
        <f aca="false">H431/H426</f>
        <v>25.3104119730959</v>
      </c>
      <c r="I432" s="28" t="n">
        <f aca="false">I431/I426</f>
        <v>30.3655557304103</v>
      </c>
      <c r="J432" s="28" t="n">
        <f aca="false">J431/J426</f>
        <v>35.5263234354961</v>
      </c>
    </row>
    <row r="435" customFormat="false" ht="17.15" hidden="false" customHeight="false" outlineLevel="0" collapsed="false">
      <c r="A435" s="1" t="s">
        <v>951</v>
      </c>
    </row>
    <row r="436" customFormat="false" ht="17.15" hidden="false" customHeight="false" outlineLevel="0" collapsed="false">
      <c r="A436" s="4" t="s">
        <v>21</v>
      </c>
      <c r="B436" s="4" t="s">
        <v>22</v>
      </c>
      <c r="C436" s="13" t="s">
        <v>477</v>
      </c>
      <c r="D436" s="13" t="s">
        <v>562</v>
      </c>
      <c r="E436" s="13" t="s">
        <v>563</v>
      </c>
      <c r="F436" s="13" t="s">
        <v>564</v>
      </c>
      <c r="G436" s="13" t="s">
        <v>565</v>
      </c>
      <c r="H436" s="13" t="s">
        <v>566</v>
      </c>
      <c r="I436" s="13" t="s">
        <v>567</v>
      </c>
      <c r="J436" s="13" t="s">
        <v>568</v>
      </c>
      <c r="K436" s="4" t="s">
        <v>533</v>
      </c>
    </row>
    <row r="437" customFormat="false" ht="17.15" hidden="false" customHeight="false" outlineLevel="0" collapsed="false">
      <c r="A437" s="5" t="s">
        <v>586</v>
      </c>
    </row>
    <row r="438" customFormat="false" ht="17.15" hidden="false" customHeight="false" outlineLevel="0" collapsed="false">
      <c r="A438" s="0" t="s">
        <v>587</v>
      </c>
      <c r="B438" s="3" t="s">
        <v>32</v>
      </c>
      <c r="D438" s="21" t="n">
        <f aca="false">(u_bw_26+u_rb_26+u_ru_26+u_hp_26)*1</f>
        <v>7.6</v>
      </c>
      <c r="E438" s="21" t="n">
        <f aca="false">(u_bw_27+u_rb_27+u_ru_27+u_hp_27)*1*1</f>
        <v>9.7</v>
      </c>
      <c r="F438" s="21" t="n">
        <f aca="false">(u_bw_28+u_rb_28+u_ru_28+u_hp_28)*um28_A*1</f>
        <v>9.5</v>
      </c>
      <c r="G438" s="21" t="n">
        <f aca="false">(u_bw_28*(1+g29_bw)+u_rb_28*(1+g29_rb)+u_ru_28*(1+g29_ru)+u_hp_28*(1+g29_hp))*um29_A*1</f>
        <v>10.6</v>
      </c>
      <c r="K438" s="7" t="s">
        <v>588</v>
      </c>
    </row>
    <row r="439" customFormat="false" ht="17.15" hidden="false" customHeight="false" outlineLevel="0" collapsed="false">
      <c r="A439" s="3" t="s">
        <v>589</v>
      </c>
      <c r="B439" s="3" t="s">
        <v>32</v>
      </c>
      <c r="D439" s="21" t="n">
        <f aca="false">(u_amd_26+u_tpu_26+u_trn_26+u_oth_26)*1</f>
        <v>7.6</v>
      </c>
      <c r="E439" s="21" t="n">
        <f aca="false">(u_amd_27+u_tpu_27+u_trn_27+u_oth_27)*1*1</f>
        <v>14</v>
      </c>
      <c r="F439" s="21" t="n">
        <f aca="false">(u_amd_28+u_tpu_28+u_trn_28+u_oth_28)*um28_A*1</f>
        <v>17</v>
      </c>
      <c r="G439" s="21" t="n">
        <f aca="false">(u_amd_28*(1+g29_amd)+u_tpu_28*(1+g29_tpu)+u_trn_28*(1+g29_trn)+u_oth_28*(1+g29_oth))*um29_A*1</f>
        <v>19.55</v>
      </c>
      <c r="K439" s="7" t="s">
        <v>590</v>
      </c>
    </row>
    <row r="440" customFormat="false" ht="17.15" hidden="false" customHeight="false" outlineLevel="0" collapsed="false">
      <c r="A440" s="3" t="s">
        <v>591</v>
      </c>
      <c r="B440" s="0" t="s">
        <v>144</v>
      </c>
      <c r="D440" s="19" t="n">
        <f aca="false">1</f>
        <v>1</v>
      </c>
      <c r="E440" s="19" t="n">
        <f aca="false">D440*(1+g_asp)</f>
        <v>1.18</v>
      </c>
      <c r="F440" s="19" t="n">
        <f aca="false">E440*(1+g_asp)</f>
        <v>1.3924</v>
      </c>
      <c r="G440" s="19" t="n">
        <f aca="false">F440*(1+g_asp)</f>
        <v>1.643032</v>
      </c>
      <c r="K440" s="7" t="s">
        <v>592</v>
      </c>
    </row>
    <row r="441" customFormat="false" ht="17.15" hidden="false" customHeight="false" outlineLevel="0" collapsed="false">
      <c r="A441" s="0" t="s">
        <v>593</v>
      </c>
      <c r="B441" s="0" t="s">
        <v>144</v>
      </c>
      <c r="D441" s="18" t="n">
        <f aca="false">1</f>
        <v>1</v>
      </c>
      <c r="E441" s="18" t="n">
        <f aca="false">ibpp_27</f>
        <v>1</v>
      </c>
      <c r="F441" s="18" t="n">
        <f aca="false">ibpp_28</f>
        <v>0.95</v>
      </c>
      <c r="G441" s="18" t="n">
        <f aca="false">ibpp_29</f>
        <v>0.9</v>
      </c>
      <c r="K441" s="7" t="s">
        <v>594</v>
      </c>
    </row>
    <row r="442" customFormat="false" ht="17.15" hidden="false" customHeight="false" outlineLevel="0" collapsed="false">
      <c r="A442" s="3" t="s">
        <v>595</v>
      </c>
      <c r="B442" s="0" t="s">
        <v>144</v>
      </c>
      <c r="D442" s="18" t="n">
        <f aca="false">1</f>
        <v>1</v>
      </c>
      <c r="E442" s="18" t="n">
        <f aca="false">1+carry_hi</f>
        <v>1.1</v>
      </c>
      <c r="F442" s="18" t="n">
        <f aca="false">1+carry_hi</f>
        <v>1.1</v>
      </c>
      <c r="G442" s="18" t="n">
        <f aca="false">1+carry_hi</f>
        <v>1.1</v>
      </c>
      <c r="K442" s="7" t="s">
        <v>596</v>
      </c>
    </row>
    <row r="443" customFormat="false" ht="17.15" hidden="false" customHeight="false" outlineLevel="0" collapsed="false">
      <c r="A443" s="3" t="s">
        <v>597</v>
      </c>
      <c r="B443" s="0" t="s">
        <v>598</v>
      </c>
      <c r="D443" s="23" t="n">
        <f aca="false">v26*D440*D441</f>
        <v>215.308596</v>
      </c>
      <c r="E443" s="23" t="n">
        <f aca="false">v26*E440*E441</f>
        <v>254.06414328</v>
      </c>
      <c r="F443" s="23" t="n">
        <f aca="false">v26*F440*F441</f>
        <v>284.80590461688</v>
      </c>
      <c r="G443" s="23" t="n">
        <f aca="false">v26*G440*G441</f>
        <v>318.383021792765</v>
      </c>
      <c r="K443" s="7" t="s">
        <v>599</v>
      </c>
    </row>
    <row r="444" customFormat="false" ht="17.15" hidden="false" customHeight="false" outlineLevel="0" collapsed="false">
      <c r="A444" s="3" t="s">
        <v>600</v>
      </c>
      <c r="B444" s="0" t="s">
        <v>44</v>
      </c>
      <c r="D444" s="20" t="n">
        <f aca="false">sh_nv_26</f>
        <v>0.25</v>
      </c>
      <c r="E444" s="20" t="n">
        <f aca="false">sh_nv_27</f>
        <v>0.27</v>
      </c>
      <c r="F444" s="20" t="n">
        <f aca="false">sh_nv_28</f>
        <v>0.29</v>
      </c>
      <c r="G444" s="20" t="n">
        <f aca="false">sh_nv_29</f>
        <v>0.3</v>
      </c>
    </row>
    <row r="445" customFormat="false" ht="17.15" hidden="false" customHeight="false" outlineLevel="0" collapsed="false">
      <c r="A445" s="3" t="s">
        <v>601</v>
      </c>
      <c r="B445" s="0" t="s">
        <v>44</v>
      </c>
      <c r="D445" s="20" t="n">
        <f aca="false">sh_ot_26</f>
        <v>0.3</v>
      </c>
      <c r="E445" s="20" t="n">
        <f aca="false">sh_ot_27</f>
        <v>0.31</v>
      </c>
      <c r="F445" s="20" t="n">
        <f aca="false">sh_ot_28</f>
        <v>0.32</v>
      </c>
      <c r="G445" s="20" t="n">
        <f aca="false">sh_ot_29</f>
        <v>0.33</v>
      </c>
    </row>
    <row r="446" customFormat="false" ht="17.15" hidden="false" customHeight="false" outlineLevel="0" collapsed="false">
      <c r="A446" s="3" t="s">
        <v>602</v>
      </c>
      <c r="B446" s="0" t="s">
        <v>552</v>
      </c>
      <c r="D446" s="22" t="n">
        <f aca="false">(D438*D443*D444+D439*D443*v_ot*D445)*D442</f>
        <v>801.809211504</v>
      </c>
      <c r="E446" s="22" t="n">
        <f aca="false">(E438*E443*E444+E439*E443*v_ot*E445)*E442</f>
        <v>1702.25516639033</v>
      </c>
      <c r="F446" s="22" t="n">
        <f aca="false">(F438*F443*F444+F439*F443*v_ot*F445)*F442</f>
        <v>2226.52712052338</v>
      </c>
      <c r="G446" s="22" t="n">
        <f aca="false">(G438*G443*G444+G439*G443*v_ot*G445)*G442</f>
        <v>2921.26610751559</v>
      </c>
    </row>
    <row r="447" customFormat="false" ht="15" hidden="false" customHeight="false" outlineLevel="0" collapsed="false">
      <c r="A447" s="3" t="s">
        <v>603</v>
      </c>
      <c r="B447" s="0" t="s">
        <v>302</v>
      </c>
      <c r="D447" s="21" t="n">
        <f aca="false">D446*fx/1000</f>
        <v>26.05879937388</v>
      </c>
      <c r="E447" s="21" t="n">
        <f aca="false">E446*fx/1000</f>
        <v>55.3232929076857</v>
      </c>
      <c r="F447" s="21" t="n">
        <f aca="false">F446*fx/1000</f>
        <v>72.36213141701</v>
      </c>
      <c r="G447" s="21" t="n">
        <f aca="false">G446*fx/1000</f>
        <v>94.9411484942567</v>
      </c>
    </row>
    <row r="448" customFormat="false" ht="17.15" hidden="false" customHeight="false" outlineLevel="0" collapsed="false">
      <c r="A448" s="5" t="s">
        <v>604</v>
      </c>
    </row>
    <row r="449" customFormat="false" ht="17.15" hidden="false" customHeight="false" outlineLevel="0" collapsed="false">
      <c r="A449" s="0" t="s">
        <v>605</v>
      </c>
      <c r="B449" s="0" t="s">
        <v>302</v>
      </c>
      <c r="D449" s="21" t="n">
        <f aca="false">a26_abf*ai_abf</f>
        <v>74.83672875</v>
      </c>
      <c r="K449" s="3" t="s">
        <v>606</v>
      </c>
    </row>
    <row r="450" customFormat="false" ht="17.15" hidden="false" customHeight="false" outlineLevel="0" collapsed="false">
      <c r="A450" s="3" t="s">
        <v>607</v>
      </c>
      <c r="B450" s="0" t="s">
        <v>302</v>
      </c>
      <c r="D450" s="21" t="n">
        <f aca="false">D449-D447</f>
        <v>48.77792937612</v>
      </c>
      <c r="E450" s="21" t="n">
        <f aca="false">$D450*(itc_27/itc_26)^el_o*1*1*E441*E442</f>
        <v>75.9195612524101</v>
      </c>
      <c r="F450" s="21" t="n">
        <f aca="false">$D450*(itc_28/itc_26)^el_o*um28_A*1*F441*F442</f>
        <v>81.2028515778265</v>
      </c>
      <c r="G450" s="21" t="n">
        <f aca="false">$D450*(itc_29/itc_26)^el_o*um29_A*1*G441*G442</f>
        <v>82.1073783579888</v>
      </c>
      <c r="K450" s="7" t="s">
        <v>608</v>
      </c>
    </row>
    <row r="451" customFormat="false" ht="17.15" hidden="false" customHeight="false" outlineLevel="0" collapsed="false">
      <c r="A451" s="3" t="s">
        <v>609</v>
      </c>
      <c r="B451" s="0" t="s">
        <v>302</v>
      </c>
      <c r="D451" s="21" t="n">
        <f aca="false">a26_abf-D449</f>
        <v>24.94557625</v>
      </c>
      <c r="E451" s="21" t="n">
        <f aca="false">D451*(1+g_nai)</f>
        <v>25.6939435375</v>
      </c>
      <c r="F451" s="21" t="n">
        <f aca="false">E451*(1+g_nai)</f>
        <v>26.464761843625</v>
      </c>
      <c r="G451" s="21" t="n">
        <f aca="false">F451*(1+g_nai)</f>
        <v>27.2587046989338</v>
      </c>
    </row>
    <row r="452" customFormat="false" ht="17.15" hidden="false" customHeight="false" outlineLevel="0" collapsed="false">
      <c r="A452" s="0" t="s">
        <v>610</v>
      </c>
      <c r="B452" s="0" t="s">
        <v>302</v>
      </c>
      <c r="D452" s="21" t="n">
        <f aca="false">D447+D450+D451</f>
        <v>99.782305</v>
      </c>
      <c r="E452" s="21" t="n">
        <f aca="false">E447+E450+E451</f>
        <v>156.936797697596</v>
      </c>
      <c r="F452" s="21" t="n">
        <f aca="false">F447+F450+F451</f>
        <v>180.029744838461</v>
      </c>
      <c r="G452" s="21" t="n">
        <f aca="false">G447+G450+G451</f>
        <v>204.307231551179</v>
      </c>
    </row>
    <row r="453" customFormat="false" ht="17.15" hidden="false" customHeight="false" outlineLevel="0" collapsed="false">
      <c r="A453" s="0" t="s">
        <v>611</v>
      </c>
      <c r="B453" s="0" t="s">
        <v>302</v>
      </c>
      <c r="D453" s="21" t="n">
        <f aca="false">a26_abf</f>
        <v>99.782305</v>
      </c>
      <c r="E453" s="21" t="n">
        <f aca="false">$D452*cap_27*(1+g_mix)^1*E441*E442</f>
        <v>155.58555907125</v>
      </c>
      <c r="F453" s="21" t="n">
        <f aca="false">$D452*cap_28*(1+g_mix)^2*F441*F442</f>
        <v>195.432749477831</v>
      </c>
      <c r="G453" s="21" t="n">
        <f aca="false">$D452*cap_29*(1+g_mix)^3*G441*G442</f>
        <v>228.710771834738</v>
      </c>
      <c r="K453" s="7" t="s">
        <v>612</v>
      </c>
    </row>
    <row r="454" customFormat="false" ht="17.15" hidden="false" customHeight="false" outlineLevel="0" collapsed="false">
      <c r="A454" s="0" t="s">
        <v>613</v>
      </c>
      <c r="B454" s="0" t="s">
        <v>302</v>
      </c>
      <c r="D454" s="21" t="n">
        <f aca="false">a26_abf</f>
        <v>99.782305</v>
      </c>
      <c r="E454" s="21" t="n">
        <f aca="false">MIN(E452,E453)</f>
        <v>155.58555907125</v>
      </c>
      <c r="F454" s="21" t="n">
        <f aca="false">MIN(F452,F453)</f>
        <v>180.029744838461</v>
      </c>
      <c r="G454" s="21" t="n">
        <f aca="false">MIN(G452,G453)</f>
        <v>204.307231551179</v>
      </c>
    </row>
    <row r="455" customFormat="false" ht="17.15" hidden="false" customHeight="false" outlineLevel="0" collapsed="false">
      <c r="A455" s="3" t="s">
        <v>614</v>
      </c>
      <c r="B455" s="0" t="s">
        <v>44</v>
      </c>
      <c r="D455" s="20" t="n">
        <f aca="false">D454/D452</f>
        <v>1</v>
      </c>
      <c r="E455" s="20" t="n">
        <f aca="false">E454/E452</f>
        <v>0.991389918450168</v>
      </c>
      <c r="F455" s="20" t="n">
        <f aca="false">F454/F452</f>
        <v>1</v>
      </c>
      <c r="G455" s="20" t="n">
        <f aca="false">G454/G452</f>
        <v>1</v>
      </c>
    </row>
    <row r="456" customFormat="false" ht="17.15" hidden="false" customHeight="false" outlineLevel="0" collapsed="false">
      <c r="A456" s="0" t="s">
        <v>615</v>
      </c>
      <c r="B456" s="0" t="s">
        <v>302</v>
      </c>
      <c r="D456" s="21" t="n">
        <f aca="false">(D447+D450)*D455</f>
        <v>74.83672875</v>
      </c>
      <c r="E456" s="21" t="n">
        <f aca="false">(E447+E450)*E455</f>
        <v>130.112842482945</v>
      </c>
      <c r="F456" s="21" t="n">
        <f aca="false">(F447+F450)*F455</f>
        <v>153.564982994836</v>
      </c>
      <c r="G456" s="21" t="n">
        <f aca="false">(G447+G450)*G455</f>
        <v>177.048526852246</v>
      </c>
    </row>
    <row r="457" customFormat="false" ht="17.15" hidden="false" customHeight="false" outlineLevel="0" collapsed="false">
      <c r="A457" s="3" t="s">
        <v>616</v>
      </c>
      <c r="B457" s="0" t="s">
        <v>44</v>
      </c>
      <c r="D457" s="20" t="n">
        <f aca="false">D447/(D447+D450)</f>
        <v>0.348208691228771</v>
      </c>
      <c r="E457" s="20" t="n">
        <f aca="false">E447/(E447+E450)</f>
        <v>0.421533753298293</v>
      </c>
      <c r="F457" s="20" t="n">
        <f aca="false">F447/(F447+F450)</f>
        <v>0.471215051802813</v>
      </c>
      <c r="G457" s="20" t="n">
        <f aca="false">G447/(G447+G450)</f>
        <v>0.536243651287136</v>
      </c>
    </row>
    <row r="458" customFormat="false" ht="17.15" hidden="false" customHeight="false" outlineLevel="0" collapsed="false">
      <c r="A458" s="5" t="s">
        <v>617</v>
      </c>
    </row>
    <row r="459" customFormat="false" ht="17.15" hidden="false" customHeight="false" outlineLevel="0" collapsed="false">
      <c r="A459" s="0" t="s">
        <v>519</v>
      </c>
      <c r="B459" s="0" t="s">
        <v>302</v>
      </c>
      <c r="D459" s="21" t="n">
        <f aca="false">a26_bt</f>
        <v>16.944165</v>
      </c>
      <c r="E459" s="21" t="n">
        <f aca="false">D459*(1+g_bt)</f>
        <v>17.79137325</v>
      </c>
      <c r="F459" s="21" t="n">
        <f aca="false">E459*(1+g_bt)</f>
        <v>18.6809419125</v>
      </c>
      <c r="G459" s="21" t="n">
        <f aca="false">F459*(1+g_bt)</f>
        <v>19.614989008125</v>
      </c>
    </row>
    <row r="460" customFormat="false" ht="17.15" hidden="false" customHeight="false" outlineLevel="0" collapsed="false">
      <c r="A460" s="0" t="s">
        <v>618</v>
      </c>
      <c r="B460" s="0" t="s">
        <v>302</v>
      </c>
      <c r="D460" s="21" t="n">
        <f aca="false">a26_pcb*ai_pcb</f>
        <v>37.93610275</v>
      </c>
      <c r="E460" s="21" t="n">
        <f aca="false">D460*(1+g_pai_27)</f>
        <v>45.5233233</v>
      </c>
      <c r="F460" s="21" t="n">
        <f aca="false">D460*(1+g_pai_27)*(1+g_pai_28)*um28_A</f>
        <v>52.351821795</v>
      </c>
      <c r="G460" s="21" t="n">
        <f aca="false">D460*(1+g_pai_27)*(1+g_pai_28)*(1+g_pai_29)*um29_A</f>
        <v>57.5870039745</v>
      </c>
      <c r="K460" s="3" t="s">
        <v>619</v>
      </c>
    </row>
    <row r="461" customFormat="false" ht="17.15" hidden="false" customHeight="false" outlineLevel="0" collapsed="false">
      <c r="A461" s="3" t="s">
        <v>620</v>
      </c>
      <c r="B461" s="0" t="s">
        <v>302</v>
      </c>
      <c r="D461" s="21" t="n">
        <f aca="false">a26_pcb*(1-ai_pcb)</f>
        <v>20.42713225</v>
      </c>
      <c r="E461" s="21" t="n">
        <f aca="false">D461*(1+g_pcbn)</f>
        <v>20.835674895</v>
      </c>
      <c r="F461" s="21" t="n">
        <f aca="false">E461*(1+g_pcbn)</f>
        <v>21.2523883929</v>
      </c>
      <c r="G461" s="21" t="n">
        <f aca="false">F461*(1+g_pcbn)</f>
        <v>21.677436160758</v>
      </c>
    </row>
    <row r="462" customFormat="false" ht="15" hidden="false" customHeight="false" outlineLevel="0" collapsed="false">
      <c r="A462" s="3" t="s">
        <v>521</v>
      </c>
      <c r="B462" s="0" t="s">
        <v>302</v>
      </c>
      <c r="D462" s="21" t="n">
        <f aca="false">a26_fpc</f>
        <v>13.178795</v>
      </c>
      <c r="E462" s="21" t="n">
        <f aca="false">D462*(1+g_fpc)</f>
        <v>13.178795</v>
      </c>
      <c r="F462" s="21" t="n">
        <f aca="false">E462*(1+g_fpc)</f>
        <v>13.178795</v>
      </c>
      <c r="G462" s="21" t="n">
        <f aca="false">F462*(1+g_fpc)</f>
        <v>13.178795</v>
      </c>
    </row>
    <row r="463" customFormat="false" ht="17.15" hidden="false" customHeight="false" outlineLevel="0" collapsed="false">
      <c r="A463" s="3" t="s">
        <v>484</v>
      </c>
      <c r="B463" s="0" t="s">
        <v>302</v>
      </c>
      <c r="C463" s="23" t="n">
        <f aca="false">a25_rev</f>
        <v>131.241</v>
      </c>
      <c r="D463" s="23" t="n">
        <f aca="false">D454+D459+D460+D461+D462</f>
        <v>188.2685</v>
      </c>
      <c r="E463" s="23" t="n">
        <f aca="false">E454+E459+E460+E461+E462</f>
        <v>252.91472551625</v>
      </c>
      <c r="F463" s="23" t="n">
        <f aca="false">F454+F459+F460+F461+F462</f>
        <v>285.493691938861</v>
      </c>
      <c r="G463" s="23" t="n">
        <f aca="false">G454+G459+G460+G461+G462</f>
        <v>316.365455694562</v>
      </c>
      <c r="H463" s="25" t="n">
        <f aca="false">G463*(1+H464)</f>
        <v>345.49947912927</v>
      </c>
      <c r="I463" s="25" t="n">
        <f aca="false">H463*(1+I464)</f>
        <v>371.772948042859</v>
      </c>
      <c r="J463" s="25" t="n">
        <f aca="false">I463*(1+J464)</f>
        <v>394.079324925431</v>
      </c>
      <c r="K463" s="7" t="s">
        <v>621</v>
      </c>
    </row>
    <row r="464" customFormat="false" ht="15" hidden="false" customHeight="false" outlineLevel="0" collapsed="false">
      <c r="A464" s="3" t="s">
        <v>622</v>
      </c>
      <c r="B464" s="0" t="s">
        <v>44</v>
      </c>
      <c r="D464" s="20" t="n">
        <f aca="false">D463/C463-1</f>
        <v>0.434525034097576</v>
      </c>
      <c r="E464" s="20" t="n">
        <f aca="false">E463/D463-1</f>
        <v>0.3433725</v>
      </c>
      <c r="F464" s="20" t="n">
        <f aca="false">F463/E463-1</f>
        <v>0.128814035466346</v>
      </c>
      <c r="G464" s="20" t="n">
        <f aca="false">G463/F463-1</f>
        <v>0.108134661561321</v>
      </c>
      <c r="H464" s="26" t="n">
        <f aca="false">$G464+(fade_gA-$G464)*1/3</f>
        <v>0.092089774374214</v>
      </c>
      <c r="I464" s="26" t="n">
        <f aca="false">$G464+(fade_gA-$G464)*2/3</f>
        <v>0.076044887187107</v>
      </c>
      <c r="J464" s="26" t="n">
        <f aca="false">$G464+(fade_gA-$G464)*3/3</f>
        <v>0.06</v>
      </c>
    </row>
    <row r="465" customFormat="false" ht="17.15" hidden="false" customHeight="false" outlineLevel="0" collapsed="false">
      <c r="A465" s="0" t="s">
        <v>623</v>
      </c>
      <c r="B465" s="0" t="s">
        <v>44</v>
      </c>
      <c r="D465" s="20" t="n">
        <f aca="false">D454/D463</f>
        <v>0.53</v>
      </c>
      <c r="E465" s="20" t="n">
        <f aca="false">E454/E463</f>
        <v>0.615170029161681</v>
      </c>
      <c r="F465" s="20" t="n">
        <f aca="false">F454/F463</f>
        <v>0.630590972486407</v>
      </c>
      <c r="G465" s="20" t="n">
        <f aca="false">G454/G463</f>
        <v>0.645795006609158</v>
      </c>
    </row>
    <row r="466" customFormat="false" ht="17.15" hidden="false" customHeight="false" outlineLevel="0" collapsed="false">
      <c r="A466" s="0" t="s">
        <v>624</v>
      </c>
      <c r="B466" s="0" t="s">
        <v>44</v>
      </c>
      <c r="D466" s="20" t="n">
        <f aca="false">(D456+D460)/D463</f>
        <v>0.599</v>
      </c>
      <c r="E466" s="20" t="n">
        <f aca="false">(E456+E460)/E463</f>
        <v>0.694448160044599</v>
      </c>
      <c r="F466" s="20" t="n">
        <f aca="false">(F456+F460)/F463</f>
        <v>0.721265690290395</v>
      </c>
      <c r="G466" s="20" t="n">
        <f aca="false">(G456+G460)/G463</f>
        <v>0.741659769116121</v>
      </c>
      <c r="K466" s="3" t="s">
        <v>625</v>
      </c>
    </row>
    <row r="467" customFormat="false" ht="17.15" hidden="false" customHeight="false" outlineLevel="0" collapsed="false">
      <c r="A467" s="5" t="s">
        <v>626</v>
      </c>
    </row>
    <row r="468" customFormat="false" ht="15" hidden="false" customHeight="false" outlineLevel="0" collapsed="false">
      <c r="A468" s="3" t="s">
        <v>627</v>
      </c>
      <c r="B468" s="0" t="s">
        <v>302</v>
      </c>
      <c r="C468" s="23" t="n">
        <f aca="false">a25_cx</f>
        <v>25.617</v>
      </c>
      <c r="D468" s="23" t="n">
        <f aca="false">capex26</f>
        <v>53.7</v>
      </c>
      <c r="E468" s="23" t="n">
        <f aca="false">cx27_A</f>
        <v>55</v>
      </c>
      <c r="F468" s="23" t="n">
        <f aca="false">cx28_A</f>
        <v>50</v>
      </c>
      <c r="G468" s="23" t="n">
        <f aca="false">cx29_A</f>
        <v>45</v>
      </c>
      <c r="H468" s="25" t="n">
        <f aca="false">H463*H485</f>
        <v>46.1089399906859</v>
      </c>
      <c r="I468" s="25" t="n">
        <f aca="false">I463*I485</f>
        <v>46.349385448278</v>
      </c>
      <c r="J468" s="25" t="n">
        <f aca="false">J463*J485</f>
        <v>45.6684906719191</v>
      </c>
    </row>
    <row r="469" customFormat="false" ht="17.15" hidden="false" customHeight="false" outlineLevel="0" collapsed="false">
      <c r="A469" s="3" t="s">
        <v>628</v>
      </c>
      <c r="B469" s="0" t="s">
        <v>302</v>
      </c>
      <c r="C469" s="23" t="n">
        <f aca="false">a25_da</f>
        <v>18.8</v>
      </c>
      <c r="D469" s="23" t="n">
        <f aca="false">da26</f>
        <v>20.8</v>
      </c>
      <c r="E469" s="23" t="n">
        <f aca="false">D469*(1-1/life)+D468/life</f>
        <v>24.9125</v>
      </c>
      <c r="F469" s="23" t="n">
        <f aca="false">E469*(1-1/life)+E468/life</f>
        <v>28.6734375</v>
      </c>
      <c r="G469" s="23" t="n">
        <f aca="false">F469*(1-1/life)+F468/life</f>
        <v>31.3392578125</v>
      </c>
      <c r="H469" s="25" t="n">
        <f aca="false">H463*H470</f>
        <v>34.2252829935084</v>
      </c>
      <c r="I469" s="25" t="n">
        <f aca="false">I463*I470</f>
        <v>36.8279407776966</v>
      </c>
      <c r="J469" s="25" t="n">
        <f aca="false">J463*J470</f>
        <v>39.0376172243584</v>
      </c>
      <c r="K469" s="3" t="s">
        <v>629</v>
      </c>
    </row>
    <row r="470" customFormat="false" ht="17.15" hidden="false" customHeight="false" outlineLevel="0" collapsed="false">
      <c r="A470" s="3" t="s">
        <v>630</v>
      </c>
      <c r="B470" s="0" t="s">
        <v>44</v>
      </c>
      <c r="C470" s="20" t="n">
        <f aca="false">C469/C463</f>
        <v>0.143247917952469</v>
      </c>
      <c r="D470" s="20" t="n">
        <f aca="false">D469/D463</f>
        <v>0.110480510547436</v>
      </c>
      <c r="E470" s="20" t="n">
        <f aca="false">E469/E463</f>
        <v>0.0985015797286954</v>
      </c>
      <c r="F470" s="20" t="n">
        <f aca="false">F469/F463</f>
        <v>0.100434574596977</v>
      </c>
      <c r="G470" s="20" t="n">
        <f aca="false">G469/G463</f>
        <v>0.0990603027239382</v>
      </c>
      <c r="H470" s="26" t="n">
        <f aca="false">$G470</f>
        <v>0.0990603027239382</v>
      </c>
      <c r="I470" s="26" t="n">
        <f aca="false">$G470</f>
        <v>0.0990603027239382</v>
      </c>
      <c r="J470" s="26" t="n">
        <f aca="false">$G470</f>
        <v>0.0990603027239382</v>
      </c>
    </row>
    <row r="471" customFormat="false" ht="17.15" hidden="false" customHeight="false" outlineLevel="0" collapsed="false">
      <c r="A471" s="3" t="s">
        <v>631</v>
      </c>
      <c r="B471" s="0" t="s">
        <v>302</v>
      </c>
      <c r="E471" s="21" t="n">
        <f aca="false">E456*(1-1/(E441*E442))</f>
        <v>11.8284402257222</v>
      </c>
      <c r="F471" s="21" t="n">
        <f aca="false">F456*(1-1/(F441*F442))</f>
        <v>6.61284615767237</v>
      </c>
      <c r="G471" s="21" t="n">
        <f aca="false">G456*(1-1/(G441*G442))</f>
        <v>-1.78836895810346</v>
      </c>
      <c r="K471" s="7" t="s">
        <v>632</v>
      </c>
    </row>
    <row r="472" customFormat="false" ht="17.15" hidden="false" customHeight="false" outlineLevel="0" collapsed="false">
      <c r="A472" s="3" t="s">
        <v>633</v>
      </c>
      <c r="B472" s="0" t="s">
        <v>302</v>
      </c>
      <c r="C472" s="21" t="n">
        <f aca="false">a25_gp</f>
        <v>18.292</v>
      </c>
      <c r="D472" s="21" t="n">
        <f aca="false">a26_gp</f>
        <v>47.3329657</v>
      </c>
      <c r="E472" s="21" t="n">
        <f aca="false">$D472+ft_abf*(E454-E471-$D454)+ft_oth*((E463-E454)-($D463-$D454))+E471-(E469-$D469)</f>
        <v>79.2470557097361</v>
      </c>
      <c r="F472" s="21" t="n">
        <f aca="false">$D472+ft_abf*(F454-F471-$D454)+ft_oth*((F463-F454)-($D463-$D454))+F471-(F469-$D469)</f>
        <v>87.1341092231669</v>
      </c>
      <c r="G472" s="21" t="n">
        <f aca="false">$D472+ft_abf*(G454-G471-$D454)+ft_oth*((G463-G454)-($D463-$D454))+G471-(G469-$D469)</f>
        <v>94.0549939698837</v>
      </c>
      <c r="K472" s="3" t="s">
        <v>634</v>
      </c>
    </row>
    <row r="473" customFormat="false" ht="15" hidden="false" customHeight="false" outlineLevel="0" collapsed="false">
      <c r="A473" s="3" t="s">
        <v>491</v>
      </c>
      <c r="B473" s="0" t="s">
        <v>44</v>
      </c>
      <c r="C473" s="16" t="n">
        <f aca="false">C472/C463</f>
        <v>0.139377176339711</v>
      </c>
      <c r="D473" s="16" t="n">
        <f aca="false">D472/D463</f>
        <v>0.251412029627899</v>
      </c>
      <c r="E473" s="16" t="n">
        <f aca="false">E472/E463</f>
        <v>0.313335079829681</v>
      </c>
      <c r="F473" s="16" t="n">
        <f aca="false">F472/F463</f>
        <v>0.305205024431246</v>
      </c>
      <c r="G473" s="16" t="n">
        <f aca="false">G472/G463</f>
        <v>0.297298558603345</v>
      </c>
    </row>
    <row r="474" customFormat="false" ht="15" hidden="false" customHeight="false" outlineLevel="0" collapsed="false">
      <c r="A474" s="3" t="s">
        <v>493</v>
      </c>
      <c r="B474" s="0" t="s">
        <v>302</v>
      </c>
      <c r="C474" s="21" t="n">
        <f aca="false">a25_opx</f>
        <v>11.618</v>
      </c>
      <c r="D474" s="21" t="n">
        <f aca="false">a26_opx</f>
        <v>16.6539532</v>
      </c>
      <c r="E474" s="21" t="n">
        <f aca="false">D474*(1+phi*E464)</f>
        <v>20.0850589271002</v>
      </c>
      <c r="F474" s="21" t="n">
        <f aca="false">E474*(1+phi*F464)</f>
        <v>21.6374014228877</v>
      </c>
      <c r="G474" s="21" t="n">
        <f aca="false">F474*(1+phi*G464)</f>
        <v>23.0412532708459</v>
      </c>
    </row>
    <row r="475" customFormat="false" ht="15" hidden="false" customHeight="false" outlineLevel="0" collapsed="false">
      <c r="A475" s="3" t="s">
        <v>496</v>
      </c>
      <c r="B475" s="0" t="s">
        <v>302</v>
      </c>
      <c r="C475" s="21" t="n">
        <f aca="false">C472-C474</f>
        <v>6.674</v>
      </c>
      <c r="D475" s="21" t="n">
        <f aca="false">D472-D474</f>
        <v>30.6790125</v>
      </c>
      <c r="E475" s="21" t="n">
        <f aca="false">E472-E474</f>
        <v>59.1619967826359</v>
      </c>
      <c r="F475" s="21" t="n">
        <f aca="false">F472-F474</f>
        <v>65.4967078002792</v>
      </c>
      <c r="G475" s="21" t="n">
        <f aca="false">G472-G474</f>
        <v>71.0137406990377</v>
      </c>
    </row>
    <row r="476" customFormat="false" ht="15" hidden="false" customHeight="false" outlineLevel="0" collapsed="false">
      <c r="A476" s="3" t="s">
        <v>575</v>
      </c>
      <c r="B476" s="0" t="s">
        <v>44</v>
      </c>
      <c r="C476" s="16" t="n">
        <f aca="false">C475/C463</f>
        <v>0.0508530108731265</v>
      </c>
      <c r="D476" s="16" t="n">
        <f aca="false">D475/D463</f>
        <v>0.162953507888999</v>
      </c>
      <c r="E476" s="16" t="n">
        <f aca="false">E475/E463</f>
        <v>0.233920728268686</v>
      </c>
      <c r="F476" s="16" t="n">
        <f aca="false">F475/F463</f>
        <v>0.229415604090844</v>
      </c>
      <c r="G476" s="16" t="n">
        <f aca="false">G475/G463</f>
        <v>0.224467429742388</v>
      </c>
    </row>
    <row r="477" customFormat="false" ht="17.15" hidden="false" customHeight="false" outlineLevel="0" collapsed="false">
      <c r="A477" s="3" t="s">
        <v>635</v>
      </c>
      <c r="B477" s="0" t="s">
        <v>302</v>
      </c>
      <c r="C477" s="21" t="n">
        <f aca="false">a25_nonop</f>
        <v>-0.00100000000000033</v>
      </c>
      <c r="D477" s="21" t="n">
        <f aca="false">a26_nonop</f>
        <v>14.466</v>
      </c>
      <c r="E477" s="21" t="n">
        <f aca="false">nonop27</f>
        <v>2</v>
      </c>
      <c r="F477" s="21" t="n">
        <f aca="false">nonop28</f>
        <v>2</v>
      </c>
      <c r="G477" s="21" t="n">
        <f aca="false">nonop29</f>
        <v>2</v>
      </c>
      <c r="K477" s="7" t="s">
        <v>636</v>
      </c>
    </row>
    <row r="478" customFormat="false" ht="15" hidden="false" customHeight="false" outlineLevel="0" collapsed="false">
      <c r="A478" s="3" t="s">
        <v>502</v>
      </c>
      <c r="B478" s="0" t="s">
        <v>302</v>
      </c>
      <c r="C478" s="21" t="n">
        <f aca="false">C475+C477</f>
        <v>6.673</v>
      </c>
      <c r="D478" s="21" t="n">
        <f aca="false">D475+D477</f>
        <v>45.1450125</v>
      </c>
      <c r="E478" s="21" t="n">
        <f aca="false">E475+E477</f>
        <v>61.1619967826359</v>
      </c>
      <c r="F478" s="21" t="n">
        <f aca="false">F475+F477</f>
        <v>67.4967078002792</v>
      </c>
      <c r="G478" s="21" t="n">
        <f aca="false">G475+G477</f>
        <v>73.0137406990377</v>
      </c>
    </row>
    <row r="479" customFormat="false" ht="15" hidden="false" customHeight="false" outlineLevel="0" collapsed="false">
      <c r="A479" s="3" t="s">
        <v>506</v>
      </c>
      <c r="B479" s="0" t="s">
        <v>302</v>
      </c>
      <c r="E479" s="21" t="n">
        <f aca="false">E478*tax</f>
        <v>11.0091594208745</v>
      </c>
      <c r="F479" s="21" t="n">
        <f aca="false">F478*tax</f>
        <v>12.1494074040503</v>
      </c>
      <c r="G479" s="21" t="n">
        <f aca="false">G478*tax</f>
        <v>13.1424733258268</v>
      </c>
    </row>
    <row r="480" customFormat="false" ht="15" hidden="false" customHeight="false" outlineLevel="0" collapsed="false">
      <c r="A480" s="3" t="s">
        <v>504</v>
      </c>
      <c r="B480" s="0" t="s">
        <v>302</v>
      </c>
      <c r="C480" s="21" t="n">
        <f aca="false">a25_ni</f>
        <v>6.673</v>
      </c>
      <c r="D480" s="21" t="n">
        <f aca="false">a26_ni</f>
        <v>37.23923025</v>
      </c>
      <c r="E480" s="21" t="n">
        <f aca="false">E478-E479</f>
        <v>50.1528373617615</v>
      </c>
      <c r="F480" s="21" t="n">
        <f aca="false">F478-F479</f>
        <v>55.347300396229</v>
      </c>
      <c r="G480" s="21" t="n">
        <f aca="false">G478-G479</f>
        <v>59.8712673732109</v>
      </c>
      <c r="H480" s="30" t="n">
        <f aca="false">H463*H484</f>
        <v>63.6092660212154</v>
      </c>
      <c r="I480" s="30" t="n">
        <f aca="false">I463*I484</f>
        <v>66.5358724282372</v>
      </c>
      <c r="J480" s="30" t="n">
        <f aca="false">J463*J484</f>
        <v>68.5028385392183</v>
      </c>
    </row>
    <row r="481" customFormat="false" ht="15" hidden="false" customHeight="false" outlineLevel="0" collapsed="false">
      <c r="A481" s="3" t="s">
        <v>637</v>
      </c>
      <c r="B481" s="3" t="s">
        <v>380</v>
      </c>
      <c r="C481" s="29" t="n">
        <f aca="false">a25_sh</f>
        <v>1.52351598173516</v>
      </c>
      <c r="D481" s="29" t="n">
        <f aca="false">a26_sh</f>
        <v>1.59236316568047</v>
      </c>
      <c r="E481" s="29" t="n">
        <f aca="false">a26_shend*(1+sh_g)</f>
        <v>1.64</v>
      </c>
      <c r="F481" s="29" t="n">
        <f aca="false">E481*(1+sh_g)</f>
        <v>1.64</v>
      </c>
      <c r="G481" s="29" t="n">
        <f aca="false">F481*(1+sh_g)</f>
        <v>1.64</v>
      </c>
      <c r="H481" s="31" t="n">
        <f aca="false">G481*(1+sh_g)</f>
        <v>1.64</v>
      </c>
      <c r="I481" s="31" t="n">
        <f aca="false">H481*(1+sh_g)</f>
        <v>1.64</v>
      </c>
      <c r="J481" s="31" t="n">
        <f aca="false">I481*(1+sh_g)</f>
        <v>1.64</v>
      </c>
    </row>
    <row r="482" customFormat="false" ht="17.15" hidden="false" customHeight="false" outlineLevel="0" collapsed="false">
      <c r="A482" s="0" t="s">
        <v>509</v>
      </c>
      <c r="B482" s="0" t="s">
        <v>386</v>
      </c>
      <c r="C482" s="18" t="n">
        <f aca="false">C480/C481</f>
        <v>4.38</v>
      </c>
      <c r="D482" s="18" t="n">
        <f aca="false">D480/D481</f>
        <v>23.3861414610695</v>
      </c>
      <c r="E482" s="18" t="n">
        <f aca="false">E480/E481</f>
        <v>30.580998391318</v>
      </c>
      <c r="F482" s="18" t="n">
        <f aca="false">F480/F481</f>
        <v>33.7483539001396</v>
      </c>
      <c r="G482" s="18" t="n">
        <f aca="false">G480/G481</f>
        <v>36.5068703495189</v>
      </c>
      <c r="H482" s="28" t="n">
        <f aca="false">H480/H481</f>
        <v>38.7861378178143</v>
      </c>
      <c r="I482" s="28" t="n">
        <f aca="false">I480/I481</f>
        <v>40.5706539196568</v>
      </c>
      <c r="J482" s="28" t="n">
        <f aca="false">J480/J481</f>
        <v>41.7700234995234</v>
      </c>
    </row>
    <row r="483" customFormat="false" ht="17.15" hidden="false" customHeight="false" outlineLevel="0" collapsed="false">
      <c r="A483" s="0" t="s">
        <v>638</v>
      </c>
      <c r="B483" s="0" t="s">
        <v>44</v>
      </c>
      <c r="D483" s="20" t="n">
        <f aca="false">D482/C482-1</f>
        <v>4.33930170344053</v>
      </c>
      <c r="E483" s="20" t="n">
        <f aca="false">E482/D482-1</f>
        <v>0.307654725437526</v>
      </c>
      <c r="F483" s="20" t="n">
        <f aca="false">F482/E482-1</f>
        <v>0.103572665231259</v>
      </c>
      <c r="G483" s="20" t="n">
        <f aca="false">G482/F482-1</f>
        <v>0.0817378073473338</v>
      </c>
      <c r="H483" s="26" t="n">
        <f aca="false">H482/G482-1</f>
        <v>0.0624339322016254</v>
      </c>
      <c r="I483" s="26" t="n">
        <f aca="false">I482/H482-1</f>
        <v>0.0460091208416982</v>
      </c>
      <c r="J483" s="26" t="n">
        <f aca="false">J482/I482-1</f>
        <v>0.029562490716607</v>
      </c>
    </row>
    <row r="484" customFormat="false" ht="17.15" hidden="false" customHeight="false" outlineLevel="0" collapsed="false">
      <c r="A484" s="3" t="s">
        <v>639</v>
      </c>
      <c r="B484" s="0" t="s">
        <v>44</v>
      </c>
      <c r="C484" s="16" t="n">
        <f aca="false">C480/C463</f>
        <v>0.0508453913030227</v>
      </c>
      <c r="D484" s="16" t="n">
        <f aca="false">D480/D463</f>
        <v>0.197798517808343</v>
      </c>
      <c r="E484" s="16" t="n">
        <f aca="false">E480/E463</f>
        <v>0.198299396207118</v>
      </c>
      <c r="F484" s="16" t="n">
        <f aca="false">F480/F463</f>
        <v>0.193865230507726</v>
      </c>
      <c r="G484" s="16" t="n">
        <f aca="false">G480/G463</f>
        <v>0.189247170623502</v>
      </c>
      <c r="H484" s="27" t="n">
        <f aca="false">$G484+(fade_mA-$G484)*1/3</f>
        <v>0.184108138691045</v>
      </c>
      <c r="I484" s="27" t="n">
        <f aca="false">$G484+(fade_mA-$G484)*2/3</f>
        <v>0.178969106758587</v>
      </c>
      <c r="J484" s="27" t="n">
        <f aca="false">$G484+(fade_mA-$G484)*3/3</f>
        <v>0.17383007482613</v>
      </c>
    </row>
    <row r="485" customFormat="false" ht="17.15" hidden="false" customHeight="false" outlineLevel="0" collapsed="false">
      <c r="A485" s="3" t="s">
        <v>640</v>
      </c>
      <c r="B485" s="0" t="s">
        <v>44</v>
      </c>
      <c r="C485" s="20" t="n">
        <f aca="false">C468/C463</f>
        <v>0.195190527350447</v>
      </c>
      <c r="D485" s="20" t="n">
        <f aca="false">D468/D463</f>
        <v>0.285230933480641</v>
      </c>
      <c r="E485" s="20" t="n">
        <f aca="false">E468/E463</f>
        <v>0.217464601508409</v>
      </c>
      <c r="F485" s="20" t="n">
        <f aca="false">F468/F463</f>
        <v>0.175135218086386</v>
      </c>
      <c r="G485" s="20" t="n">
        <f aca="false">G468/G463</f>
        <v>0.142240561319203</v>
      </c>
      <c r="H485" s="26" t="n">
        <f aca="false">$G485+($G470*(1+tp_g)^(life/2)-$G485)*1/3</f>
        <v>0.133455888578732</v>
      </c>
      <c r="I485" s="26" t="n">
        <f aca="false">$G485+($G470*(1+tp_g)^(life/2)-$G485)*2/3</f>
        <v>0.124671215838261</v>
      </c>
      <c r="J485" s="26" t="n">
        <f aca="false">$G485+($G470*(1+tp_g)^(life/2)-$G485)*3/3</f>
        <v>0.11588654309779</v>
      </c>
      <c r="K485" s="7" t="s">
        <v>641</v>
      </c>
    </row>
    <row r="486" customFormat="false" ht="15" hidden="false" customHeight="false" outlineLevel="0" collapsed="false">
      <c r="A486" s="3" t="s">
        <v>642</v>
      </c>
      <c r="B486" s="0" t="s">
        <v>302</v>
      </c>
      <c r="E486" s="21" t="n">
        <f aca="false">E480+E469-E468</f>
        <v>20.0653373617615</v>
      </c>
      <c r="F486" s="21" t="n">
        <f aca="false">F480+F469-F468</f>
        <v>34.020737896229</v>
      </c>
      <c r="G486" s="21" t="n">
        <f aca="false">G480+G469-G468</f>
        <v>46.2105251857109</v>
      </c>
      <c r="H486" s="30" t="n">
        <f aca="false">H480+H469-H468</f>
        <v>51.725609024038</v>
      </c>
      <c r="I486" s="30" t="n">
        <f aca="false">I480+I469-I468</f>
        <v>57.0144277576558</v>
      </c>
      <c r="J486" s="30" t="n">
        <f aca="false">J480+J469-J468</f>
        <v>61.8719650916576</v>
      </c>
      <c r="K486" s="3" t="s">
        <v>643</v>
      </c>
    </row>
    <row r="487" customFormat="false" ht="15" hidden="false" customHeight="false" outlineLevel="0" collapsed="false">
      <c r="A487" s="3" t="s">
        <v>644</v>
      </c>
      <c r="B487" s="0" t="s">
        <v>386</v>
      </c>
      <c r="E487" s="18" t="n">
        <f aca="false">E486/E481</f>
        <v>12.2349618059521</v>
      </c>
      <c r="F487" s="18" t="n">
        <f aca="false">F486/F481</f>
        <v>20.7443523757494</v>
      </c>
      <c r="G487" s="18" t="n">
        <f aca="false">G486/G481</f>
        <v>28.1771495034823</v>
      </c>
      <c r="H487" s="28" t="n">
        <f aca="false">H486/H481</f>
        <v>31.5400055024622</v>
      </c>
      <c r="I487" s="28" t="n">
        <f aca="false">I486/I481</f>
        <v>34.7648949741804</v>
      </c>
      <c r="J487" s="28" t="n">
        <f aca="false">J486/J481</f>
        <v>37.726807982718</v>
      </c>
    </row>
    <row r="490" customFormat="false" ht="17.15" hidden="false" customHeight="false" outlineLevel="0" collapsed="false">
      <c r="A490" s="1" t="s">
        <v>952</v>
      </c>
    </row>
    <row r="491" customFormat="false" ht="17.15" hidden="false" customHeight="false" outlineLevel="0" collapsed="false">
      <c r="A491" s="4" t="s">
        <v>21</v>
      </c>
      <c r="B491" s="4" t="s">
        <v>22</v>
      </c>
      <c r="C491" s="13" t="s">
        <v>477</v>
      </c>
      <c r="D491" s="13" t="s">
        <v>562</v>
      </c>
      <c r="E491" s="13" t="s">
        <v>563</v>
      </c>
      <c r="F491" s="13" t="s">
        <v>564</v>
      </c>
      <c r="G491" s="13" t="s">
        <v>565</v>
      </c>
      <c r="H491" s="13" t="s">
        <v>566</v>
      </c>
      <c r="I491" s="13" t="s">
        <v>567</v>
      </c>
      <c r="J491" s="13" t="s">
        <v>568</v>
      </c>
      <c r="K491" s="4" t="s">
        <v>533</v>
      </c>
    </row>
    <row r="492" customFormat="false" ht="17.15" hidden="false" customHeight="false" outlineLevel="0" collapsed="false">
      <c r="A492" s="5" t="s">
        <v>586</v>
      </c>
    </row>
    <row r="493" customFormat="false" ht="17.15" hidden="false" customHeight="false" outlineLevel="0" collapsed="false">
      <c r="A493" s="0" t="s">
        <v>587</v>
      </c>
      <c r="B493" s="3" t="s">
        <v>32</v>
      </c>
      <c r="D493" s="21" t="n">
        <f aca="false">(u_bw_26+u_rb_26+u_ru_26+u_hp_26)*1</f>
        <v>7.6</v>
      </c>
      <c r="E493" s="21" t="n">
        <f aca="false">(u_bw_27+u_rb_27+u_ru_27+u_hp_27)*1*1</f>
        <v>9.7</v>
      </c>
      <c r="F493" s="21" t="n">
        <f aca="false">(u_bw_28+u_rb_28+u_ru_28+u_hp_28)*um28_A*1</f>
        <v>9.5</v>
      </c>
      <c r="G493" s="21" t="n">
        <f aca="false">(u_bw_28*(1+g29_bw)+u_rb_28*(1+g29_rb)+u_ru_28*(1+g29_ru)+u_hp_28*(1+g29_hp))*um29_A*1</f>
        <v>10.6</v>
      </c>
      <c r="K493" s="7" t="s">
        <v>588</v>
      </c>
    </row>
    <row r="494" customFormat="false" ht="17.15" hidden="false" customHeight="false" outlineLevel="0" collapsed="false">
      <c r="A494" s="3" t="s">
        <v>589</v>
      </c>
      <c r="B494" s="3" t="s">
        <v>32</v>
      </c>
      <c r="D494" s="21" t="n">
        <f aca="false">(u_amd_26+u_tpu_26+u_trn_26+u_oth_26)*1</f>
        <v>7.6</v>
      </c>
      <c r="E494" s="21" t="n">
        <f aca="false">(u_amd_27+u_tpu_27+u_trn_27+u_oth_27)*1*1</f>
        <v>14</v>
      </c>
      <c r="F494" s="21" t="n">
        <f aca="false">(u_amd_28+u_tpu_28+u_trn_28+u_oth_28)*um28_A*1</f>
        <v>17</v>
      </c>
      <c r="G494" s="21" t="n">
        <f aca="false">(u_amd_28*(1+g29_amd)+u_tpu_28*(1+g29_tpu)+u_trn_28*(1+g29_trn)+u_oth_28*(1+g29_oth))*um29_A*1</f>
        <v>19.55</v>
      </c>
      <c r="K494" s="7" t="s">
        <v>590</v>
      </c>
    </row>
    <row r="495" customFormat="false" ht="17.15" hidden="false" customHeight="false" outlineLevel="0" collapsed="false">
      <c r="A495" s="3" t="s">
        <v>591</v>
      </c>
      <c r="B495" s="0" t="s">
        <v>144</v>
      </c>
      <c r="D495" s="19" t="n">
        <f aca="false">1</f>
        <v>1</v>
      </c>
      <c r="E495" s="19" t="n">
        <f aca="false">D495*(1+g_asp)</f>
        <v>1.18</v>
      </c>
      <c r="F495" s="19" t="n">
        <f aca="false">E495*(1+g_asp)</f>
        <v>1.3924</v>
      </c>
      <c r="G495" s="19" t="n">
        <f aca="false">F495*(1+g_asp)</f>
        <v>1.643032</v>
      </c>
      <c r="K495" s="7" t="s">
        <v>592</v>
      </c>
    </row>
    <row r="496" customFormat="false" ht="17.15" hidden="false" customHeight="false" outlineLevel="0" collapsed="false">
      <c r="A496" s="0" t="s">
        <v>593</v>
      </c>
      <c r="B496" s="0" t="s">
        <v>144</v>
      </c>
      <c r="D496" s="18" t="n">
        <f aca="false">1</f>
        <v>1</v>
      </c>
      <c r="E496" s="18" t="n">
        <f aca="false">ibpp_27</f>
        <v>1</v>
      </c>
      <c r="F496" s="18" t="n">
        <f aca="false">ibpp_28</f>
        <v>0.95</v>
      </c>
      <c r="G496" s="18" t="n">
        <f aca="false">ibpp_29</f>
        <v>0.9</v>
      </c>
      <c r="K496" s="7" t="s">
        <v>594</v>
      </c>
    </row>
    <row r="497" customFormat="false" ht="17.15" hidden="false" customHeight="false" outlineLevel="0" collapsed="false">
      <c r="A497" s="3" t="s">
        <v>595</v>
      </c>
      <c r="B497" s="0" t="s">
        <v>144</v>
      </c>
      <c r="D497" s="18" t="n">
        <f aca="false">1</f>
        <v>1</v>
      </c>
      <c r="E497" s="18" t="n">
        <f aca="false">1+carry</f>
        <v>1.05</v>
      </c>
      <c r="F497" s="18" t="n">
        <f aca="false">1+carry</f>
        <v>1.05</v>
      </c>
      <c r="G497" s="18" t="n">
        <f aca="false">1+carry</f>
        <v>1.05</v>
      </c>
      <c r="K497" s="7" t="s">
        <v>596</v>
      </c>
    </row>
    <row r="498" customFormat="false" ht="17.15" hidden="false" customHeight="false" outlineLevel="0" collapsed="false">
      <c r="A498" s="3" t="s">
        <v>597</v>
      </c>
      <c r="B498" s="0" t="s">
        <v>598</v>
      </c>
      <c r="D498" s="23" t="n">
        <f aca="false">v26*D495*D496</f>
        <v>215.308596</v>
      </c>
      <c r="E498" s="23" t="n">
        <f aca="false">v26*E495*E496</f>
        <v>254.06414328</v>
      </c>
      <c r="F498" s="23" t="n">
        <f aca="false">v26*F495*F496</f>
        <v>284.80590461688</v>
      </c>
      <c r="G498" s="23" t="n">
        <f aca="false">v26*G495*G496</f>
        <v>318.383021792765</v>
      </c>
      <c r="K498" s="7" t="s">
        <v>599</v>
      </c>
    </row>
    <row r="499" customFormat="false" ht="17.15" hidden="false" customHeight="false" outlineLevel="0" collapsed="false">
      <c r="A499" s="3" t="s">
        <v>600</v>
      </c>
      <c r="B499" s="0" t="s">
        <v>44</v>
      </c>
      <c r="D499" s="20" t="n">
        <f aca="false">sh_nv_26</f>
        <v>0.25</v>
      </c>
      <c r="E499" s="20" t="n">
        <f aca="false">sh_nv_27</f>
        <v>0.27</v>
      </c>
      <c r="F499" s="20" t="n">
        <f aca="false">sh_nv_28</f>
        <v>0.29</v>
      </c>
      <c r="G499" s="20" t="n">
        <f aca="false">sh_nv_29</f>
        <v>0.3</v>
      </c>
    </row>
    <row r="500" customFormat="false" ht="17.15" hidden="false" customHeight="false" outlineLevel="0" collapsed="false">
      <c r="A500" s="3" t="s">
        <v>601</v>
      </c>
      <c r="B500" s="0" t="s">
        <v>44</v>
      </c>
      <c r="D500" s="20" t="n">
        <f aca="false">sh_ot_26</f>
        <v>0.3</v>
      </c>
      <c r="E500" s="20" t="n">
        <f aca="false">sh_ot_27</f>
        <v>0.31</v>
      </c>
      <c r="F500" s="20" t="n">
        <f aca="false">sh_ot_28</f>
        <v>0.32</v>
      </c>
      <c r="G500" s="20" t="n">
        <f aca="false">sh_ot_29</f>
        <v>0.33</v>
      </c>
    </row>
    <row r="501" customFormat="false" ht="17.15" hidden="false" customHeight="false" outlineLevel="0" collapsed="false">
      <c r="A501" s="3" t="s">
        <v>602</v>
      </c>
      <c r="B501" s="0" t="s">
        <v>552</v>
      </c>
      <c r="D501" s="22" t="n">
        <f aca="false">(D493*D498*D499+D494*D498*v_ot*D500)*D497</f>
        <v>801.809211504</v>
      </c>
      <c r="E501" s="22" t="n">
        <f aca="false">(E493*E498*E499+E494*E498*v_ot*E500)*E497</f>
        <v>1624.8799315544</v>
      </c>
      <c r="F501" s="22" t="n">
        <f aca="false">(F493*F498*F499+F494*F498*v_ot*F500)*F497</f>
        <v>2125.32134231777</v>
      </c>
      <c r="G501" s="22" t="n">
        <f aca="false">(G493*G498*G499+G494*G498*v_ot*G500)*G497</f>
        <v>2788.4812844467</v>
      </c>
    </row>
    <row r="502" customFormat="false" ht="15" hidden="false" customHeight="false" outlineLevel="0" collapsed="false">
      <c r="A502" s="3" t="s">
        <v>603</v>
      </c>
      <c r="B502" s="0" t="s">
        <v>302</v>
      </c>
      <c r="D502" s="21" t="n">
        <f aca="false">D501*fx/1000</f>
        <v>26.05879937388</v>
      </c>
      <c r="E502" s="21" t="n">
        <f aca="false">E501*fx/1000</f>
        <v>52.8085977755181</v>
      </c>
      <c r="F502" s="21" t="n">
        <f aca="false">F501*fx/1000</f>
        <v>69.0729436253277</v>
      </c>
      <c r="G502" s="21" t="n">
        <f aca="false">G501*fx/1000</f>
        <v>90.6256417445177</v>
      </c>
    </row>
    <row r="503" customFormat="false" ht="17.15" hidden="false" customHeight="false" outlineLevel="0" collapsed="false">
      <c r="A503" s="5" t="s">
        <v>604</v>
      </c>
    </row>
    <row r="504" customFormat="false" ht="17.15" hidden="false" customHeight="false" outlineLevel="0" collapsed="false">
      <c r="A504" s="0" t="s">
        <v>605</v>
      </c>
      <c r="B504" s="0" t="s">
        <v>302</v>
      </c>
      <c r="D504" s="21" t="n">
        <f aca="false">a26_abf*ai_abf</f>
        <v>74.83672875</v>
      </c>
      <c r="K504" s="3" t="s">
        <v>606</v>
      </c>
    </row>
    <row r="505" customFormat="false" ht="17.15" hidden="false" customHeight="false" outlineLevel="0" collapsed="false">
      <c r="A505" s="3" t="s">
        <v>607</v>
      </c>
      <c r="B505" s="0" t="s">
        <v>302</v>
      </c>
      <c r="D505" s="21" t="n">
        <f aca="false">D504-D502</f>
        <v>48.77792937612</v>
      </c>
      <c r="E505" s="21" t="n">
        <f aca="false">$D505*(itc_27/itc_26)^el_o*1*1*E496*E497</f>
        <v>72.4686721045733</v>
      </c>
      <c r="F505" s="21" t="n">
        <f aca="false">$D505*(itc_28/itc_26)^el_o*um28_A*1*F496*F497</f>
        <v>77.5118128697435</v>
      </c>
      <c r="G505" s="21" t="n">
        <f aca="false">$D505*(itc_29/itc_26)^el_o*um29_A*1*G496*G497</f>
        <v>78.3752247962621</v>
      </c>
      <c r="K505" s="7" t="s">
        <v>608</v>
      </c>
    </row>
    <row r="506" customFormat="false" ht="17.15" hidden="false" customHeight="false" outlineLevel="0" collapsed="false">
      <c r="A506" s="3" t="s">
        <v>609</v>
      </c>
      <c r="B506" s="0" t="s">
        <v>302</v>
      </c>
      <c r="D506" s="21" t="n">
        <f aca="false">a26_abf-D504</f>
        <v>24.94557625</v>
      </c>
      <c r="E506" s="21" t="n">
        <f aca="false">D506*(1+g_nai)</f>
        <v>25.6939435375</v>
      </c>
      <c r="F506" s="21" t="n">
        <f aca="false">E506*(1+g_nai)</f>
        <v>26.464761843625</v>
      </c>
      <c r="G506" s="21" t="n">
        <f aca="false">F506*(1+g_nai)</f>
        <v>27.2587046989338</v>
      </c>
    </row>
    <row r="507" customFormat="false" ht="17.15" hidden="false" customHeight="false" outlineLevel="0" collapsed="false">
      <c r="A507" s="0" t="s">
        <v>610</v>
      </c>
      <c r="B507" s="0" t="s">
        <v>302</v>
      </c>
      <c r="D507" s="21" t="n">
        <f aca="false">D502+D505+D506</f>
        <v>99.782305</v>
      </c>
      <c r="E507" s="21" t="n">
        <f aca="false">E502+E505+E506</f>
        <v>150.971213417591</v>
      </c>
      <c r="F507" s="21" t="n">
        <f aca="false">F502+F505+F506</f>
        <v>173.049518338696</v>
      </c>
      <c r="G507" s="21" t="n">
        <f aca="false">G502+G505+G506</f>
        <v>196.259571239714</v>
      </c>
    </row>
    <row r="508" customFormat="false" ht="17.15" hidden="false" customHeight="false" outlineLevel="0" collapsed="false">
      <c r="A508" s="0" t="s">
        <v>611</v>
      </c>
      <c r="B508" s="0" t="s">
        <v>302</v>
      </c>
      <c r="D508" s="21" t="n">
        <f aca="false">a26_abf</f>
        <v>99.782305</v>
      </c>
      <c r="E508" s="21" t="n">
        <f aca="false">$D507*cap_27*(1+g_mix)^1*E496*E497</f>
        <v>148.513488204375</v>
      </c>
      <c r="F508" s="21" t="n">
        <f aca="false">$D507*cap_28*(1+g_mix)^2*F496*F497</f>
        <v>186.549442683384</v>
      </c>
      <c r="G508" s="21" t="n">
        <f aca="false">$D507*cap_29*(1+g_mix)^3*G496*G497</f>
        <v>218.314827660431</v>
      </c>
      <c r="K508" s="7" t="s">
        <v>612</v>
      </c>
    </row>
    <row r="509" customFormat="false" ht="17.15" hidden="false" customHeight="false" outlineLevel="0" collapsed="false">
      <c r="A509" s="0" t="s">
        <v>613</v>
      </c>
      <c r="B509" s="0" t="s">
        <v>302</v>
      </c>
      <c r="D509" s="21" t="n">
        <f aca="false">a26_abf</f>
        <v>99.782305</v>
      </c>
      <c r="E509" s="21" t="n">
        <f aca="false">MIN(E507,E508)</f>
        <v>148.513488204375</v>
      </c>
      <c r="F509" s="21" t="n">
        <f aca="false">MIN(F507,F508)</f>
        <v>173.049518338696</v>
      </c>
      <c r="G509" s="21" t="n">
        <f aca="false">MIN(G507,G508)</f>
        <v>196.259571239714</v>
      </c>
    </row>
    <row r="510" customFormat="false" ht="17.15" hidden="false" customHeight="false" outlineLevel="0" collapsed="false">
      <c r="A510" s="3" t="s">
        <v>614</v>
      </c>
      <c r="B510" s="0" t="s">
        <v>44</v>
      </c>
      <c r="D510" s="20" t="n">
        <f aca="false">D509/D507</f>
        <v>1</v>
      </c>
      <c r="E510" s="20" t="n">
        <f aca="false">E509/E507</f>
        <v>0.983720570580444</v>
      </c>
      <c r="F510" s="20" t="n">
        <f aca="false">F509/F507</f>
        <v>1</v>
      </c>
      <c r="G510" s="20" t="n">
        <f aca="false">G509/G507</f>
        <v>1</v>
      </c>
    </row>
    <row r="511" customFormat="false" ht="17.15" hidden="false" customHeight="false" outlineLevel="0" collapsed="false">
      <c r="A511" s="0" t="s">
        <v>615</v>
      </c>
      <c r="B511" s="0" t="s">
        <v>302</v>
      </c>
      <c r="D511" s="21" t="n">
        <f aca="false">(D502+D505)*D510</f>
        <v>74.83672875</v>
      </c>
      <c r="E511" s="21" t="n">
        <f aca="false">(E502+E505)*E510</f>
        <v>123.237827407204</v>
      </c>
      <c r="F511" s="21" t="n">
        <f aca="false">(F502+F505)*F510</f>
        <v>146.584756495071</v>
      </c>
      <c r="G511" s="21" t="n">
        <f aca="false">(G502+G505)*G510</f>
        <v>169.00086654078</v>
      </c>
    </row>
    <row r="512" customFormat="false" ht="17.15" hidden="false" customHeight="false" outlineLevel="0" collapsed="false">
      <c r="A512" s="3" t="s">
        <v>616</v>
      </c>
      <c r="B512" s="0" t="s">
        <v>44</v>
      </c>
      <c r="D512" s="20" t="n">
        <f aca="false">D502/(D502+D505)</f>
        <v>0.348208691228771</v>
      </c>
      <c r="E512" s="20" t="n">
        <f aca="false">E502/(E502+E505)</f>
        <v>0.421533753298293</v>
      </c>
      <c r="F512" s="20" t="n">
        <f aca="false">F502/(F502+F505)</f>
        <v>0.471215051802813</v>
      </c>
      <c r="G512" s="20" t="n">
        <f aca="false">G502/(G502+G505)</f>
        <v>0.536243651287136</v>
      </c>
    </row>
    <row r="513" customFormat="false" ht="17.15" hidden="false" customHeight="false" outlineLevel="0" collapsed="false">
      <c r="A513" s="5" t="s">
        <v>617</v>
      </c>
    </row>
    <row r="514" customFormat="false" ht="17.15" hidden="false" customHeight="false" outlineLevel="0" collapsed="false">
      <c r="A514" s="0" t="s">
        <v>519</v>
      </c>
      <c r="B514" s="0" t="s">
        <v>302</v>
      </c>
      <c r="D514" s="21" t="n">
        <f aca="false">a26_bt</f>
        <v>16.944165</v>
      </c>
      <c r="E514" s="21" t="n">
        <f aca="false">D514*(1+g_bt)</f>
        <v>17.79137325</v>
      </c>
      <c r="F514" s="21" t="n">
        <f aca="false">E514*(1+g_bt)</f>
        <v>18.6809419125</v>
      </c>
      <c r="G514" s="21" t="n">
        <f aca="false">F514*(1+g_bt)</f>
        <v>19.614989008125</v>
      </c>
    </row>
    <row r="515" customFormat="false" ht="17.15" hidden="false" customHeight="false" outlineLevel="0" collapsed="false">
      <c r="A515" s="0" t="s">
        <v>618</v>
      </c>
      <c r="B515" s="0" t="s">
        <v>302</v>
      </c>
      <c r="D515" s="21" t="n">
        <f aca="false">a26_pcb*ai_pcb</f>
        <v>37.93610275</v>
      </c>
      <c r="E515" s="21" t="n">
        <f aca="false">D515*(1+g_pai_27)</f>
        <v>45.5233233</v>
      </c>
      <c r="F515" s="21" t="n">
        <f aca="false">D515*(1+g_pai_27)*(1+g_pai_28)*um28_A</f>
        <v>52.351821795</v>
      </c>
      <c r="G515" s="21" t="n">
        <f aca="false">D515*(1+g_pai_27)*(1+g_pai_28)*(1+g_pai_29)*um29_A</f>
        <v>57.5870039745</v>
      </c>
      <c r="K515" s="3" t="s">
        <v>619</v>
      </c>
    </row>
    <row r="516" customFormat="false" ht="17.15" hidden="false" customHeight="false" outlineLevel="0" collapsed="false">
      <c r="A516" s="3" t="s">
        <v>620</v>
      </c>
      <c r="B516" s="0" t="s">
        <v>302</v>
      </c>
      <c r="D516" s="21" t="n">
        <f aca="false">a26_pcb*(1-ai_pcb)</f>
        <v>20.42713225</v>
      </c>
      <c r="E516" s="21" t="n">
        <f aca="false">D516*(1+g_pcbn)</f>
        <v>20.835674895</v>
      </c>
      <c r="F516" s="21" t="n">
        <f aca="false">E516*(1+g_pcbn)</f>
        <v>21.2523883929</v>
      </c>
      <c r="G516" s="21" t="n">
        <f aca="false">F516*(1+g_pcbn)</f>
        <v>21.677436160758</v>
      </c>
    </row>
    <row r="517" customFormat="false" ht="15" hidden="false" customHeight="false" outlineLevel="0" collapsed="false">
      <c r="A517" s="3" t="s">
        <v>521</v>
      </c>
      <c r="B517" s="0" t="s">
        <v>302</v>
      </c>
      <c r="D517" s="21" t="n">
        <f aca="false">a26_fpc</f>
        <v>13.178795</v>
      </c>
      <c r="E517" s="21" t="n">
        <f aca="false">D517*(1+g_fpc)</f>
        <v>13.178795</v>
      </c>
      <c r="F517" s="21" t="n">
        <f aca="false">E517*(1+g_fpc)</f>
        <v>13.178795</v>
      </c>
      <c r="G517" s="21" t="n">
        <f aca="false">F517*(1+g_fpc)</f>
        <v>13.178795</v>
      </c>
    </row>
    <row r="518" customFormat="false" ht="17.15" hidden="false" customHeight="false" outlineLevel="0" collapsed="false">
      <c r="A518" s="3" t="s">
        <v>484</v>
      </c>
      <c r="B518" s="0" t="s">
        <v>302</v>
      </c>
      <c r="C518" s="23" t="n">
        <f aca="false">a25_rev</f>
        <v>131.241</v>
      </c>
      <c r="D518" s="23" t="n">
        <f aca="false">D509+D514+D515+D516+D517</f>
        <v>188.2685</v>
      </c>
      <c r="E518" s="23" t="n">
        <f aca="false">E509+E514+E515+E516+E517</f>
        <v>245.842654649375</v>
      </c>
      <c r="F518" s="23" t="n">
        <f aca="false">F509+F514+F515+F516+F517</f>
        <v>278.513465439096</v>
      </c>
      <c r="G518" s="23" t="n">
        <f aca="false">G509+G514+G515+G516+G517</f>
        <v>308.317795383097</v>
      </c>
      <c r="H518" s="25" t="n">
        <f aca="false">G518*(1+H519)</f>
        <v>336.479988575722</v>
      </c>
      <c r="I518" s="25" t="n">
        <f aca="false">H518*(1+I519)</f>
        <v>361.941672550702</v>
      </c>
      <c r="J518" s="25" t="n">
        <f aca="false">I518*(1+J519)</f>
        <v>383.658172903744</v>
      </c>
      <c r="K518" s="7" t="s">
        <v>621</v>
      </c>
    </row>
    <row r="519" customFormat="false" ht="15" hidden="false" customHeight="false" outlineLevel="0" collapsed="false">
      <c r="A519" s="3" t="s">
        <v>622</v>
      </c>
      <c r="B519" s="0" t="s">
        <v>44</v>
      </c>
      <c r="D519" s="20" t="n">
        <f aca="false">D518/C518-1</f>
        <v>0.434525034097576</v>
      </c>
      <c r="E519" s="20" t="n">
        <f aca="false">E518/D518-1</f>
        <v>0.30580875</v>
      </c>
      <c r="F519" s="20" t="n">
        <f aca="false">F518/E518-1</f>
        <v>0.132893174442478</v>
      </c>
      <c r="G519" s="20" t="n">
        <f aca="false">G518/F518-1</f>
        <v>0.107012168682803</v>
      </c>
      <c r="H519" s="26" t="n">
        <f aca="false">$G519+(fade_gA-$G519)*1/3</f>
        <v>0.091341445788535</v>
      </c>
      <c r="I519" s="26" t="n">
        <f aca="false">$G519+(fade_gA-$G519)*2/3</f>
        <v>0.0756707228942675</v>
      </c>
      <c r="J519" s="26" t="n">
        <f aca="false">$G519+(fade_gA-$G519)*3/3</f>
        <v>0.06</v>
      </c>
    </row>
    <row r="520" customFormat="false" ht="17.15" hidden="false" customHeight="false" outlineLevel="0" collapsed="false">
      <c r="A520" s="0" t="s">
        <v>623</v>
      </c>
      <c r="B520" s="0" t="s">
        <v>44</v>
      </c>
      <c r="D520" s="20" t="n">
        <f aca="false">D509/D518</f>
        <v>0.53</v>
      </c>
      <c r="E520" s="20" t="n">
        <f aca="false">E509/E518</f>
        <v>0.604099758100105</v>
      </c>
      <c r="F520" s="20" t="n">
        <f aca="false">F509/F518</f>
        <v>0.62133268158461</v>
      </c>
      <c r="G520" s="20" t="n">
        <f aca="false">G509/G518</f>
        <v>0.636549606213464</v>
      </c>
    </row>
    <row r="521" customFormat="false" ht="17.15" hidden="false" customHeight="false" outlineLevel="0" collapsed="false">
      <c r="A521" s="0" t="s">
        <v>624</v>
      </c>
      <c r="B521" s="0" t="s">
        <v>44</v>
      </c>
      <c r="D521" s="20" t="n">
        <f aca="false">(D511+D515)/D518</f>
        <v>0.599</v>
      </c>
      <c r="E521" s="20" t="n">
        <f aca="false">(E511+E515)/E518</f>
        <v>0.68646000812143</v>
      </c>
      <c r="F521" s="20" t="n">
        <f aca="false">(F511+F515)/F518</f>
        <v>0.714279928894761</v>
      </c>
      <c r="G521" s="20" t="n">
        <f aca="false">(G511+G515)/G518</f>
        <v>0.734916614961312</v>
      </c>
      <c r="K521" s="3" t="s">
        <v>625</v>
      </c>
    </row>
    <row r="522" customFormat="false" ht="17.15" hidden="false" customHeight="false" outlineLevel="0" collapsed="false">
      <c r="A522" s="5" t="s">
        <v>626</v>
      </c>
    </row>
    <row r="523" customFormat="false" ht="15" hidden="false" customHeight="false" outlineLevel="0" collapsed="false">
      <c r="A523" s="3" t="s">
        <v>627</v>
      </c>
      <c r="B523" s="0" t="s">
        <v>302</v>
      </c>
      <c r="C523" s="23" t="n">
        <f aca="false">a25_cx</f>
        <v>25.617</v>
      </c>
      <c r="D523" s="23" t="n">
        <f aca="false">capex26</f>
        <v>53.7</v>
      </c>
      <c r="E523" s="23" t="n">
        <f aca="false">cx27_A</f>
        <v>55</v>
      </c>
      <c r="F523" s="23" t="n">
        <f aca="false">cx28_A</f>
        <v>50</v>
      </c>
      <c r="G523" s="23" t="n">
        <f aca="false">cx29_A</f>
        <v>45</v>
      </c>
      <c r="H523" s="25" t="n">
        <f aca="false">H518*H540</f>
        <v>46.0773449344368</v>
      </c>
      <c r="I523" s="25" t="n">
        <f aca="false">I518*I540</f>
        <v>46.301519983136</v>
      </c>
      <c r="J523" s="25" t="n">
        <f aca="false">J518*J540</f>
        <v>45.6213283734937</v>
      </c>
    </row>
    <row r="524" customFormat="false" ht="17.15" hidden="false" customHeight="false" outlineLevel="0" collapsed="false">
      <c r="A524" s="3" t="s">
        <v>628</v>
      </c>
      <c r="B524" s="0" t="s">
        <v>302</v>
      </c>
      <c r="C524" s="23" t="n">
        <f aca="false">a25_da</f>
        <v>18.8</v>
      </c>
      <c r="D524" s="23" t="n">
        <f aca="false">da26</f>
        <v>20.8</v>
      </c>
      <c r="E524" s="23" t="n">
        <f aca="false">D524*(1-1/life)+D523/life</f>
        <v>24.9125</v>
      </c>
      <c r="F524" s="23" t="n">
        <f aca="false">E524*(1-1/life)+E523/life</f>
        <v>28.6734375</v>
      </c>
      <c r="G524" s="23" t="n">
        <f aca="false">F524*(1-1/life)+F523/life</f>
        <v>31.3392578125</v>
      </c>
      <c r="H524" s="25" t="n">
        <f aca="false">H518*H525</f>
        <v>34.2018309310334</v>
      </c>
      <c r="I524" s="25" t="n">
        <f aca="false">I518*I525</f>
        <v>36.7899082018922</v>
      </c>
      <c r="J524" s="25" t="n">
        <f aca="false">J518*J525</f>
        <v>38.9973026940057</v>
      </c>
      <c r="K524" s="3" t="s">
        <v>629</v>
      </c>
    </row>
    <row r="525" customFormat="false" ht="17.15" hidden="false" customHeight="false" outlineLevel="0" collapsed="false">
      <c r="A525" s="3" t="s">
        <v>630</v>
      </c>
      <c r="B525" s="0" t="s">
        <v>44</v>
      </c>
      <c r="C525" s="20" t="n">
        <f aca="false">C524/C518</f>
        <v>0.143247917952469</v>
      </c>
      <c r="D525" s="20" t="n">
        <f aca="false">D524/D518</f>
        <v>0.110480510547436</v>
      </c>
      <c r="E525" s="20" t="n">
        <f aca="false">E524/E518</f>
        <v>0.101335140704247</v>
      </c>
      <c r="F525" s="20" t="n">
        <f aca="false">F524/F518</f>
        <v>0.102951709910307</v>
      </c>
      <c r="G525" s="20" t="n">
        <f aca="false">G524/G518</f>
        <v>0.101645958429223</v>
      </c>
      <c r="H525" s="26" t="n">
        <f aca="false">$G525</f>
        <v>0.101645958429223</v>
      </c>
      <c r="I525" s="26" t="n">
        <f aca="false">$G525</f>
        <v>0.101645958429223</v>
      </c>
      <c r="J525" s="26" t="n">
        <f aca="false">$G525</f>
        <v>0.101645958429223</v>
      </c>
    </row>
    <row r="526" customFormat="false" ht="17.15" hidden="false" customHeight="false" outlineLevel="0" collapsed="false">
      <c r="A526" s="3" t="s">
        <v>631</v>
      </c>
      <c r="B526" s="0" t="s">
        <v>302</v>
      </c>
      <c r="E526" s="21" t="n">
        <f aca="false">E511*(1-1/(E496*E497))</f>
        <v>5.86846797177161</v>
      </c>
      <c r="F526" s="21" t="n">
        <f aca="false">F511*(1-1/(F496*F497))</f>
        <v>-0.367380342092935</v>
      </c>
      <c r="G526" s="21" t="n">
        <f aca="false">G511*(1-1/(G496*G497))</f>
        <v>-9.83602926956918</v>
      </c>
      <c r="K526" s="7" t="s">
        <v>632</v>
      </c>
    </row>
    <row r="527" customFormat="false" ht="17.15" hidden="false" customHeight="false" outlineLevel="0" collapsed="false">
      <c r="A527" s="3" t="s">
        <v>633</v>
      </c>
      <c r="B527" s="0" t="s">
        <v>302</v>
      </c>
      <c r="C527" s="21" t="n">
        <f aca="false">a25_gp</f>
        <v>18.292</v>
      </c>
      <c r="D527" s="21" t="n">
        <f aca="false">a26_gp</f>
        <v>47.3329657</v>
      </c>
      <c r="E527" s="21" t="n">
        <f aca="false">$D527+ft_abf_lo*(E509-E526-$D509)+ft_oth*((E518-E509)-($D518-$D509))+E526-(E524-$D524)</f>
        <v>68.444762626063</v>
      </c>
      <c r="F527" s="21" t="n">
        <f aca="false">$D527+ft_abf_lo*(F509-F526-$D509)+ft_oth*((F518-F509)-($D518-$D509))+F526-(F524-$D524)</f>
        <v>72.7904233553227</v>
      </c>
      <c r="G527" s="21" t="n">
        <f aca="false">$D527+ft_abf_lo*(G509-G526-$D509)+ft_oth*((G518-G509)-($D518-$D509))+G526-(G524-$D524)</f>
        <v>75.3760041074897</v>
      </c>
      <c r="K527" s="3" t="s">
        <v>634</v>
      </c>
    </row>
    <row r="528" customFormat="false" ht="15" hidden="false" customHeight="false" outlineLevel="0" collapsed="false">
      <c r="A528" s="3" t="s">
        <v>491</v>
      </c>
      <c r="B528" s="0" t="s">
        <v>44</v>
      </c>
      <c r="C528" s="16" t="n">
        <f aca="false">C527/C518</f>
        <v>0.139377176339711</v>
      </c>
      <c r="D528" s="16" t="n">
        <f aca="false">D527/D518</f>
        <v>0.251412029627899</v>
      </c>
      <c r="E528" s="16" t="n">
        <f aca="false">E527/E518</f>
        <v>0.278408816906407</v>
      </c>
      <c r="F528" s="16" t="n">
        <f aca="false">F527/F518</f>
        <v>0.261353336150421</v>
      </c>
      <c r="G528" s="16" t="n">
        <f aca="false">G527/G518</f>
        <v>0.244475035940861</v>
      </c>
    </row>
    <row r="529" customFormat="false" ht="15" hidden="false" customHeight="false" outlineLevel="0" collapsed="false">
      <c r="A529" s="3" t="s">
        <v>493</v>
      </c>
      <c r="B529" s="0" t="s">
        <v>302</v>
      </c>
      <c r="C529" s="21" t="n">
        <f aca="false">a25_opx</f>
        <v>11.618</v>
      </c>
      <c r="D529" s="21" t="n">
        <f aca="false">a26_opx</f>
        <v>16.6539532</v>
      </c>
      <c r="E529" s="21" t="n">
        <f aca="false">D529*(1+phi*E519)</f>
        <v>19.7097079663903</v>
      </c>
      <c r="F529" s="21" t="n">
        <f aca="false">E529*(1+phi*F519)</f>
        <v>21.281279361783</v>
      </c>
      <c r="G529" s="21" t="n">
        <f aca="false">F529*(1+phi*G519)</f>
        <v>22.6476928758924</v>
      </c>
    </row>
    <row r="530" customFormat="false" ht="15" hidden="false" customHeight="false" outlineLevel="0" collapsed="false">
      <c r="A530" s="3" t="s">
        <v>496</v>
      </c>
      <c r="B530" s="0" t="s">
        <v>302</v>
      </c>
      <c r="C530" s="21" t="n">
        <f aca="false">C527-C529</f>
        <v>6.674</v>
      </c>
      <c r="D530" s="21" t="n">
        <f aca="false">D527-D529</f>
        <v>30.6790125</v>
      </c>
      <c r="E530" s="21" t="n">
        <f aca="false">E527-E529</f>
        <v>48.7350546596727</v>
      </c>
      <c r="F530" s="21" t="n">
        <f aca="false">F527-F529</f>
        <v>51.5091439935397</v>
      </c>
      <c r="G530" s="21" t="n">
        <f aca="false">G527-G529</f>
        <v>52.7283112315973</v>
      </c>
    </row>
    <row r="531" customFormat="false" ht="15" hidden="false" customHeight="false" outlineLevel="0" collapsed="false">
      <c r="A531" s="3" t="s">
        <v>575</v>
      </c>
      <c r="B531" s="0" t="s">
        <v>44</v>
      </c>
      <c r="C531" s="16" t="n">
        <f aca="false">C530/C518</f>
        <v>0.0508530108731265</v>
      </c>
      <c r="D531" s="16" t="n">
        <f aca="false">D530/D518</f>
        <v>0.162953507888999</v>
      </c>
      <c r="E531" s="16" t="n">
        <f aca="false">E530/E518</f>
        <v>0.198236773554123</v>
      </c>
      <c r="F531" s="16" t="n">
        <f aca="false">F530/F518</f>
        <v>0.18494310108968</v>
      </c>
      <c r="G531" s="16" t="n">
        <f aca="false">G530/G518</f>
        <v>0.1710193573682</v>
      </c>
    </row>
    <row r="532" customFormat="false" ht="17.15" hidden="false" customHeight="false" outlineLevel="0" collapsed="false">
      <c r="A532" s="3" t="s">
        <v>635</v>
      </c>
      <c r="B532" s="0" t="s">
        <v>302</v>
      </c>
      <c r="C532" s="21" t="n">
        <f aca="false">a25_nonop</f>
        <v>-0.00100000000000033</v>
      </c>
      <c r="D532" s="21" t="n">
        <f aca="false">a26_nonop</f>
        <v>14.466</v>
      </c>
      <c r="E532" s="21" t="n">
        <f aca="false">nonop27</f>
        <v>2</v>
      </c>
      <c r="F532" s="21" t="n">
        <f aca="false">nonop28</f>
        <v>2</v>
      </c>
      <c r="G532" s="21" t="n">
        <f aca="false">nonop29</f>
        <v>2</v>
      </c>
      <c r="K532" s="7" t="s">
        <v>636</v>
      </c>
    </row>
    <row r="533" customFormat="false" ht="15" hidden="false" customHeight="false" outlineLevel="0" collapsed="false">
      <c r="A533" s="3" t="s">
        <v>502</v>
      </c>
      <c r="B533" s="0" t="s">
        <v>302</v>
      </c>
      <c r="C533" s="21" t="n">
        <f aca="false">C530+C532</f>
        <v>6.673</v>
      </c>
      <c r="D533" s="21" t="n">
        <f aca="false">D530+D532</f>
        <v>45.1450125</v>
      </c>
      <c r="E533" s="21" t="n">
        <f aca="false">E530+E532</f>
        <v>50.7350546596727</v>
      </c>
      <c r="F533" s="21" t="n">
        <f aca="false">F530+F532</f>
        <v>53.5091439935397</v>
      </c>
      <c r="G533" s="21" t="n">
        <f aca="false">G530+G532</f>
        <v>54.7283112315973</v>
      </c>
    </row>
    <row r="534" customFormat="false" ht="15" hidden="false" customHeight="false" outlineLevel="0" collapsed="false">
      <c r="A534" s="3" t="s">
        <v>506</v>
      </c>
      <c r="B534" s="0" t="s">
        <v>302</v>
      </c>
      <c r="E534" s="21" t="n">
        <f aca="false">E533*tax</f>
        <v>9.13230983874108</v>
      </c>
      <c r="F534" s="21" t="n">
        <f aca="false">F533*tax</f>
        <v>9.63164591883715</v>
      </c>
      <c r="G534" s="21" t="n">
        <f aca="false">G533*tax</f>
        <v>9.85109602168752</v>
      </c>
    </row>
    <row r="535" customFormat="false" ht="15" hidden="false" customHeight="false" outlineLevel="0" collapsed="false">
      <c r="A535" s="3" t="s">
        <v>504</v>
      </c>
      <c r="B535" s="0" t="s">
        <v>302</v>
      </c>
      <c r="C535" s="21" t="n">
        <f aca="false">a25_ni</f>
        <v>6.673</v>
      </c>
      <c r="D535" s="21" t="n">
        <f aca="false">a26_ni</f>
        <v>37.23923025</v>
      </c>
      <c r="E535" s="21" t="n">
        <f aca="false">E533-E534</f>
        <v>41.6027448209316</v>
      </c>
      <c r="F535" s="21" t="n">
        <f aca="false">F533-F534</f>
        <v>43.8774980747026</v>
      </c>
      <c r="G535" s="21" t="n">
        <f aca="false">G533-G534</f>
        <v>44.8772152099098</v>
      </c>
      <c r="H535" s="30" t="n">
        <f aca="false">H518*H539</f>
        <v>52.1476904839685</v>
      </c>
      <c r="I535" s="30" t="n">
        <f aca="false">I518*I539</f>
        <v>59.50504597117</v>
      </c>
      <c r="J535" s="30" t="n">
        <f aca="false">J518*J539</f>
        <v>66.691328903514</v>
      </c>
    </row>
    <row r="536" customFormat="false" ht="15" hidden="false" customHeight="false" outlineLevel="0" collapsed="false">
      <c r="A536" s="3" t="s">
        <v>637</v>
      </c>
      <c r="B536" s="3" t="s">
        <v>380</v>
      </c>
      <c r="C536" s="29" t="n">
        <f aca="false">a25_sh</f>
        <v>1.52351598173516</v>
      </c>
      <c r="D536" s="29" t="n">
        <f aca="false">a26_sh</f>
        <v>1.59236316568047</v>
      </c>
      <c r="E536" s="29" t="n">
        <f aca="false">a26_shend*(1+sh_g)</f>
        <v>1.64</v>
      </c>
      <c r="F536" s="29" t="n">
        <f aca="false">E536*(1+sh_g)</f>
        <v>1.64</v>
      </c>
      <c r="G536" s="29" t="n">
        <f aca="false">F536*(1+sh_g)</f>
        <v>1.64</v>
      </c>
      <c r="H536" s="31" t="n">
        <f aca="false">G536*(1+sh_g)</f>
        <v>1.64</v>
      </c>
      <c r="I536" s="31" t="n">
        <f aca="false">H536*(1+sh_g)</f>
        <v>1.64</v>
      </c>
      <c r="J536" s="31" t="n">
        <f aca="false">I536*(1+sh_g)</f>
        <v>1.64</v>
      </c>
    </row>
    <row r="537" customFormat="false" ht="17.15" hidden="false" customHeight="false" outlineLevel="0" collapsed="false">
      <c r="A537" s="0" t="s">
        <v>509</v>
      </c>
      <c r="B537" s="0" t="s">
        <v>386</v>
      </c>
      <c r="C537" s="18" t="n">
        <f aca="false">C535/C536</f>
        <v>4.38</v>
      </c>
      <c r="D537" s="18" t="n">
        <f aca="false">D535/D536</f>
        <v>23.3861414610695</v>
      </c>
      <c r="E537" s="18" t="n">
        <f aca="false">E535/E536</f>
        <v>25.3675273298363</v>
      </c>
      <c r="F537" s="18" t="n">
        <f aca="false">F535/F536</f>
        <v>26.7545719967699</v>
      </c>
      <c r="G537" s="18" t="n">
        <f aca="false">G535/G536</f>
        <v>27.3641556157987</v>
      </c>
      <c r="H537" s="28" t="n">
        <f aca="false">H535/H536</f>
        <v>31.7973722463222</v>
      </c>
      <c r="I537" s="28" t="n">
        <f aca="false">I535/I536</f>
        <v>36.2835646165671</v>
      </c>
      <c r="J537" s="28" t="n">
        <f aca="false">J535/J536</f>
        <v>40.6654444533622</v>
      </c>
    </row>
    <row r="538" customFormat="false" ht="17.15" hidden="false" customHeight="false" outlineLevel="0" collapsed="false">
      <c r="A538" s="0" t="s">
        <v>638</v>
      </c>
      <c r="B538" s="0" t="s">
        <v>44</v>
      </c>
      <c r="D538" s="20" t="n">
        <f aca="false">D537/C537-1</f>
        <v>4.33930170344053</v>
      </c>
      <c r="E538" s="20" t="n">
        <f aca="false">E537/D537-1</f>
        <v>0.0847247876296826</v>
      </c>
      <c r="F538" s="20" t="n">
        <f aca="false">F537/E537-1</f>
        <v>0.0546779608788333</v>
      </c>
      <c r="G538" s="20" t="n">
        <f aca="false">G537/F537-1</f>
        <v>0.0227842784815395</v>
      </c>
      <c r="H538" s="26" t="n">
        <f aca="false">H537/G537-1</f>
        <v>0.162008164723492</v>
      </c>
      <c r="I538" s="26" t="n">
        <f aca="false">I537/H537-1</f>
        <v>0.141086890309425</v>
      </c>
      <c r="J538" s="26" t="n">
        <f aca="false">J537/I537-1</f>
        <v>0.120767622561384</v>
      </c>
    </row>
    <row r="539" customFormat="false" ht="17.15" hidden="false" customHeight="false" outlineLevel="0" collapsed="false">
      <c r="A539" s="3" t="s">
        <v>639</v>
      </c>
      <c r="B539" s="0" t="s">
        <v>44</v>
      </c>
      <c r="C539" s="16" t="n">
        <f aca="false">C535/C518</f>
        <v>0.0508453913030227</v>
      </c>
      <c r="D539" s="16" t="n">
        <f aca="false">D535/D518</f>
        <v>0.197798517808343</v>
      </c>
      <c r="E539" s="16" t="n">
        <f aca="false">E535/E518</f>
        <v>0.169225087811821</v>
      </c>
      <c r="F539" s="16" t="n">
        <f aca="false">F535/F518</f>
        <v>0.157541747597469</v>
      </c>
      <c r="G539" s="16" t="n">
        <f aca="false">G535/G518</f>
        <v>0.145555060012505</v>
      </c>
      <c r="H539" s="27" t="n">
        <f aca="false">$G539+(fade_mA-$G539)*1/3</f>
        <v>0.15498006495038</v>
      </c>
      <c r="I539" s="27" t="n">
        <f aca="false">$G539+(fade_mA-$G539)*2/3</f>
        <v>0.164405069888255</v>
      </c>
      <c r="J539" s="27" t="n">
        <f aca="false">$G539+(fade_mA-$G539)*3/3</f>
        <v>0.17383007482613</v>
      </c>
    </row>
    <row r="540" customFormat="false" ht="17.15" hidden="false" customHeight="false" outlineLevel="0" collapsed="false">
      <c r="A540" s="3" t="s">
        <v>640</v>
      </c>
      <c r="B540" s="0" t="s">
        <v>44</v>
      </c>
      <c r="C540" s="20" t="n">
        <f aca="false">C523/C518</f>
        <v>0.195190527350447</v>
      </c>
      <c r="D540" s="20" t="n">
        <f aca="false">D523/D518</f>
        <v>0.285230933480641</v>
      </c>
      <c r="E540" s="20" t="n">
        <f aca="false">E523/E518</f>
        <v>0.223720330706817</v>
      </c>
      <c r="F540" s="20" t="n">
        <f aca="false">F523/F518</f>
        <v>0.179524533656466</v>
      </c>
      <c r="G540" s="20" t="n">
        <f aca="false">G523/G518</f>
        <v>0.145953301022037</v>
      </c>
      <c r="H540" s="26" t="n">
        <f aca="false">$G540+($G525*(1+tp_g)^(life/2)-$G540)*1/3</f>
        <v>0.136939332200635</v>
      </c>
      <c r="I540" s="26" t="n">
        <f aca="false">$G540+($G525*(1+tp_g)^(life/2)-$G540)*2/3</f>
        <v>0.127925363379233</v>
      </c>
      <c r="J540" s="26" t="n">
        <f aca="false">$G540+($G525*(1+tp_g)^(life/2)-$G540)*3/3</f>
        <v>0.118911394557831</v>
      </c>
      <c r="K540" s="7" t="s">
        <v>641</v>
      </c>
    </row>
    <row r="541" customFormat="false" ht="15" hidden="false" customHeight="false" outlineLevel="0" collapsed="false">
      <c r="A541" s="3" t="s">
        <v>642</v>
      </c>
      <c r="B541" s="0" t="s">
        <v>302</v>
      </c>
      <c r="E541" s="21" t="n">
        <f aca="false">E535+E524-E523</f>
        <v>11.5152448209316</v>
      </c>
      <c r="F541" s="21" t="n">
        <f aca="false">F535+F524-F523</f>
        <v>22.5509355747026</v>
      </c>
      <c r="G541" s="21" t="n">
        <f aca="false">G535+G524-G523</f>
        <v>31.2164730224098</v>
      </c>
      <c r="H541" s="30" t="n">
        <f aca="false">H535+H524-H523</f>
        <v>40.2721764805651</v>
      </c>
      <c r="I541" s="30" t="n">
        <f aca="false">I535+I524-I523</f>
        <v>49.9934341899262</v>
      </c>
      <c r="J541" s="30" t="n">
        <f aca="false">J535+J524-J523</f>
        <v>60.0673032240261</v>
      </c>
      <c r="K541" s="3" t="s">
        <v>643</v>
      </c>
    </row>
    <row r="542" customFormat="false" ht="15" hidden="false" customHeight="false" outlineLevel="0" collapsed="false">
      <c r="A542" s="3" t="s">
        <v>644</v>
      </c>
      <c r="B542" s="0" t="s">
        <v>386</v>
      </c>
      <c r="E542" s="18" t="n">
        <f aca="false">E541/E536</f>
        <v>7.02149074447048</v>
      </c>
      <c r="F542" s="18" t="n">
        <f aca="false">F541/F536</f>
        <v>13.7505704723796</v>
      </c>
      <c r="G542" s="18" t="n">
        <f aca="false">G541/G536</f>
        <v>19.0344347697621</v>
      </c>
      <c r="H542" s="28" t="n">
        <f aca="false">H541/H536</f>
        <v>24.5562051710763</v>
      </c>
      <c r="I542" s="28" t="n">
        <f aca="false">I541/I536</f>
        <v>30.4838013353209</v>
      </c>
      <c r="J542" s="28" t="n">
        <f aca="false">J541/J536</f>
        <v>36.6264044048939</v>
      </c>
    </row>
    <row r="545" customFormat="false" ht="17.15" hidden="false" customHeight="false" outlineLevel="0" collapsed="false">
      <c r="A545" s="1" t="s">
        <v>953</v>
      </c>
    </row>
    <row r="546" customFormat="false" ht="17.15" hidden="false" customHeight="false" outlineLevel="0" collapsed="false">
      <c r="A546" s="4" t="s">
        <v>21</v>
      </c>
      <c r="B546" s="4" t="s">
        <v>22</v>
      </c>
      <c r="C546" s="13" t="s">
        <v>477</v>
      </c>
      <c r="D546" s="13" t="s">
        <v>562</v>
      </c>
      <c r="E546" s="13" t="s">
        <v>563</v>
      </c>
      <c r="F546" s="13" t="s">
        <v>564</v>
      </c>
      <c r="G546" s="13" t="s">
        <v>565</v>
      </c>
      <c r="H546" s="13" t="s">
        <v>566</v>
      </c>
      <c r="I546" s="13" t="s">
        <v>567</v>
      </c>
      <c r="J546" s="13" t="s">
        <v>568</v>
      </c>
      <c r="K546" s="4" t="s">
        <v>533</v>
      </c>
    </row>
    <row r="547" customFormat="false" ht="17.15" hidden="false" customHeight="false" outlineLevel="0" collapsed="false">
      <c r="A547" s="5" t="s">
        <v>586</v>
      </c>
    </row>
    <row r="548" customFormat="false" ht="17.15" hidden="false" customHeight="false" outlineLevel="0" collapsed="false">
      <c r="A548" s="0" t="s">
        <v>587</v>
      </c>
      <c r="B548" s="3" t="s">
        <v>32</v>
      </c>
      <c r="D548" s="21" t="n">
        <f aca="false">(u_bw_26+u_rb_26+u_ru_26+u_hp_26)*1</f>
        <v>7.6</v>
      </c>
      <c r="E548" s="21" t="n">
        <f aca="false">(u_bw_27+u_rb_27+u_ru_27+u_hp_27)*1*1</f>
        <v>9.7</v>
      </c>
      <c r="F548" s="21" t="n">
        <f aca="false">(u_bw_28+u_rb_28+u_ru_28+u_hp_28)*um28_A*1</f>
        <v>9.5</v>
      </c>
      <c r="G548" s="21" t="n">
        <f aca="false">(u_bw_28*(1+g29_bw)+u_rb_28*(1+g29_rb)+u_ru_28*(1+g29_ru)+u_hp_28*(1+g29_hp))*um29_A*1</f>
        <v>10.6</v>
      </c>
      <c r="K548" s="7" t="s">
        <v>588</v>
      </c>
    </row>
    <row r="549" customFormat="false" ht="17.15" hidden="false" customHeight="false" outlineLevel="0" collapsed="false">
      <c r="A549" s="3" t="s">
        <v>589</v>
      </c>
      <c r="B549" s="3" t="s">
        <v>32</v>
      </c>
      <c r="D549" s="21" t="n">
        <f aca="false">(u_amd_26+u_tpu_26+u_trn_26+u_oth_26)*1</f>
        <v>7.6</v>
      </c>
      <c r="E549" s="21" t="n">
        <f aca="false">(u_amd_27+u_tpu_27+u_trn_27+u_oth_27)*1*1</f>
        <v>14</v>
      </c>
      <c r="F549" s="21" t="n">
        <f aca="false">(u_amd_28+u_tpu_28+u_trn_28+u_oth_28)*um28_A*1</f>
        <v>17</v>
      </c>
      <c r="G549" s="21" t="n">
        <f aca="false">(u_amd_28*(1+g29_amd)+u_tpu_28*(1+g29_tpu)+u_trn_28*(1+g29_trn)+u_oth_28*(1+g29_oth))*um29_A*1</f>
        <v>19.55</v>
      </c>
      <c r="K549" s="7" t="s">
        <v>590</v>
      </c>
    </row>
    <row r="550" customFormat="false" ht="17.15" hidden="false" customHeight="false" outlineLevel="0" collapsed="false">
      <c r="A550" s="3" t="s">
        <v>591</v>
      </c>
      <c r="B550" s="0" t="s">
        <v>144</v>
      </c>
      <c r="D550" s="19" t="n">
        <f aca="false">1</f>
        <v>1</v>
      </c>
      <c r="E550" s="19" t="n">
        <f aca="false">D550*(1+g_asp)</f>
        <v>1.18</v>
      </c>
      <c r="F550" s="19" t="n">
        <f aca="false">E550*(1+g_asp)</f>
        <v>1.3924</v>
      </c>
      <c r="G550" s="19" t="n">
        <f aca="false">F550*(1+g_asp)</f>
        <v>1.643032</v>
      </c>
      <c r="K550" s="7" t="s">
        <v>592</v>
      </c>
    </row>
    <row r="551" customFormat="false" ht="17.15" hidden="false" customHeight="false" outlineLevel="0" collapsed="false">
      <c r="A551" s="0" t="s">
        <v>593</v>
      </c>
      <c r="B551" s="0" t="s">
        <v>144</v>
      </c>
      <c r="D551" s="18" t="n">
        <f aca="false">1</f>
        <v>1</v>
      </c>
      <c r="E551" s="18" t="n">
        <f aca="false">ibpp_27</f>
        <v>1</v>
      </c>
      <c r="F551" s="18" t="n">
        <f aca="false">ibpp_28</f>
        <v>0.95</v>
      </c>
      <c r="G551" s="18" t="n">
        <f aca="false">ibpp_29</f>
        <v>0.9</v>
      </c>
      <c r="K551" s="7" t="s">
        <v>594</v>
      </c>
    </row>
    <row r="552" customFormat="false" ht="17.15" hidden="false" customHeight="false" outlineLevel="0" collapsed="false">
      <c r="A552" s="3" t="s">
        <v>595</v>
      </c>
      <c r="B552" s="0" t="s">
        <v>144</v>
      </c>
      <c r="D552" s="18" t="n">
        <f aca="false">1</f>
        <v>1</v>
      </c>
      <c r="E552" s="18" t="n">
        <f aca="false">1+carry</f>
        <v>1.05</v>
      </c>
      <c r="F552" s="18" t="n">
        <f aca="false">1+carry</f>
        <v>1.05</v>
      </c>
      <c r="G552" s="18" t="n">
        <f aca="false">1+carry</f>
        <v>1.05</v>
      </c>
      <c r="K552" s="7" t="s">
        <v>596</v>
      </c>
    </row>
    <row r="553" customFormat="false" ht="17.15" hidden="false" customHeight="false" outlineLevel="0" collapsed="false">
      <c r="A553" s="3" t="s">
        <v>597</v>
      </c>
      <c r="B553" s="0" t="s">
        <v>598</v>
      </c>
      <c r="D553" s="23" t="n">
        <f aca="false">v26*D550*D551</f>
        <v>215.308596</v>
      </c>
      <c r="E553" s="23" t="n">
        <f aca="false">v26*E550*E551</f>
        <v>254.06414328</v>
      </c>
      <c r="F553" s="23" t="n">
        <f aca="false">v26*F550*F551</f>
        <v>284.80590461688</v>
      </c>
      <c r="G553" s="23" t="n">
        <f aca="false">v26*G550*G551</f>
        <v>318.383021792765</v>
      </c>
      <c r="K553" s="7" t="s">
        <v>599</v>
      </c>
    </row>
    <row r="554" customFormat="false" ht="17.15" hidden="false" customHeight="false" outlineLevel="0" collapsed="false">
      <c r="A554" s="3" t="s">
        <v>600</v>
      </c>
      <c r="B554" s="0" t="s">
        <v>44</v>
      </c>
      <c r="D554" s="20" t="n">
        <f aca="false">sh_nv_26</f>
        <v>0.25</v>
      </c>
      <c r="E554" s="20" t="n">
        <f aca="false">sh_nv_27</f>
        <v>0.27</v>
      </c>
      <c r="F554" s="20" t="n">
        <f aca="false">sh_nv_28</f>
        <v>0.29</v>
      </c>
      <c r="G554" s="20" t="n">
        <f aca="false">sh_nv_29</f>
        <v>0.3</v>
      </c>
    </row>
    <row r="555" customFormat="false" ht="17.15" hidden="false" customHeight="false" outlineLevel="0" collapsed="false">
      <c r="A555" s="3" t="s">
        <v>601</v>
      </c>
      <c r="B555" s="0" t="s">
        <v>44</v>
      </c>
      <c r="D555" s="20" t="n">
        <f aca="false">sh_ot_26</f>
        <v>0.3</v>
      </c>
      <c r="E555" s="20" t="n">
        <f aca="false">sh_ot_27</f>
        <v>0.31</v>
      </c>
      <c r="F555" s="20" t="n">
        <f aca="false">sh_ot_28</f>
        <v>0.32</v>
      </c>
      <c r="G555" s="20" t="n">
        <f aca="false">sh_ot_29</f>
        <v>0.33</v>
      </c>
    </row>
    <row r="556" customFormat="false" ht="17.15" hidden="false" customHeight="false" outlineLevel="0" collapsed="false">
      <c r="A556" s="3" t="s">
        <v>602</v>
      </c>
      <c r="B556" s="0" t="s">
        <v>552</v>
      </c>
      <c r="D556" s="22" t="n">
        <f aca="false">(D548*D553*D554+D549*D553*v_ot*D555)*D552</f>
        <v>801.809211504</v>
      </c>
      <c r="E556" s="22" t="n">
        <f aca="false">(E548*E553*E554+E549*E553*v_ot*E555)*E552</f>
        <v>1624.8799315544</v>
      </c>
      <c r="F556" s="22" t="n">
        <f aca="false">(F548*F553*F554+F549*F553*v_ot*F555)*F552</f>
        <v>2125.32134231777</v>
      </c>
      <c r="G556" s="22" t="n">
        <f aca="false">(G548*G553*G554+G549*G553*v_ot*G555)*G552</f>
        <v>2788.4812844467</v>
      </c>
    </row>
    <row r="557" customFormat="false" ht="15" hidden="false" customHeight="false" outlineLevel="0" collapsed="false">
      <c r="A557" s="3" t="s">
        <v>603</v>
      </c>
      <c r="B557" s="0" t="s">
        <v>302</v>
      </c>
      <c r="D557" s="21" t="n">
        <f aca="false">D556*fx/1000</f>
        <v>26.05879937388</v>
      </c>
      <c r="E557" s="21" t="n">
        <f aca="false">E556*fx/1000</f>
        <v>52.8085977755181</v>
      </c>
      <c r="F557" s="21" t="n">
        <f aca="false">F556*fx/1000</f>
        <v>69.0729436253277</v>
      </c>
      <c r="G557" s="21" t="n">
        <f aca="false">G556*fx/1000</f>
        <v>90.6256417445177</v>
      </c>
    </row>
    <row r="558" customFormat="false" ht="17.15" hidden="false" customHeight="false" outlineLevel="0" collapsed="false">
      <c r="A558" s="5" t="s">
        <v>604</v>
      </c>
    </row>
    <row r="559" customFormat="false" ht="17.15" hidden="false" customHeight="false" outlineLevel="0" collapsed="false">
      <c r="A559" s="0" t="s">
        <v>605</v>
      </c>
      <c r="B559" s="0" t="s">
        <v>302</v>
      </c>
      <c r="D559" s="21" t="n">
        <f aca="false">a26_abf*ai_abf</f>
        <v>74.83672875</v>
      </c>
      <c r="K559" s="3" t="s">
        <v>606</v>
      </c>
    </row>
    <row r="560" customFormat="false" ht="17.15" hidden="false" customHeight="false" outlineLevel="0" collapsed="false">
      <c r="A560" s="3" t="s">
        <v>607</v>
      </c>
      <c r="B560" s="0" t="s">
        <v>302</v>
      </c>
      <c r="D560" s="21" t="n">
        <f aca="false">D559-D557</f>
        <v>48.77792937612</v>
      </c>
      <c r="E560" s="21" t="n">
        <f aca="false">$D560*(itc_27/itc_26)^el_o*1*1*E551*E552</f>
        <v>72.4686721045733</v>
      </c>
      <c r="F560" s="21" t="n">
        <f aca="false">$D560*(itc_28/itc_26)^el_o*um28_A*1*F551*F552</f>
        <v>77.5118128697435</v>
      </c>
      <c r="G560" s="21" t="n">
        <f aca="false">$D560*(itc_29/itc_26)^el_o*um29_A*1*G551*G552</f>
        <v>78.3752247962621</v>
      </c>
      <c r="K560" s="7" t="s">
        <v>608</v>
      </c>
    </row>
    <row r="561" customFormat="false" ht="17.15" hidden="false" customHeight="false" outlineLevel="0" collapsed="false">
      <c r="A561" s="3" t="s">
        <v>609</v>
      </c>
      <c r="B561" s="0" t="s">
        <v>302</v>
      </c>
      <c r="D561" s="21" t="n">
        <f aca="false">a26_abf-D559</f>
        <v>24.94557625</v>
      </c>
      <c r="E561" s="21" t="n">
        <f aca="false">D561*(1+g_nai)</f>
        <v>25.6939435375</v>
      </c>
      <c r="F561" s="21" t="n">
        <f aca="false">E561*(1+g_nai)</f>
        <v>26.464761843625</v>
      </c>
      <c r="G561" s="21" t="n">
        <f aca="false">F561*(1+g_nai)</f>
        <v>27.2587046989338</v>
      </c>
    </row>
    <row r="562" customFormat="false" ht="17.15" hidden="false" customHeight="false" outlineLevel="0" collapsed="false">
      <c r="A562" s="0" t="s">
        <v>610</v>
      </c>
      <c r="B562" s="0" t="s">
        <v>302</v>
      </c>
      <c r="D562" s="21" t="n">
        <f aca="false">D557+D560+D561</f>
        <v>99.782305</v>
      </c>
      <c r="E562" s="21" t="n">
        <f aca="false">E557+E560+E561</f>
        <v>150.971213417591</v>
      </c>
      <c r="F562" s="21" t="n">
        <f aca="false">F557+F560+F561</f>
        <v>173.049518338696</v>
      </c>
      <c r="G562" s="21" t="n">
        <f aca="false">G557+G560+G561</f>
        <v>196.259571239714</v>
      </c>
    </row>
    <row r="563" customFormat="false" ht="17.15" hidden="false" customHeight="false" outlineLevel="0" collapsed="false">
      <c r="A563" s="0" t="s">
        <v>611</v>
      </c>
      <c r="B563" s="0" t="s">
        <v>302</v>
      </c>
      <c r="D563" s="21" t="n">
        <f aca="false">a26_abf</f>
        <v>99.782305</v>
      </c>
      <c r="E563" s="21" t="n">
        <f aca="false">$D562*cap_27*(1+g_mix)^1*E551*E552</f>
        <v>148.513488204375</v>
      </c>
      <c r="F563" s="21" t="n">
        <f aca="false">$D562*cap_28*(1+g_mix)^2*F551*F552</f>
        <v>186.549442683384</v>
      </c>
      <c r="G563" s="21" t="n">
        <f aca="false">$D562*cap_29*(1+g_mix)^3*G551*G552</f>
        <v>218.314827660431</v>
      </c>
      <c r="K563" s="7" t="s">
        <v>612</v>
      </c>
    </row>
    <row r="564" customFormat="false" ht="17.15" hidden="false" customHeight="false" outlineLevel="0" collapsed="false">
      <c r="A564" s="0" t="s">
        <v>613</v>
      </c>
      <c r="B564" s="0" t="s">
        <v>302</v>
      </c>
      <c r="D564" s="21" t="n">
        <f aca="false">a26_abf</f>
        <v>99.782305</v>
      </c>
      <c r="E564" s="21" t="n">
        <f aca="false">MIN(E562,E563)</f>
        <v>148.513488204375</v>
      </c>
      <c r="F564" s="21" t="n">
        <f aca="false">MIN(F562,F563)</f>
        <v>173.049518338696</v>
      </c>
      <c r="G564" s="21" t="n">
        <f aca="false">MIN(G562,G563)</f>
        <v>196.259571239714</v>
      </c>
    </row>
    <row r="565" customFormat="false" ht="17.15" hidden="false" customHeight="false" outlineLevel="0" collapsed="false">
      <c r="A565" s="3" t="s">
        <v>614</v>
      </c>
      <c r="B565" s="0" t="s">
        <v>44</v>
      </c>
      <c r="D565" s="20" t="n">
        <f aca="false">D564/D562</f>
        <v>1</v>
      </c>
      <c r="E565" s="20" t="n">
        <f aca="false">E564/E562</f>
        <v>0.983720570580444</v>
      </c>
      <c r="F565" s="20" t="n">
        <f aca="false">F564/F562</f>
        <v>1</v>
      </c>
      <c r="G565" s="20" t="n">
        <f aca="false">G564/G562</f>
        <v>1</v>
      </c>
    </row>
    <row r="566" customFormat="false" ht="17.15" hidden="false" customHeight="false" outlineLevel="0" collapsed="false">
      <c r="A566" s="0" t="s">
        <v>615</v>
      </c>
      <c r="B566" s="0" t="s">
        <v>302</v>
      </c>
      <c r="D566" s="21" t="n">
        <f aca="false">(D557+D560)*D565</f>
        <v>74.83672875</v>
      </c>
      <c r="E566" s="21" t="n">
        <f aca="false">(E557+E560)*E565</f>
        <v>123.237827407204</v>
      </c>
      <c r="F566" s="21" t="n">
        <f aca="false">(F557+F560)*F565</f>
        <v>146.584756495071</v>
      </c>
      <c r="G566" s="21" t="n">
        <f aca="false">(G557+G560)*G565</f>
        <v>169.00086654078</v>
      </c>
    </row>
    <row r="567" customFormat="false" ht="17.15" hidden="false" customHeight="false" outlineLevel="0" collapsed="false">
      <c r="A567" s="3" t="s">
        <v>616</v>
      </c>
      <c r="B567" s="0" t="s">
        <v>44</v>
      </c>
      <c r="D567" s="20" t="n">
        <f aca="false">D557/(D557+D560)</f>
        <v>0.348208691228771</v>
      </c>
      <c r="E567" s="20" t="n">
        <f aca="false">E557/(E557+E560)</f>
        <v>0.421533753298293</v>
      </c>
      <c r="F567" s="20" t="n">
        <f aca="false">F557/(F557+F560)</f>
        <v>0.471215051802813</v>
      </c>
      <c r="G567" s="20" t="n">
        <f aca="false">G557/(G557+G560)</f>
        <v>0.536243651287136</v>
      </c>
    </row>
    <row r="568" customFormat="false" ht="17.15" hidden="false" customHeight="false" outlineLevel="0" collapsed="false">
      <c r="A568" s="5" t="s">
        <v>617</v>
      </c>
    </row>
    <row r="569" customFormat="false" ht="17.15" hidden="false" customHeight="false" outlineLevel="0" collapsed="false">
      <c r="A569" s="0" t="s">
        <v>519</v>
      </c>
      <c r="B569" s="0" t="s">
        <v>302</v>
      </c>
      <c r="D569" s="21" t="n">
        <f aca="false">a26_bt</f>
        <v>16.944165</v>
      </c>
      <c r="E569" s="21" t="n">
        <f aca="false">D569*(1+g_bt)</f>
        <v>17.79137325</v>
      </c>
      <c r="F569" s="21" t="n">
        <f aca="false">E569*(1+g_bt)</f>
        <v>18.6809419125</v>
      </c>
      <c r="G569" s="21" t="n">
        <f aca="false">F569*(1+g_bt)</f>
        <v>19.614989008125</v>
      </c>
    </row>
    <row r="570" customFormat="false" ht="17.15" hidden="false" customHeight="false" outlineLevel="0" collapsed="false">
      <c r="A570" s="0" t="s">
        <v>618</v>
      </c>
      <c r="B570" s="0" t="s">
        <v>302</v>
      </c>
      <c r="D570" s="21" t="n">
        <f aca="false">a26_pcb*ai_pcb</f>
        <v>37.93610275</v>
      </c>
      <c r="E570" s="21" t="n">
        <f aca="false">D570*(1+g_pai_27)</f>
        <v>45.5233233</v>
      </c>
      <c r="F570" s="21" t="n">
        <f aca="false">D570*(1+g_pai_27)*(1+g_pai_28)*um28_A</f>
        <v>52.351821795</v>
      </c>
      <c r="G570" s="21" t="n">
        <f aca="false">D570*(1+g_pai_27)*(1+g_pai_28)*(1+g_pai_29)*um29_A</f>
        <v>57.5870039745</v>
      </c>
      <c r="K570" s="3" t="s">
        <v>619</v>
      </c>
    </row>
    <row r="571" customFormat="false" ht="17.15" hidden="false" customHeight="false" outlineLevel="0" collapsed="false">
      <c r="A571" s="3" t="s">
        <v>620</v>
      </c>
      <c r="B571" s="0" t="s">
        <v>302</v>
      </c>
      <c r="D571" s="21" t="n">
        <f aca="false">a26_pcb*(1-ai_pcb)</f>
        <v>20.42713225</v>
      </c>
      <c r="E571" s="21" t="n">
        <f aca="false">D571*(1+g_pcbn)</f>
        <v>20.835674895</v>
      </c>
      <c r="F571" s="21" t="n">
        <f aca="false">E571*(1+g_pcbn)</f>
        <v>21.2523883929</v>
      </c>
      <c r="G571" s="21" t="n">
        <f aca="false">F571*(1+g_pcbn)</f>
        <v>21.677436160758</v>
      </c>
    </row>
    <row r="572" customFormat="false" ht="15" hidden="false" customHeight="false" outlineLevel="0" collapsed="false">
      <c r="A572" s="3" t="s">
        <v>521</v>
      </c>
      <c r="B572" s="0" t="s">
        <v>302</v>
      </c>
      <c r="D572" s="21" t="n">
        <f aca="false">a26_fpc</f>
        <v>13.178795</v>
      </c>
      <c r="E572" s="21" t="n">
        <f aca="false">D572*(1+g_fpc)</f>
        <v>13.178795</v>
      </c>
      <c r="F572" s="21" t="n">
        <f aca="false">E572*(1+g_fpc)</f>
        <v>13.178795</v>
      </c>
      <c r="G572" s="21" t="n">
        <f aca="false">F572*(1+g_fpc)</f>
        <v>13.178795</v>
      </c>
    </row>
    <row r="573" customFormat="false" ht="17.15" hidden="false" customHeight="false" outlineLevel="0" collapsed="false">
      <c r="A573" s="3" t="s">
        <v>484</v>
      </c>
      <c r="B573" s="0" t="s">
        <v>302</v>
      </c>
      <c r="C573" s="23" t="n">
        <f aca="false">a25_rev</f>
        <v>131.241</v>
      </c>
      <c r="D573" s="23" t="n">
        <f aca="false">D564+D569+D570+D571+D572</f>
        <v>188.2685</v>
      </c>
      <c r="E573" s="23" t="n">
        <f aca="false">E564+E569+E570+E571+E572</f>
        <v>245.842654649375</v>
      </c>
      <c r="F573" s="23" t="n">
        <f aca="false">F564+F569+F570+F571+F572</f>
        <v>278.513465439096</v>
      </c>
      <c r="G573" s="23" t="n">
        <f aca="false">G564+G569+G570+G571+G572</f>
        <v>308.317795383097</v>
      </c>
      <c r="H573" s="25" t="n">
        <f aca="false">G573*(1+H574)</f>
        <v>336.479988575722</v>
      </c>
      <c r="I573" s="25" t="n">
        <f aca="false">H573*(1+I574)</f>
        <v>361.941672550702</v>
      </c>
      <c r="J573" s="25" t="n">
        <f aca="false">I573*(1+J574)</f>
        <v>383.658172903744</v>
      </c>
      <c r="K573" s="7" t="s">
        <v>621</v>
      </c>
    </row>
    <row r="574" customFormat="false" ht="15" hidden="false" customHeight="false" outlineLevel="0" collapsed="false">
      <c r="A574" s="3" t="s">
        <v>622</v>
      </c>
      <c r="B574" s="0" t="s">
        <v>44</v>
      </c>
      <c r="D574" s="20" t="n">
        <f aca="false">D573/C573-1</f>
        <v>0.434525034097576</v>
      </c>
      <c r="E574" s="20" t="n">
        <f aca="false">E573/D573-1</f>
        <v>0.30580875</v>
      </c>
      <c r="F574" s="20" t="n">
        <f aca="false">F573/E573-1</f>
        <v>0.132893174442478</v>
      </c>
      <c r="G574" s="20" t="n">
        <f aca="false">G573/F573-1</f>
        <v>0.107012168682803</v>
      </c>
      <c r="H574" s="26" t="n">
        <f aca="false">$G574+(fade_gA-$G574)*1/3</f>
        <v>0.091341445788535</v>
      </c>
      <c r="I574" s="26" t="n">
        <f aca="false">$G574+(fade_gA-$G574)*2/3</f>
        <v>0.0756707228942675</v>
      </c>
      <c r="J574" s="26" t="n">
        <f aca="false">$G574+(fade_gA-$G574)*3/3</f>
        <v>0.06</v>
      </c>
    </row>
    <row r="575" customFormat="false" ht="17.15" hidden="false" customHeight="false" outlineLevel="0" collapsed="false">
      <c r="A575" s="0" t="s">
        <v>623</v>
      </c>
      <c r="B575" s="0" t="s">
        <v>44</v>
      </c>
      <c r="D575" s="20" t="n">
        <f aca="false">D564/D573</f>
        <v>0.53</v>
      </c>
      <c r="E575" s="20" t="n">
        <f aca="false">E564/E573</f>
        <v>0.604099758100105</v>
      </c>
      <c r="F575" s="20" t="n">
        <f aca="false">F564/F573</f>
        <v>0.62133268158461</v>
      </c>
      <c r="G575" s="20" t="n">
        <f aca="false">G564/G573</f>
        <v>0.636549606213464</v>
      </c>
    </row>
    <row r="576" customFormat="false" ht="17.15" hidden="false" customHeight="false" outlineLevel="0" collapsed="false">
      <c r="A576" s="0" t="s">
        <v>624</v>
      </c>
      <c r="B576" s="0" t="s">
        <v>44</v>
      </c>
      <c r="D576" s="20" t="n">
        <f aca="false">(D566+D570)/D573</f>
        <v>0.599</v>
      </c>
      <c r="E576" s="20" t="n">
        <f aca="false">(E566+E570)/E573</f>
        <v>0.68646000812143</v>
      </c>
      <c r="F576" s="20" t="n">
        <f aca="false">(F566+F570)/F573</f>
        <v>0.714279928894761</v>
      </c>
      <c r="G576" s="20" t="n">
        <f aca="false">(G566+G570)/G573</f>
        <v>0.734916614961312</v>
      </c>
      <c r="K576" s="3" t="s">
        <v>625</v>
      </c>
    </row>
    <row r="577" customFormat="false" ht="17.15" hidden="false" customHeight="false" outlineLevel="0" collapsed="false">
      <c r="A577" s="5" t="s">
        <v>626</v>
      </c>
    </row>
    <row r="578" customFormat="false" ht="15" hidden="false" customHeight="false" outlineLevel="0" collapsed="false">
      <c r="A578" s="3" t="s">
        <v>627</v>
      </c>
      <c r="B578" s="0" t="s">
        <v>302</v>
      </c>
      <c r="C578" s="23" t="n">
        <f aca="false">a25_cx</f>
        <v>25.617</v>
      </c>
      <c r="D578" s="23" t="n">
        <f aca="false">capex26</f>
        <v>53.7</v>
      </c>
      <c r="E578" s="23" t="n">
        <f aca="false">cx27_A</f>
        <v>55</v>
      </c>
      <c r="F578" s="23" t="n">
        <f aca="false">cx28_A</f>
        <v>50</v>
      </c>
      <c r="G578" s="23" t="n">
        <f aca="false">cx29_A</f>
        <v>45</v>
      </c>
      <c r="H578" s="25" t="n">
        <f aca="false">H573*H595</f>
        <v>46.0773449344368</v>
      </c>
      <c r="I578" s="25" t="n">
        <f aca="false">I573*I595</f>
        <v>46.301519983136</v>
      </c>
      <c r="J578" s="25" t="n">
        <f aca="false">J573*J595</f>
        <v>45.6213283734937</v>
      </c>
    </row>
    <row r="579" customFormat="false" ht="17.15" hidden="false" customHeight="false" outlineLevel="0" collapsed="false">
      <c r="A579" s="3" t="s">
        <v>628</v>
      </c>
      <c r="B579" s="0" t="s">
        <v>302</v>
      </c>
      <c r="C579" s="23" t="n">
        <f aca="false">a25_da</f>
        <v>18.8</v>
      </c>
      <c r="D579" s="23" t="n">
        <f aca="false">da26</f>
        <v>20.8</v>
      </c>
      <c r="E579" s="23" t="n">
        <f aca="false">D579*(1-1/life)+D578/life</f>
        <v>24.9125</v>
      </c>
      <c r="F579" s="23" t="n">
        <f aca="false">E579*(1-1/life)+E578/life</f>
        <v>28.6734375</v>
      </c>
      <c r="G579" s="23" t="n">
        <f aca="false">F579*(1-1/life)+F578/life</f>
        <v>31.3392578125</v>
      </c>
      <c r="H579" s="25" t="n">
        <f aca="false">H573*H580</f>
        <v>34.2018309310334</v>
      </c>
      <c r="I579" s="25" t="n">
        <f aca="false">I573*I580</f>
        <v>36.7899082018922</v>
      </c>
      <c r="J579" s="25" t="n">
        <f aca="false">J573*J580</f>
        <v>38.9973026940057</v>
      </c>
      <c r="K579" s="3" t="s">
        <v>629</v>
      </c>
    </row>
    <row r="580" customFormat="false" ht="17.15" hidden="false" customHeight="false" outlineLevel="0" collapsed="false">
      <c r="A580" s="3" t="s">
        <v>630</v>
      </c>
      <c r="B580" s="0" t="s">
        <v>44</v>
      </c>
      <c r="C580" s="20" t="n">
        <f aca="false">C579/C573</f>
        <v>0.143247917952469</v>
      </c>
      <c r="D580" s="20" t="n">
        <f aca="false">D579/D573</f>
        <v>0.110480510547436</v>
      </c>
      <c r="E580" s="20" t="n">
        <f aca="false">E579/E573</f>
        <v>0.101335140704247</v>
      </c>
      <c r="F580" s="20" t="n">
        <f aca="false">F579/F573</f>
        <v>0.102951709910307</v>
      </c>
      <c r="G580" s="20" t="n">
        <f aca="false">G579/G573</f>
        <v>0.101645958429223</v>
      </c>
      <c r="H580" s="26" t="n">
        <f aca="false">$G580</f>
        <v>0.101645958429223</v>
      </c>
      <c r="I580" s="26" t="n">
        <f aca="false">$G580</f>
        <v>0.101645958429223</v>
      </c>
      <c r="J580" s="26" t="n">
        <f aca="false">$G580</f>
        <v>0.101645958429223</v>
      </c>
    </row>
    <row r="581" customFormat="false" ht="17.15" hidden="false" customHeight="false" outlineLevel="0" collapsed="false">
      <c r="A581" s="3" t="s">
        <v>631</v>
      </c>
      <c r="B581" s="0" t="s">
        <v>302</v>
      </c>
      <c r="E581" s="21" t="n">
        <f aca="false">E566*(1-1/(E551*E552))</f>
        <v>5.86846797177161</v>
      </c>
      <c r="F581" s="21" t="n">
        <f aca="false">F566*(1-1/(F551*F552))</f>
        <v>-0.367380342092935</v>
      </c>
      <c r="G581" s="21" t="n">
        <f aca="false">G566*(1-1/(G551*G552))</f>
        <v>-9.83602926956918</v>
      </c>
      <c r="K581" s="7" t="s">
        <v>632</v>
      </c>
    </row>
    <row r="582" customFormat="false" ht="17.15" hidden="false" customHeight="false" outlineLevel="0" collapsed="false">
      <c r="A582" s="3" t="s">
        <v>633</v>
      </c>
      <c r="B582" s="0" t="s">
        <v>302</v>
      </c>
      <c r="C582" s="21" t="n">
        <f aca="false">a25_gp</f>
        <v>18.292</v>
      </c>
      <c r="D582" s="21" t="n">
        <f aca="false">a26_gp</f>
        <v>47.3329657</v>
      </c>
      <c r="E582" s="21" t="n">
        <f aca="false">$D582+ft_abf_hi*(E564-E581-$D564)+ft_oth*((E573-E564)-($D573-$D564))+E581-(E579-$D579)</f>
        <v>77.0173056725836</v>
      </c>
      <c r="F582" s="21" t="n">
        <f aca="false">$D582+ft_abf_hi*(F564-F581-$D564)+ft_oth*((F573-F564)-($D573-$D564))+F581-(F579-$D579)</f>
        <v>87.5173420914805</v>
      </c>
      <c r="G582" s="21" t="n">
        <f aca="false">$D582+ft_abf_hi*(G564-G581-$D564)+ft_oth*((G573-G564)-($D573-$D564))+G581-(G579-$D579)</f>
        <v>96.6386632093462</v>
      </c>
      <c r="K582" s="3" t="s">
        <v>634</v>
      </c>
    </row>
    <row r="583" customFormat="false" ht="15" hidden="false" customHeight="false" outlineLevel="0" collapsed="false">
      <c r="A583" s="3" t="s">
        <v>491</v>
      </c>
      <c r="B583" s="0" t="s">
        <v>44</v>
      </c>
      <c r="C583" s="16" t="n">
        <f aca="false">C582/C573</f>
        <v>0.139377176339711</v>
      </c>
      <c r="D583" s="16" t="n">
        <f aca="false">D582/D573</f>
        <v>0.251412029627899</v>
      </c>
      <c r="E583" s="16" t="n">
        <f aca="false">E582/E573</f>
        <v>0.313278856276699</v>
      </c>
      <c r="F583" s="16" t="n">
        <f aca="false">F582/F573</f>
        <v>0.314230200516529</v>
      </c>
      <c r="G583" s="16" t="n">
        <f aca="false">G582/G573</f>
        <v>0.3134384867058</v>
      </c>
    </row>
    <row r="584" customFormat="false" ht="15" hidden="false" customHeight="false" outlineLevel="0" collapsed="false">
      <c r="A584" s="3" t="s">
        <v>493</v>
      </c>
      <c r="B584" s="0" t="s">
        <v>302</v>
      </c>
      <c r="C584" s="21" t="n">
        <f aca="false">a25_opx</f>
        <v>11.618</v>
      </c>
      <c r="D584" s="21" t="n">
        <f aca="false">a26_opx</f>
        <v>16.6539532</v>
      </c>
      <c r="E584" s="21" t="n">
        <f aca="false">D584*(1+phi*E574)</f>
        <v>19.7097079663903</v>
      </c>
      <c r="F584" s="21" t="n">
        <f aca="false">E584*(1+phi*F574)</f>
        <v>21.281279361783</v>
      </c>
      <c r="G584" s="21" t="n">
        <f aca="false">F584*(1+phi*G574)</f>
        <v>22.6476928758924</v>
      </c>
    </row>
    <row r="585" customFormat="false" ht="15" hidden="false" customHeight="false" outlineLevel="0" collapsed="false">
      <c r="A585" s="3" t="s">
        <v>496</v>
      </c>
      <c r="B585" s="0" t="s">
        <v>302</v>
      </c>
      <c r="C585" s="21" t="n">
        <f aca="false">C582-C584</f>
        <v>6.674</v>
      </c>
      <c r="D585" s="21" t="n">
        <f aca="false">D582-D584</f>
        <v>30.6790125</v>
      </c>
      <c r="E585" s="21" t="n">
        <f aca="false">E582-E584</f>
        <v>57.3075977061933</v>
      </c>
      <c r="F585" s="21" t="n">
        <f aca="false">F582-F584</f>
        <v>66.2360627296975</v>
      </c>
      <c r="G585" s="21" t="n">
        <f aca="false">G582-G584</f>
        <v>73.9909703334539</v>
      </c>
    </row>
    <row r="586" customFormat="false" ht="15" hidden="false" customHeight="false" outlineLevel="0" collapsed="false">
      <c r="A586" s="3" t="s">
        <v>575</v>
      </c>
      <c r="B586" s="0" t="s">
        <v>44</v>
      </c>
      <c r="C586" s="16" t="n">
        <f aca="false">C585/C573</f>
        <v>0.0508530108731265</v>
      </c>
      <c r="D586" s="16" t="n">
        <f aca="false">D585/D573</f>
        <v>0.162953507888999</v>
      </c>
      <c r="E586" s="16" t="n">
        <f aca="false">E585/E573</f>
        <v>0.233106812924415</v>
      </c>
      <c r="F586" s="16" t="n">
        <f aca="false">F585/F573</f>
        <v>0.237819965455788</v>
      </c>
      <c r="G586" s="16" t="n">
        <f aca="false">G585/G573</f>
        <v>0.239982808133138</v>
      </c>
    </row>
    <row r="587" customFormat="false" ht="17.15" hidden="false" customHeight="false" outlineLevel="0" collapsed="false">
      <c r="A587" s="3" t="s">
        <v>635</v>
      </c>
      <c r="B587" s="0" t="s">
        <v>302</v>
      </c>
      <c r="C587" s="21" t="n">
        <f aca="false">a25_nonop</f>
        <v>-0.00100000000000033</v>
      </c>
      <c r="D587" s="21" t="n">
        <f aca="false">a26_nonop</f>
        <v>14.466</v>
      </c>
      <c r="E587" s="21" t="n">
        <f aca="false">nonop27</f>
        <v>2</v>
      </c>
      <c r="F587" s="21" t="n">
        <f aca="false">nonop28</f>
        <v>2</v>
      </c>
      <c r="G587" s="21" t="n">
        <f aca="false">nonop29</f>
        <v>2</v>
      </c>
      <c r="K587" s="7" t="s">
        <v>636</v>
      </c>
    </row>
    <row r="588" customFormat="false" ht="15" hidden="false" customHeight="false" outlineLevel="0" collapsed="false">
      <c r="A588" s="3" t="s">
        <v>502</v>
      </c>
      <c r="B588" s="0" t="s">
        <v>302</v>
      </c>
      <c r="C588" s="21" t="n">
        <f aca="false">C585+C587</f>
        <v>6.673</v>
      </c>
      <c r="D588" s="21" t="n">
        <f aca="false">D585+D587</f>
        <v>45.1450125</v>
      </c>
      <c r="E588" s="21" t="n">
        <f aca="false">E585+E587</f>
        <v>59.3075977061933</v>
      </c>
      <c r="F588" s="21" t="n">
        <f aca="false">F585+F587</f>
        <v>68.2360627296975</v>
      </c>
      <c r="G588" s="21" t="n">
        <f aca="false">G585+G587</f>
        <v>75.9909703334539</v>
      </c>
    </row>
    <row r="589" customFormat="false" ht="15" hidden="false" customHeight="false" outlineLevel="0" collapsed="false">
      <c r="A589" s="3" t="s">
        <v>506</v>
      </c>
      <c r="B589" s="0" t="s">
        <v>302</v>
      </c>
      <c r="E589" s="21" t="n">
        <f aca="false">E588*tax</f>
        <v>10.6753675871148</v>
      </c>
      <c r="F589" s="21" t="n">
        <f aca="false">F588*tax</f>
        <v>12.2824912913456</v>
      </c>
      <c r="G589" s="21" t="n">
        <f aca="false">G588*tax</f>
        <v>13.6783746600217</v>
      </c>
    </row>
    <row r="590" customFormat="false" ht="15" hidden="false" customHeight="false" outlineLevel="0" collapsed="false">
      <c r="A590" s="3" t="s">
        <v>504</v>
      </c>
      <c r="B590" s="0" t="s">
        <v>302</v>
      </c>
      <c r="C590" s="21" t="n">
        <f aca="false">a25_ni</f>
        <v>6.673</v>
      </c>
      <c r="D590" s="21" t="n">
        <f aca="false">a26_ni</f>
        <v>37.23923025</v>
      </c>
      <c r="E590" s="21" t="n">
        <f aca="false">E588-E589</f>
        <v>48.6322301190785</v>
      </c>
      <c r="F590" s="21" t="n">
        <f aca="false">F588-F589</f>
        <v>55.953571438352</v>
      </c>
      <c r="G590" s="21" t="n">
        <f aca="false">G588-G589</f>
        <v>62.3125956734322</v>
      </c>
      <c r="H590" s="30" t="n">
        <f aca="false">H573*H594</f>
        <v>64.8329926992576</v>
      </c>
      <c r="I590" s="30" t="n">
        <f aca="false">I573*I594</f>
        <v>66.3276500731961</v>
      </c>
      <c r="J590" s="30" t="n">
        <f aca="false">J573*J594</f>
        <v>66.691328903514</v>
      </c>
    </row>
    <row r="591" customFormat="false" ht="15" hidden="false" customHeight="false" outlineLevel="0" collapsed="false">
      <c r="A591" s="3" t="s">
        <v>637</v>
      </c>
      <c r="B591" s="3" t="s">
        <v>380</v>
      </c>
      <c r="C591" s="29" t="n">
        <f aca="false">a25_sh</f>
        <v>1.52351598173516</v>
      </c>
      <c r="D591" s="29" t="n">
        <f aca="false">a26_sh</f>
        <v>1.59236316568047</v>
      </c>
      <c r="E591" s="29" t="n">
        <f aca="false">a26_shend*(1+sh_g)</f>
        <v>1.64</v>
      </c>
      <c r="F591" s="29" t="n">
        <f aca="false">E591*(1+sh_g)</f>
        <v>1.64</v>
      </c>
      <c r="G591" s="29" t="n">
        <f aca="false">F591*(1+sh_g)</f>
        <v>1.64</v>
      </c>
      <c r="H591" s="31" t="n">
        <f aca="false">G591*(1+sh_g)</f>
        <v>1.64</v>
      </c>
      <c r="I591" s="31" t="n">
        <f aca="false">H591*(1+sh_g)</f>
        <v>1.64</v>
      </c>
      <c r="J591" s="31" t="n">
        <f aca="false">I591*(1+sh_g)</f>
        <v>1.64</v>
      </c>
    </row>
    <row r="592" customFormat="false" ht="17.15" hidden="false" customHeight="false" outlineLevel="0" collapsed="false">
      <c r="A592" s="0" t="s">
        <v>509</v>
      </c>
      <c r="B592" s="0" t="s">
        <v>386</v>
      </c>
      <c r="C592" s="18" t="n">
        <f aca="false">C590/C591</f>
        <v>4.38</v>
      </c>
      <c r="D592" s="18" t="n">
        <f aca="false">D590/D591</f>
        <v>23.3861414610695</v>
      </c>
      <c r="E592" s="18" t="n">
        <f aca="false">E590/E591</f>
        <v>29.6537988530967</v>
      </c>
      <c r="F592" s="18" t="n">
        <f aca="false">F590/F591</f>
        <v>34.1180313648488</v>
      </c>
      <c r="G592" s="18" t="n">
        <f aca="false">G590/G591</f>
        <v>37.9954851667269</v>
      </c>
      <c r="H592" s="28" t="n">
        <f aca="false">H590/H591</f>
        <v>39.5323126214985</v>
      </c>
      <c r="I592" s="28" t="n">
        <f aca="false">I590/I591</f>
        <v>40.443689069022</v>
      </c>
      <c r="J592" s="28" t="n">
        <f aca="false">J590/J591</f>
        <v>40.6654444533622</v>
      </c>
    </row>
    <row r="593" customFormat="false" ht="17.15" hidden="false" customHeight="false" outlineLevel="0" collapsed="false">
      <c r="A593" s="0" t="s">
        <v>638</v>
      </c>
      <c r="B593" s="0" t="s">
        <v>44</v>
      </c>
      <c r="D593" s="20" t="n">
        <f aca="false">D592/C592-1</f>
        <v>4.33930170344053</v>
      </c>
      <c r="E593" s="20" t="n">
        <f aca="false">E592/D592-1</f>
        <v>0.268007332567487</v>
      </c>
      <c r="F593" s="20" t="n">
        <f aca="false">F592/E592-1</f>
        <v>0.150545045977673</v>
      </c>
      <c r="G593" s="20" t="n">
        <f aca="false">G592/F592-1</f>
        <v>0.113648227836294</v>
      </c>
      <c r="H593" s="26" t="n">
        <f aca="false">H592/G592-1</f>
        <v>0.0404476333971759</v>
      </c>
      <c r="I593" s="26" t="n">
        <f aca="false">I592/H592-1</f>
        <v>0.0230539623686943</v>
      </c>
      <c r="J593" s="26" t="n">
        <f aca="false">J592/I592-1</f>
        <v>0.00548306520608755</v>
      </c>
    </row>
    <row r="594" customFormat="false" ht="17.15" hidden="false" customHeight="false" outlineLevel="0" collapsed="false">
      <c r="A594" s="3" t="s">
        <v>639</v>
      </c>
      <c r="B594" s="0" t="s">
        <v>44</v>
      </c>
      <c r="C594" s="16" t="n">
        <f aca="false">C590/C573</f>
        <v>0.0508453913030227</v>
      </c>
      <c r="D594" s="16" t="n">
        <f aca="false">D590/D573</f>
        <v>0.197798517808343</v>
      </c>
      <c r="E594" s="16" t="n">
        <f aca="false">E590/E573</f>
        <v>0.19781852009546</v>
      </c>
      <c r="F594" s="16" t="n">
        <f aca="false">F590/F573</f>
        <v>0.200900776377678</v>
      </c>
      <c r="G594" s="16" t="n">
        <f aca="false">G590/G573</f>
        <v>0.202105089639754</v>
      </c>
      <c r="H594" s="27" t="n">
        <f aca="false">$G594+(fade_mA-$G594)*1/3</f>
        <v>0.192680084701879</v>
      </c>
      <c r="I594" s="27" t="n">
        <f aca="false">$G594+(fade_mA-$G594)*2/3</f>
        <v>0.183255079764004</v>
      </c>
      <c r="J594" s="27" t="n">
        <f aca="false">$G594+(fade_mA-$G594)*3/3</f>
        <v>0.17383007482613</v>
      </c>
    </row>
    <row r="595" customFormat="false" ht="17.15" hidden="false" customHeight="false" outlineLevel="0" collapsed="false">
      <c r="A595" s="3" t="s">
        <v>640</v>
      </c>
      <c r="B595" s="0" t="s">
        <v>44</v>
      </c>
      <c r="C595" s="20" t="n">
        <f aca="false">C578/C573</f>
        <v>0.195190527350447</v>
      </c>
      <c r="D595" s="20" t="n">
        <f aca="false">D578/D573</f>
        <v>0.285230933480641</v>
      </c>
      <c r="E595" s="20" t="n">
        <f aca="false">E578/E573</f>
        <v>0.223720330706817</v>
      </c>
      <c r="F595" s="20" t="n">
        <f aca="false">F578/F573</f>
        <v>0.179524533656466</v>
      </c>
      <c r="G595" s="20" t="n">
        <f aca="false">G578/G573</f>
        <v>0.145953301022037</v>
      </c>
      <c r="H595" s="26" t="n">
        <f aca="false">$G595+($G580*(1+tp_g)^(life/2)-$G595)*1/3</f>
        <v>0.136939332200635</v>
      </c>
      <c r="I595" s="26" t="n">
        <f aca="false">$G595+($G580*(1+tp_g)^(life/2)-$G595)*2/3</f>
        <v>0.127925363379233</v>
      </c>
      <c r="J595" s="26" t="n">
        <f aca="false">$G595+($G580*(1+tp_g)^(life/2)-$G595)*3/3</f>
        <v>0.118911394557831</v>
      </c>
      <c r="K595" s="7" t="s">
        <v>641</v>
      </c>
    </row>
    <row r="596" customFormat="false" ht="15" hidden="false" customHeight="false" outlineLevel="0" collapsed="false">
      <c r="A596" s="3" t="s">
        <v>642</v>
      </c>
      <c r="B596" s="0" t="s">
        <v>302</v>
      </c>
      <c r="E596" s="21" t="n">
        <f aca="false">E590+E579-E578</f>
        <v>18.5447301190785</v>
      </c>
      <c r="F596" s="21" t="n">
        <f aca="false">F590+F579-F578</f>
        <v>34.627008938352</v>
      </c>
      <c r="G596" s="21" t="n">
        <f aca="false">G590+G579-G578</f>
        <v>48.6518534859322</v>
      </c>
      <c r="H596" s="30" t="n">
        <f aca="false">H590+H579-H578</f>
        <v>52.9574786958542</v>
      </c>
      <c r="I596" s="30" t="n">
        <f aca="false">I590+I579-I578</f>
        <v>56.8160382919524</v>
      </c>
      <c r="J596" s="30" t="n">
        <f aca="false">J590+J579-J578</f>
        <v>60.0673032240261</v>
      </c>
      <c r="K596" s="3" t="s">
        <v>643</v>
      </c>
    </row>
    <row r="597" customFormat="false" ht="15" hidden="false" customHeight="false" outlineLevel="0" collapsed="false">
      <c r="A597" s="3" t="s">
        <v>644</v>
      </c>
      <c r="B597" s="0" t="s">
        <v>386</v>
      </c>
      <c r="E597" s="18" t="n">
        <f aca="false">E596/E591</f>
        <v>11.3077622677308</v>
      </c>
      <c r="F597" s="18" t="n">
        <f aca="false">F596/F591</f>
        <v>21.1140298404585</v>
      </c>
      <c r="G597" s="18" t="n">
        <f aca="false">G596/G591</f>
        <v>29.6657643206903</v>
      </c>
      <c r="H597" s="28" t="n">
        <f aca="false">H596/H591</f>
        <v>32.2911455462526</v>
      </c>
      <c r="I597" s="28" t="n">
        <f aca="false">I596/I591</f>
        <v>34.6439257877758</v>
      </c>
      <c r="J597" s="28" t="n">
        <f aca="false">J596/J591</f>
        <v>36.6264044048939</v>
      </c>
    </row>
    <row r="600" customFormat="false" ht="17.15" hidden="false" customHeight="false" outlineLevel="0" collapsed="false">
      <c r="A600" s="1" t="s">
        <v>954</v>
      </c>
    </row>
    <row r="601" customFormat="false" ht="17.15" hidden="false" customHeight="false" outlineLevel="0" collapsed="false">
      <c r="A601" s="4" t="s">
        <v>21</v>
      </c>
      <c r="B601" s="4" t="s">
        <v>22</v>
      </c>
      <c r="C601" s="13" t="s">
        <v>477</v>
      </c>
      <c r="D601" s="13" t="s">
        <v>562</v>
      </c>
      <c r="E601" s="13" t="s">
        <v>563</v>
      </c>
      <c r="F601" s="13" t="s">
        <v>564</v>
      </c>
      <c r="G601" s="13" t="s">
        <v>565</v>
      </c>
      <c r="H601" s="13" t="s">
        <v>566</v>
      </c>
      <c r="I601" s="13" t="s">
        <v>567</v>
      </c>
      <c r="J601" s="13" t="s">
        <v>568</v>
      </c>
      <c r="K601" s="4" t="s">
        <v>533</v>
      </c>
    </row>
    <row r="602" customFormat="false" ht="17.15" hidden="false" customHeight="false" outlineLevel="0" collapsed="false">
      <c r="A602" s="5" t="s">
        <v>586</v>
      </c>
    </row>
    <row r="603" customFormat="false" ht="17.15" hidden="false" customHeight="false" outlineLevel="0" collapsed="false">
      <c r="A603" s="0" t="s">
        <v>587</v>
      </c>
      <c r="B603" s="3" t="s">
        <v>32</v>
      </c>
      <c r="D603" s="21" t="n">
        <f aca="false">(u_bw_26+u_rb_26+u_ru_26+u_hp_26)*1</f>
        <v>7.6</v>
      </c>
      <c r="E603" s="21" t="n">
        <f aca="false">(u_bw_27+u_rb_27+u_ru_27+u_hp_27)*1*1</f>
        <v>9.7</v>
      </c>
      <c r="F603" s="21" t="n">
        <f aca="false">(u_bw_28+u_rb_28+u_ru_28+u_hp_28)*um28_A*1</f>
        <v>9.5</v>
      </c>
      <c r="G603" s="21" t="n">
        <f aca="false">(u_bw_28*(1+g29_bw)+u_rb_28*(1+g29_rb)+u_ru_28*(1+g29_ru)+u_hp_28*(1+g29_hp))*um29_A*1</f>
        <v>10.6</v>
      </c>
      <c r="K603" s="7" t="s">
        <v>588</v>
      </c>
    </row>
    <row r="604" customFormat="false" ht="17.15" hidden="false" customHeight="false" outlineLevel="0" collapsed="false">
      <c r="A604" s="3" t="s">
        <v>589</v>
      </c>
      <c r="B604" s="3" t="s">
        <v>32</v>
      </c>
      <c r="D604" s="21" t="n">
        <f aca="false">(u_amd_26+u_tpu_26+u_trn_26+u_oth_26)*1</f>
        <v>7.6</v>
      </c>
      <c r="E604" s="21" t="n">
        <f aca="false">(u_amd_27+u_tpu_27+u_trn_27+u_oth_27)*1*1</f>
        <v>14</v>
      </c>
      <c r="F604" s="21" t="n">
        <f aca="false">(u_amd_28+u_tpu_28+u_trn_28+u_oth_28)*um28_A*1</f>
        <v>17</v>
      </c>
      <c r="G604" s="21" t="n">
        <f aca="false">(u_amd_28*(1+g29_amd)+u_tpu_28*(1+g29_tpu)+u_trn_28*(1+g29_trn)+u_oth_28*(1+g29_oth))*um29_A*1</f>
        <v>19.55</v>
      </c>
      <c r="K604" s="7" t="s">
        <v>590</v>
      </c>
    </row>
    <row r="605" customFormat="false" ht="17.15" hidden="false" customHeight="false" outlineLevel="0" collapsed="false">
      <c r="A605" s="3" t="s">
        <v>591</v>
      </c>
      <c r="B605" s="0" t="s">
        <v>144</v>
      </c>
      <c r="D605" s="19" t="n">
        <f aca="false">1</f>
        <v>1</v>
      </c>
      <c r="E605" s="19" t="n">
        <f aca="false">D605*(1+g_asp)</f>
        <v>1.18</v>
      </c>
      <c r="F605" s="19" t="n">
        <f aca="false">E605*(1+g_asp)</f>
        <v>1.3924</v>
      </c>
      <c r="G605" s="19" t="n">
        <f aca="false">F605*(1+g_asp)</f>
        <v>1.643032</v>
      </c>
      <c r="K605" s="7" t="s">
        <v>592</v>
      </c>
    </row>
    <row r="606" customFormat="false" ht="17.15" hidden="false" customHeight="false" outlineLevel="0" collapsed="false">
      <c r="A606" s="0" t="s">
        <v>593</v>
      </c>
      <c r="B606" s="0" t="s">
        <v>144</v>
      </c>
      <c r="D606" s="18" t="n">
        <f aca="false">1</f>
        <v>1</v>
      </c>
      <c r="E606" s="18" t="n">
        <f aca="false">ibpp_27</f>
        <v>1</v>
      </c>
      <c r="F606" s="18" t="n">
        <f aca="false">ibpp_28</f>
        <v>0.95</v>
      </c>
      <c r="G606" s="18" t="n">
        <f aca="false">ibpp_29</f>
        <v>0.9</v>
      </c>
      <c r="K606" s="7" t="s">
        <v>594</v>
      </c>
    </row>
    <row r="607" customFormat="false" ht="17.15" hidden="false" customHeight="false" outlineLevel="0" collapsed="false">
      <c r="A607" s="3" t="s">
        <v>595</v>
      </c>
      <c r="B607" s="0" t="s">
        <v>144</v>
      </c>
      <c r="D607" s="18" t="n">
        <f aca="false">1</f>
        <v>1</v>
      </c>
      <c r="E607" s="18" t="n">
        <f aca="false">1+carry</f>
        <v>1.05</v>
      </c>
      <c r="F607" s="18" t="n">
        <f aca="false">1+carry</f>
        <v>1.05</v>
      </c>
      <c r="G607" s="18" t="n">
        <f aca="false">1+carry</f>
        <v>1.05</v>
      </c>
      <c r="K607" s="7" t="s">
        <v>596</v>
      </c>
    </row>
    <row r="608" customFormat="false" ht="17.15" hidden="false" customHeight="false" outlineLevel="0" collapsed="false">
      <c r="A608" s="3" t="s">
        <v>597</v>
      </c>
      <c r="B608" s="0" t="s">
        <v>598</v>
      </c>
      <c r="D608" s="23" t="n">
        <f aca="false">v26*D605*D606</f>
        <v>215.308596</v>
      </c>
      <c r="E608" s="23" t="n">
        <f aca="false">v26*E605*E606</f>
        <v>254.06414328</v>
      </c>
      <c r="F608" s="23" t="n">
        <f aca="false">v26*F605*F606</f>
        <v>284.80590461688</v>
      </c>
      <c r="G608" s="23" t="n">
        <f aca="false">v26*G605*G606</f>
        <v>318.383021792765</v>
      </c>
      <c r="K608" s="7" t="s">
        <v>599</v>
      </c>
    </row>
    <row r="609" customFormat="false" ht="17.15" hidden="false" customHeight="false" outlineLevel="0" collapsed="false">
      <c r="A609" s="3" t="s">
        <v>600</v>
      </c>
      <c r="B609" s="0" t="s">
        <v>44</v>
      </c>
      <c r="D609" s="20" t="n">
        <f aca="false">sh_nv_26</f>
        <v>0.25</v>
      </c>
      <c r="E609" s="20" t="n">
        <f aca="false">sh_nv_27</f>
        <v>0.27</v>
      </c>
      <c r="F609" s="20" t="n">
        <f aca="false">sh_nv_28</f>
        <v>0.29</v>
      </c>
      <c r="G609" s="20" t="n">
        <f aca="false">sh_nv_29</f>
        <v>0.3</v>
      </c>
    </row>
    <row r="610" customFormat="false" ht="17.15" hidden="false" customHeight="false" outlineLevel="0" collapsed="false">
      <c r="A610" s="3" t="s">
        <v>601</v>
      </c>
      <c r="B610" s="0" t="s">
        <v>44</v>
      </c>
      <c r="D610" s="20" t="n">
        <f aca="false">sh_ot_26</f>
        <v>0.3</v>
      </c>
      <c r="E610" s="20" t="n">
        <f aca="false">sh_ot_27</f>
        <v>0.31</v>
      </c>
      <c r="F610" s="20" t="n">
        <f aca="false">sh_ot_28</f>
        <v>0.32</v>
      </c>
      <c r="G610" s="20" t="n">
        <f aca="false">sh_ot_29</f>
        <v>0.33</v>
      </c>
    </row>
    <row r="611" customFormat="false" ht="17.15" hidden="false" customHeight="false" outlineLevel="0" collapsed="false">
      <c r="A611" s="3" t="s">
        <v>602</v>
      </c>
      <c r="B611" s="0" t="s">
        <v>552</v>
      </c>
      <c r="D611" s="22" t="n">
        <f aca="false">(D603*D608*D609+D604*D608*v_ot*D610)*D607</f>
        <v>801.809211504</v>
      </c>
      <c r="E611" s="22" t="n">
        <f aca="false">(E603*E608*E609+E604*E608*v_ot*E610)*E607</f>
        <v>1624.8799315544</v>
      </c>
      <c r="F611" s="22" t="n">
        <f aca="false">(F603*F608*F609+F604*F608*v_ot*F610)*F607</f>
        <v>2125.32134231777</v>
      </c>
      <c r="G611" s="22" t="n">
        <f aca="false">(G603*G608*G609+G604*G608*v_ot*G610)*G607</f>
        <v>2788.4812844467</v>
      </c>
    </row>
    <row r="612" customFormat="false" ht="15" hidden="false" customHeight="false" outlineLevel="0" collapsed="false">
      <c r="A612" s="3" t="s">
        <v>603</v>
      </c>
      <c r="B612" s="0" t="s">
        <v>302</v>
      </c>
      <c r="D612" s="21" t="n">
        <f aca="false">D611*fx/1000</f>
        <v>26.05879937388</v>
      </c>
      <c r="E612" s="21" t="n">
        <f aca="false">E611*fx/1000</f>
        <v>52.8085977755181</v>
      </c>
      <c r="F612" s="21" t="n">
        <f aca="false">F611*fx/1000</f>
        <v>69.0729436253277</v>
      </c>
      <c r="G612" s="21" t="n">
        <f aca="false">G611*fx/1000</f>
        <v>90.6256417445177</v>
      </c>
    </row>
    <row r="613" customFormat="false" ht="17.15" hidden="false" customHeight="false" outlineLevel="0" collapsed="false">
      <c r="A613" s="5" t="s">
        <v>604</v>
      </c>
    </row>
    <row r="614" customFormat="false" ht="17.15" hidden="false" customHeight="false" outlineLevel="0" collapsed="false">
      <c r="A614" s="0" t="s">
        <v>605</v>
      </c>
      <c r="B614" s="0" t="s">
        <v>302</v>
      </c>
      <c r="D614" s="21" t="n">
        <f aca="false">a26_abf*ai_abf</f>
        <v>74.83672875</v>
      </c>
      <c r="K614" s="3" t="s">
        <v>606</v>
      </c>
    </row>
    <row r="615" customFormat="false" ht="17.15" hidden="false" customHeight="false" outlineLevel="0" collapsed="false">
      <c r="A615" s="3" t="s">
        <v>607</v>
      </c>
      <c r="B615" s="0" t="s">
        <v>302</v>
      </c>
      <c r="D615" s="21" t="n">
        <f aca="false">D614-D612</f>
        <v>48.77792937612</v>
      </c>
      <c r="E615" s="21" t="n">
        <f aca="false">$D615*(itc_27/itc_26)^el_o*1*1*E606*E607</f>
        <v>72.4686721045733</v>
      </c>
      <c r="F615" s="21" t="n">
        <f aca="false">$D615*(itc_28/itc_26)^el_o*um28_A*1*F606*F607</f>
        <v>77.5118128697435</v>
      </c>
      <c r="G615" s="21" t="n">
        <f aca="false">$D615*(itc_29/itc_26)^el_o*um29_A*1*G606*G607</f>
        <v>78.3752247962621</v>
      </c>
      <c r="K615" s="7" t="s">
        <v>608</v>
      </c>
    </row>
    <row r="616" customFormat="false" ht="17.15" hidden="false" customHeight="false" outlineLevel="0" collapsed="false">
      <c r="A616" s="3" t="s">
        <v>609</v>
      </c>
      <c r="B616" s="0" t="s">
        <v>302</v>
      </c>
      <c r="D616" s="21" t="n">
        <f aca="false">a26_abf-D614</f>
        <v>24.94557625</v>
      </c>
      <c r="E616" s="21" t="n">
        <f aca="false">D616*(1+g_nai)</f>
        <v>25.6939435375</v>
      </c>
      <c r="F616" s="21" t="n">
        <f aca="false">E616*(1+g_nai)</f>
        <v>26.464761843625</v>
      </c>
      <c r="G616" s="21" t="n">
        <f aca="false">F616*(1+g_nai)</f>
        <v>27.2587046989338</v>
      </c>
    </row>
    <row r="617" customFormat="false" ht="17.15" hidden="false" customHeight="false" outlineLevel="0" collapsed="false">
      <c r="A617" s="0" t="s">
        <v>610</v>
      </c>
      <c r="B617" s="0" t="s">
        <v>302</v>
      </c>
      <c r="D617" s="21" t="n">
        <f aca="false">D612+D615+D616</f>
        <v>99.782305</v>
      </c>
      <c r="E617" s="21" t="n">
        <f aca="false">E612+E615+E616</f>
        <v>150.971213417591</v>
      </c>
      <c r="F617" s="21" t="n">
        <f aca="false">F612+F615+F616</f>
        <v>173.049518338696</v>
      </c>
      <c r="G617" s="21" t="n">
        <f aca="false">G612+G615+G616</f>
        <v>196.259571239714</v>
      </c>
    </row>
    <row r="618" customFormat="false" ht="17.15" hidden="false" customHeight="false" outlineLevel="0" collapsed="false">
      <c r="A618" s="0" t="s">
        <v>611</v>
      </c>
      <c r="B618" s="0" t="s">
        <v>302</v>
      </c>
      <c r="D618" s="21" t="n">
        <f aca="false">a26_abf</f>
        <v>99.782305</v>
      </c>
      <c r="E618" s="21" t="n">
        <f aca="false">$D617*cap_27*(1+g_mix)^1*E606*E607</f>
        <v>148.513488204375</v>
      </c>
      <c r="F618" s="21" t="n">
        <f aca="false">$D617*cap_28*(1+g_mix)^2*F606*F607</f>
        <v>186.549442683384</v>
      </c>
      <c r="G618" s="21" t="n">
        <f aca="false">$D617*cap_29*(1+g_mix)^3*G606*G607</f>
        <v>218.314827660431</v>
      </c>
      <c r="K618" s="7" t="s">
        <v>612</v>
      </c>
    </row>
    <row r="619" customFormat="false" ht="17.15" hidden="false" customHeight="false" outlineLevel="0" collapsed="false">
      <c r="A619" s="0" t="s">
        <v>613</v>
      </c>
      <c r="B619" s="0" t="s">
        <v>302</v>
      </c>
      <c r="D619" s="21" t="n">
        <f aca="false">a26_abf</f>
        <v>99.782305</v>
      </c>
      <c r="E619" s="21" t="n">
        <f aca="false">MIN(E617,E618)</f>
        <v>148.513488204375</v>
      </c>
      <c r="F619" s="21" t="n">
        <f aca="false">MIN(F617,F618)</f>
        <v>173.049518338696</v>
      </c>
      <c r="G619" s="21" t="n">
        <f aca="false">MIN(G617,G618)</f>
        <v>196.259571239714</v>
      </c>
    </row>
    <row r="620" customFormat="false" ht="17.15" hidden="false" customHeight="false" outlineLevel="0" collapsed="false">
      <c r="A620" s="3" t="s">
        <v>614</v>
      </c>
      <c r="B620" s="0" t="s">
        <v>44</v>
      </c>
      <c r="D620" s="20" t="n">
        <f aca="false">D619/D617</f>
        <v>1</v>
      </c>
      <c r="E620" s="20" t="n">
        <f aca="false">E619/E617</f>
        <v>0.983720570580444</v>
      </c>
      <c r="F620" s="20" t="n">
        <f aca="false">F619/F617</f>
        <v>1</v>
      </c>
      <c r="G620" s="20" t="n">
        <f aca="false">G619/G617</f>
        <v>1</v>
      </c>
    </row>
    <row r="621" customFormat="false" ht="17.15" hidden="false" customHeight="false" outlineLevel="0" collapsed="false">
      <c r="A621" s="0" t="s">
        <v>615</v>
      </c>
      <c r="B621" s="0" t="s">
        <v>302</v>
      </c>
      <c r="D621" s="21" t="n">
        <f aca="false">(D612+D615)*D620</f>
        <v>74.83672875</v>
      </c>
      <c r="E621" s="21" t="n">
        <f aca="false">(E612+E615)*E620</f>
        <v>123.237827407204</v>
      </c>
      <c r="F621" s="21" t="n">
        <f aca="false">(F612+F615)*F620</f>
        <v>146.584756495071</v>
      </c>
      <c r="G621" s="21" t="n">
        <f aca="false">(G612+G615)*G620</f>
        <v>169.00086654078</v>
      </c>
    </row>
    <row r="622" customFormat="false" ht="17.15" hidden="false" customHeight="false" outlineLevel="0" collapsed="false">
      <c r="A622" s="3" t="s">
        <v>616</v>
      </c>
      <c r="B622" s="0" t="s">
        <v>44</v>
      </c>
      <c r="D622" s="20" t="n">
        <f aca="false">D612/(D612+D615)</f>
        <v>0.348208691228771</v>
      </c>
      <c r="E622" s="20" t="n">
        <f aca="false">E612/(E612+E615)</f>
        <v>0.421533753298293</v>
      </c>
      <c r="F622" s="20" t="n">
        <f aca="false">F612/(F612+F615)</f>
        <v>0.471215051802813</v>
      </c>
      <c r="G622" s="20" t="n">
        <f aca="false">G612/(G612+G615)</f>
        <v>0.536243651287136</v>
      </c>
    </row>
    <row r="623" customFormat="false" ht="17.15" hidden="false" customHeight="false" outlineLevel="0" collapsed="false">
      <c r="A623" s="5" t="s">
        <v>617</v>
      </c>
    </row>
    <row r="624" customFormat="false" ht="17.15" hidden="false" customHeight="false" outlineLevel="0" collapsed="false">
      <c r="A624" s="0" t="s">
        <v>519</v>
      </c>
      <c r="B624" s="0" t="s">
        <v>302</v>
      </c>
      <c r="D624" s="21" t="n">
        <f aca="false">a26_bt</f>
        <v>16.944165</v>
      </c>
      <c r="E624" s="21" t="n">
        <f aca="false">D624*(1+g_bt)</f>
        <v>17.79137325</v>
      </c>
      <c r="F624" s="21" t="n">
        <f aca="false">E624*(1+g_bt)</f>
        <v>18.6809419125</v>
      </c>
      <c r="G624" s="21" t="n">
        <f aca="false">F624*(1+g_bt)</f>
        <v>19.614989008125</v>
      </c>
    </row>
    <row r="625" customFormat="false" ht="17.15" hidden="false" customHeight="false" outlineLevel="0" collapsed="false">
      <c r="A625" s="0" t="s">
        <v>618</v>
      </c>
      <c r="B625" s="0" t="s">
        <v>302</v>
      </c>
      <c r="D625" s="21" t="n">
        <f aca="false">a26_pcb*ai_pcb</f>
        <v>37.93610275</v>
      </c>
      <c r="E625" s="21" t="n">
        <f aca="false">D625*(1+g_pai_27)</f>
        <v>45.5233233</v>
      </c>
      <c r="F625" s="21" t="n">
        <f aca="false">D625*(1+g_pai_27)*(1+g_pai_28)*um28_A</f>
        <v>52.351821795</v>
      </c>
      <c r="G625" s="21" t="n">
        <f aca="false">D625*(1+g_pai_27)*(1+g_pai_28)*(1+g_pai_29)*um29_A</f>
        <v>57.5870039745</v>
      </c>
      <c r="K625" s="3" t="s">
        <v>619</v>
      </c>
    </row>
    <row r="626" customFormat="false" ht="17.15" hidden="false" customHeight="false" outlineLevel="0" collapsed="false">
      <c r="A626" s="3" t="s">
        <v>620</v>
      </c>
      <c r="B626" s="0" t="s">
        <v>302</v>
      </c>
      <c r="D626" s="21" t="n">
        <f aca="false">a26_pcb*(1-ai_pcb)</f>
        <v>20.42713225</v>
      </c>
      <c r="E626" s="21" t="n">
        <f aca="false">D626*(1+g_pcbn)</f>
        <v>20.835674895</v>
      </c>
      <c r="F626" s="21" t="n">
        <f aca="false">E626*(1+g_pcbn)</f>
        <v>21.2523883929</v>
      </c>
      <c r="G626" s="21" t="n">
        <f aca="false">F626*(1+g_pcbn)</f>
        <v>21.677436160758</v>
      </c>
    </row>
    <row r="627" customFormat="false" ht="15" hidden="false" customHeight="false" outlineLevel="0" collapsed="false">
      <c r="A627" s="3" t="s">
        <v>521</v>
      </c>
      <c r="B627" s="0" t="s">
        <v>302</v>
      </c>
      <c r="D627" s="21" t="n">
        <f aca="false">a26_fpc</f>
        <v>13.178795</v>
      </c>
      <c r="E627" s="21" t="n">
        <f aca="false">D627*(1+g_fpc)</f>
        <v>13.178795</v>
      </c>
      <c r="F627" s="21" t="n">
        <f aca="false">E627*(1+g_fpc)</f>
        <v>13.178795</v>
      </c>
      <c r="G627" s="21" t="n">
        <f aca="false">F627*(1+g_fpc)</f>
        <v>13.178795</v>
      </c>
    </row>
    <row r="628" customFormat="false" ht="17.15" hidden="false" customHeight="false" outlineLevel="0" collapsed="false">
      <c r="A628" s="3" t="s">
        <v>484</v>
      </c>
      <c r="B628" s="0" t="s">
        <v>302</v>
      </c>
      <c r="C628" s="23" t="n">
        <f aca="false">a25_rev</f>
        <v>131.241</v>
      </c>
      <c r="D628" s="23" t="n">
        <f aca="false">D619+D624+D625+D626+D627</f>
        <v>188.2685</v>
      </c>
      <c r="E628" s="23" t="n">
        <f aca="false">E619+E624+E625+E626+E627</f>
        <v>245.842654649375</v>
      </c>
      <c r="F628" s="23" t="n">
        <f aca="false">F619+F624+F625+F626+F627</f>
        <v>278.513465439096</v>
      </c>
      <c r="G628" s="23" t="n">
        <f aca="false">G619+G624+G625+G626+G627</f>
        <v>308.317795383097</v>
      </c>
      <c r="H628" s="25" t="n">
        <f aca="false">G628*(1+H629)</f>
        <v>336.479988575722</v>
      </c>
      <c r="I628" s="25" t="n">
        <f aca="false">H628*(1+I629)</f>
        <v>361.941672550702</v>
      </c>
      <c r="J628" s="25" t="n">
        <f aca="false">I628*(1+J629)</f>
        <v>383.658172903744</v>
      </c>
      <c r="K628" s="7" t="s">
        <v>621</v>
      </c>
    </row>
    <row r="629" customFormat="false" ht="15" hidden="false" customHeight="false" outlineLevel="0" collapsed="false">
      <c r="A629" s="3" t="s">
        <v>622</v>
      </c>
      <c r="B629" s="0" t="s">
        <v>44</v>
      </c>
      <c r="D629" s="20" t="n">
        <f aca="false">D628/C628-1</f>
        <v>0.434525034097576</v>
      </c>
      <c r="E629" s="20" t="n">
        <f aca="false">E628/D628-1</f>
        <v>0.30580875</v>
      </c>
      <c r="F629" s="20" t="n">
        <f aca="false">F628/E628-1</f>
        <v>0.132893174442478</v>
      </c>
      <c r="G629" s="20" t="n">
        <f aca="false">G628/F628-1</f>
        <v>0.107012168682803</v>
      </c>
      <c r="H629" s="26" t="n">
        <f aca="false">$G629+(fade_gA-$G629)*1/3</f>
        <v>0.091341445788535</v>
      </c>
      <c r="I629" s="26" t="n">
        <f aca="false">$G629+(fade_gA-$G629)*2/3</f>
        <v>0.0756707228942675</v>
      </c>
      <c r="J629" s="26" t="n">
        <f aca="false">$G629+(fade_gA-$G629)*3/3</f>
        <v>0.06</v>
      </c>
    </row>
    <row r="630" customFormat="false" ht="17.15" hidden="false" customHeight="false" outlineLevel="0" collapsed="false">
      <c r="A630" s="0" t="s">
        <v>623</v>
      </c>
      <c r="B630" s="0" t="s">
        <v>44</v>
      </c>
      <c r="D630" s="20" t="n">
        <f aca="false">D619/D628</f>
        <v>0.53</v>
      </c>
      <c r="E630" s="20" t="n">
        <f aca="false">E619/E628</f>
        <v>0.604099758100105</v>
      </c>
      <c r="F630" s="20" t="n">
        <f aca="false">F619/F628</f>
        <v>0.62133268158461</v>
      </c>
      <c r="G630" s="20" t="n">
        <f aca="false">G619/G628</f>
        <v>0.636549606213464</v>
      </c>
    </row>
    <row r="631" customFormat="false" ht="17.15" hidden="false" customHeight="false" outlineLevel="0" collapsed="false">
      <c r="A631" s="0" t="s">
        <v>624</v>
      </c>
      <c r="B631" s="0" t="s">
        <v>44</v>
      </c>
      <c r="D631" s="20" t="n">
        <f aca="false">(D621+D625)/D628</f>
        <v>0.599</v>
      </c>
      <c r="E631" s="20" t="n">
        <f aca="false">(E621+E625)/E628</f>
        <v>0.68646000812143</v>
      </c>
      <c r="F631" s="20" t="n">
        <f aca="false">(F621+F625)/F628</f>
        <v>0.714279928894761</v>
      </c>
      <c r="G631" s="20" t="n">
        <f aca="false">(G621+G625)/G628</f>
        <v>0.734916614961312</v>
      </c>
      <c r="K631" s="3" t="s">
        <v>625</v>
      </c>
    </row>
    <row r="632" customFormat="false" ht="17.15" hidden="false" customHeight="false" outlineLevel="0" collapsed="false">
      <c r="A632" s="5" t="s">
        <v>626</v>
      </c>
    </row>
    <row r="633" customFormat="false" ht="15" hidden="false" customHeight="false" outlineLevel="0" collapsed="false">
      <c r="A633" s="3" t="s">
        <v>627</v>
      </c>
      <c r="B633" s="0" t="s">
        <v>302</v>
      </c>
      <c r="C633" s="23" t="n">
        <f aca="false">a25_cx</f>
        <v>25.617</v>
      </c>
      <c r="D633" s="23" t="n">
        <f aca="false">capex26</f>
        <v>53.7</v>
      </c>
      <c r="E633" s="23" t="n">
        <f aca="false">cx27_A</f>
        <v>55</v>
      </c>
      <c r="F633" s="23" t="n">
        <f aca="false">cx28_A</f>
        <v>50</v>
      </c>
      <c r="G633" s="23" t="n">
        <f aca="false">cx29_A</f>
        <v>45</v>
      </c>
      <c r="H633" s="25" t="n">
        <f aca="false">H628*H650</f>
        <v>46.0773449344368</v>
      </c>
      <c r="I633" s="25" t="n">
        <f aca="false">I628*I650</f>
        <v>46.301519983136</v>
      </c>
      <c r="J633" s="25" t="n">
        <f aca="false">J628*J650</f>
        <v>45.6213283734937</v>
      </c>
    </row>
    <row r="634" customFormat="false" ht="17.15" hidden="false" customHeight="false" outlineLevel="0" collapsed="false">
      <c r="A634" s="3" t="s">
        <v>628</v>
      </c>
      <c r="B634" s="0" t="s">
        <v>302</v>
      </c>
      <c r="C634" s="23" t="n">
        <f aca="false">a25_da</f>
        <v>18.8</v>
      </c>
      <c r="D634" s="23" t="n">
        <f aca="false">da26</f>
        <v>20.8</v>
      </c>
      <c r="E634" s="23" t="n">
        <f aca="false">D634*(1-1/life)+D633/life</f>
        <v>24.9125</v>
      </c>
      <c r="F634" s="23" t="n">
        <f aca="false">E634*(1-1/life)+E633/life</f>
        <v>28.6734375</v>
      </c>
      <c r="G634" s="23" t="n">
        <f aca="false">F634*(1-1/life)+F633/life</f>
        <v>31.3392578125</v>
      </c>
      <c r="H634" s="25" t="n">
        <f aca="false">H628*H635</f>
        <v>34.2018309310334</v>
      </c>
      <c r="I634" s="25" t="n">
        <f aca="false">I628*I635</f>
        <v>36.7899082018922</v>
      </c>
      <c r="J634" s="25" t="n">
        <f aca="false">J628*J635</f>
        <v>38.9973026940057</v>
      </c>
      <c r="K634" s="3" t="s">
        <v>629</v>
      </c>
    </row>
    <row r="635" customFormat="false" ht="17.15" hidden="false" customHeight="false" outlineLevel="0" collapsed="false">
      <c r="A635" s="3" t="s">
        <v>630</v>
      </c>
      <c r="B635" s="0" t="s">
        <v>44</v>
      </c>
      <c r="C635" s="20" t="n">
        <f aca="false">C634/C628</f>
        <v>0.143247917952469</v>
      </c>
      <c r="D635" s="20" t="n">
        <f aca="false">D634/D628</f>
        <v>0.110480510547436</v>
      </c>
      <c r="E635" s="20" t="n">
        <f aca="false">E634/E628</f>
        <v>0.101335140704247</v>
      </c>
      <c r="F635" s="20" t="n">
        <f aca="false">F634/F628</f>
        <v>0.102951709910307</v>
      </c>
      <c r="G635" s="20" t="n">
        <f aca="false">G634/G628</f>
        <v>0.101645958429223</v>
      </c>
      <c r="H635" s="26" t="n">
        <f aca="false">$G635</f>
        <v>0.101645958429223</v>
      </c>
      <c r="I635" s="26" t="n">
        <f aca="false">$G635</f>
        <v>0.101645958429223</v>
      </c>
      <c r="J635" s="26" t="n">
        <f aca="false">$G635</f>
        <v>0.101645958429223</v>
      </c>
    </row>
    <row r="636" customFormat="false" ht="17.15" hidden="false" customHeight="false" outlineLevel="0" collapsed="false">
      <c r="A636" s="3" t="s">
        <v>631</v>
      </c>
      <c r="B636" s="0" t="s">
        <v>302</v>
      </c>
      <c r="E636" s="21" t="n">
        <f aca="false">E621*(1-1/(E606*E607))</f>
        <v>5.86846797177161</v>
      </c>
      <c r="F636" s="21" t="n">
        <f aca="false">F621*(1-1/(F606*F607))</f>
        <v>-0.367380342092935</v>
      </c>
      <c r="G636" s="21" t="n">
        <f aca="false">G621*(1-1/(G606*G607))</f>
        <v>-9.83602926956918</v>
      </c>
      <c r="K636" s="7" t="s">
        <v>632</v>
      </c>
    </row>
    <row r="637" customFormat="false" ht="17.15" hidden="false" customHeight="false" outlineLevel="0" collapsed="false">
      <c r="A637" s="3" t="s">
        <v>633</v>
      </c>
      <c r="B637" s="0" t="s">
        <v>302</v>
      </c>
      <c r="C637" s="21" t="n">
        <f aca="false">a25_gp</f>
        <v>18.292</v>
      </c>
      <c r="D637" s="21" t="n">
        <f aca="false">a26_gp</f>
        <v>47.3329657</v>
      </c>
      <c r="E637" s="21" t="n">
        <f aca="false">$D637+ft_abf*(E619-E636-$D619)+ft_oth_lo*((E628-E619)-($D628-$D619))+E636-(E634-$D634)</f>
        <v>71.8467370048233</v>
      </c>
      <c r="F637" s="21" t="n">
        <f aca="false">$D637+ft_abf*(F619-F636-$D619)+ft_oth_lo*((F628-F619)-($D628-$D619))+F636-(F634-$D634)</f>
        <v>78.4561075133616</v>
      </c>
      <c r="G637" s="21" t="n">
        <f aca="false">$D637+ft_abf*(G619-G636-$D619)+ft_oth_lo*((G628-G619)-($D628-$D619))+G636-(G634-$D634)</f>
        <v>83.6501307440796</v>
      </c>
      <c r="K637" s="3" t="s">
        <v>634</v>
      </c>
    </row>
    <row r="638" customFormat="false" ht="15" hidden="false" customHeight="false" outlineLevel="0" collapsed="false">
      <c r="A638" s="3" t="s">
        <v>491</v>
      </c>
      <c r="B638" s="0" t="s">
        <v>44</v>
      </c>
      <c r="C638" s="16" t="n">
        <f aca="false">C637/C628</f>
        <v>0.139377176339711</v>
      </c>
      <c r="D638" s="16" t="n">
        <f aca="false">D637/D628</f>
        <v>0.251412029627899</v>
      </c>
      <c r="E638" s="16" t="n">
        <f aca="false">E637/E628</f>
        <v>0.292246832053178</v>
      </c>
      <c r="F638" s="16" t="n">
        <f aca="false">F637/F628</f>
        <v>0.281695922276756</v>
      </c>
      <c r="G638" s="16" t="n">
        <f aca="false">G637/G628</f>
        <v>0.271311393622743</v>
      </c>
    </row>
    <row r="639" customFormat="false" ht="15" hidden="false" customHeight="false" outlineLevel="0" collapsed="false">
      <c r="A639" s="3" t="s">
        <v>493</v>
      </c>
      <c r="B639" s="0" t="s">
        <v>302</v>
      </c>
      <c r="C639" s="21" t="n">
        <f aca="false">a25_opx</f>
        <v>11.618</v>
      </c>
      <c r="D639" s="21" t="n">
        <f aca="false">a26_opx</f>
        <v>16.6539532</v>
      </c>
      <c r="E639" s="21" t="n">
        <f aca="false">D639*(1+phi*E629)</f>
        <v>19.7097079663903</v>
      </c>
      <c r="F639" s="21" t="n">
        <f aca="false">E639*(1+phi*F629)</f>
        <v>21.281279361783</v>
      </c>
      <c r="G639" s="21" t="n">
        <f aca="false">F639*(1+phi*G629)</f>
        <v>22.6476928758924</v>
      </c>
    </row>
    <row r="640" customFormat="false" ht="15" hidden="false" customHeight="false" outlineLevel="0" collapsed="false">
      <c r="A640" s="3" t="s">
        <v>496</v>
      </c>
      <c r="B640" s="0" t="s">
        <v>302</v>
      </c>
      <c r="C640" s="21" t="n">
        <f aca="false">C637-C639</f>
        <v>6.674</v>
      </c>
      <c r="D640" s="21" t="n">
        <f aca="false">D637-D639</f>
        <v>30.6790125</v>
      </c>
      <c r="E640" s="21" t="n">
        <f aca="false">E637-E639</f>
        <v>52.137029038433</v>
      </c>
      <c r="F640" s="21" t="n">
        <f aca="false">F637-F639</f>
        <v>57.1748281515786</v>
      </c>
      <c r="G640" s="21" t="n">
        <f aca="false">G637-G639</f>
        <v>61.0024378681873</v>
      </c>
    </row>
    <row r="641" customFormat="false" ht="15" hidden="false" customHeight="false" outlineLevel="0" collapsed="false">
      <c r="A641" s="3" t="s">
        <v>575</v>
      </c>
      <c r="B641" s="0" t="s">
        <v>44</v>
      </c>
      <c r="C641" s="16" t="n">
        <f aca="false">C640/C628</f>
        <v>0.0508530108731265</v>
      </c>
      <c r="D641" s="16" t="n">
        <f aca="false">D640/D628</f>
        <v>0.162953507888999</v>
      </c>
      <c r="E641" s="16" t="n">
        <f aca="false">E640/E628</f>
        <v>0.212074788700894</v>
      </c>
      <c r="F641" s="16" t="n">
        <f aca="false">F640/F628</f>
        <v>0.205285687216015</v>
      </c>
      <c r="G641" s="16" t="n">
        <f aca="false">G640/G628</f>
        <v>0.197855715050081</v>
      </c>
    </row>
    <row r="642" customFormat="false" ht="17.15" hidden="false" customHeight="false" outlineLevel="0" collapsed="false">
      <c r="A642" s="3" t="s">
        <v>635</v>
      </c>
      <c r="B642" s="0" t="s">
        <v>302</v>
      </c>
      <c r="C642" s="21" t="n">
        <f aca="false">a25_nonop</f>
        <v>-0.00100000000000033</v>
      </c>
      <c r="D642" s="21" t="n">
        <f aca="false">a26_nonop</f>
        <v>14.466</v>
      </c>
      <c r="E642" s="21" t="n">
        <f aca="false">nonop27</f>
        <v>2</v>
      </c>
      <c r="F642" s="21" t="n">
        <f aca="false">nonop28</f>
        <v>2</v>
      </c>
      <c r="G642" s="21" t="n">
        <f aca="false">nonop29</f>
        <v>2</v>
      </c>
      <c r="K642" s="7" t="s">
        <v>636</v>
      </c>
    </row>
    <row r="643" customFormat="false" ht="15" hidden="false" customHeight="false" outlineLevel="0" collapsed="false">
      <c r="A643" s="3" t="s">
        <v>502</v>
      </c>
      <c r="B643" s="0" t="s">
        <v>302</v>
      </c>
      <c r="C643" s="21" t="n">
        <f aca="false">C640+C642</f>
        <v>6.673</v>
      </c>
      <c r="D643" s="21" t="n">
        <f aca="false">D640+D642</f>
        <v>45.1450125</v>
      </c>
      <c r="E643" s="21" t="n">
        <f aca="false">E640+E642</f>
        <v>54.137029038433</v>
      </c>
      <c r="F643" s="21" t="n">
        <f aca="false">F640+F642</f>
        <v>59.1748281515786</v>
      </c>
      <c r="G643" s="21" t="n">
        <f aca="false">G640+G642</f>
        <v>63.0024378681873</v>
      </c>
    </row>
    <row r="644" customFormat="false" ht="15" hidden="false" customHeight="false" outlineLevel="0" collapsed="false">
      <c r="A644" s="3" t="s">
        <v>506</v>
      </c>
      <c r="B644" s="0" t="s">
        <v>302</v>
      </c>
      <c r="E644" s="21" t="n">
        <f aca="false">E643*tax</f>
        <v>9.74466522691794</v>
      </c>
      <c r="F644" s="21" t="n">
        <f aca="false">F643*tax</f>
        <v>10.6514690672842</v>
      </c>
      <c r="G644" s="21" t="n">
        <f aca="false">G643*tax</f>
        <v>11.3404388162737</v>
      </c>
    </row>
    <row r="645" customFormat="false" ht="15" hidden="false" customHeight="false" outlineLevel="0" collapsed="false">
      <c r="A645" s="3" t="s">
        <v>504</v>
      </c>
      <c r="B645" s="0" t="s">
        <v>302</v>
      </c>
      <c r="C645" s="21" t="n">
        <f aca="false">a25_ni</f>
        <v>6.673</v>
      </c>
      <c r="D645" s="21" t="n">
        <f aca="false">a26_ni</f>
        <v>37.23923025</v>
      </c>
      <c r="E645" s="21" t="n">
        <f aca="false">E643-E644</f>
        <v>44.3923638115151</v>
      </c>
      <c r="F645" s="21" t="n">
        <f aca="false">F643-F644</f>
        <v>48.5233590842945</v>
      </c>
      <c r="G645" s="21" t="n">
        <f aca="false">G643-G644</f>
        <v>51.6619990519136</v>
      </c>
      <c r="H645" s="30" t="n">
        <f aca="false">H628*H649</f>
        <v>57.0840343556319</v>
      </c>
      <c r="I645" s="30" t="n">
        <f aca="false">I628*I649</f>
        <v>62.1599862616134</v>
      </c>
      <c r="J645" s="30" t="n">
        <f aca="false">J628*J649</f>
        <v>66.691328903514</v>
      </c>
    </row>
    <row r="646" customFormat="false" ht="15" hidden="false" customHeight="false" outlineLevel="0" collapsed="false">
      <c r="A646" s="3" t="s">
        <v>637</v>
      </c>
      <c r="B646" s="3" t="s">
        <v>380</v>
      </c>
      <c r="C646" s="29" t="n">
        <f aca="false">a25_sh</f>
        <v>1.52351598173516</v>
      </c>
      <c r="D646" s="29" t="n">
        <f aca="false">a26_sh</f>
        <v>1.59236316568047</v>
      </c>
      <c r="E646" s="29" t="n">
        <f aca="false">a26_shend*(1+sh_g)</f>
        <v>1.64</v>
      </c>
      <c r="F646" s="29" t="n">
        <f aca="false">E646*(1+sh_g)</f>
        <v>1.64</v>
      </c>
      <c r="G646" s="29" t="n">
        <f aca="false">F646*(1+sh_g)</f>
        <v>1.64</v>
      </c>
      <c r="H646" s="31" t="n">
        <f aca="false">G646*(1+sh_g)</f>
        <v>1.64</v>
      </c>
      <c r="I646" s="31" t="n">
        <f aca="false">H646*(1+sh_g)</f>
        <v>1.64</v>
      </c>
      <c r="J646" s="31" t="n">
        <f aca="false">I646*(1+sh_g)</f>
        <v>1.64</v>
      </c>
    </row>
    <row r="647" customFormat="false" ht="17.15" hidden="false" customHeight="false" outlineLevel="0" collapsed="false">
      <c r="A647" s="0" t="s">
        <v>509</v>
      </c>
      <c r="B647" s="0" t="s">
        <v>386</v>
      </c>
      <c r="C647" s="18" t="n">
        <f aca="false">C645/C646</f>
        <v>4.38</v>
      </c>
      <c r="D647" s="18" t="n">
        <f aca="false">D645/D646</f>
        <v>23.3861414610695</v>
      </c>
      <c r="E647" s="18" t="n">
        <f aca="false">E645/E646</f>
        <v>27.0685145192165</v>
      </c>
      <c r="F647" s="18" t="n">
        <f aca="false">F645/F646</f>
        <v>29.5874140757893</v>
      </c>
      <c r="G647" s="18" t="n">
        <f aca="false">G645/G646</f>
        <v>31.5012189340936</v>
      </c>
      <c r="H647" s="28" t="n">
        <f aca="false">H645/H646</f>
        <v>34.8073380217267</v>
      </c>
      <c r="I647" s="28" t="n">
        <f aca="false">I645/I646</f>
        <v>37.9024306473252</v>
      </c>
      <c r="J647" s="28" t="n">
        <f aca="false">J645/J646</f>
        <v>40.6654444533622</v>
      </c>
    </row>
    <row r="648" customFormat="false" ht="17.15" hidden="false" customHeight="false" outlineLevel="0" collapsed="false">
      <c r="A648" s="0" t="s">
        <v>638</v>
      </c>
      <c r="B648" s="0" t="s">
        <v>44</v>
      </c>
      <c r="D648" s="20" t="n">
        <f aca="false">D647/C647-1</f>
        <v>4.33930170344053</v>
      </c>
      <c r="E648" s="20" t="n">
        <f aca="false">E647/D647-1</f>
        <v>0.157459624721632</v>
      </c>
      <c r="F648" s="20" t="n">
        <f aca="false">F647/E647-1</f>
        <v>0.0930564384973762</v>
      </c>
      <c r="G648" s="20" t="n">
        <f aca="false">G647/F647-1</f>
        <v>0.0646830727890595</v>
      </c>
      <c r="H648" s="26" t="n">
        <f aca="false">H647/G647-1</f>
        <v>0.104952100252061</v>
      </c>
      <c r="I648" s="26" t="n">
        <f aca="false">I647/H647-1</f>
        <v>0.0889206932074649</v>
      </c>
      <c r="J648" s="26" t="n">
        <f aca="false">J647/I647-1</f>
        <v>0.0728980637612999</v>
      </c>
    </row>
    <row r="649" customFormat="false" ht="17.15" hidden="false" customHeight="false" outlineLevel="0" collapsed="false">
      <c r="A649" s="3" t="s">
        <v>639</v>
      </c>
      <c r="B649" s="0" t="s">
        <v>44</v>
      </c>
      <c r="C649" s="16" t="n">
        <f aca="false">C645/C628</f>
        <v>0.0508453913030227</v>
      </c>
      <c r="D649" s="16" t="n">
        <f aca="false">D645/D628</f>
        <v>0.197798517808343</v>
      </c>
      <c r="E649" s="16" t="n">
        <f aca="false">E645/E628</f>
        <v>0.180572260232173</v>
      </c>
      <c r="F649" s="16" t="n">
        <f aca="false">F645/F628</f>
        <v>0.174222668221064</v>
      </c>
      <c r="G649" s="16" t="n">
        <f aca="false">G645/G628</f>
        <v>0.167560873311648</v>
      </c>
      <c r="H649" s="27" t="n">
        <f aca="false">$G649+(fade_mA-$G649)*1/3</f>
        <v>0.169650607149808</v>
      </c>
      <c r="I649" s="27" t="n">
        <f aca="false">$G649+(fade_mA-$G649)*2/3</f>
        <v>0.171740340987969</v>
      </c>
      <c r="J649" s="27" t="n">
        <f aca="false">$G649+(fade_mA-$G649)*3/3</f>
        <v>0.17383007482613</v>
      </c>
    </row>
    <row r="650" customFormat="false" ht="17.15" hidden="false" customHeight="false" outlineLevel="0" collapsed="false">
      <c r="A650" s="3" t="s">
        <v>640</v>
      </c>
      <c r="B650" s="0" t="s">
        <v>44</v>
      </c>
      <c r="C650" s="20" t="n">
        <f aca="false">C633/C628</f>
        <v>0.195190527350447</v>
      </c>
      <c r="D650" s="20" t="n">
        <f aca="false">D633/D628</f>
        <v>0.285230933480641</v>
      </c>
      <c r="E650" s="20" t="n">
        <f aca="false">E633/E628</f>
        <v>0.223720330706817</v>
      </c>
      <c r="F650" s="20" t="n">
        <f aca="false">F633/F628</f>
        <v>0.179524533656466</v>
      </c>
      <c r="G650" s="20" t="n">
        <f aca="false">G633/G628</f>
        <v>0.145953301022037</v>
      </c>
      <c r="H650" s="26" t="n">
        <f aca="false">$G650+($G635*(1+tp_g)^(life/2)-$G650)*1/3</f>
        <v>0.136939332200635</v>
      </c>
      <c r="I650" s="26" t="n">
        <f aca="false">$G650+($G635*(1+tp_g)^(life/2)-$G650)*2/3</f>
        <v>0.127925363379233</v>
      </c>
      <c r="J650" s="26" t="n">
        <f aca="false">$G650+($G635*(1+tp_g)^(life/2)-$G650)*3/3</f>
        <v>0.118911394557831</v>
      </c>
      <c r="K650" s="7" t="s">
        <v>641</v>
      </c>
    </row>
    <row r="651" customFormat="false" ht="15" hidden="false" customHeight="false" outlineLevel="0" collapsed="false">
      <c r="A651" s="3" t="s">
        <v>642</v>
      </c>
      <c r="B651" s="0" t="s">
        <v>302</v>
      </c>
      <c r="E651" s="21" t="n">
        <f aca="false">E645+E634-E633</f>
        <v>14.3048638115151</v>
      </c>
      <c r="F651" s="21" t="n">
        <f aca="false">F645+F634-F633</f>
        <v>27.1967965842945</v>
      </c>
      <c r="G651" s="21" t="n">
        <f aca="false">G645+G634-G633</f>
        <v>38.0012568644136</v>
      </c>
      <c r="H651" s="30" t="n">
        <f aca="false">H645+H634-H633</f>
        <v>45.2085203522285</v>
      </c>
      <c r="I651" s="30" t="n">
        <f aca="false">I645+I634-I633</f>
        <v>52.6483744803696</v>
      </c>
      <c r="J651" s="30" t="n">
        <f aca="false">J645+J634-J633</f>
        <v>60.0673032240261</v>
      </c>
      <c r="K651" s="3" t="s">
        <v>643</v>
      </c>
    </row>
    <row r="652" customFormat="false" ht="15" hidden="false" customHeight="false" outlineLevel="0" collapsed="false">
      <c r="A652" s="3" t="s">
        <v>644</v>
      </c>
      <c r="B652" s="0" t="s">
        <v>386</v>
      </c>
      <c r="E652" s="18" t="n">
        <f aca="false">E651/E646</f>
        <v>8.72247793385066</v>
      </c>
      <c r="F652" s="18" t="n">
        <f aca="false">F651/F646</f>
        <v>16.5834125513991</v>
      </c>
      <c r="G652" s="18" t="n">
        <f aca="false">G651/G646</f>
        <v>23.1714980880571</v>
      </c>
      <c r="H652" s="28" t="n">
        <f aca="false">H651/H646</f>
        <v>27.5661709464808</v>
      </c>
      <c r="I652" s="28" t="n">
        <f aca="false">I651/I646</f>
        <v>32.102667366079</v>
      </c>
      <c r="J652" s="28" t="n">
        <f aca="false">J651/J646</f>
        <v>36.6264044048939</v>
      </c>
    </row>
    <row r="655" customFormat="false" ht="17.15" hidden="false" customHeight="false" outlineLevel="0" collapsed="false">
      <c r="A655" s="1" t="s">
        <v>955</v>
      </c>
    </row>
    <row r="656" customFormat="false" ht="17.15" hidden="false" customHeight="false" outlineLevel="0" collapsed="false">
      <c r="A656" s="4" t="s">
        <v>21</v>
      </c>
      <c r="B656" s="4" t="s">
        <v>22</v>
      </c>
      <c r="C656" s="13" t="s">
        <v>477</v>
      </c>
      <c r="D656" s="13" t="s">
        <v>562</v>
      </c>
      <c r="E656" s="13" t="s">
        <v>563</v>
      </c>
      <c r="F656" s="13" t="s">
        <v>564</v>
      </c>
      <c r="G656" s="13" t="s">
        <v>565</v>
      </c>
      <c r="H656" s="13" t="s">
        <v>566</v>
      </c>
      <c r="I656" s="13" t="s">
        <v>567</v>
      </c>
      <c r="J656" s="13" t="s">
        <v>568</v>
      </c>
      <c r="K656" s="4" t="s">
        <v>533</v>
      </c>
    </row>
    <row r="657" customFormat="false" ht="17.15" hidden="false" customHeight="false" outlineLevel="0" collapsed="false">
      <c r="A657" s="5" t="s">
        <v>586</v>
      </c>
    </row>
    <row r="658" customFormat="false" ht="17.15" hidden="false" customHeight="false" outlineLevel="0" collapsed="false">
      <c r="A658" s="0" t="s">
        <v>587</v>
      </c>
      <c r="B658" s="3" t="s">
        <v>32</v>
      </c>
      <c r="D658" s="21" t="n">
        <f aca="false">(u_bw_26+u_rb_26+u_ru_26+u_hp_26)*1</f>
        <v>7.6</v>
      </c>
      <c r="E658" s="21" t="n">
        <f aca="false">(u_bw_27+u_rb_27+u_ru_27+u_hp_27)*1*1</f>
        <v>9.7</v>
      </c>
      <c r="F658" s="21" t="n">
        <f aca="false">(u_bw_28+u_rb_28+u_ru_28+u_hp_28)*um28_A*1</f>
        <v>9.5</v>
      </c>
      <c r="G658" s="21" t="n">
        <f aca="false">(u_bw_28*(1+g29_bw)+u_rb_28*(1+g29_rb)+u_ru_28*(1+g29_ru)+u_hp_28*(1+g29_hp))*um29_A*1</f>
        <v>10.6</v>
      </c>
      <c r="K658" s="7" t="s">
        <v>588</v>
      </c>
    </row>
    <row r="659" customFormat="false" ht="17.15" hidden="false" customHeight="false" outlineLevel="0" collapsed="false">
      <c r="A659" s="3" t="s">
        <v>589</v>
      </c>
      <c r="B659" s="3" t="s">
        <v>32</v>
      </c>
      <c r="D659" s="21" t="n">
        <f aca="false">(u_amd_26+u_tpu_26+u_trn_26+u_oth_26)*1</f>
        <v>7.6</v>
      </c>
      <c r="E659" s="21" t="n">
        <f aca="false">(u_amd_27+u_tpu_27+u_trn_27+u_oth_27)*1*1</f>
        <v>14</v>
      </c>
      <c r="F659" s="21" t="n">
        <f aca="false">(u_amd_28+u_tpu_28+u_trn_28+u_oth_28)*um28_A*1</f>
        <v>17</v>
      </c>
      <c r="G659" s="21" t="n">
        <f aca="false">(u_amd_28*(1+g29_amd)+u_tpu_28*(1+g29_tpu)+u_trn_28*(1+g29_trn)+u_oth_28*(1+g29_oth))*um29_A*1</f>
        <v>19.55</v>
      </c>
      <c r="K659" s="7" t="s">
        <v>590</v>
      </c>
    </row>
    <row r="660" customFormat="false" ht="17.15" hidden="false" customHeight="false" outlineLevel="0" collapsed="false">
      <c r="A660" s="3" t="s">
        <v>591</v>
      </c>
      <c r="B660" s="0" t="s">
        <v>144</v>
      </c>
      <c r="D660" s="19" t="n">
        <f aca="false">1</f>
        <v>1</v>
      </c>
      <c r="E660" s="19" t="n">
        <f aca="false">D660*(1+g_asp)</f>
        <v>1.18</v>
      </c>
      <c r="F660" s="19" t="n">
        <f aca="false">E660*(1+g_asp)</f>
        <v>1.3924</v>
      </c>
      <c r="G660" s="19" t="n">
        <f aca="false">F660*(1+g_asp)</f>
        <v>1.643032</v>
      </c>
      <c r="K660" s="7" t="s">
        <v>592</v>
      </c>
    </row>
    <row r="661" customFormat="false" ht="17.15" hidden="false" customHeight="false" outlineLevel="0" collapsed="false">
      <c r="A661" s="0" t="s">
        <v>593</v>
      </c>
      <c r="B661" s="0" t="s">
        <v>144</v>
      </c>
      <c r="D661" s="18" t="n">
        <f aca="false">1</f>
        <v>1</v>
      </c>
      <c r="E661" s="18" t="n">
        <f aca="false">ibpp_27</f>
        <v>1</v>
      </c>
      <c r="F661" s="18" t="n">
        <f aca="false">ibpp_28</f>
        <v>0.95</v>
      </c>
      <c r="G661" s="18" t="n">
        <f aca="false">ibpp_29</f>
        <v>0.9</v>
      </c>
      <c r="K661" s="7" t="s">
        <v>594</v>
      </c>
    </row>
    <row r="662" customFormat="false" ht="17.15" hidden="false" customHeight="false" outlineLevel="0" collapsed="false">
      <c r="A662" s="3" t="s">
        <v>595</v>
      </c>
      <c r="B662" s="0" t="s">
        <v>144</v>
      </c>
      <c r="D662" s="18" t="n">
        <f aca="false">1</f>
        <v>1</v>
      </c>
      <c r="E662" s="18" t="n">
        <f aca="false">1+carry</f>
        <v>1.05</v>
      </c>
      <c r="F662" s="18" t="n">
        <f aca="false">1+carry</f>
        <v>1.05</v>
      </c>
      <c r="G662" s="18" t="n">
        <f aca="false">1+carry</f>
        <v>1.05</v>
      </c>
      <c r="K662" s="7" t="s">
        <v>596</v>
      </c>
    </row>
    <row r="663" customFormat="false" ht="17.15" hidden="false" customHeight="false" outlineLevel="0" collapsed="false">
      <c r="A663" s="3" t="s">
        <v>597</v>
      </c>
      <c r="B663" s="0" t="s">
        <v>598</v>
      </c>
      <c r="D663" s="23" t="n">
        <f aca="false">v26*D660*D661</f>
        <v>215.308596</v>
      </c>
      <c r="E663" s="23" t="n">
        <f aca="false">v26*E660*E661</f>
        <v>254.06414328</v>
      </c>
      <c r="F663" s="23" t="n">
        <f aca="false">v26*F660*F661</f>
        <v>284.80590461688</v>
      </c>
      <c r="G663" s="23" t="n">
        <f aca="false">v26*G660*G661</f>
        <v>318.383021792765</v>
      </c>
      <c r="K663" s="7" t="s">
        <v>599</v>
      </c>
    </row>
    <row r="664" customFormat="false" ht="17.15" hidden="false" customHeight="false" outlineLevel="0" collapsed="false">
      <c r="A664" s="3" t="s">
        <v>600</v>
      </c>
      <c r="B664" s="0" t="s">
        <v>44</v>
      </c>
      <c r="D664" s="20" t="n">
        <f aca="false">sh_nv_26</f>
        <v>0.25</v>
      </c>
      <c r="E664" s="20" t="n">
        <f aca="false">sh_nv_27</f>
        <v>0.27</v>
      </c>
      <c r="F664" s="20" t="n">
        <f aca="false">sh_nv_28</f>
        <v>0.29</v>
      </c>
      <c r="G664" s="20" t="n">
        <f aca="false">sh_nv_29</f>
        <v>0.3</v>
      </c>
    </row>
    <row r="665" customFormat="false" ht="17.15" hidden="false" customHeight="false" outlineLevel="0" collapsed="false">
      <c r="A665" s="3" t="s">
        <v>601</v>
      </c>
      <c r="B665" s="0" t="s">
        <v>44</v>
      </c>
      <c r="D665" s="20" t="n">
        <f aca="false">sh_ot_26</f>
        <v>0.3</v>
      </c>
      <c r="E665" s="20" t="n">
        <f aca="false">sh_ot_27</f>
        <v>0.31</v>
      </c>
      <c r="F665" s="20" t="n">
        <f aca="false">sh_ot_28</f>
        <v>0.32</v>
      </c>
      <c r="G665" s="20" t="n">
        <f aca="false">sh_ot_29</f>
        <v>0.33</v>
      </c>
    </row>
    <row r="666" customFormat="false" ht="17.15" hidden="false" customHeight="false" outlineLevel="0" collapsed="false">
      <c r="A666" s="3" t="s">
        <v>602</v>
      </c>
      <c r="B666" s="0" t="s">
        <v>552</v>
      </c>
      <c r="D666" s="22" t="n">
        <f aca="false">(D658*D663*D664+D659*D663*v_ot*D665)*D662</f>
        <v>801.809211504</v>
      </c>
      <c r="E666" s="22" t="n">
        <f aca="false">(E658*E663*E664+E659*E663*v_ot*E665)*E662</f>
        <v>1624.8799315544</v>
      </c>
      <c r="F666" s="22" t="n">
        <f aca="false">(F658*F663*F664+F659*F663*v_ot*F665)*F662</f>
        <v>2125.32134231777</v>
      </c>
      <c r="G666" s="22" t="n">
        <f aca="false">(G658*G663*G664+G659*G663*v_ot*G665)*G662</f>
        <v>2788.4812844467</v>
      </c>
    </row>
    <row r="667" customFormat="false" ht="15" hidden="false" customHeight="false" outlineLevel="0" collapsed="false">
      <c r="A667" s="3" t="s">
        <v>603</v>
      </c>
      <c r="B667" s="0" t="s">
        <v>302</v>
      </c>
      <c r="D667" s="21" t="n">
        <f aca="false">D666*fx/1000</f>
        <v>26.05879937388</v>
      </c>
      <c r="E667" s="21" t="n">
        <f aca="false">E666*fx/1000</f>
        <v>52.8085977755181</v>
      </c>
      <c r="F667" s="21" t="n">
        <f aca="false">F666*fx/1000</f>
        <v>69.0729436253277</v>
      </c>
      <c r="G667" s="21" t="n">
        <f aca="false">G666*fx/1000</f>
        <v>90.6256417445177</v>
      </c>
    </row>
    <row r="668" customFormat="false" ht="17.15" hidden="false" customHeight="false" outlineLevel="0" collapsed="false">
      <c r="A668" s="5" t="s">
        <v>604</v>
      </c>
    </row>
    <row r="669" customFormat="false" ht="17.15" hidden="false" customHeight="false" outlineLevel="0" collapsed="false">
      <c r="A669" s="0" t="s">
        <v>605</v>
      </c>
      <c r="B669" s="0" t="s">
        <v>302</v>
      </c>
      <c r="D669" s="21" t="n">
        <f aca="false">a26_abf*ai_abf</f>
        <v>74.83672875</v>
      </c>
      <c r="K669" s="3" t="s">
        <v>606</v>
      </c>
    </row>
    <row r="670" customFormat="false" ht="17.15" hidden="false" customHeight="false" outlineLevel="0" collapsed="false">
      <c r="A670" s="3" t="s">
        <v>607</v>
      </c>
      <c r="B670" s="0" t="s">
        <v>302</v>
      </c>
      <c r="D670" s="21" t="n">
        <f aca="false">D669-D667</f>
        <v>48.77792937612</v>
      </c>
      <c r="E670" s="21" t="n">
        <f aca="false">$D670*(itc_27/itc_26)^el_o*1*1*E661*E662</f>
        <v>72.4686721045733</v>
      </c>
      <c r="F670" s="21" t="n">
        <f aca="false">$D670*(itc_28/itc_26)^el_o*um28_A*1*F661*F662</f>
        <v>77.5118128697435</v>
      </c>
      <c r="G670" s="21" t="n">
        <f aca="false">$D670*(itc_29/itc_26)^el_o*um29_A*1*G661*G662</f>
        <v>78.3752247962621</v>
      </c>
      <c r="K670" s="7" t="s">
        <v>608</v>
      </c>
    </row>
    <row r="671" customFormat="false" ht="17.15" hidden="false" customHeight="false" outlineLevel="0" collapsed="false">
      <c r="A671" s="3" t="s">
        <v>609</v>
      </c>
      <c r="B671" s="0" t="s">
        <v>302</v>
      </c>
      <c r="D671" s="21" t="n">
        <f aca="false">a26_abf-D669</f>
        <v>24.94557625</v>
      </c>
      <c r="E671" s="21" t="n">
        <f aca="false">D671*(1+g_nai)</f>
        <v>25.6939435375</v>
      </c>
      <c r="F671" s="21" t="n">
        <f aca="false">E671*(1+g_nai)</f>
        <v>26.464761843625</v>
      </c>
      <c r="G671" s="21" t="n">
        <f aca="false">F671*(1+g_nai)</f>
        <v>27.2587046989338</v>
      </c>
    </row>
    <row r="672" customFormat="false" ht="17.15" hidden="false" customHeight="false" outlineLevel="0" collapsed="false">
      <c r="A672" s="0" t="s">
        <v>610</v>
      </c>
      <c r="B672" s="0" t="s">
        <v>302</v>
      </c>
      <c r="D672" s="21" t="n">
        <f aca="false">D667+D670+D671</f>
        <v>99.782305</v>
      </c>
      <c r="E672" s="21" t="n">
        <f aca="false">E667+E670+E671</f>
        <v>150.971213417591</v>
      </c>
      <c r="F672" s="21" t="n">
        <f aca="false">F667+F670+F671</f>
        <v>173.049518338696</v>
      </c>
      <c r="G672" s="21" t="n">
        <f aca="false">G667+G670+G671</f>
        <v>196.259571239714</v>
      </c>
    </row>
    <row r="673" customFormat="false" ht="17.15" hidden="false" customHeight="false" outlineLevel="0" collapsed="false">
      <c r="A673" s="0" t="s">
        <v>611</v>
      </c>
      <c r="B673" s="0" t="s">
        <v>302</v>
      </c>
      <c r="D673" s="21" t="n">
        <f aca="false">a26_abf</f>
        <v>99.782305</v>
      </c>
      <c r="E673" s="21" t="n">
        <f aca="false">$D672*cap_27*(1+g_mix)^1*E661*E662</f>
        <v>148.513488204375</v>
      </c>
      <c r="F673" s="21" t="n">
        <f aca="false">$D672*cap_28*(1+g_mix)^2*F661*F662</f>
        <v>186.549442683384</v>
      </c>
      <c r="G673" s="21" t="n">
        <f aca="false">$D672*cap_29*(1+g_mix)^3*G661*G662</f>
        <v>218.314827660431</v>
      </c>
      <c r="K673" s="7" t="s">
        <v>612</v>
      </c>
    </row>
    <row r="674" customFormat="false" ht="17.15" hidden="false" customHeight="false" outlineLevel="0" collapsed="false">
      <c r="A674" s="0" t="s">
        <v>613</v>
      </c>
      <c r="B674" s="0" t="s">
        <v>302</v>
      </c>
      <c r="D674" s="21" t="n">
        <f aca="false">a26_abf</f>
        <v>99.782305</v>
      </c>
      <c r="E674" s="21" t="n">
        <f aca="false">MIN(E672,E673)</f>
        <v>148.513488204375</v>
      </c>
      <c r="F674" s="21" t="n">
        <f aca="false">MIN(F672,F673)</f>
        <v>173.049518338696</v>
      </c>
      <c r="G674" s="21" t="n">
        <f aca="false">MIN(G672,G673)</f>
        <v>196.259571239714</v>
      </c>
    </row>
    <row r="675" customFormat="false" ht="17.15" hidden="false" customHeight="false" outlineLevel="0" collapsed="false">
      <c r="A675" s="3" t="s">
        <v>614</v>
      </c>
      <c r="B675" s="0" t="s">
        <v>44</v>
      </c>
      <c r="D675" s="20" t="n">
        <f aca="false">D674/D672</f>
        <v>1</v>
      </c>
      <c r="E675" s="20" t="n">
        <f aca="false">E674/E672</f>
        <v>0.983720570580444</v>
      </c>
      <c r="F675" s="20" t="n">
        <f aca="false">F674/F672</f>
        <v>1</v>
      </c>
      <c r="G675" s="20" t="n">
        <f aca="false">G674/G672</f>
        <v>1</v>
      </c>
    </row>
    <row r="676" customFormat="false" ht="17.15" hidden="false" customHeight="false" outlineLevel="0" collapsed="false">
      <c r="A676" s="0" t="s">
        <v>615</v>
      </c>
      <c r="B676" s="0" t="s">
        <v>302</v>
      </c>
      <c r="D676" s="21" t="n">
        <f aca="false">(D667+D670)*D675</f>
        <v>74.83672875</v>
      </c>
      <c r="E676" s="21" t="n">
        <f aca="false">(E667+E670)*E675</f>
        <v>123.237827407204</v>
      </c>
      <c r="F676" s="21" t="n">
        <f aca="false">(F667+F670)*F675</f>
        <v>146.584756495071</v>
      </c>
      <c r="G676" s="21" t="n">
        <f aca="false">(G667+G670)*G675</f>
        <v>169.00086654078</v>
      </c>
    </row>
    <row r="677" customFormat="false" ht="17.15" hidden="false" customHeight="false" outlineLevel="0" collapsed="false">
      <c r="A677" s="3" t="s">
        <v>616</v>
      </c>
      <c r="B677" s="0" t="s">
        <v>44</v>
      </c>
      <c r="D677" s="20" t="n">
        <f aca="false">D667/(D667+D670)</f>
        <v>0.348208691228771</v>
      </c>
      <c r="E677" s="20" t="n">
        <f aca="false">E667/(E667+E670)</f>
        <v>0.421533753298293</v>
      </c>
      <c r="F677" s="20" t="n">
        <f aca="false">F667/(F667+F670)</f>
        <v>0.471215051802813</v>
      </c>
      <c r="G677" s="20" t="n">
        <f aca="false">G667/(G667+G670)</f>
        <v>0.536243651287136</v>
      </c>
    </row>
    <row r="678" customFormat="false" ht="17.15" hidden="false" customHeight="false" outlineLevel="0" collapsed="false">
      <c r="A678" s="5" t="s">
        <v>617</v>
      </c>
    </row>
    <row r="679" customFormat="false" ht="17.15" hidden="false" customHeight="false" outlineLevel="0" collapsed="false">
      <c r="A679" s="0" t="s">
        <v>519</v>
      </c>
      <c r="B679" s="0" t="s">
        <v>302</v>
      </c>
      <c r="D679" s="21" t="n">
        <f aca="false">a26_bt</f>
        <v>16.944165</v>
      </c>
      <c r="E679" s="21" t="n">
        <f aca="false">D679*(1+g_bt)</f>
        <v>17.79137325</v>
      </c>
      <c r="F679" s="21" t="n">
        <f aca="false">E679*(1+g_bt)</f>
        <v>18.6809419125</v>
      </c>
      <c r="G679" s="21" t="n">
        <f aca="false">F679*(1+g_bt)</f>
        <v>19.614989008125</v>
      </c>
    </row>
    <row r="680" customFormat="false" ht="17.15" hidden="false" customHeight="false" outlineLevel="0" collapsed="false">
      <c r="A680" s="0" t="s">
        <v>618</v>
      </c>
      <c r="B680" s="0" t="s">
        <v>302</v>
      </c>
      <c r="D680" s="21" t="n">
        <f aca="false">a26_pcb*ai_pcb</f>
        <v>37.93610275</v>
      </c>
      <c r="E680" s="21" t="n">
        <f aca="false">D680*(1+g_pai_27)</f>
        <v>45.5233233</v>
      </c>
      <c r="F680" s="21" t="n">
        <f aca="false">D680*(1+g_pai_27)*(1+g_pai_28)*um28_A</f>
        <v>52.351821795</v>
      </c>
      <c r="G680" s="21" t="n">
        <f aca="false">D680*(1+g_pai_27)*(1+g_pai_28)*(1+g_pai_29)*um29_A</f>
        <v>57.5870039745</v>
      </c>
      <c r="K680" s="3" t="s">
        <v>619</v>
      </c>
    </row>
    <row r="681" customFormat="false" ht="17.15" hidden="false" customHeight="false" outlineLevel="0" collapsed="false">
      <c r="A681" s="3" t="s">
        <v>620</v>
      </c>
      <c r="B681" s="0" t="s">
        <v>302</v>
      </c>
      <c r="D681" s="21" t="n">
        <f aca="false">a26_pcb*(1-ai_pcb)</f>
        <v>20.42713225</v>
      </c>
      <c r="E681" s="21" t="n">
        <f aca="false">D681*(1+g_pcbn)</f>
        <v>20.835674895</v>
      </c>
      <c r="F681" s="21" t="n">
        <f aca="false">E681*(1+g_pcbn)</f>
        <v>21.2523883929</v>
      </c>
      <c r="G681" s="21" t="n">
        <f aca="false">F681*(1+g_pcbn)</f>
        <v>21.677436160758</v>
      </c>
    </row>
    <row r="682" customFormat="false" ht="15" hidden="false" customHeight="false" outlineLevel="0" collapsed="false">
      <c r="A682" s="3" t="s">
        <v>521</v>
      </c>
      <c r="B682" s="0" t="s">
        <v>302</v>
      </c>
      <c r="D682" s="21" t="n">
        <f aca="false">a26_fpc</f>
        <v>13.178795</v>
      </c>
      <c r="E682" s="21" t="n">
        <f aca="false">D682*(1+g_fpc)</f>
        <v>13.178795</v>
      </c>
      <c r="F682" s="21" t="n">
        <f aca="false">E682*(1+g_fpc)</f>
        <v>13.178795</v>
      </c>
      <c r="G682" s="21" t="n">
        <f aca="false">F682*(1+g_fpc)</f>
        <v>13.178795</v>
      </c>
    </row>
    <row r="683" customFormat="false" ht="17.15" hidden="false" customHeight="false" outlineLevel="0" collapsed="false">
      <c r="A683" s="3" t="s">
        <v>484</v>
      </c>
      <c r="B683" s="0" t="s">
        <v>302</v>
      </c>
      <c r="C683" s="23" t="n">
        <f aca="false">a25_rev</f>
        <v>131.241</v>
      </c>
      <c r="D683" s="23" t="n">
        <f aca="false">D674+D679+D680+D681+D682</f>
        <v>188.2685</v>
      </c>
      <c r="E683" s="23" t="n">
        <f aca="false">E674+E679+E680+E681+E682</f>
        <v>245.842654649375</v>
      </c>
      <c r="F683" s="23" t="n">
        <f aca="false">F674+F679+F680+F681+F682</f>
        <v>278.513465439096</v>
      </c>
      <c r="G683" s="23" t="n">
        <f aca="false">G674+G679+G680+G681+G682</f>
        <v>308.317795383097</v>
      </c>
      <c r="H683" s="25" t="n">
        <f aca="false">G683*(1+H684)</f>
        <v>336.479988575722</v>
      </c>
      <c r="I683" s="25" t="n">
        <f aca="false">H683*(1+I684)</f>
        <v>361.941672550702</v>
      </c>
      <c r="J683" s="25" t="n">
        <f aca="false">I683*(1+J684)</f>
        <v>383.658172903744</v>
      </c>
      <c r="K683" s="7" t="s">
        <v>621</v>
      </c>
    </row>
    <row r="684" customFormat="false" ht="15" hidden="false" customHeight="false" outlineLevel="0" collapsed="false">
      <c r="A684" s="3" t="s">
        <v>622</v>
      </c>
      <c r="B684" s="0" t="s">
        <v>44</v>
      </c>
      <c r="D684" s="20" t="n">
        <f aca="false">D683/C683-1</f>
        <v>0.434525034097576</v>
      </c>
      <c r="E684" s="20" t="n">
        <f aca="false">E683/D683-1</f>
        <v>0.30580875</v>
      </c>
      <c r="F684" s="20" t="n">
        <f aca="false">F683/E683-1</f>
        <v>0.132893174442478</v>
      </c>
      <c r="G684" s="20" t="n">
        <f aca="false">G683/F683-1</f>
        <v>0.107012168682803</v>
      </c>
      <c r="H684" s="26" t="n">
        <f aca="false">$G684+(fade_gA-$G684)*1/3</f>
        <v>0.091341445788535</v>
      </c>
      <c r="I684" s="26" t="n">
        <f aca="false">$G684+(fade_gA-$G684)*2/3</f>
        <v>0.0756707228942675</v>
      </c>
      <c r="J684" s="26" t="n">
        <f aca="false">$G684+(fade_gA-$G684)*3/3</f>
        <v>0.06</v>
      </c>
    </row>
    <row r="685" customFormat="false" ht="17.15" hidden="false" customHeight="false" outlineLevel="0" collapsed="false">
      <c r="A685" s="0" t="s">
        <v>623</v>
      </c>
      <c r="B685" s="0" t="s">
        <v>44</v>
      </c>
      <c r="D685" s="20" t="n">
        <f aca="false">D674/D683</f>
        <v>0.53</v>
      </c>
      <c r="E685" s="20" t="n">
        <f aca="false">E674/E683</f>
        <v>0.604099758100105</v>
      </c>
      <c r="F685" s="20" t="n">
        <f aca="false">F674/F683</f>
        <v>0.62133268158461</v>
      </c>
      <c r="G685" s="20" t="n">
        <f aca="false">G674/G683</f>
        <v>0.636549606213464</v>
      </c>
    </row>
    <row r="686" customFormat="false" ht="17.15" hidden="false" customHeight="false" outlineLevel="0" collapsed="false">
      <c r="A686" s="0" t="s">
        <v>624</v>
      </c>
      <c r="B686" s="0" t="s">
        <v>44</v>
      </c>
      <c r="D686" s="20" t="n">
        <f aca="false">(D676+D680)/D683</f>
        <v>0.599</v>
      </c>
      <c r="E686" s="20" t="n">
        <f aca="false">(E676+E680)/E683</f>
        <v>0.68646000812143</v>
      </c>
      <c r="F686" s="20" t="n">
        <f aca="false">(F676+F680)/F683</f>
        <v>0.714279928894761</v>
      </c>
      <c r="G686" s="20" t="n">
        <f aca="false">(G676+G680)/G683</f>
        <v>0.734916614961312</v>
      </c>
      <c r="K686" s="3" t="s">
        <v>625</v>
      </c>
    </row>
    <row r="687" customFormat="false" ht="17.15" hidden="false" customHeight="false" outlineLevel="0" collapsed="false">
      <c r="A687" s="5" t="s">
        <v>626</v>
      </c>
    </row>
    <row r="688" customFormat="false" ht="15" hidden="false" customHeight="false" outlineLevel="0" collapsed="false">
      <c r="A688" s="3" t="s">
        <v>627</v>
      </c>
      <c r="B688" s="0" t="s">
        <v>302</v>
      </c>
      <c r="C688" s="23" t="n">
        <f aca="false">a25_cx</f>
        <v>25.617</v>
      </c>
      <c r="D688" s="23" t="n">
        <f aca="false">capex26</f>
        <v>53.7</v>
      </c>
      <c r="E688" s="23" t="n">
        <f aca="false">cx27_A</f>
        <v>55</v>
      </c>
      <c r="F688" s="23" t="n">
        <f aca="false">cx28_A</f>
        <v>50</v>
      </c>
      <c r="G688" s="23" t="n">
        <f aca="false">cx29_A</f>
        <v>45</v>
      </c>
      <c r="H688" s="25" t="n">
        <f aca="false">H683*H705</f>
        <v>46.0773449344368</v>
      </c>
      <c r="I688" s="25" t="n">
        <f aca="false">I683*I705</f>
        <v>46.301519983136</v>
      </c>
      <c r="J688" s="25" t="n">
        <f aca="false">J683*J705</f>
        <v>45.6213283734937</v>
      </c>
    </row>
    <row r="689" customFormat="false" ht="17.15" hidden="false" customHeight="false" outlineLevel="0" collapsed="false">
      <c r="A689" s="3" t="s">
        <v>628</v>
      </c>
      <c r="B689" s="0" t="s">
        <v>302</v>
      </c>
      <c r="C689" s="23" t="n">
        <f aca="false">a25_da</f>
        <v>18.8</v>
      </c>
      <c r="D689" s="23" t="n">
        <f aca="false">da26</f>
        <v>20.8</v>
      </c>
      <c r="E689" s="23" t="n">
        <f aca="false">D689*(1-1/life)+D688/life</f>
        <v>24.9125</v>
      </c>
      <c r="F689" s="23" t="n">
        <f aca="false">E689*(1-1/life)+E688/life</f>
        <v>28.6734375</v>
      </c>
      <c r="G689" s="23" t="n">
        <f aca="false">F689*(1-1/life)+F688/life</f>
        <v>31.3392578125</v>
      </c>
      <c r="H689" s="25" t="n">
        <f aca="false">H683*H690</f>
        <v>34.2018309310334</v>
      </c>
      <c r="I689" s="25" t="n">
        <f aca="false">I683*I690</f>
        <v>36.7899082018922</v>
      </c>
      <c r="J689" s="25" t="n">
        <f aca="false">J683*J690</f>
        <v>38.9973026940057</v>
      </c>
      <c r="K689" s="3" t="s">
        <v>629</v>
      </c>
    </row>
    <row r="690" customFormat="false" ht="17.15" hidden="false" customHeight="false" outlineLevel="0" collapsed="false">
      <c r="A690" s="3" t="s">
        <v>630</v>
      </c>
      <c r="B690" s="0" t="s">
        <v>44</v>
      </c>
      <c r="C690" s="20" t="n">
        <f aca="false">C689/C683</f>
        <v>0.143247917952469</v>
      </c>
      <c r="D690" s="20" t="n">
        <f aca="false">D689/D683</f>
        <v>0.110480510547436</v>
      </c>
      <c r="E690" s="20" t="n">
        <f aca="false">E689/E683</f>
        <v>0.101335140704247</v>
      </c>
      <c r="F690" s="20" t="n">
        <f aca="false">F689/F683</f>
        <v>0.102951709910307</v>
      </c>
      <c r="G690" s="20" t="n">
        <f aca="false">G689/G683</f>
        <v>0.101645958429223</v>
      </c>
      <c r="H690" s="26" t="n">
        <f aca="false">$G690</f>
        <v>0.101645958429223</v>
      </c>
      <c r="I690" s="26" t="n">
        <f aca="false">$G690</f>
        <v>0.101645958429223</v>
      </c>
      <c r="J690" s="26" t="n">
        <f aca="false">$G690</f>
        <v>0.101645958429223</v>
      </c>
    </row>
    <row r="691" customFormat="false" ht="17.15" hidden="false" customHeight="false" outlineLevel="0" collapsed="false">
      <c r="A691" s="3" t="s">
        <v>631</v>
      </c>
      <c r="B691" s="0" t="s">
        <v>302</v>
      </c>
      <c r="E691" s="21" t="n">
        <f aca="false">E676*(1-1/(E661*E662))</f>
        <v>5.86846797177161</v>
      </c>
      <c r="F691" s="21" t="n">
        <f aca="false">F676*(1-1/(F661*F662))</f>
        <v>-0.367380342092935</v>
      </c>
      <c r="G691" s="21" t="n">
        <f aca="false">G676*(1-1/(G661*G662))</f>
        <v>-9.83602926956918</v>
      </c>
      <c r="K691" s="7" t="s">
        <v>632</v>
      </c>
    </row>
    <row r="692" customFormat="false" ht="17.15" hidden="false" customHeight="false" outlineLevel="0" collapsed="false">
      <c r="A692" s="3" t="s">
        <v>633</v>
      </c>
      <c r="B692" s="0" t="s">
        <v>302</v>
      </c>
      <c r="C692" s="21" t="n">
        <f aca="false">a25_gp</f>
        <v>18.292</v>
      </c>
      <c r="D692" s="21" t="n">
        <f aca="false">a26_gp</f>
        <v>47.3329657</v>
      </c>
      <c r="E692" s="21" t="n">
        <f aca="false">$D692+ft_abf*(E674-E691-$D674)+ft_oth_hi*((E683-E674)-($D683-$D674))+E691-(E689-$D689)</f>
        <v>73.6153312938233</v>
      </c>
      <c r="F692" s="21" t="n">
        <f aca="false">$D692+ft_abf*(F674-F691-$D674)+ft_oth_hi*((F683-F674)-($D683-$D674))+F691-(F689-$D689)</f>
        <v>81.8516579334416</v>
      </c>
      <c r="G692" s="21" t="n">
        <f aca="false">$D692+ft_abf*(G674-G691-$D674)+ft_oth_hi*((G683-G674)-($D683-$D674))+G691-(G689-$D689)</f>
        <v>88.3645365727562</v>
      </c>
      <c r="K692" s="3" t="s">
        <v>634</v>
      </c>
    </row>
    <row r="693" customFormat="false" ht="15" hidden="false" customHeight="false" outlineLevel="0" collapsed="false">
      <c r="A693" s="3" t="s">
        <v>491</v>
      </c>
      <c r="B693" s="0" t="s">
        <v>44</v>
      </c>
      <c r="C693" s="16" t="n">
        <f aca="false">C692/C683</f>
        <v>0.139377176339711</v>
      </c>
      <c r="D693" s="16" t="n">
        <f aca="false">D692/D683</f>
        <v>0.251412029627899</v>
      </c>
      <c r="E693" s="16" t="n">
        <f aca="false">E692/E683</f>
        <v>0.299440841129928</v>
      </c>
      <c r="F693" s="16" t="n">
        <f aca="false">F692/F683</f>
        <v>0.293887614390194</v>
      </c>
      <c r="G693" s="16" t="n">
        <f aca="false">G692/G683</f>
        <v>0.286602129023918</v>
      </c>
    </row>
    <row r="694" customFormat="false" ht="15" hidden="false" customHeight="false" outlineLevel="0" collapsed="false">
      <c r="A694" s="3" t="s">
        <v>493</v>
      </c>
      <c r="B694" s="0" t="s">
        <v>302</v>
      </c>
      <c r="C694" s="21" t="n">
        <f aca="false">a25_opx</f>
        <v>11.618</v>
      </c>
      <c r="D694" s="21" t="n">
        <f aca="false">a26_opx</f>
        <v>16.6539532</v>
      </c>
      <c r="E694" s="21" t="n">
        <f aca="false">D694*(1+phi*E684)</f>
        <v>19.7097079663903</v>
      </c>
      <c r="F694" s="21" t="n">
        <f aca="false">E694*(1+phi*F684)</f>
        <v>21.281279361783</v>
      </c>
      <c r="G694" s="21" t="n">
        <f aca="false">F694*(1+phi*G684)</f>
        <v>22.6476928758924</v>
      </c>
    </row>
    <row r="695" customFormat="false" ht="15" hidden="false" customHeight="false" outlineLevel="0" collapsed="false">
      <c r="A695" s="3" t="s">
        <v>496</v>
      </c>
      <c r="B695" s="0" t="s">
        <v>302</v>
      </c>
      <c r="C695" s="21" t="n">
        <f aca="false">C692-C694</f>
        <v>6.674</v>
      </c>
      <c r="D695" s="21" t="n">
        <f aca="false">D692-D694</f>
        <v>30.6790125</v>
      </c>
      <c r="E695" s="21" t="n">
        <f aca="false">E692-E694</f>
        <v>53.905623327433</v>
      </c>
      <c r="F695" s="21" t="n">
        <f aca="false">F692-F694</f>
        <v>60.5703785716586</v>
      </c>
      <c r="G695" s="21" t="n">
        <f aca="false">G692-G694</f>
        <v>65.7168436968639</v>
      </c>
    </row>
    <row r="696" customFormat="false" ht="15" hidden="false" customHeight="false" outlineLevel="0" collapsed="false">
      <c r="A696" s="3" t="s">
        <v>575</v>
      </c>
      <c r="B696" s="0" t="s">
        <v>44</v>
      </c>
      <c r="C696" s="16" t="n">
        <f aca="false">C695/C683</f>
        <v>0.0508530108731265</v>
      </c>
      <c r="D696" s="16" t="n">
        <f aca="false">D695/D683</f>
        <v>0.162953507888999</v>
      </c>
      <c r="E696" s="16" t="n">
        <f aca="false">E695/E683</f>
        <v>0.219268797777644</v>
      </c>
      <c r="F696" s="16" t="n">
        <f aca="false">F695/F683</f>
        <v>0.217477379329452</v>
      </c>
      <c r="G696" s="16" t="n">
        <f aca="false">G695/G683</f>
        <v>0.213146450451257</v>
      </c>
    </row>
    <row r="697" customFormat="false" ht="17.15" hidden="false" customHeight="false" outlineLevel="0" collapsed="false">
      <c r="A697" s="3" t="s">
        <v>635</v>
      </c>
      <c r="B697" s="0" t="s">
        <v>302</v>
      </c>
      <c r="C697" s="21" t="n">
        <f aca="false">a25_nonop</f>
        <v>-0.00100000000000033</v>
      </c>
      <c r="D697" s="21" t="n">
        <f aca="false">a26_nonop</f>
        <v>14.466</v>
      </c>
      <c r="E697" s="21" t="n">
        <f aca="false">nonop27</f>
        <v>2</v>
      </c>
      <c r="F697" s="21" t="n">
        <f aca="false">nonop28</f>
        <v>2</v>
      </c>
      <c r="G697" s="21" t="n">
        <f aca="false">nonop29</f>
        <v>2</v>
      </c>
      <c r="K697" s="7" t="s">
        <v>636</v>
      </c>
    </row>
    <row r="698" customFormat="false" ht="15" hidden="false" customHeight="false" outlineLevel="0" collapsed="false">
      <c r="A698" s="3" t="s">
        <v>502</v>
      </c>
      <c r="B698" s="0" t="s">
        <v>302</v>
      </c>
      <c r="C698" s="21" t="n">
        <f aca="false">C695+C697</f>
        <v>6.673</v>
      </c>
      <c r="D698" s="21" t="n">
        <f aca="false">D695+D697</f>
        <v>45.1450125</v>
      </c>
      <c r="E698" s="21" t="n">
        <f aca="false">E695+E697</f>
        <v>55.905623327433</v>
      </c>
      <c r="F698" s="21" t="n">
        <f aca="false">F695+F697</f>
        <v>62.5703785716586</v>
      </c>
      <c r="G698" s="21" t="n">
        <f aca="false">G695+G697</f>
        <v>67.7168436968639</v>
      </c>
    </row>
    <row r="699" customFormat="false" ht="15" hidden="false" customHeight="false" outlineLevel="0" collapsed="false">
      <c r="A699" s="3" t="s">
        <v>506</v>
      </c>
      <c r="B699" s="0" t="s">
        <v>302</v>
      </c>
      <c r="E699" s="21" t="n">
        <f aca="false">E698*tax</f>
        <v>10.0630121989379</v>
      </c>
      <c r="F699" s="21" t="n">
        <f aca="false">F698*tax</f>
        <v>11.2626681428986</v>
      </c>
      <c r="G699" s="21" t="n">
        <f aca="false">G698*tax</f>
        <v>12.1890318654355</v>
      </c>
    </row>
    <row r="700" customFormat="false" ht="15" hidden="false" customHeight="false" outlineLevel="0" collapsed="false">
      <c r="A700" s="3" t="s">
        <v>504</v>
      </c>
      <c r="B700" s="0" t="s">
        <v>302</v>
      </c>
      <c r="C700" s="21" t="n">
        <f aca="false">a25_ni</f>
        <v>6.673</v>
      </c>
      <c r="D700" s="21" t="n">
        <f aca="false">a26_ni</f>
        <v>37.23923025</v>
      </c>
      <c r="E700" s="21" t="n">
        <f aca="false">E698-E699</f>
        <v>45.8426111284951</v>
      </c>
      <c r="F700" s="21" t="n">
        <f aca="false">F698-F699</f>
        <v>51.3077104287601</v>
      </c>
      <c r="G700" s="21" t="n">
        <f aca="false">G698-G699</f>
        <v>55.5278118314284</v>
      </c>
      <c r="H700" s="30" t="n">
        <f aca="false">H683*H704</f>
        <v>59.8966488275942</v>
      </c>
      <c r="I700" s="30" t="n">
        <f aca="false">I683*I704</f>
        <v>63.6727097827527</v>
      </c>
      <c r="J700" s="30" t="n">
        <f aca="false">J683*J704</f>
        <v>66.691328903514</v>
      </c>
    </row>
    <row r="701" customFormat="false" ht="15" hidden="false" customHeight="false" outlineLevel="0" collapsed="false">
      <c r="A701" s="3" t="s">
        <v>637</v>
      </c>
      <c r="B701" s="3" t="s">
        <v>380</v>
      </c>
      <c r="C701" s="29" t="n">
        <f aca="false">a25_sh</f>
        <v>1.52351598173516</v>
      </c>
      <c r="D701" s="29" t="n">
        <f aca="false">a26_sh</f>
        <v>1.59236316568047</v>
      </c>
      <c r="E701" s="29" t="n">
        <f aca="false">a26_shend*(1+sh_g)</f>
        <v>1.64</v>
      </c>
      <c r="F701" s="29" t="n">
        <f aca="false">E701*(1+sh_g)</f>
        <v>1.64</v>
      </c>
      <c r="G701" s="29" t="n">
        <f aca="false">F701*(1+sh_g)</f>
        <v>1.64</v>
      </c>
      <c r="H701" s="31" t="n">
        <f aca="false">G701*(1+sh_g)</f>
        <v>1.64</v>
      </c>
      <c r="I701" s="31" t="n">
        <f aca="false">H701*(1+sh_g)</f>
        <v>1.64</v>
      </c>
      <c r="J701" s="31" t="n">
        <f aca="false">I701*(1+sh_g)</f>
        <v>1.64</v>
      </c>
    </row>
    <row r="702" customFormat="false" ht="17.15" hidden="false" customHeight="false" outlineLevel="0" collapsed="false">
      <c r="A702" s="0" t="s">
        <v>509</v>
      </c>
      <c r="B702" s="0" t="s">
        <v>386</v>
      </c>
      <c r="C702" s="18" t="n">
        <f aca="false">C700/C701</f>
        <v>4.38</v>
      </c>
      <c r="D702" s="18" t="n">
        <f aca="false">D700/D701</f>
        <v>23.3861414610695</v>
      </c>
      <c r="E702" s="18" t="n">
        <f aca="false">E700/E701</f>
        <v>27.9528116637165</v>
      </c>
      <c r="F702" s="18" t="n">
        <f aca="false">F700/F701</f>
        <v>31.2851892858293</v>
      </c>
      <c r="G702" s="18" t="n">
        <f aca="false">G700/G701</f>
        <v>33.8584218484319</v>
      </c>
      <c r="H702" s="28" t="n">
        <f aca="false">H700/H701</f>
        <v>36.522346846094</v>
      </c>
      <c r="I702" s="28" t="n">
        <f aca="false">I700/I701</f>
        <v>38.8248230382638</v>
      </c>
      <c r="J702" s="28" t="n">
        <f aca="false">J700/J701</f>
        <v>40.6654444533622</v>
      </c>
    </row>
    <row r="703" customFormat="false" ht="17.15" hidden="false" customHeight="false" outlineLevel="0" collapsed="false">
      <c r="A703" s="0" t="s">
        <v>638</v>
      </c>
      <c r="B703" s="0" t="s">
        <v>44</v>
      </c>
      <c r="D703" s="20" t="n">
        <f aca="false">D702/C702-1</f>
        <v>4.33930170344053</v>
      </c>
      <c r="E703" s="20" t="n">
        <f aca="false">E702/D702-1</f>
        <v>0.195272495475539</v>
      </c>
      <c r="F703" s="20" t="n">
        <f aca="false">F702/E702-1</f>
        <v>0.119214398258131</v>
      </c>
      <c r="G703" s="20" t="n">
        <f aca="false">G702/F702-1</f>
        <v>0.082250822876375</v>
      </c>
      <c r="H703" s="26" t="n">
        <f aca="false">H702/G702-1</f>
        <v>0.0786783568822911</v>
      </c>
      <c r="I703" s="26" t="n">
        <f aca="false">I702/H702-1</f>
        <v>0.0630429419520189</v>
      </c>
      <c r="J703" s="26" t="n">
        <f aca="false">J702/I702-1</f>
        <v>0.0474083658613034</v>
      </c>
    </row>
    <row r="704" customFormat="false" ht="17.15" hidden="false" customHeight="false" outlineLevel="0" collapsed="false">
      <c r="A704" s="3" t="s">
        <v>639</v>
      </c>
      <c r="B704" s="0" t="s">
        <v>44</v>
      </c>
      <c r="C704" s="16" t="n">
        <f aca="false">C700/C683</f>
        <v>0.0508453913030227</v>
      </c>
      <c r="D704" s="16" t="n">
        <f aca="false">D700/D683</f>
        <v>0.197798517808343</v>
      </c>
      <c r="E704" s="16" t="n">
        <f aca="false">E700/E683</f>
        <v>0.186471347675108</v>
      </c>
      <c r="F704" s="16" t="n">
        <f aca="false">F700/F683</f>
        <v>0.184219855754083</v>
      </c>
      <c r="G704" s="16" t="n">
        <f aca="false">G700/G683</f>
        <v>0.180099276340611</v>
      </c>
      <c r="H704" s="27" t="n">
        <f aca="false">$G704+(fade_mA-$G704)*1/3</f>
        <v>0.178009542502451</v>
      </c>
      <c r="I704" s="27" t="n">
        <f aca="false">$G704+(fade_mA-$G704)*2/3</f>
        <v>0.17591980866429</v>
      </c>
      <c r="J704" s="27" t="n">
        <f aca="false">$G704+(fade_mA-$G704)*3/3</f>
        <v>0.17383007482613</v>
      </c>
    </row>
    <row r="705" customFormat="false" ht="17.15" hidden="false" customHeight="false" outlineLevel="0" collapsed="false">
      <c r="A705" s="3" t="s">
        <v>640</v>
      </c>
      <c r="B705" s="0" t="s">
        <v>44</v>
      </c>
      <c r="C705" s="20" t="n">
        <f aca="false">C688/C683</f>
        <v>0.195190527350447</v>
      </c>
      <c r="D705" s="20" t="n">
        <f aca="false">D688/D683</f>
        <v>0.285230933480641</v>
      </c>
      <c r="E705" s="20" t="n">
        <f aca="false">E688/E683</f>
        <v>0.223720330706817</v>
      </c>
      <c r="F705" s="20" t="n">
        <f aca="false">F688/F683</f>
        <v>0.179524533656466</v>
      </c>
      <c r="G705" s="20" t="n">
        <f aca="false">G688/G683</f>
        <v>0.145953301022037</v>
      </c>
      <c r="H705" s="26" t="n">
        <f aca="false">$G705+($G690*(1+tp_g)^(life/2)-$G705)*1/3</f>
        <v>0.136939332200635</v>
      </c>
      <c r="I705" s="26" t="n">
        <f aca="false">$G705+($G690*(1+tp_g)^(life/2)-$G705)*2/3</f>
        <v>0.127925363379233</v>
      </c>
      <c r="J705" s="26" t="n">
        <f aca="false">$G705+($G690*(1+tp_g)^(life/2)-$G705)*3/3</f>
        <v>0.118911394557831</v>
      </c>
      <c r="K705" s="7" t="s">
        <v>641</v>
      </c>
    </row>
    <row r="706" customFormat="false" ht="15" hidden="false" customHeight="false" outlineLevel="0" collapsed="false">
      <c r="A706" s="3" t="s">
        <v>642</v>
      </c>
      <c r="B706" s="0" t="s">
        <v>302</v>
      </c>
      <c r="E706" s="21" t="n">
        <f aca="false">E700+E689-E688</f>
        <v>15.7551111284951</v>
      </c>
      <c r="F706" s="21" t="n">
        <f aca="false">F700+F689-F688</f>
        <v>29.9811479287601</v>
      </c>
      <c r="G706" s="21" t="n">
        <f aca="false">G700+G689-G688</f>
        <v>41.8670696439284</v>
      </c>
      <c r="H706" s="30" t="n">
        <f aca="false">H700+H689-H688</f>
        <v>48.0211348241908</v>
      </c>
      <c r="I706" s="30" t="n">
        <f aca="false">I700+I689-I688</f>
        <v>54.1610980015089</v>
      </c>
      <c r="J706" s="30" t="n">
        <f aca="false">J700+J689-J688</f>
        <v>60.0673032240261</v>
      </c>
      <c r="K706" s="3" t="s">
        <v>643</v>
      </c>
    </row>
    <row r="707" customFormat="false" ht="15" hidden="false" customHeight="false" outlineLevel="0" collapsed="false">
      <c r="A707" s="3" t="s">
        <v>644</v>
      </c>
      <c r="B707" s="0" t="s">
        <v>386</v>
      </c>
      <c r="E707" s="18" t="n">
        <f aca="false">E706/E701</f>
        <v>9.60677507835065</v>
      </c>
      <c r="F707" s="18" t="n">
        <f aca="false">F706/F701</f>
        <v>18.2811877614391</v>
      </c>
      <c r="G707" s="18" t="n">
        <f aca="false">G706/G701</f>
        <v>25.5287010023954</v>
      </c>
      <c r="H707" s="28" t="n">
        <f aca="false">H706/H701</f>
        <v>29.2811797708481</v>
      </c>
      <c r="I707" s="28" t="n">
        <f aca="false">I706/I701</f>
        <v>33.0250597570176</v>
      </c>
      <c r="J707" s="28" t="n">
        <f aca="false">J706/J701</f>
        <v>36.6264044048939</v>
      </c>
    </row>
    <row r="710" customFormat="false" ht="17.15" hidden="false" customHeight="false" outlineLevel="0" collapsed="false">
      <c r="A710" s="1" t="s">
        <v>956</v>
      </c>
    </row>
    <row r="711" customFormat="false" ht="17.15" hidden="false" customHeight="false" outlineLevel="0" collapsed="false">
      <c r="A711" s="4" t="s">
        <v>21</v>
      </c>
      <c r="B711" s="4" t="s">
        <v>22</v>
      </c>
      <c r="C711" s="13" t="s">
        <v>477</v>
      </c>
      <c r="D711" s="13" t="s">
        <v>562</v>
      </c>
      <c r="E711" s="13" t="s">
        <v>563</v>
      </c>
      <c r="F711" s="13" t="s">
        <v>564</v>
      </c>
      <c r="G711" s="13" t="s">
        <v>565</v>
      </c>
      <c r="H711" s="13" t="s">
        <v>566</v>
      </c>
      <c r="I711" s="13" t="s">
        <v>567</v>
      </c>
      <c r="J711" s="13" t="s">
        <v>568</v>
      </c>
      <c r="K711" s="4" t="s">
        <v>533</v>
      </c>
    </row>
    <row r="712" customFormat="false" ht="17.15" hidden="false" customHeight="false" outlineLevel="0" collapsed="false">
      <c r="A712" s="5" t="s">
        <v>586</v>
      </c>
    </row>
    <row r="713" customFormat="false" ht="17.15" hidden="false" customHeight="false" outlineLevel="0" collapsed="false">
      <c r="A713" s="0" t="s">
        <v>587</v>
      </c>
      <c r="B713" s="3" t="s">
        <v>32</v>
      </c>
      <c r="D713" s="21" t="n">
        <f aca="false">(u_bw_26+u_rb_26+u_ru_26+u_hp_26)*1</f>
        <v>7.6</v>
      </c>
      <c r="E713" s="21" t="n">
        <f aca="false">(u_bw_27+u_rb_27+u_ru_27+u_hp_27)*1*1</f>
        <v>9.7</v>
      </c>
      <c r="F713" s="21" t="n">
        <f aca="false">(u_bw_28+u_rb_28+u_ru_28+u_hp_28)*um28_A*1</f>
        <v>9.5</v>
      </c>
      <c r="G713" s="21" t="n">
        <f aca="false">(u_bw_28*(1+g29_bw)+u_rb_28*(1+g29_rb)+u_ru_28*(1+g29_ru)+u_hp_28*(1+g29_hp))*um29_A*1</f>
        <v>10.6</v>
      </c>
      <c r="K713" s="7" t="s">
        <v>588</v>
      </c>
    </row>
    <row r="714" customFormat="false" ht="17.15" hidden="false" customHeight="false" outlineLevel="0" collapsed="false">
      <c r="A714" s="3" t="s">
        <v>589</v>
      </c>
      <c r="B714" s="3" t="s">
        <v>32</v>
      </c>
      <c r="D714" s="21" t="n">
        <f aca="false">(u_amd_26+u_tpu_26+u_trn_26+u_oth_26)*1</f>
        <v>7.6</v>
      </c>
      <c r="E714" s="21" t="n">
        <f aca="false">(u_amd_27+u_tpu_27+u_trn_27+u_oth_27)*1*1</f>
        <v>14</v>
      </c>
      <c r="F714" s="21" t="n">
        <f aca="false">(u_amd_28+u_tpu_28+u_trn_28+u_oth_28)*um28_A*1</f>
        <v>17</v>
      </c>
      <c r="G714" s="21" t="n">
        <f aca="false">(u_amd_28*(1+g29_amd)+u_tpu_28*(1+g29_tpu)+u_trn_28*(1+g29_trn)+u_oth_28*(1+g29_oth))*um29_A*1</f>
        <v>19.55</v>
      </c>
      <c r="K714" s="7" t="s">
        <v>590</v>
      </c>
    </row>
    <row r="715" customFormat="false" ht="17.15" hidden="false" customHeight="false" outlineLevel="0" collapsed="false">
      <c r="A715" s="3" t="s">
        <v>591</v>
      </c>
      <c r="B715" s="0" t="s">
        <v>144</v>
      </c>
      <c r="D715" s="19" t="n">
        <f aca="false">1</f>
        <v>1</v>
      </c>
      <c r="E715" s="19" t="n">
        <f aca="false">D715*(1+g_asp)</f>
        <v>1.18</v>
      </c>
      <c r="F715" s="19" t="n">
        <f aca="false">E715*(1+g_asp)</f>
        <v>1.3924</v>
      </c>
      <c r="G715" s="19" t="n">
        <f aca="false">F715*(1+g_asp)</f>
        <v>1.643032</v>
      </c>
      <c r="K715" s="7" t="s">
        <v>592</v>
      </c>
    </row>
    <row r="716" customFormat="false" ht="17.15" hidden="false" customHeight="false" outlineLevel="0" collapsed="false">
      <c r="A716" s="0" t="s">
        <v>593</v>
      </c>
      <c r="B716" s="0" t="s">
        <v>144</v>
      </c>
      <c r="D716" s="18" t="n">
        <f aca="false">1</f>
        <v>1</v>
      </c>
      <c r="E716" s="18" t="n">
        <f aca="false">ibpp_27</f>
        <v>1</v>
      </c>
      <c r="F716" s="18" t="n">
        <f aca="false">ibpp_28</f>
        <v>0.95</v>
      </c>
      <c r="G716" s="18" t="n">
        <f aca="false">ibpp_29</f>
        <v>0.9</v>
      </c>
      <c r="K716" s="7" t="s">
        <v>594</v>
      </c>
    </row>
    <row r="717" customFormat="false" ht="17.15" hidden="false" customHeight="false" outlineLevel="0" collapsed="false">
      <c r="A717" s="3" t="s">
        <v>595</v>
      </c>
      <c r="B717" s="0" t="s">
        <v>144</v>
      </c>
      <c r="D717" s="18" t="n">
        <f aca="false">1</f>
        <v>1</v>
      </c>
      <c r="E717" s="18" t="n">
        <f aca="false">1+carry</f>
        <v>1.05</v>
      </c>
      <c r="F717" s="18" t="n">
        <f aca="false">1+carry</f>
        <v>1.05</v>
      </c>
      <c r="G717" s="18" t="n">
        <f aca="false">1+carry</f>
        <v>1.05</v>
      </c>
      <c r="K717" s="7" t="s">
        <v>596</v>
      </c>
    </row>
    <row r="718" customFormat="false" ht="17.15" hidden="false" customHeight="false" outlineLevel="0" collapsed="false">
      <c r="A718" s="3" t="s">
        <v>597</v>
      </c>
      <c r="B718" s="0" t="s">
        <v>598</v>
      </c>
      <c r="D718" s="23" t="n">
        <f aca="false">v26*D715*D716</f>
        <v>215.308596</v>
      </c>
      <c r="E718" s="23" t="n">
        <f aca="false">v26*E715*E716</f>
        <v>254.06414328</v>
      </c>
      <c r="F718" s="23" t="n">
        <f aca="false">v26*F715*F716</f>
        <v>284.80590461688</v>
      </c>
      <c r="G718" s="23" t="n">
        <f aca="false">v26*G715*G716</f>
        <v>318.383021792765</v>
      </c>
      <c r="K718" s="7" t="s">
        <v>599</v>
      </c>
    </row>
    <row r="719" customFormat="false" ht="17.15" hidden="false" customHeight="false" outlineLevel="0" collapsed="false">
      <c r="A719" s="3" t="s">
        <v>600</v>
      </c>
      <c r="B719" s="0" t="s">
        <v>44</v>
      </c>
      <c r="D719" s="20" t="n">
        <f aca="false">sh_nv_26</f>
        <v>0.25</v>
      </c>
      <c r="E719" s="20" t="n">
        <f aca="false">sh_nv_27</f>
        <v>0.27</v>
      </c>
      <c r="F719" s="20" t="n">
        <f aca="false">sh_nv_28</f>
        <v>0.29</v>
      </c>
      <c r="G719" s="20" t="n">
        <f aca="false">sh_nv_29</f>
        <v>0.3</v>
      </c>
    </row>
    <row r="720" customFormat="false" ht="17.15" hidden="false" customHeight="false" outlineLevel="0" collapsed="false">
      <c r="A720" s="3" t="s">
        <v>601</v>
      </c>
      <c r="B720" s="0" t="s">
        <v>44</v>
      </c>
      <c r="D720" s="20" t="n">
        <f aca="false">sh_ot_26</f>
        <v>0.3</v>
      </c>
      <c r="E720" s="20" t="n">
        <f aca="false">sh_ot_27</f>
        <v>0.31</v>
      </c>
      <c r="F720" s="20" t="n">
        <f aca="false">sh_ot_28</f>
        <v>0.32</v>
      </c>
      <c r="G720" s="20" t="n">
        <f aca="false">sh_ot_29</f>
        <v>0.33</v>
      </c>
    </row>
    <row r="721" customFormat="false" ht="17.15" hidden="false" customHeight="false" outlineLevel="0" collapsed="false">
      <c r="A721" s="3" t="s">
        <v>602</v>
      </c>
      <c r="B721" s="0" t="s">
        <v>552</v>
      </c>
      <c r="D721" s="22" t="n">
        <f aca="false">(D713*D718*D719+D714*D718*v_ot*D720)*D717</f>
        <v>801.809211504</v>
      </c>
      <c r="E721" s="22" t="n">
        <f aca="false">(E713*E718*E719+E714*E718*v_ot*E720)*E717</f>
        <v>1624.8799315544</v>
      </c>
      <c r="F721" s="22" t="n">
        <f aca="false">(F713*F718*F719+F714*F718*v_ot*F720)*F717</f>
        <v>2125.32134231777</v>
      </c>
      <c r="G721" s="22" t="n">
        <f aca="false">(G713*G718*G719+G714*G718*v_ot*G720)*G717</f>
        <v>2788.4812844467</v>
      </c>
    </row>
    <row r="722" customFormat="false" ht="15" hidden="false" customHeight="false" outlineLevel="0" collapsed="false">
      <c r="A722" s="3" t="s">
        <v>603</v>
      </c>
      <c r="B722" s="0" t="s">
        <v>302</v>
      </c>
      <c r="D722" s="21" t="n">
        <f aca="false">D721*fx/1000</f>
        <v>26.05879937388</v>
      </c>
      <c r="E722" s="21" t="n">
        <f aca="false">E721*fx/1000</f>
        <v>52.8085977755181</v>
      </c>
      <c r="F722" s="21" t="n">
        <f aca="false">F721*fx/1000</f>
        <v>69.0729436253277</v>
      </c>
      <c r="G722" s="21" t="n">
        <f aca="false">G721*fx/1000</f>
        <v>90.6256417445177</v>
      </c>
    </row>
    <row r="723" customFormat="false" ht="17.15" hidden="false" customHeight="false" outlineLevel="0" collapsed="false">
      <c r="A723" s="5" t="s">
        <v>604</v>
      </c>
    </row>
    <row r="724" customFormat="false" ht="17.15" hidden="false" customHeight="false" outlineLevel="0" collapsed="false">
      <c r="A724" s="0" t="s">
        <v>605</v>
      </c>
      <c r="B724" s="0" t="s">
        <v>302</v>
      </c>
      <c r="D724" s="21" t="n">
        <f aca="false">a26_abf*ai_abf</f>
        <v>74.83672875</v>
      </c>
      <c r="K724" s="3" t="s">
        <v>606</v>
      </c>
    </row>
    <row r="725" customFormat="false" ht="17.15" hidden="false" customHeight="false" outlineLevel="0" collapsed="false">
      <c r="A725" s="3" t="s">
        <v>607</v>
      </c>
      <c r="B725" s="0" t="s">
        <v>302</v>
      </c>
      <c r="D725" s="21" t="n">
        <f aca="false">D724-D722</f>
        <v>48.77792937612</v>
      </c>
      <c r="E725" s="21" t="n">
        <f aca="false">$D725*(itc_27/itc_26)^el_o*1*1*E716*E717</f>
        <v>72.4686721045733</v>
      </c>
      <c r="F725" s="21" t="n">
        <f aca="false">$D725*(itc_28/itc_26)^el_o*um28_A*1*F716*F717</f>
        <v>77.5118128697435</v>
      </c>
      <c r="G725" s="21" t="n">
        <f aca="false">$D725*(itc_29/itc_26)^el_o*um29_A*1*G716*G717</f>
        <v>78.3752247962621</v>
      </c>
      <c r="K725" s="7" t="s">
        <v>608</v>
      </c>
    </row>
    <row r="726" customFormat="false" ht="17.15" hidden="false" customHeight="false" outlineLevel="0" collapsed="false">
      <c r="A726" s="3" t="s">
        <v>609</v>
      </c>
      <c r="B726" s="0" t="s">
        <v>302</v>
      </c>
      <c r="D726" s="21" t="n">
        <f aca="false">a26_abf-D724</f>
        <v>24.94557625</v>
      </c>
      <c r="E726" s="21" t="n">
        <f aca="false">D726*(1+g_nai)</f>
        <v>25.6939435375</v>
      </c>
      <c r="F726" s="21" t="n">
        <f aca="false">E726*(1+g_nai)</f>
        <v>26.464761843625</v>
      </c>
      <c r="G726" s="21" t="n">
        <f aca="false">F726*(1+g_nai)</f>
        <v>27.2587046989338</v>
      </c>
    </row>
    <row r="727" customFormat="false" ht="17.15" hidden="false" customHeight="false" outlineLevel="0" collapsed="false">
      <c r="A727" s="0" t="s">
        <v>610</v>
      </c>
      <c r="B727" s="0" t="s">
        <v>302</v>
      </c>
      <c r="D727" s="21" t="n">
        <f aca="false">D722+D725+D726</f>
        <v>99.782305</v>
      </c>
      <c r="E727" s="21" t="n">
        <f aca="false">E722+E725+E726</f>
        <v>150.971213417591</v>
      </c>
      <c r="F727" s="21" t="n">
        <f aca="false">F722+F725+F726</f>
        <v>173.049518338696</v>
      </c>
      <c r="G727" s="21" t="n">
        <f aca="false">G722+G725+G726</f>
        <v>196.259571239714</v>
      </c>
    </row>
    <row r="728" customFormat="false" ht="17.15" hidden="false" customHeight="false" outlineLevel="0" collapsed="false">
      <c r="A728" s="0" t="s">
        <v>611</v>
      </c>
      <c r="B728" s="0" t="s">
        <v>302</v>
      </c>
      <c r="D728" s="21" t="n">
        <f aca="false">a26_abf</f>
        <v>99.782305</v>
      </c>
      <c r="E728" s="21" t="n">
        <f aca="false">$D727*cap_27*(1+g_mix)^1*E716*E717</f>
        <v>148.513488204375</v>
      </c>
      <c r="F728" s="21" t="n">
        <f aca="false">$D727*cap_28*(1+g_mix)^2*F716*F717</f>
        <v>186.549442683384</v>
      </c>
      <c r="G728" s="21" t="n">
        <f aca="false">$D727*cap_29*(1+g_mix)^3*G716*G717</f>
        <v>218.314827660431</v>
      </c>
      <c r="K728" s="7" t="s">
        <v>612</v>
      </c>
    </row>
    <row r="729" customFormat="false" ht="17.15" hidden="false" customHeight="false" outlineLevel="0" collapsed="false">
      <c r="A729" s="0" t="s">
        <v>613</v>
      </c>
      <c r="B729" s="0" t="s">
        <v>302</v>
      </c>
      <c r="D729" s="21" t="n">
        <f aca="false">a26_abf</f>
        <v>99.782305</v>
      </c>
      <c r="E729" s="21" t="n">
        <f aca="false">MIN(E727,E728)</f>
        <v>148.513488204375</v>
      </c>
      <c r="F729" s="21" t="n">
        <f aca="false">MIN(F727,F728)</f>
        <v>173.049518338696</v>
      </c>
      <c r="G729" s="21" t="n">
        <f aca="false">MIN(G727,G728)</f>
        <v>196.259571239714</v>
      </c>
    </row>
    <row r="730" customFormat="false" ht="17.15" hidden="false" customHeight="false" outlineLevel="0" collapsed="false">
      <c r="A730" s="3" t="s">
        <v>614</v>
      </c>
      <c r="B730" s="0" t="s">
        <v>44</v>
      </c>
      <c r="D730" s="20" t="n">
        <f aca="false">D729/D727</f>
        <v>1</v>
      </c>
      <c r="E730" s="20" t="n">
        <f aca="false">E729/E727</f>
        <v>0.983720570580444</v>
      </c>
      <c r="F730" s="20" t="n">
        <f aca="false">F729/F727</f>
        <v>1</v>
      </c>
      <c r="G730" s="20" t="n">
        <f aca="false">G729/G727</f>
        <v>1</v>
      </c>
    </row>
    <row r="731" customFormat="false" ht="17.15" hidden="false" customHeight="false" outlineLevel="0" collapsed="false">
      <c r="A731" s="0" t="s">
        <v>615</v>
      </c>
      <c r="B731" s="0" t="s">
        <v>302</v>
      </c>
      <c r="D731" s="21" t="n">
        <f aca="false">(D722+D725)*D730</f>
        <v>74.83672875</v>
      </c>
      <c r="E731" s="21" t="n">
        <f aca="false">(E722+E725)*E730</f>
        <v>123.237827407204</v>
      </c>
      <c r="F731" s="21" t="n">
        <f aca="false">(F722+F725)*F730</f>
        <v>146.584756495071</v>
      </c>
      <c r="G731" s="21" t="n">
        <f aca="false">(G722+G725)*G730</f>
        <v>169.00086654078</v>
      </c>
    </row>
    <row r="732" customFormat="false" ht="17.15" hidden="false" customHeight="false" outlineLevel="0" collapsed="false">
      <c r="A732" s="3" t="s">
        <v>616</v>
      </c>
      <c r="B732" s="0" t="s">
        <v>44</v>
      </c>
      <c r="D732" s="20" t="n">
        <f aca="false">D722/(D722+D725)</f>
        <v>0.348208691228771</v>
      </c>
      <c r="E732" s="20" t="n">
        <f aca="false">E722/(E722+E725)</f>
        <v>0.421533753298293</v>
      </c>
      <c r="F732" s="20" t="n">
        <f aca="false">F722/(F722+F725)</f>
        <v>0.471215051802813</v>
      </c>
      <c r="G732" s="20" t="n">
        <f aca="false">G722/(G722+G725)</f>
        <v>0.536243651287136</v>
      </c>
    </row>
    <row r="733" customFormat="false" ht="17.15" hidden="false" customHeight="false" outlineLevel="0" collapsed="false">
      <c r="A733" s="5" t="s">
        <v>617</v>
      </c>
    </row>
    <row r="734" customFormat="false" ht="17.15" hidden="false" customHeight="false" outlineLevel="0" collapsed="false">
      <c r="A734" s="0" t="s">
        <v>519</v>
      </c>
      <c r="B734" s="0" t="s">
        <v>302</v>
      </c>
      <c r="D734" s="21" t="n">
        <f aca="false">a26_bt</f>
        <v>16.944165</v>
      </c>
      <c r="E734" s="21" t="n">
        <f aca="false">D734*(1+g_bt)</f>
        <v>17.79137325</v>
      </c>
      <c r="F734" s="21" t="n">
        <f aca="false">E734*(1+g_bt)</f>
        <v>18.6809419125</v>
      </c>
      <c r="G734" s="21" t="n">
        <f aca="false">F734*(1+g_bt)</f>
        <v>19.614989008125</v>
      </c>
    </row>
    <row r="735" customFormat="false" ht="17.15" hidden="false" customHeight="false" outlineLevel="0" collapsed="false">
      <c r="A735" s="0" t="s">
        <v>618</v>
      </c>
      <c r="B735" s="0" t="s">
        <v>302</v>
      </c>
      <c r="D735" s="21" t="n">
        <f aca="false">a26_pcb*ai_pcb</f>
        <v>37.93610275</v>
      </c>
      <c r="E735" s="21" t="n">
        <f aca="false">D735*(1+g_pai_27)</f>
        <v>45.5233233</v>
      </c>
      <c r="F735" s="21" t="n">
        <f aca="false">D735*(1+g_pai_27)*(1+g_pai_28)*um28_A</f>
        <v>52.351821795</v>
      </c>
      <c r="G735" s="21" t="n">
        <f aca="false">D735*(1+g_pai_27)*(1+g_pai_28)*(1+g_pai_29)*um29_A</f>
        <v>57.5870039745</v>
      </c>
      <c r="K735" s="3" t="s">
        <v>619</v>
      </c>
    </row>
    <row r="736" customFormat="false" ht="17.15" hidden="false" customHeight="false" outlineLevel="0" collapsed="false">
      <c r="A736" s="3" t="s">
        <v>620</v>
      </c>
      <c r="B736" s="0" t="s">
        <v>302</v>
      </c>
      <c r="D736" s="21" t="n">
        <f aca="false">a26_pcb*(1-ai_pcb)</f>
        <v>20.42713225</v>
      </c>
      <c r="E736" s="21" t="n">
        <f aca="false">D736*(1+g_pcbn)</f>
        <v>20.835674895</v>
      </c>
      <c r="F736" s="21" t="n">
        <f aca="false">E736*(1+g_pcbn)</f>
        <v>21.2523883929</v>
      </c>
      <c r="G736" s="21" t="n">
        <f aca="false">F736*(1+g_pcbn)</f>
        <v>21.677436160758</v>
      </c>
    </row>
    <row r="737" customFormat="false" ht="15" hidden="false" customHeight="false" outlineLevel="0" collapsed="false">
      <c r="A737" s="3" t="s">
        <v>521</v>
      </c>
      <c r="B737" s="0" t="s">
        <v>302</v>
      </c>
      <c r="D737" s="21" t="n">
        <f aca="false">a26_fpc</f>
        <v>13.178795</v>
      </c>
      <c r="E737" s="21" t="n">
        <f aca="false">D737*(1+g_fpc)</f>
        <v>13.178795</v>
      </c>
      <c r="F737" s="21" t="n">
        <f aca="false">E737*(1+g_fpc)</f>
        <v>13.178795</v>
      </c>
      <c r="G737" s="21" t="n">
        <f aca="false">F737*(1+g_fpc)</f>
        <v>13.178795</v>
      </c>
    </row>
    <row r="738" customFormat="false" ht="17.15" hidden="false" customHeight="false" outlineLevel="0" collapsed="false">
      <c r="A738" s="3" t="s">
        <v>484</v>
      </c>
      <c r="B738" s="0" t="s">
        <v>302</v>
      </c>
      <c r="C738" s="23" t="n">
        <f aca="false">a25_rev</f>
        <v>131.241</v>
      </c>
      <c r="D738" s="23" t="n">
        <f aca="false">D729+D734+D735+D736+D737</f>
        <v>188.2685</v>
      </c>
      <c r="E738" s="23" t="n">
        <f aca="false">E729+E734+E735+E736+E737</f>
        <v>245.842654649375</v>
      </c>
      <c r="F738" s="23" t="n">
        <f aca="false">F729+F734+F735+F736+F737</f>
        <v>278.513465439096</v>
      </c>
      <c r="G738" s="23" t="n">
        <f aca="false">G729+G734+G735+G736+G737</f>
        <v>308.317795383097</v>
      </c>
      <c r="H738" s="25" t="n">
        <f aca="false">G738*(1+H739)</f>
        <v>336.479988575722</v>
      </c>
      <c r="I738" s="25" t="n">
        <f aca="false">H738*(1+I739)</f>
        <v>361.941672550702</v>
      </c>
      <c r="J738" s="25" t="n">
        <f aca="false">I738*(1+J739)</f>
        <v>383.658172903744</v>
      </c>
      <c r="K738" s="7" t="s">
        <v>621</v>
      </c>
    </row>
    <row r="739" customFormat="false" ht="15" hidden="false" customHeight="false" outlineLevel="0" collapsed="false">
      <c r="A739" s="3" t="s">
        <v>622</v>
      </c>
      <c r="B739" s="0" t="s">
        <v>44</v>
      </c>
      <c r="D739" s="20" t="n">
        <f aca="false">D738/C738-1</f>
        <v>0.434525034097576</v>
      </c>
      <c r="E739" s="20" t="n">
        <f aca="false">E738/D738-1</f>
        <v>0.30580875</v>
      </c>
      <c r="F739" s="20" t="n">
        <f aca="false">F738/E738-1</f>
        <v>0.132893174442478</v>
      </c>
      <c r="G739" s="20" t="n">
        <f aca="false">G738/F738-1</f>
        <v>0.107012168682803</v>
      </c>
      <c r="H739" s="26" t="n">
        <f aca="false">$G739+(fade_gA-$G739)*1/3</f>
        <v>0.091341445788535</v>
      </c>
      <c r="I739" s="26" t="n">
        <f aca="false">$G739+(fade_gA-$G739)*2/3</f>
        <v>0.0756707228942675</v>
      </c>
      <c r="J739" s="26" t="n">
        <f aca="false">$G739+(fade_gA-$G739)*3/3</f>
        <v>0.06</v>
      </c>
    </row>
    <row r="740" customFormat="false" ht="17.15" hidden="false" customHeight="false" outlineLevel="0" collapsed="false">
      <c r="A740" s="0" t="s">
        <v>623</v>
      </c>
      <c r="B740" s="0" t="s">
        <v>44</v>
      </c>
      <c r="D740" s="20" t="n">
        <f aca="false">D729/D738</f>
        <v>0.53</v>
      </c>
      <c r="E740" s="20" t="n">
        <f aca="false">E729/E738</f>
        <v>0.604099758100105</v>
      </c>
      <c r="F740" s="20" t="n">
        <f aca="false">F729/F738</f>
        <v>0.62133268158461</v>
      </c>
      <c r="G740" s="20" t="n">
        <f aca="false">G729/G738</f>
        <v>0.636549606213464</v>
      </c>
    </row>
    <row r="741" customFormat="false" ht="17.15" hidden="false" customHeight="false" outlineLevel="0" collapsed="false">
      <c r="A741" s="0" t="s">
        <v>624</v>
      </c>
      <c r="B741" s="0" t="s">
        <v>44</v>
      </c>
      <c r="D741" s="20" t="n">
        <f aca="false">(D731+D735)/D738</f>
        <v>0.599</v>
      </c>
      <c r="E741" s="20" t="n">
        <f aca="false">(E731+E735)/E738</f>
        <v>0.68646000812143</v>
      </c>
      <c r="F741" s="20" t="n">
        <f aca="false">(F731+F735)/F738</f>
        <v>0.714279928894761</v>
      </c>
      <c r="G741" s="20" t="n">
        <f aca="false">(G731+G735)/G738</f>
        <v>0.734916614961312</v>
      </c>
      <c r="K741" s="3" t="s">
        <v>625</v>
      </c>
    </row>
    <row r="742" customFormat="false" ht="17.15" hidden="false" customHeight="false" outlineLevel="0" collapsed="false">
      <c r="A742" s="5" t="s">
        <v>626</v>
      </c>
    </row>
    <row r="743" customFormat="false" ht="15" hidden="false" customHeight="false" outlineLevel="0" collapsed="false">
      <c r="A743" s="3" t="s">
        <v>627</v>
      </c>
      <c r="B743" s="0" t="s">
        <v>302</v>
      </c>
      <c r="C743" s="23" t="n">
        <f aca="false">a25_cx</f>
        <v>25.617</v>
      </c>
      <c r="D743" s="23" t="n">
        <f aca="false">capex26</f>
        <v>53.7</v>
      </c>
      <c r="E743" s="23" t="n">
        <f aca="false">cx27_A</f>
        <v>55</v>
      </c>
      <c r="F743" s="23" t="n">
        <f aca="false">cx28_A</f>
        <v>50</v>
      </c>
      <c r="G743" s="23" t="n">
        <f aca="false">cx29_A</f>
        <v>45</v>
      </c>
      <c r="H743" s="25" t="n">
        <f aca="false">H738*H760</f>
        <v>46.7450460432208</v>
      </c>
      <c r="I743" s="25" t="n">
        <f aca="false">I738*I760</f>
        <v>47.737973051862</v>
      </c>
      <c r="J743" s="25" t="n">
        <f aca="false">J738*J760</f>
        <v>47.905288752768</v>
      </c>
    </row>
    <row r="744" customFormat="false" ht="17.15" hidden="false" customHeight="false" outlineLevel="0" collapsed="false">
      <c r="A744" s="3" t="s">
        <v>628</v>
      </c>
      <c r="B744" s="0" t="s">
        <v>302</v>
      </c>
      <c r="C744" s="23" t="n">
        <f aca="false">a25_da</f>
        <v>18.8</v>
      </c>
      <c r="D744" s="23" t="n">
        <f aca="false">da26</f>
        <v>20.8</v>
      </c>
      <c r="E744" s="23" t="n">
        <f aca="false">D744*(1-1/life_lo)+D743/life_lo</f>
        <v>26.2833333333333</v>
      </c>
      <c r="F744" s="23" t="n">
        <f aca="false">E744*(1-1/life_lo)+E743/life_lo</f>
        <v>31.0694444444445</v>
      </c>
      <c r="G744" s="23" t="n">
        <f aca="false">F744*(1-1/life_lo)+F743/life_lo</f>
        <v>34.224537037037</v>
      </c>
      <c r="H744" s="25" t="n">
        <f aca="false">H738*H745</f>
        <v>37.3506557314433</v>
      </c>
      <c r="I744" s="25" t="n">
        <f aca="false">I738*I745</f>
        <v>40.1770068512165</v>
      </c>
      <c r="J744" s="25" t="n">
        <f aca="false">J738*J745</f>
        <v>42.5876272622895</v>
      </c>
      <c r="K744" s="3" t="s">
        <v>629</v>
      </c>
    </row>
    <row r="745" customFormat="false" ht="17.15" hidden="false" customHeight="false" outlineLevel="0" collapsed="false">
      <c r="A745" s="3" t="s">
        <v>630</v>
      </c>
      <c r="B745" s="0" t="s">
        <v>44</v>
      </c>
      <c r="C745" s="20" t="n">
        <f aca="false">C744/C738</f>
        <v>0.143247917952469</v>
      </c>
      <c r="D745" s="20" t="n">
        <f aca="false">D744/D738</f>
        <v>0.110480510547436</v>
      </c>
      <c r="E745" s="20" t="n">
        <f aca="false">E744/E738</f>
        <v>0.106911200462015</v>
      </c>
      <c r="F745" s="20" t="n">
        <f aca="false">F744/F738</f>
        <v>0.111554550497087</v>
      </c>
      <c r="G745" s="20" t="n">
        <f aca="false">G744/G738</f>
        <v>0.111004092366812</v>
      </c>
      <c r="H745" s="26" t="n">
        <f aca="false">$G745</f>
        <v>0.111004092366812</v>
      </c>
      <c r="I745" s="26" t="n">
        <f aca="false">$G745</f>
        <v>0.111004092366812</v>
      </c>
      <c r="J745" s="26" t="n">
        <f aca="false">$G745</f>
        <v>0.111004092366812</v>
      </c>
    </row>
    <row r="746" customFormat="false" ht="17.15" hidden="false" customHeight="false" outlineLevel="0" collapsed="false">
      <c r="A746" s="3" t="s">
        <v>631</v>
      </c>
      <c r="B746" s="0" t="s">
        <v>302</v>
      </c>
      <c r="E746" s="21" t="n">
        <f aca="false">E731*(1-1/(E716*E717))</f>
        <v>5.86846797177161</v>
      </c>
      <c r="F746" s="21" t="n">
        <f aca="false">F731*(1-1/(F716*F717))</f>
        <v>-0.367380342092935</v>
      </c>
      <c r="G746" s="21" t="n">
        <f aca="false">G731*(1-1/(G716*G717))</f>
        <v>-9.83602926956918</v>
      </c>
      <c r="K746" s="7" t="s">
        <v>632</v>
      </c>
    </row>
    <row r="747" customFormat="false" ht="17.15" hidden="false" customHeight="false" outlineLevel="0" collapsed="false">
      <c r="A747" s="3" t="s">
        <v>633</v>
      </c>
      <c r="B747" s="0" t="s">
        <v>302</v>
      </c>
      <c r="C747" s="21" t="n">
        <f aca="false">a25_gp</f>
        <v>18.292</v>
      </c>
      <c r="D747" s="21" t="n">
        <f aca="false">a26_gp</f>
        <v>47.3329657</v>
      </c>
      <c r="E747" s="21" t="n">
        <f aca="false">$D747+ft_abf*(E729-E746-$D729)+ft_oth*((E738-E729)-($D738-$D729))+E746-(E744-$D744)</f>
        <v>71.36020081599</v>
      </c>
      <c r="F747" s="21" t="n">
        <f aca="false">$D747+ft_abf*(F729-F746-$D729)+ft_oth*((F738-F729)-($D738-$D729))+F746-(F744-$D744)</f>
        <v>77.7578757789572</v>
      </c>
      <c r="G747" s="21" t="n">
        <f aca="false">$D747+ft_abf*(G729-G746-$D729)+ft_oth*((G738-G729)-($D738-$D729))+G746-(G744-$D744)</f>
        <v>83.1220544338809</v>
      </c>
      <c r="K747" s="3" t="s">
        <v>634</v>
      </c>
    </row>
    <row r="748" customFormat="false" ht="15" hidden="false" customHeight="false" outlineLevel="0" collapsed="false">
      <c r="A748" s="3" t="s">
        <v>491</v>
      </c>
      <c r="B748" s="0" t="s">
        <v>44</v>
      </c>
      <c r="C748" s="16" t="n">
        <f aca="false">C747/C738</f>
        <v>0.139377176339711</v>
      </c>
      <c r="D748" s="16" t="n">
        <f aca="false">D747/D738</f>
        <v>0.251412029627899</v>
      </c>
      <c r="E748" s="16" t="n">
        <f aca="false">E747/E738</f>
        <v>0.290267776833785</v>
      </c>
      <c r="F748" s="16" t="n">
        <f aca="false">F747/F738</f>
        <v>0.279188927746694</v>
      </c>
      <c r="G748" s="16" t="n">
        <f aca="false">G747/G738</f>
        <v>0.269598627385742</v>
      </c>
    </row>
    <row r="749" customFormat="false" ht="15" hidden="false" customHeight="false" outlineLevel="0" collapsed="false">
      <c r="A749" s="3" t="s">
        <v>493</v>
      </c>
      <c r="B749" s="0" t="s">
        <v>302</v>
      </c>
      <c r="C749" s="21" t="n">
        <f aca="false">a25_opx</f>
        <v>11.618</v>
      </c>
      <c r="D749" s="21" t="n">
        <f aca="false">a26_opx</f>
        <v>16.6539532</v>
      </c>
      <c r="E749" s="21" t="n">
        <f aca="false">D749*(1+phi*E739)</f>
        <v>19.7097079663903</v>
      </c>
      <c r="F749" s="21" t="n">
        <f aca="false">E749*(1+phi*F739)</f>
        <v>21.281279361783</v>
      </c>
      <c r="G749" s="21" t="n">
        <f aca="false">F749*(1+phi*G739)</f>
        <v>22.6476928758924</v>
      </c>
    </row>
    <row r="750" customFormat="false" ht="15" hidden="false" customHeight="false" outlineLevel="0" collapsed="false">
      <c r="A750" s="3" t="s">
        <v>496</v>
      </c>
      <c r="B750" s="0" t="s">
        <v>302</v>
      </c>
      <c r="C750" s="21" t="n">
        <f aca="false">C747-C749</f>
        <v>6.674</v>
      </c>
      <c r="D750" s="21" t="n">
        <f aca="false">D747-D749</f>
        <v>30.6790125</v>
      </c>
      <c r="E750" s="21" t="n">
        <f aca="false">E747-E749</f>
        <v>51.6504928495997</v>
      </c>
      <c r="F750" s="21" t="n">
        <f aca="false">F747-F749</f>
        <v>56.4765964171742</v>
      </c>
      <c r="G750" s="21" t="n">
        <f aca="false">G747-G749</f>
        <v>60.4743615579885</v>
      </c>
    </row>
    <row r="751" customFormat="false" ht="15" hidden="false" customHeight="false" outlineLevel="0" collapsed="false">
      <c r="A751" s="3" t="s">
        <v>575</v>
      </c>
      <c r="B751" s="0" t="s">
        <v>44</v>
      </c>
      <c r="C751" s="16" t="n">
        <f aca="false">C750/C738</f>
        <v>0.0508530108731265</v>
      </c>
      <c r="D751" s="16" t="n">
        <f aca="false">D750/D738</f>
        <v>0.162953507888999</v>
      </c>
      <c r="E751" s="16" t="n">
        <f aca="false">E750/E738</f>
        <v>0.210095733481501</v>
      </c>
      <c r="F751" s="16" t="n">
        <f aca="false">F750/F738</f>
        <v>0.202778692685953</v>
      </c>
      <c r="G751" s="16" t="n">
        <f aca="false">G750/G738</f>
        <v>0.19614294881308</v>
      </c>
    </row>
    <row r="752" customFormat="false" ht="17.15" hidden="false" customHeight="false" outlineLevel="0" collapsed="false">
      <c r="A752" s="3" t="s">
        <v>635</v>
      </c>
      <c r="B752" s="0" t="s">
        <v>302</v>
      </c>
      <c r="C752" s="21" t="n">
        <f aca="false">a25_nonop</f>
        <v>-0.00100000000000033</v>
      </c>
      <c r="D752" s="21" t="n">
        <f aca="false">a26_nonop</f>
        <v>14.466</v>
      </c>
      <c r="E752" s="21" t="n">
        <f aca="false">nonop27</f>
        <v>2</v>
      </c>
      <c r="F752" s="21" t="n">
        <f aca="false">nonop28</f>
        <v>2</v>
      </c>
      <c r="G752" s="21" t="n">
        <f aca="false">nonop29</f>
        <v>2</v>
      </c>
      <c r="K752" s="7" t="s">
        <v>636</v>
      </c>
    </row>
    <row r="753" customFormat="false" ht="15" hidden="false" customHeight="false" outlineLevel="0" collapsed="false">
      <c r="A753" s="3" t="s">
        <v>502</v>
      </c>
      <c r="B753" s="0" t="s">
        <v>302</v>
      </c>
      <c r="C753" s="21" t="n">
        <f aca="false">C750+C752</f>
        <v>6.673</v>
      </c>
      <c r="D753" s="21" t="n">
        <f aca="false">D750+D752</f>
        <v>45.1450125</v>
      </c>
      <c r="E753" s="21" t="n">
        <f aca="false">E750+E752</f>
        <v>53.6504928495997</v>
      </c>
      <c r="F753" s="21" t="n">
        <f aca="false">F750+F752</f>
        <v>58.4765964171742</v>
      </c>
      <c r="G753" s="21" t="n">
        <f aca="false">G750+G752</f>
        <v>62.4743615579885</v>
      </c>
    </row>
    <row r="754" customFormat="false" ht="15" hidden="false" customHeight="false" outlineLevel="0" collapsed="false">
      <c r="A754" s="3" t="s">
        <v>506</v>
      </c>
      <c r="B754" s="0" t="s">
        <v>302</v>
      </c>
      <c r="E754" s="21" t="n">
        <f aca="false">E753*tax</f>
        <v>9.65708871292794</v>
      </c>
      <c r="F754" s="21" t="n">
        <f aca="false">F753*tax</f>
        <v>10.5257873550914</v>
      </c>
      <c r="G754" s="21" t="n">
        <f aca="false">G753*tax</f>
        <v>11.2453850804379</v>
      </c>
    </row>
    <row r="755" customFormat="false" ht="15" hidden="false" customHeight="false" outlineLevel="0" collapsed="false">
      <c r="A755" s="3" t="s">
        <v>504</v>
      </c>
      <c r="B755" s="0" t="s">
        <v>302</v>
      </c>
      <c r="C755" s="21" t="n">
        <f aca="false">a25_ni</f>
        <v>6.673</v>
      </c>
      <c r="D755" s="21" t="n">
        <f aca="false">a26_ni</f>
        <v>37.23923025</v>
      </c>
      <c r="E755" s="21" t="n">
        <f aca="false">E753-E754</f>
        <v>43.9934041366717</v>
      </c>
      <c r="F755" s="21" t="n">
        <f aca="false">F753-F754</f>
        <v>47.9508090620828</v>
      </c>
      <c r="G755" s="21" t="n">
        <f aca="false">G753-G754</f>
        <v>51.2289764775506</v>
      </c>
      <c r="H755" s="30" t="n">
        <f aca="false">H738*H759</f>
        <v>56.7689840340556</v>
      </c>
      <c r="I755" s="30" t="n">
        <f aca="false">I738*I759</f>
        <v>61.9905410580344</v>
      </c>
      <c r="J755" s="30" t="n">
        <f aca="false">J738*J759</f>
        <v>66.691328903514</v>
      </c>
    </row>
    <row r="756" customFormat="false" ht="15" hidden="false" customHeight="false" outlineLevel="0" collapsed="false">
      <c r="A756" s="3" t="s">
        <v>637</v>
      </c>
      <c r="B756" s="3" t="s">
        <v>380</v>
      </c>
      <c r="C756" s="29" t="n">
        <f aca="false">a25_sh</f>
        <v>1.52351598173516</v>
      </c>
      <c r="D756" s="29" t="n">
        <f aca="false">a26_sh</f>
        <v>1.59236316568047</v>
      </c>
      <c r="E756" s="29" t="n">
        <f aca="false">a26_shend*(1+sh_g)</f>
        <v>1.64</v>
      </c>
      <c r="F756" s="29" t="n">
        <f aca="false">E756*(1+sh_g)</f>
        <v>1.64</v>
      </c>
      <c r="G756" s="29" t="n">
        <f aca="false">F756*(1+sh_g)</f>
        <v>1.64</v>
      </c>
      <c r="H756" s="31" t="n">
        <f aca="false">G756*(1+sh_g)</f>
        <v>1.64</v>
      </c>
      <c r="I756" s="31" t="n">
        <f aca="false">H756*(1+sh_g)</f>
        <v>1.64</v>
      </c>
      <c r="J756" s="31" t="n">
        <f aca="false">I756*(1+sh_g)</f>
        <v>1.64</v>
      </c>
    </row>
    <row r="757" customFormat="false" ht="17.15" hidden="false" customHeight="false" outlineLevel="0" collapsed="false">
      <c r="A757" s="0" t="s">
        <v>509</v>
      </c>
      <c r="B757" s="0" t="s">
        <v>386</v>
      </c>
      <c r="C757" s="18" t="n">
        <f aca="false">C755/C756</f>
        <v>4.38</v>
      </c>
      <c r="D757" s="18" t="n">
        <f aca="false">D755/D756</f>
        <v>23.3861414610695</v>
      </c>
      <c r="E757" s="18" t="n">
        <f aca="false">E755/E756</f>
        <v>26.8252464247998</v>
      </c>
      <c r="F757" s="18" t="n">
        <f aca="false">F755/F756</f>
        <v>29.2382982085871</v>
      </c>
      <c r="G757" s="18" t="n">
        <f aca="false">G755/G756</f>
        <v>31.2371807789943</v>
      </c>
      <c r="H757" s="28" t="n">
        <f aca="false">H755/H756</f>
        <v>34.6152341671071</v>
      </c>
      <c r="I757" s="28" t="n">
        <f aca="false">I755/I756</f>
        <v>37.7991104012405</v>
      </c>
      <c r="J757" s="28" t="n">
        <f aca="false">J755/J756</f>
        <v>40.6654444533622</v>
      </c>
    </row>
    <row r="758" customFormat="false" ht="17.15" hidden="false" customHeight="false" outlineLevel="0" collapsed="false">
      <c r="A758" s="0" t="s">
        <v>638</v>
      </c>
      <c r="B758" s="0" t="s">
        <v>44</v>
      </c>
      <c r="D758" s="20" t="n">
        <f aca="false">D757/C757-1</f>
        <v>4.33930170344053</v>
      </c>
      <c r="E758" s="20" t="n">
        <f aca="false">E757/D757-1</f>
        <v>0.147057391637494</v>
      </c>
      <c r="F758" s="20" t="n">
        <f aca="false">F757/E757-1</f>
        <v>0.0899545057508364</v>
      </c>
      <c r="G758" s="20" t="n">
        <f aca="false">G757/F757-1</f>
        <v>0.0683652159283372</v>
      </c>
      <c r="H758" s="26" t="n">
        <f aca="false">H757/G757-1</f>
        <v>0.108142069926631</v>
      </c>
      <c r="I758" s="26" t="n">
        <f aca="false">I757/H757-1</f>
        <v>0.0919790465308725</v>
      </c>
      <c r="J758" s="26" t="n">
        <f aca="false">J757/I757-1</f>
        <v>0.0758307278053731</v>
      </c>
    </row>
    <row r="759" customFormat="false" ht="17.15" hidden="false" customHeight="false" outlineLevel="0" collapsed="false">
      <c r="A759" s="3" t="s">
        <v>639</v>
      </c>
      <c r="B759" s="0" t="s">
        <v>44</v>
      </c>
      <c r="C759" s="16" t="n">
        <f aca="false">C755/C738</f>
        <v>0.0508453913030227</v>
      </c>
      <c r="D759" s="16" t="n">
        <f aca="false">D755/D738</f>
        <v>0.197798517808343</v>
      </c>
      <c r="E759" s="16" t="n">
        <f aca="false">E755/E738</f>
        <v>0.17894943495227</v>
      </c>
      <c r="F759" s="16" t="n">
        <f aca="false">F755/F738</f>
        <v>0.172166932706413</v>
      </c>
      <c r="G759" s="16" t="n">
        <f aca="false">G755/G738</f>
        <v>0.166156404997307</v>
      </c>
      <c r="H759" s="27" t="n">
        <f aca="false">$G759+(fade_mA-$G759)*1/3</f>
        <v>0.168714294940248</v>
      </c>
      <c r="I759" s="27" t="n">
        <f aca="false">$G759+(fade_mA-$G759)*2/3</f>
        <v>0.171272184883189</v>
      </c>
      <c r="J759" s="27" t="n">
        <f aca="false">$G759+(fade_mA-$G759)*3/3</f>
        <v>0.17383007482613</v>
      </c>
    </row>
    <row r="760" customFormat="false" ht="17.15" hidden="false" customHeight="false" outlineLevel="0" collapsed="false">
      <c r="A760" s="3" t="s">
        <v>640</v>
      </c>
      <c r="B760" s="0" t="s">
        <v>44</v>
      </c>
      <c r="C760" s="20" t="n">
        <f aca="false">C743/C738</f>
        <v>0.195190527350447</v>
      </c>
      <c r="D760" s="20" t="n">
        <f aca="false">D743/D738</f>
        <v>0.285230933480641</v>
      </c>
      <c r="E760" s="20" t="n">
        <f aca="false">E743/E738</f>
        <v>0.223720330706817</v>
      </c>
      <c r="F760" s="20" t="n">
        <f aca="false">F743/F738</f>
        <v>0.179524533656466</v>
      </c>
      <c r="G760" s="20" t="n">
        <f aca="false">G743/G738</f>
        <v>0.145953301022037</v>
      </c>
      <c r="H760" s="26" t="n">
        <f aca="false">$G760+($G745*(1+tp_g)^(life_lo/2)-$G760)*1/3</f>
        <v>0.138923703133392</v>
      </c>
      <c r="I760" s="26" t="n">
        <f aca="false">$G760+($G745*(1+tp_g)^(life_lo/2)-$G760)*2/3</f>
        <v>0.131894105244747</v>
      </c>
      <c r="J760" s="26" t="n">
        <f aca="false">$G760+($G745*(1+tp_g)^(life_lo/2)-$G760)*3/3</f>
        <v>0.124864507356101</v>
      </c>
      <c r="K760" s="7" t="s">
        <v>641</v>
      </c>
    </row>
    <row r="761" customFormat="false" ht="15" hidden="false" customHeight="false" outlineLevel="0" collapsed="false">
      <c r="A761" s="3" t="s">
        <v>642</v>
      </c>
      <c r="B761" s="0" t="s">
        <v>302</v>
      </c>
      <c r="E761" s="21" t="n">
        <f aca="false">E755+E744-E743</f>
        <v>15.2767374700051</v>
      </c>
      <c r="F761" s="21" t="n">
        <f aca="false">F755+F744-F743</f>
        <v>29.0202535065273</v>
      </c>
      <c r="G761" s="21" t="n">
        <f aca="false">G755+G744-G743</f>
        <v>40.4535135145876</v>
      </c>
      <c r="H761" s="30" t="n">
        <f aca="false">H755+H744-H743</f>
        <v>47.3745937222781</v>
      </c>
      <c r="I761" s="30" t="n">
        <f aca="false">I755+I744-I743</f>
        <v>54.4295748573889</v>
      </c>
      <c r="J761" s="30" t="n">
        <f aca="false">J755+J744-J743</f>
        <v>61.3736674130355</v>
      </c>
      <c r="K761" s="3" t="s">
        <v>643</v>
      </c>
    </row>
    <row r="762" customFormat="false" ht="15" hidden="false" customHeight="false" outlineLevel="0" collapsed="false">
      <c r="A762" s="3" t="s">
        <v>644</v>
      </c>
      <c r="B762" s="0" t="s">
        <v>386</v>
      </c>
      <c r="E762" s="18" t="n">
        <f aca="false">E761/E756</f>
        <v>9.31508382317382</v>
      </c>
      <c r="F762" s="18" t="n">
        <f aca="false">F761/F756</f>
        <v>17.6952765283703</v>
      </c>
      <c r="G762" s="18" t="n">
        <f aca="false">G761/G756</f>
        <v>24.6667765332851</v>
      </c>
      <c r="H762" s="28" t="n">
        <f aca="false">H761/H756</f>
        <v>28.886947391633</v>
      </c>
      <c r="I762" s="28" t="n">
        <f aca="false">I761/I756</f>
        <v>33.1887651569445</v>
      </c>
      <c r="J762" s="28" t="n">
        <f aca="false">J761/J756</f>
        <v>37.4229679347777</v>
      </c>
    </row>
    <row r="765" customFormat="false" ht="17.15" hidden="false" customHeight="false" outlineLevel="0" collapsed="false">
      <c r="A765" s="1" t="s">
        <v>957</v>
      </c>
    </row>
    <row r="766" customFormat="false" ht="17.15" hidden="false" customHeight="false" outlineLevel="0" collapsed="false">
      <c r="A766" s="4" t="s">
        <v>21</v>
      </c>
      <c r="B766" s="4" t="s">
        <v>22</v>
      </c>
      <c r="C766" s="13" t="s">
        <v>477</v>
      </c>
      <c r="D766" s="13" t="s">
        <v>562</v>
      </c>
      <c r="E766" s="13" t="s">
        <v>563</v>
      </c>
      <c r="F766" s="13" t="s">
        <v>564</v>
      </c>
      <c r="G766" s="13" t="s">
        <v>565</v>
      </c>
      <c r="H766" s="13" t="s">
        <v>566</v>
      </c>
      <c r="I766" s="13" t="s">
        <v>567</v>
      </c>
      <c r="J766" s="13" t="s">
        <v>568</v>
      </c>
      <c r="K766" s="4" t="s">
        <v>533</v>
      </c>
    </row>
    <row r="767" customFormat="false" ht="17.15" hidden="false" customHeight="false" outlineLevel="0" collapsed="false">
      <c r="A767" s="5" t="s">
        <v>586</v>
      </c>
    </row>
    <row r="768" customFormat="false" ht="17.15" hidden="false" customHeight="false" outlineLevel="0" collapsed="false">
      <c r="A768" s="0" t="s">
        <v>587</v>
      </c>
      <c r="B768" s="3" t="s">
        <v>32</v>
      </c>
      <c r="D768" s="21" t="n">
        <f aca="false">(u_bw_26+u_rb_26+u_ru_26+u_hp_26)*1</f>
        <v>7.6</v>
      </c>
      <c r="E768" s="21" t="n">
        <f aca="false">(u_bw_27+u_rb_27+u_ru_27+u_hp_27)*1*1</f>
        <v>9.7</v>
      </c>
      <c r="F768" s="21" t="n">
        <f aca="false">(u_bw_28+u_rb_28+u_ru_28+u_hp_28)*um28_A*1</f>
        <v>9.5</v>
      </c>
      <c r="G768" s="21" t="n">
        <f aca="false">(u_bw_28*(1+g29_bw)+u_rb_28*(1+g29_rb)+u_ru_28*(1+g29_ru)+u_hp_28*(1+g29_hp))*um29_A*1</f>
        <v>10.6</v>
      </c>
      <c r="K768" s="7" t="s">
        <v>588</v>
      </c>
    </row>
    <row r="769" customFormat="false" ht="17.15" hidden="false" customHeight="false" outlineLevel="0" collapsed="false">
      <c r="A769" s="3" t="s">
        <v>589</v>
      </c>
      <c r="B769" s="3" t="s">
        <v>32</v>
      </c>
      <c r="D769" s="21" t="n">
        <f aca="false">(u_amd_26+u_tpu_26+u_trn_26+u_oth_26)*1</f>
        <v>7.6</v>
      </c>
      <c r="E769" s="21" t="n">
        <f aca="false">(u_amd_27+u_tpu_27+u_trn_27+u_oth_27)*1*1</f>
        <v>14</v>
      </c>
      <c r="F769" s="21" t="n">
        <f aca="false">(u_amd_28+u_tpu_28+u_trn_28+u_oth_28)*um28_A*1</f>
        <v>17</v>
      </c>
      <c r="G769" s="21" t="n">
        <f aca="false">(u_amd_28*(1+g29_amd)+u_tpu_28*(1+g29_tpu)+u_trn_28*(1+g29_trn)+u_oth_28*(1+g29_oth))*um29_A*1</f>
        <v>19.55</v>
      </c>
      <c r="K769" s="7" t="s">
        <v>590</v>
      </c>
    </row>
    <row r="770" customFormat="false" ht="17.15" hidden="false" customHeight="false" outlineLevel="0" collapsed="false">
      <c r="A770" s="3" t="s">
        <v>591</v>
      </c>
      <c r="B770" s="0" t="s">
        <v>144</v>
      </c>
      <c r="D770" s="19" t="n">
        <f aca="false">1</f>
        <v>1</v>
      </c>
      <c r="E770" s="19" t="n">
        <f aca="false">D770*(1+g_asp)</f>
        <v>1.18</v>
      </c>
      <c r="F770" s="19" t="n">
        <f aca="false">E770*(1+g_asp)</f>
        <v>1.3924</v>
      </c>
      <c r="G770" s="19" t="n">
        <f aca="false">F770*(1+g_asp)</f>
        <v>1.643032</v>
      </c>
      <c r="K770" s="7" t="s">
        <v>592</v>
      </c>
    </row>
    <row r="771" customFormat="false" ht="17.15" hidden="false" customHeight="false" outlineLevel="0" collapsed="false">
      <c r="A771" s="0" t="s">
        <v>593</v>
      </c>
      <c r="B771" s="0" t="s">
        <v>144</v>
      </c>
      <c r="D771" s="18" t="n">
        <f aca="false">1</f>
        <v>1</v>
      </c>
      <c r="E771" s="18" t="n">
        <f aca="false">ibpp_27</f>
        <v>1</v>
      </c>
      <c r="F771" s="18" t="n">
        <f aca="false">ibpp_28</f>
        <v>0.95</v>
      </c>
      <c r="G771" s="18" t="n">
        <f aca="false">ibpp_29</f>
        <v>0.9</v>
      </c>
      <c r="K771" s="7" t="s">
        <v>594</v>
      </c>
    </row>
    <row r="772" customFormat="false" ht="17.15" hidden="false" customHeight="false" outlineLevel="0" collapsed="false">
      <c r="A772" s="3" t="s">
        <v>595</v>
      </c>
      <c r="B772" s="0" t="s">
        <v>144</v>
      </c>
      <c r="D772" s="18" t="n">
        <f aca="false">1</f>
        <v>1</v>
      </c>
      <c r="E772" s="18" t="n">
        <f aca="false">1+carry</f>
        <v>1.05</v>
      </c>
      <c r="F772" s="18" t="n">
        <f aca="false">1+carry</f>
        <v>1.05</v>
      </c>
      <c r="G772" s="18" t="n">
        <f aca="false">1+carry</f>
        <v>1.05</v>
      </c>
      <c r="K772" s="7" t="s">
        <v>596</v>
      </c>
    </row>
    <row r="773" customFormat="false" ht="17.15" hidden="false" customHeight="false" outlineLevel="0" collapsed="false">
      <c r="A773" s="3" t="s">
        <v>597</v>
      </c>
      <c r="B773" s="0" t="s">
        <v>598</v>
      </c>
      <c r="D773" s="23" t="n">
        <f aca="false">v26*D770*D771</f>
        <v>215.308596</v>
      </c>
      <c r="E773" s="23" t="n">
        <f aca="false">v26*E770*E771</f>
        <v>254.06414328</v>
      </c>
      <c r="F773" s="23" t="n">
        <f aca="false">v26*F770*F771</f>
        <v>284.80590461688</v>
      </c>
      <c r="G773" s="23" t="n">
        <f aca="false">v26*G770*G771</f>
        <v>318.383021792765</v>
      </c>
      <c r="K773" s="7" t="s">
        <v>599</v>
      </c>
    </row>
    <row r="774" customFormat="false" ht="17.15" hidden="false" customHeight="false" outlineLevel="0" collapsed="false">
      <c r="A774" s="3" t="s">
        <v>600</v>
      </c>
      <c r="B774" s="0" t="s">
        <v>44</v>
      </c>
      <c r="D774" s="20" t="n">
        <f aca="false">sh_nv_26</f>
        <v>0.25</v>
      </c>
      <c r="E774" s="20" t="n">
        <f aca="false">sh_nv_27</f>
        <v>0.27</v>
      </c>
      <c r="F774" s="20" t="n">
        <f aca="false">sh_nv_28</f>
        <v>0.29</v>
      </c>
      <c r="G774" s="20" t="n">
        <f aca="false">sh_nv_29</f>
        <v>0.3</v>
      </c>
    </row>
    <row r="775" customFormat="false" ht="17.15" hidden="false" customHeight="false" outlineLevel="0" collapsed="false">
      <c r="A775" s="3" t="s">
        <v>601</v>
      </c>
      <c r="B775" s="0" t="s">
        <v>44</v>
      </c>
      <c r="D775" s="20" t="n">
        <f aca="false">sh_ot_26</f>
        <v>0.3</v>
      </c>
      <c r="E775" s="20" t="n">
        <f aca="false">sh_ot_27</f>
        <v>0.31</v>
      </c>
      <c r="F775" s="20" t="n">
        <f aca="false">sh_ot_28</f>
        <v>0.32</v>
      </c>
      <c r="G775" s="20" t="n">
        <f aca="false">sh_ot_29</f>
        <v>0.33</v>
      </c>
    </row>
    <row r="776" customFormat="false" ht="17.15" hidden="false" customHeight="false" outlineLevel="0" collapsed="false">
      <c r="A776" s="3" t="s">
        <v>602</v>
      </c>
      <c r="B776" s="0" t="s">
        <v>552</v>
      </c>
      <c r="D776" s="22" t="n">
        <f aca="false">(D768*D773*D774+D769*D773*v_ot*D775)*D772</f>
        <v>801.809211504</v>
      </c>
      <c r="E776" s="22" t="n">
        <f aca="false">(E768*E773*E774+E769*E773*v_ot*E775)*E772</f>
        <v>1624.8799315544</v>
      </c>
      <c r="F776" s="22" t="n">
        <f aca="false">(F768*F773*F774+F769*F773*v_ot*F775)*F772</f>
        <v>2125.32134231777</v>
      </c>
      <c r="G776" s="22" t="n">
        <f aca="false">(G768*G773*G774+G769*G773*v_ot*G775)*G772</f>
        <v>2788.4812844467</v>
      </c>
    </row>
    <row r="777" customFormat="false" ht="15" hidden="false" customHeight="false" outlineLevel="0" collapsed="false">
      <c r="A777" s="3" t="s">
        <v>603</v>
      </c>
      <c r="B777" s="0" t="s">
        <v>302</v>
      </c>
      <c r="D777" s="21" t="n">
        <f aca="false">D776*fx/1000</f>
        <v>26.05879937388</v>
      </c>
      <c r="E777" s="21" t="n">
        <f aca="false">E776*fx/1000</f>
        <v>52.8085977755181</v>
      </c>
      <c r="F777" s="21" t="n">
        <f aca="false">F776*fx/1000</f>
        <v>69.0729436253277</v>
      </c>
      <c r="G777" s="21" t="n">
        <f aca="false">G776*fx/1000</f>
        <v>90.6256417445177</v>
      </c>
    </row>
    <row r="778" customFormat="false" ht="17.15" hidden="false" customHeight="false" outlineLevel="0" collapsed="false">
      <c r="A778" s="5" t="s">
        <v>604</v>
      </c>
    </row>
    <row r="779" customFormat="false" ht="17.15" hidden="false" customHeight="false" outlineLevel="0" collapsed="false">
      <c r="A779" s="0" t="s">
        <v>605</v>
      </c>
      <c r="B779" s="0" t="s">
        <v>302</v>
      </c>
      <c r="D779" s="21" t="n">
        <f aca="false">a26_abf*ai_abf</f>
        <v>74.83672875</v>
      </c>
      <c r="K779" s="3" t="s">
        <v>606</v>
      </c>
    </row>
    <row r="780" customFormat="false" ht="17.15" hidden="false" customHeight="false" outlineLevel="0" collapsed="false">
      <c r="A780" s="3" t="s">
        <v>607</v>
      </c>
      <c r="B780" s="0" t="s">
        <v>302</v>
      </c>
      <c r="D780" s="21" t="n">
        <f aca="false">D779-D777</f>
        <v>48.77792937612</v>
      </c>
      <c r="E780" s="21" t="n">
        <f aca="false">$D780*(itc_27/itc_26)^el_o*1*1*E771*E772</f>
        <v>72.4686721045733</v>
      </c>
      <c r="F780" s="21" t="n">
        <f aca="false">$D780*(itc_28/itc_26)^el_o*um28_A*1*F771*F772</f>
        <v>77.5118128697435</v>
      </c>
      <c r="G780" s="21" t="n">
        <f aca="false">$D780*(itc_29/itc_26)^el_o*um29_A*1*G771*G772</f>
        <v>78.3752247962621</v>
      </c>
      <c r="K780" s="7" t="s">
        <v>608</v>
      </c>
    </row>
    <row r="781" customFormat="false" ht="17.15" hidden="false" customHeight="false" outlineLevel="0" collapsed="false">
      <c r="A781" s="3" t="s">
        <v>609</v>
      </c>
      <c r="B781" s="0" t="s">
        <v>302</v>
      </c>
      <c r="D781" s="21" t="n">
        <f aca="false">a26_abf-D779</f>
        <v>24.94557625</v>
      </c>
      <c r="E781" s="21" t="n">
        <f aca="false">D781*(1+g_nai)</f>
        <v>25.6939435375</v>
      </c>
      <c r="F781" s="21" t="n">
        <f aca="false">E781*(1+g_nai)</f>
        <v>26.464761843625</v>
      </c>
      <c r="G781" s="21" t="n">
        <f aca="false">F781*(1+g_nai)</f>
        <v>27.2587046989338</v>
      </c>
    </row>
    <row r="782" customFormat="false" ht="17.15" hidden="false" customHeight="false" outlineLevel="0" collapsed="false">
      <c r="A782" s="0" t="s">
        <v>610</v>
      </c>
      <c r="B782" s="0" t="s">
        <v>302</v>
      </c>
      <c r="D782" s="21" t="n">
        <f aca="false">D777+D780+D781</f>
        <v>99.782305</v>
      </c>
      <c r="E782" s="21" t="n">
        <f aca="false">E777+E780+E781</f>
        <v>150.971213417591</v>
      </c>
      <c r="F782" s="21" t="n">
        <f aca="false">F777+F780+F781</f>
        <v>173.049518338696</v>
      </c>
      <c r="G782" s="21" t="n">
        <f aca="false">G777+G780+G781</f>
        <v>196.259571239714</v>
      </c>
    </row>
    <row r="783" customFormat="false" ht="17.15" hidden="false" customHeight="false" outlineLevel="0" collapsed="false">
      <c r="A783" s="0" t="s">
        <v>611</v>
      </c>
      <c r="B783" s="0" t="s">
        <v>302</v>
      </c>
      <c r="D783" s="21" t="n">
        <f aca="false">a26_abf</f>
        <v>99.782305</v>
      </c>
      <c r="E783" s="21" t="n">
        <f aca="false">$D782*cap_27*(1+g_mix)^1*E771*E772</f>
        <v>148.513488204375</v>
      </c>
      <c r="F783" s="21" t="n">
        <f aca="false">$D782*cap_28*(1+g_mix)^2*F771*F772</f>
        <v>186.549442683384</v>
      </c>
      <c r="G783" s="21" t="n">
        <f aca="false">$D782*cap_29*(1+g_mix)^3*G771*G772</f>
        <v>218.314827660431</v>
      </c>
      <c r="K783" s="7" t="s">
        <v>612</v>
      </c>
    </row>
    <row r="784" customFormat="false" ht="17.15" hidden="false" customHeight="false" outlineLevel="0" collapsed="false">
      <c r="A784" s="0" t="s">
        <v>613</v>
      </c>
      <c r="B784" s="0" t="s">
        <v>302</v>
      </c>
      <c r="D784" s="21" t="n">
        <f aca="false">a26_abf</f>
        <v>99.782305</v>
      </c>
      <c r="E784" s="21" t="n">
        <f aca="false">MIN(E782,E783)</f>
        <v>148.513488204375</v>
      </c>
      <c r="F784" s="21" t="n">
        <f aca="false">MIN(F782,F783)</f>
        <v>173.049518338696</v>
      </c>
      <c r="G784" s="21" t="n">
        <f aca="false">MIN(G782,G783)</f>
        <v>196.259571239714</v>
      </c>
    </row>
    <row r="785" customFormat="false" ht="17.15" hidden="false" customHeight="false" outlineLevel="0" collapsed="false">
      <c r="A785" s="3" t="s">
        <v>614</v>
      </c>
      <c r="B785" s="0" t="s">
        <v>44</v>
      </c>
      <c r="D785" s="20" t="n">
        <f aca="false">D784/D782</f>
        <v>1</v>
      </c>
      <c r="E785" s="20" t="n">
        <f aca="false">E784/E782</f>
        <v>0.983720570580444</v>
      </c>
      <c r="F785" s="20" t="n">
        <f aca="false">F784/F782</f>
        <v>1</v>
      </c>
      <c r="G785" s="20" t="n">
        <f aca="false">G784/G782</f>
        <v>1</v>
      </c>
    </row>
    <row r="786" customFormat="false" ht="17.15" hidden="false" customHeight="false" outlineLevel="0" collapsed="false">
      <c r="A786" s="0" t="s">
        <v>615</v>
      </c>
      <c r="B786" s="0" t="s">
        <v>302</v>
      </c>
      <c r="D786" s="21" t="n">
        <f aca="false">(D777+D780)*D785</f>
        <v>74.83672875</v>
      </c>
      <c r="E786" s="21" t="n">
        <f aca="false">(E777+E780)*E785</f>
        <v>123.237827407204</v>
      </c>
      <c r="F786" s="21" t="n">
        <f aca="false">(F777+F780)*F785</f>
        <v>146.584756495071</v>
      </c>
      <c r="G786" s="21" t="n">
        <f aca="false">(G777+G780)*G785</f>
        <v>169.00086654078</v>
      </c>
    </row>
    <row r="787" customFormat="false" ht="17.15" hidden="false" customHeight="false" outlineLevel="0" collapsed="false">
      <c r="A787" s="3" t="s">
        <v>616</v>
      </c>
      <c r="B787" s="0" t="s">
        <v>44</v>
      </c>
      <c r="D787" s="20" t="n">
        <f aca="false">D777/(D777+D780)</f>
        <v>0.348208691228771</v>
      </c>
      <c r="E787" s="20" t="n">
        <f aca="false">E777/(E777+E780)</f>
        <v>0.421533753298293</v>
      </c>
      <c r="F787" s="20" t="n">
        <f aca="false">F777/(F777+F780)</f>
        <v>0.471215051802813</v>
      </c>
      <c r="G787" s="20" t="n">
        <f aca="false">G777/(G777+G780)</f>
        <v>0.536243651287136</v>
      </c>
    </row>
    <row r="788" customFormat="false" ht="17.15" hidden="false" customHeight="false" outlineLevel="0" collapsed="false">
      <c r="A788" s="5" t="s">
        <v>617</v>
      </c>
    </row>
    <row r="789" customFormat="false" ht="17.15" hidden="false" customHeight="false" outlineLevel="0" collapsed="false">
      <c r="A789" s="0" t="s">
        <v>519</v>
      </c>
      <c r="B789" s="0" t="s">
        <v>302</v>
      </c>
      <c r="D789" s="21" t="n">
        <f aca="false">a26_bt</f>
        <v>16.944165</v>
      </c>
      <c r="E789" s="21" t="n">
        <f aca="false">D789*(1+g_bt)</f>
        <v>17.79137325</v>
      </c>
      <c r="F789" s="21" t="n">
        <f aca="false">E789*(1+g_bt)</f>
        <v>18.6809419125</v>
      </c>
      <c r="G789" s="21" t="n">
        <f aca="false">F789*(1+g_bt)</f>
        <v>19.614989008125</v>
      </c>
    </row>
    <row r="790" customFormat="false" ht="17.15" hidden="false" customHeight="false" outlineLevel="0" collapsed="false">
      <c r="A790" s="0" t="s">
        <v>618</v>
      </c>
      <c r="B790" s="0" t="s">
        <v>302</v>
      </c>
      <c r="D790" s="21" t="n">
        <f aca="false">a26_pcb*ai_pcb</f>
        <v>37.93610275</v>
      </c>
      <c r="E790" s="21" t="n">
        <f aca="false">D790*(1+g_pai_27)</f>
        <v>45.5233233</v>
      </c>
      <c r="F790" s="21" t="n">
        <f aca="false">D790*(1+g_pai_27)*(1+g_pai_28)*um28_A</f>
        <v>52.351821795</v>
      </c>
      <c r="G790" s="21" t="n">
        <f aca="false">D790*(1+g_pai_27)*(1+g_pai_28)*(1+g_pai_29)*um29_A</f>
        <v>57.5870039745</v>
      </c>
      <c r="K790" s="3" t="s">
        <v>619</v>
      </c>
    </row>
    <row r="791" customFormat="false" ht="17.15" hidden="false" customHeight="false" outlineLevel="0" collapsed="false">
      <c r="A791" s="3" t="s">
        <v>620</v>
      </c>
      <c r="B791" s="0" t="s">
        <v>302</v>
      </c>
      <c r="D791" s="21" t="n">
        <f aca="false">a26_pcb*(1-ai_pcb)</f>
        <v>20.42713225</v>
      </c>
      <c r="E791" s="21" t="n">
        <f aca="false">D791*(1+g_pcbn)</f>
        <v>20.835674895</v>
      </c>
      <c r="F791" s="21" t="n">
        <f aca="false">E791*(1+g_pcbn)</f>
        <v>21.2523883929</v>
      </c>
      <c r="G791" s="21" t="n">
        <f aca="false">F791*(1+g_pcbn)</f>
        <v>21.677436160758</v>
      </c>
    </row>
    <row r="792" customFormat="false" ht="15" hidden="false" customHeight="false" outlineLevel="0" collapsed="false">
      <c r="A792" s="3" t="s">
        <v>521</v>
      </c>
      <c r="B792" s="0" t="s">
        <v>302</v>
      </c>
      <c r="D792" s="21" t="n">
        <f aca="false">a26_fpc</f>
        <v>13.178795</v>
      </c>
      <c r="E792" s="21" t="n">
        <f aca="false">D792*(1+g_fpc)</f>
        <v>13.178795</v>
      </c>
      <c r="F792" s="21" t="n">
        <f aca="false">E792*(1+g_fpc)</f>
        <v>13.178795</v>
      </c>
      <c r="G792" s="21" t="n">
        <f aca="false">F792*(1+g_fpc)</f>
        <v>13.178795</v>
      </c>
    </row>
    <row r="793" customFormat="false" ht="17.15" hidden="false" customHeight="false" outlineLevel="0" collapsed="false">
      <c r="A793" s="3" t="s">
        <v>484</v>
      </c>
      <c r="B793" s="0" t="s">
        <v>302</v>
      </c>
      <c r="C793" s="23" t="n">
        <f aca="false">a25_rev</f>
        <v>131.241</v>
      </c>
      <c r="D793" s="23" t="n">
        <f aca="false">D784+D789+D790+D791+D792</f>
        <v>188.2685</v>
      </c>
      <c r="E793" s="23" t="n">
        <f aca="false">E784+E789+E790+E791+E792</f>
        <v>245.842654649375</v>
      </c>
      <c r="F793" s="23" t="n">
        <f aca="false">F784+F789+F790+F791+F792</f>
        <v>278.513465439096</v>
      </c>
      <c r="G793" s="23" t="n">
        <f aca="false">G784+G789+G790+G791+G792</f>
        <v>308.317795383097</v>
      </c>
      <c r="H793" s="25" t="n">
        <f aca="false">G793*(1+H794)</f>
        <v>336.479988575722</v>
      </c>
      <c r="I793" s="25" t="n">
        <f aca="false">H793*(1+I794)</f>
        <v>361.941672550702</v>
      </c>
      <c r="J793" s="25" t="n">
        <f aca="false">I793*(1+J794)</f>
        <v>383.658172903744</v>
      </c>
      <c r="K793" s="7" t="s">
        <v>621</v>
      </c>
    </row>
    <row r="794" customFormat="false" ht="15" hidden="false" customHeight="false" outlineLevel="0" collapsed="false">
      <c r="A794" s="3" t="s">
        <v>622</v>
      </c>
      <c r="B794" s="0" t="s">
        <v>44</v>
      </c>
      <c r="D794" s="20" t="n">
        <f aca="false">D793/C793-1</f>
        <v>0.434525034097576</v>
      </c>
      <c r="E794" s="20" t="n">
        <f aca="false">E793/D793-1</f>
        <v>0.30580875</v>
      </c>
      <c r="F794" s="20" t="n">
        <f aca="false">F793/E793-1</f>
        <v>0.132893174442478</v>
      </c>
      <c r="G794" s="20" t="n">
        <f aca="false">G793/F793-1</f>
        <v>0.107012168682803</v>
      </c>
      <c r="H794" s="26" t="n">
        <f aca="false">$G794+(fade_gA-$G794)*1/3</f>
        <v>0.091341445788535</v>
      </c>
      <c r="I794" s="26" t="n">
        <f aca="false">$G794+(fade_gA-$G794)*2/3</f>
        <v>0.0756707228942675</v>
      </c>
      <c r="J794" s="26" t="n">
        <f aca="false">$G794+(fade_gA-$G794)*3/3</f>
        <v>0.06</v>
      </c>
    </row>
    <row r="795" customFormat="false" ht="17.15" hidden="false" customHeight="false" outlineLevel="0" collapsed="false">
      <c r="A795" s="0" t="s">
        <v>623</v>
      </c>
      <c r="B795" s="0" t="s">
        <v>44</v>
      </c>
      <c r="D795" s="20" t="n">
        <f aca="false">D784/D793</f>
        <v>0.53</v>
      </c>
      <c r="E795" s="20" t="n">
        <f aca="false">E784/E793</f>
        <v>0.604099758100105</v>
      </c>
      <c r="F795" s="20" t="n">
        <f aca="false">F784/F793</f>
        <v>0.62133268158461</v>
      </c>
      <c r="G795" s="20" t="n">
        <f aca="false">G784/G793</f>
        <v>0.636549606213464</v>
      </c>
    </row>
    <row r="796" customFormat="false" ht="17.15" hidden="false" customHeight="false" outlineLevel="0" collapsed="false">
      <c r="A796" s="0" t="s">
        <v>624</v>
      </c>
      <c r="B796" s="0" t="s">
        <v>44</v>
      </c>
      <c r="D796" s="20" t="n">
        <f aca="false">(D786+D790)/D793</f>
        <v>0.599</v>
      </c>
      <c r="E796" s="20" t="n">
        <f aca="false">(E786+E790)/E793</f>
        <v>0.68646000812143</v>
      </c>
      <c r="F796" s="20" t="n">
        <f aca="false">(F786+F790)/F793</f>
        <v>0.714279928894761</v>
      </c>
      <c r="G796" s="20" t="n">
        <f aca="false">(G786+G790)/G793</f>
        <v>0.734916614961312</v>
      </c>
      <c r="K796" s="3" t="s">
        <v>625</v>
      </c>
    </row>
    <row r="797" customFormat="false" ht="17.15" hidden="false" customHeight="false" outlineLevel="0" collapsed="false">
      <c r="A797" s="5" t="s">
        <v>626</v>
      </c>
    </row>
    <row r="798" customFormat="false" ht="15" hidden="false" customHeight="false" outlineLevel="0" collapsed="false">
      <c r="A798" s="3" t="s">
        <v>627</v>
      </c>
      <c r="B798" s="0" t="s">
        <v>302</v>
      </c>
      <c r="C798" s="23" t="n">
        <f aca="false">a25_cx</f>
        <v>25.617</v>
      </c>
      <c r="D798" s="23" t="n">
        <f aca="false">capex26</f>
        <v>53.7</v>
      </c>
      <c r="E798" s="23" t="n">
        <f aca="false">cx27_A</f>
        <v>55</v>
      </c>
      <c r="F798" s="23" t="n">
        <f aca="false">cx28_A</f>
        <v>50</v>
      </c>
      <c r="G798" s="23" t="n">
        <f aca="false">cx29_A</f>
        <v>45</v>
      </c>
      <c r="H798" s="25" t="n">
        <f aca="false">H793*H815</f>
        <v>45.780363200461</v>
      </c>
      <c r="I798" s="25" t="n">
        <f aca="false">I793*I815</f>
        <v>45.6626108701916</v>
      </c>
      <c r="J798" s="25" t="n">
        <f aca="false">J793*J815</f>
        <v>44.6054628839122</v>
      </c>
    </row>
    <row r="799" customFormat="false" ht="17.15" hidden="false" customHeight="false" outlineLevel="0" collapsed="false">
      <c r="A799" s="3" t="s">
        <v>628</v>
      </c>
      <c r="B799" s="0" t="s">
        <v>302</v>
      </c>
      <c r="C799" s="23" t="n">
        <f aca="false">a25_da</f>
        <v>18.8</v>
      </c>
      <c r="D799" s="23" t="n">
        <f aca="false">da26</f>
        <v>20.8</v>
      </c>
      <c r="E799" s="23" t="n">
        <f aca="false">D799*(1-1/life_hi)+D798/life_hi</f>
        <v>24.09</v>
      </c>
      <c r="F799" s="23" t="n">
        <f aca="false">E799*(1-1/life_hi)+E798/life_hi</f>
        <v>27.181</v>
      </c>
      <c r="G799" s="23" t="n">
        <f aca="false">F799*(1-1/life_hi)+F798/life_hi</f>
        <v>29.4629</v>
      </c>
      <c r="H799" s="25" t="n">
        <f aca="false">H793*H800</f>
        <v>32.154083883123</v>
      </c>
      <c r="I799" s="25" t="n">
        <f aca="false">I793*I800</f>
        <v>34.5872066545619</v>
      </c>
      <c r="J799" s="25" t="n">
        <f aca="false">J793*J800</f>
        <v>36.6624390538356</v>
      </c>
      <c r="K799" s="3" t="s">
        <v>629</v>
      </c>
    </row>
    <row r="800" customFormat="false" ht="17.15" hidden="false" customHeight="false" outlineLevel="0" collapsed="false">
      <c r="A800" s="3" t="s">
        <v>630</v>
      </c>
      <c r="B800" s="0" t="s">
        <v>44</v>
      </c>
      <c r="C800" s="20" t="n">
        <f aca="false">C799/C793</f>
        <v>0.143247917952469</v>
      </c>
      <c r="D800" s="20" t="n">
        <f aca="false">D799/D793</f>
        <v>0.110480510547436</v>
      </c>
      <c r="E800" s="20" t="n">
        <f aca="false">E799/E793</f>
        <v>0.0979895048495859</v>
      </c>
      <c r="F800" s="20" t="n">
        <f aca="false">F799/F793</f>
        <v>0.0975931269863281</v>
      </c>
      <c r="G800" s="20" t="n">
        <f aca="false">G799/G793</f>
        <v>0.095560166948493</v>
      </c>
      <c r="H800" s="26" t="n">
        <f aca="false">$G800</f>
        <v>0.095560166948493</v>
      </c>
      <c r="I800" s="26" t="n">
        <f aca="false">$G800</f>
        <v>0.095560166948493</v>
      </c>
      <c r="J800" s="26" t="n">
        <f aca="false">$G800</f>
        <v>0.095560166948493</v>
      </c>
    </row>
    <row r="801" customFormat="false" ht="17.15" hidden="false" customHeight="false" outlineLevel="0" collapsed="false">
      <c r="A801" s="3" t="s">
        <v>631</v>
      </c>
      <c r="B801" s="0" t="s">
        <v>302</v>
      </c>
      <c r="E801" s="21" t="n">
        <f aca="false">E786*(1-1/(E771*E772))</f>
        <v>5.86846797177161</v>
      </c>
      <c r="F801" s="21" t="n">
        <f aca="false">F786*(1-1/(F771*F772))</f>
        <v>-0.367380342092935</v>
      </c>
      <c r="G801" s="21" t="n">
        <f aca="false">G786*(1-1/(G771*G772))</f>
        <v>-9.83602926956918</v>
      </c>
      <c r="K801" s="7" t="s">
        <v>632</v>
      </c>
    </row>
    <row r="802" customFormat="false" ht="17.15" hidden="false" customHeight="false" outlineLevel="0" collapsed="false">
      <c r="A802" s="3" t="s">
        <v>633</v>
      </c>
      <c r="B802" s="0" t="s">
        <v>302</v>
      </c>
      <c r="C802" s="21" t="n">
        <f aca="false">a25_gp</f>
        <v>18.292</v>
      </c>
      <c r="D802" s="21" t="n">
        <f aca="false">a26_gp</f>
        <v>47.3329657</v>
      </c>
      <c r="E802" s="21" t="n">
        <f aca="false">$D802+ft_abf*(E784-E801-$D784)+ft_oth*((E793-E784)-($D793-$D784))+E801-(E799-$D799)</f>
        <v>73.5535341493233</v>
      </c>
      <c r="F802" s="21" t="n">
        <f aca="false">$D802+ft_abf*(F784-F801-$D784)+ft_oth*((F793-F784)-($D793-$D784))+F801-(F799-$D799)</f>
        <v>81.6463202234016</v>
      </c>
      <c r="G802" s="21" t="n">
        <f aca="false">$D802+ft_abf*(G784-G801-$D784)+ft_oth*((G793-G784)-($D793-$D784))+G801-(G799-$D799)</f>
        <v>87.8836914709179</v>
      </c>
      <c r="K802" s="3" t="s">
        <v>634</v>
      </c>
    </row>
    <row r="803" customFormat="false" ht="15" hidden="false" customHeight="false" outlineLevel="0" collapsed="false">
      <c r="A803" s="3" t="s">
        <v>491</v>
      </c>
      <c r="B803" s="0" t="s">
        <v>44</v>
      </c>
      <c r="C803" s="16" t="n">
        <f aca="false">C802/C793</f>
        <v>0.139377176339711</v>
      </c>
      <c r="D803" s="16" t="n">
        <f aca="false">D802/D793</f>
        <v>0.251412029627899</v>
      </c>
      <c r="E803" s="16" t="n">
        <f aca="false">E802/E793</f>
        <v>0.299189472446214</v>
      </c>
      <c r="F803" s="16" t="n">
        <f aca="false">F802/F793</f>
        <v>0.293150351257453</v>
      </c>
      <c r="G803" s="16" t="n">
        <f aca="false">G802/G793</f>
        <v>0.285042552804061</v>
      </c>
    </row>
    <row r="804" customFormat="false" ht="15" hidden="false" customHeight="false" outlineLevel="0" collapsed="false">
      <c r="A804" s="3" t="s">
        <v>493</v>
      </c>
      <c r="B804" s="0" t="s">
        <v>302</v>
      </c>
      <c r="C804" s="21" t="n">
        <f aca="false">a25_opx</f>
        <v>11.618</v>
      </c>
      <c r="D804" s="21" t="n">
        <f aca="false">a26_opx</f>
        <v>16.6539532</v>
      </c>
      <c r="E804" s="21" t="n">
        <f aca="false">D804*(1+phi*E794)</f>
        <v>19.7097079663903</v>
      </c>
      <c r="F804" s="21" t="n">
        <f aca="false">E804*(1+phi*F794)</f>
        <v>21.281279361783</v>
      </c>
      <c r="G804" s="21" t="n">
        <f aca="false">F804*(1+phi*G794)</f>
        <v>22.6476928758924</v>
      </c>
    </row>
    <row r="805" customFormat="false" ht="15" hidden="false" customHeight="false" outlineLevel="0" collapsed="false">
      <c r="A805" s="3" t="s">
        <v>496</v>
      </c>
      <c r="B805" s="0" t="s">
        <v>302</v>
      </c>
      <c r="C805" s="21" t="n">
        <f aca="false">C802-C804</f>
        <v>6.674</v>
      </c>
      <c r="D805" s="21" t="n">
        <f aca="false">D802-D804</f>
        <v>30.6790125</v>
      </c>
      <c r="E805" s="21" t="n">
        <f aca="false">E802-E804</f>
        <v>53.843826182933</v>
      </c>
      <c r="F805" s="21" t="n">
        <f aca="false">F802-F804</f>
        <v>60.3650408616186</v>
      </c>
      <c r="G805" s="21" t="n">
        <f aca="false">G802-G804</f>
        <v>65.2359985950256</v>
      </c>
    </row>
    <row r="806" customFormat="false" ht="15" hidden="false" customHeight="false" outlineLevel="0" collapsed="false">
      <c r="A806" s="3" t="s">
        <v>575</v>
      </c>
      <c r="B806" s="0" t="s">
        <v>44</v>
      </c>
      <c r="C806" s="16" t="n">
        <f aca="false">C805/C793</f>
        <v>0.0508530108731265</v>
      </c>
      <c r="D806" s="16" t="n">
        <f aca="false">D805/D793</f>
        <v>0.162953507888999</v>
      </c>
      <c r="E806" s="16" t="n">
        <f aca="false">E805/E793</f>
        <v>0.21901742909393</v>
      </c>
      <c r="F806" s="16" t="n">
        <f aca="false">F805/F793</f>
        <v>0.216740116196712</v>
      </c>
      <c r="G806" s="16" t="n">
        <f aca="false">G805/G793</f>
        <v>0.211586874231399</v>
      </c>
    </row>
    <row r="807" customFormat="false" ht="17.15" hidden="false" customHeight="false" outlineLevel="0" collapsed="false">
      <c r="A807" s="3" t="s">
        <v>635</v>
      </c>
      <c r="B807" s="0" t="s">
        <v>302</v>
      </c>
      <c r="C807" s="21" t="n">
        <f aca="false">a25_nonop</f>
        <v>-0.00100000000000033</v>
      </c>
      <c r="D807" s="21" t="n">
        <f aca="false">a26_nonop</f>
        <v>14.466</v>
      </c>
      <c r="E807" s="21" t="n">
        <f aca="false">nonop27</f>
        <v>2</v>
      </c>
      <c r="F807" s="21" t="n">
        <f aca="false">nonop28</f>
        <v>2</v>
      </c>
      <c r="G807" s="21" t="n">
        <f aca="false">nonop29</f>
        <v>2</v>
      </c>
      <c r="K807" s="7" t="s">
        <v>636</v>
      </c>
    </row>
    <row r="808" customFormat="false" ht="15" hidden="false" customHeight="false" outlineLevel="0" collapsed="false">
      <c r="A808" s="3" t="s">
        <v>502</v>
      </c>
      <c r="B808" s="0" t="s">
        <v>302</v>
      </c>
      <c r="C808" s="21" t="n">
        <f aca="false">C805+C807</f>
        <v>6.673</v>
      </c>
      <c r="D808" s="21" t="n">
        <f aca="false">D805+D807</f>
        <v>45.1450125</v>
      </c>
      <c r="E808" s="21" t="n">
        <f aca="false">E805+E807</f>
        <v>55.843826182933</v>
      </c>
      <c r="F808" s="21" t="n">
        <f aca="false">F805+F807</f>
        <v>62.3650408616186</v>
      </c>
      <c r="G808" s="21" t="n">
        <f aca="false">G805+G807</f>
        <v>67.2359985950256</v>
      </c>
    </row>
    <row r="809" customFormat="false" ht="15" hidden="false" customHeight="false" outlineLevel="0" collapsed="false">
      <c r="A809" s="3" t="s">
        <v>506</v>
      </c>
      <c r="B809" s="0" t="s">
        <v>302</v>
      </c>
      <c r="E809" s="21" t="n">
        <f aca="false">E808*tax</f>
        <v>10.0518887129279</v>
      </c>
      <c r="F809" s="21" t="n">
        <f aca="false">F808*tax</f>
        <v>11.2257073550914</v>
      </c>
      <c r="G809" s="21" t="n">
        <f aca="false">G808*tax</f>
        <v>12.1024797471046</v>
      </c>
    </row>
    <row r="810" customFormat="false" ht="15" hidden="false" customHeight="false" outlineLevel="0" collapsed="false">
      <c r="A810" s="3" t="s">
        <v>504</v>
      </c>
      <c r="B810" s="0" t="s">
        <v>302</v>
      </c>
      <c r="C810" s="21" t="n">
        <f aca="false">a25_ni</f>
        <v>6.673</v>
      </c>
      <c r="D810" s="21" t="n">
        <f aca="false">a26_ni</f>
        <v>37.23923025</v>
      </c>
      <c r="E810" s="21" t="n">
        <f aca="false">E808-E809</f>
        <v>45.7919374700051</v>
      </c>
      <c r="F810" s="21" t="n">
        <f aca="false">F808-F809</f>
        <v>51.1393335065273</v>
      </c>
      <c r="G810" s="21" t="n">
        <f aca="false">G808-G809</f>
        <v>55.133518847921</v>
      </c>
      <c r="H810" s="30" t="n">
        <f aca="false">H793*H814</f>
        <v>59.6097766444707</v>
      </c>
      <c r="I810" s="30" t="n">
        <f aca="false">I793*I814</f>
        <v>63.5184197784533</v>
      </c>
      <c r="J810" s="30" t="n">
        <f aca="false">J793*J814</f>
        <v>66.691328903514</v>
      </c>
    </row>
    <row r="811" customFormat="false" ht="15" hidden="false" customHeight="false" outlineLevel="0" collapsed="false">
      <c r="A811" s="3" t="s">
        <v>637</v>
      </c>
      <c r="B811" s="3" t="s">
        <v>380</v>
      </c>
      <c r="C811" s="29" t="n">
        <f aca="false">a25_sh</f>
        <v>1.52351598173516</v>
      </c>
      <c r="D811" s="29" t="n">
        <f aca="false">a26_sh</f>
        <v>1.59236316568047</v>
      </c>
      <c r="E811" s="29" t="n">
        <f aca="false">a26_shend*(1+sh_g)</f>
        <v>1.64</v>
      </c>
      <c r="F811" s="29" t="n">
        <f aca="false">E811*(1+sh_g)</f>
        <v>1.64</v>
      </c>
      <c r="G811" s="29" t="n">
        <f aca="false">F811*(1+sh_g)</f>
        <v>1.64</v>
      </c>
      <c r="H811" s="31" t="n">
        <f aca="false">G811*(1+sh_g)</f>
        <v>1.64</v>
      </c>
      <c r="I811" s="31" t="n">
        <f aca="false">H811*(1+sh_g)</f>
        <v>1.64</v>
      </c>
      <c r="J811" s="31" t="n">
        <f aca="false">I811*(1+sh_g)</f>
        <v>1.64</v>
      </c>
    </row>
    <row r="812" customFormat="false" ht="17.15" hidden="false" customHeight="false" outlineLevel="0" collapsed="false">
      <c r="A812" s="0" t="s">
        <v>509</v>
      </c>
      <c r="B812" s="0" t="s">
        <v>386</v>
      </c>
      <c r="C812" s="18" t="n">
        <f aca="false">C810/C811</f>
        <v>4.38</v>
      </c>
      <c r="D812" s="18" t="n">
        <f aca="false">D810/D811</f>
        <v>23.3861414610695</v>
      </c>
      <c r="E812" s="18" t="n">
        <f aca="false">E810/E811</f>
        <v>27.9219130914665</v>
      </c>
      <c r="F812" s="18" t="n">
        <f aca="false">F810/F811</f>
        <v>31.1825204308093</v>
      </c>
      <c r="G812" s="18" t="n">
        <f aca="false">G810/G811</f>
        <v>33.6179992975128</v>
      </c>
      <c r="H812" s="28" t="n">
        <f aca="false">H810/H811</f>
        <v>36.3474247832138</v>
      </c>
      <c r="I812" s="28" t="n">
        <f aca="false">I810/I811</f>
        <v>38.7307437673496</v>
      </c>
      <c r="J812" s="28" t="n">
        <f aca="false">J810/J811</f>
        <v>40.6654444533622</v>
      </c>
    </row>
    <row r="813" customFormat="false" ht="17.15" hidden="false" customHeight="false" outlineLevel="0" collapsed="false">
      <c r="A813" s="0" t="s">
        <v>638</v>
      </c>
      <c r="B813" s="0" t="s">
        <v>44</v>
      </c>
      <c r="D813" s="20" t="n">
        <f aca="false">D812/C812-1</f>
        <v>4.33930170344053</v>
      </c>
      <c r="E813" s="20" t="n">
        <f aca="false">E812/D812-1</f>
        <v>0.19395126117524</v>
      </c>
      <c r="F813" s="20" t="n">
        <f aca="false">F812/E812-1</f>
        <v>0.116775928950919</v>
      </c>
      <c r="G813" s="20" t="n">
        <f aca="false">G812/F812-1</f>
        <v>0.0781039772621182</v>
      </c>
      <c r="H813" s="26" t="n">
        <f aca="false">H812/G812-1</f>
        <v>0.0811894087315002</v>
      </c>
      <c r="I813" s="26" t="n">
        <f aca="false">I812/H812-1</f>
        <v>0.065570504605224</v>
      </c>
      <c r="J813" s="26" t="n">
        <f aca="false">J812/I812-1</f>
        <v>0.0499525828275877</v>
      </c>
    </row>
    <row r="814" customFormat="false" ht="17.15" hidden="false" customHeight="false" outlineLevel="0" collapsed="false">
      <c r="A814" s="3" t="s">
        <v>639</v>
      </c>
      <c r="B814" s="0" t="s">
        <v>44</v>
      </c>
      <c r="C814" s="16" t="n">
        <f aca="false">C810/C793</f>
        <v>0.0508453913030227</v>
      </c>
      <c r="D814" s="16" t="n">
        <f aca="false">D810/D793</f>
        <v>0.197798517808343</v>
      </c>
      <c r="E814" s="16" t="n">
        <f aca="false">E810/E793</f>
        <v>0.186265225354462</v>
      </c>
      <c r="F814" s="16" t="n">
        <f aca="false">F810/F793</f>
        <v>0.183615299985236</v>
      </c>
      <c r="G814" s="16" t="n">
        <f aca="false">G810/G793</f>
        <v>0.178820423840328</v>
      </c>
      <c r="H814" s="27" t="n">
        <f aca="false">$G814+(fade_mA-$G814)*1/3</f>
        <v>0.177156974168929</v>
      </c>
      <c r="I814" s="27" t="n">
        <f aca="false">$G814+(fade_mA-$G814)*2/3</f>
        <v>0.175493524497529</v>
      </c>
      <c r="J814" s="27" t="n">
        <f aca="false">$G814+(fade_mA-$G814)*3/3</f>
        <v>0.17383007482613</v>
      </c>
    </row>
    <row r="815" customFormat="false" ht="17.15" hidden="false" customHeight="false" outlineLevel="0" collapsed="false">
      <c r="A815" s="3" t="s">
        <v>640</v>
      </c>
      <c r="B815" s="0" t="s">
        <v>44</v>
      </c>
      <c r="C815" s="20" t="n">
        <f aca="false">C798/C793</f>
        <v>0.195190527350447</v>
      </c>
      <c r="D815" s="20" t="n">
        <f aca="false">D798/D793</f>
        <v>0.285230933480641</v>
      </c>
      <c r="E815" s="20" t="n">
        <f aca="false">E798/E793</f>
        <v>0.223720330706817</v>
      </c>
      <c r="F815" s="20" t="n">
        <f aca="false">F798/F793</f>
        <v>0.179524533656466</v>
      </c>
      <c r="G815" s="20" t="n">
        <f aca="false">G798/G793</f>
        <v>0.145953301022037</v>
      </c>
      <c r="H815" s="26" t="n">
        <f aca="false">$G815+($G800*(1+tp_g)^(life_hi/2)-$G815)*1/3</f>
        <v>0.136056718838596</v>
      </c>
      <c r="I815" s="26" t="n">
        <f aca="false">$G815+($G800*(1+tp_g)^(life_hi/2)-$G815)*2/3</f>
        <v>0.126160136655154</v>
      </c>
      <c r="J815" s="26" t="n">
        <f aca="false">$G815+($G800*(1+tp_g)^(life_hi/2)-$G815)*3/3</f>
        <v>0.116263554471713</v>
      </c>
      <c r="K815" s="7" t="s">
        <v>641</v>
      </c>
    </row>
    <row r="816" customFormat="false" ht="15" hidden="false" customHeight="false" outlineLevel="0" collapsed="false">
      <c r="A816" s="3" t="s">
        <v>642</v>
      </c>
      <c r="B816" s="0" t="s">
        <v>302</v>
      </c>
      <c r="E816" s="21" t="n">
        <f aca="false">E810+E799-E798</f>
        <v>14.8819374700051</v>
      </c>
      <c r="F816" s="21" t="n">
        <f aca="false">F810+F799-F798</f>
        <v>28.3203335065273</v>
      </c>
      <c r="G816" s="21" t="n">
        <f aca="false">G810+G799-G798</f>
        <v>39.596418847921</v>
      </c>
      <c r="H816" s="30" t="n">
        <f aca="false">H810+H799-H798</f>
        <v>45.9834973271328</v>
      </c>
      <c r="I816" s="30" t="n">
        <f aca="false">I810+I799-I798</f>
        <v>52.4430155628236</v>
      </c>
      <c r="J816" s="30" t="n">
        <f aca="false">J810+J799-J798</f>
        <v>58.7483050734374</v>
      </c>
      <c r="K816" s="3" t="s">
        <v>643</v>
      </c>
    </row>
    <row r="817" customFormat="false" ht="15" hidden="false" customHeight="false" outlineLevel="0" collapsed="false">
      <c r="A817" s="3" t="s">
        <v>644</v>
      </c>
      <c r="B817" s="0" t="s">
        <v>386</v>
      </c>
      <c r="E817" s="18" t="n">
        <f aca="false">E816/E811</f>
        <v>9.07435211585674</v>
      </c>
      <c r="F817" s="18" t="n">
        <f aca="false">F816/F811</f>
        <v>17.2684960405654</v>
      </c>
      <c r="G817" s="18" t="n">
        <f aca="false">G816/G811</f>
        <v>24.1441578340982</v>
      </c>
      <c r="H817" s="28" t="n">
        <f aca="false">H816/H811</f>
        <v>28.038717882398</v>
      </c>
      <c r="I817" s="28" t="n">
        <f aca="false">I816/I811</f>
        <v>31.9774485139168</v>
      </c>
      <c r="J817" s="28" t="n">
        <f aca="false">J816/J811</f>
        <v>35.8221372399009</v>
      </c>
    </row>
    <row r="820" customFormat="false" ht="17.15" hidden="false" customHeight="false" outlineLevel="0" collapsed="false">
      <c r="A820" s="1" t="s">
        <v>958</v>
      </c>
    </row>
    <row r="821" customFormat="false" ht="17.15" hidden="false" customHeight="false" outlineLevel="0" collapsed="false">
      <c r="A821" s="4" t="s">
        <v>21</v>
      </c>
      <c r="B821" s="4" t="s">
        <v>22</v>
      </c>
      <c r="C821" s="13" t="s">
        <v>477</v>
      </c>
      <c r="D821" s="13" t="s">
        <v>562</v>
      </c>
      <c r="E821" s="13" t="s">
        <v>563</v>
      </c>
      <c r="F821" s="13" t="s">
        <v>564</v>
      </c>
      <c r="G821" s="13" t="s">
        <v>565</v>
      </c>
      <c r="H821" s="13" t="s">
        <v>566</v>
      </c>
      <c r="I821" s="13" t="s">
        <v>567</v>
      </c>
      <c r="J821" s="13" t="s">
        <v>568</v>
      </c>
      <c r="K821" s="4" t="s">
        <v>533</v>
      </c>
    </row>
    <row r="822" customFormat="false" ht="17.15" hidden="false" customHeight="false" outlineLevel="0" collapsed="false">
      <c r="A822" s="5" t="s">
        <v>586</v>
      </c>
    </row>
    <row r="823" customFormat="false" ht="17.15" hidden="false" customHeight="false" outlineLevel="0" collapsed="false">
      <c r="A823" s="0" t="s">
        <v>587</v>
      </c>
      <c r="B823" s="3" t="s">
        <v>32</v>
      </c>
      <c r="D823" s="21" t="n">
        <f aca="false">(u_bw_26+u_rb_26+u_ru_26+u_hp_26)*1</f>
        <v>7.6</v>
      </c>
      <c r="E823" s="21" t="n">
        <f aca="false">(u_bw_27+u_rb_27+u_ru_27+u_hp_27)*1*1</f>
        <v>9.7</v>
      </c>
      <c r="F823" s="21" t="n">
        <f aca="false">(u_bw_28+u_rb_28+u_ru_28+u_hp_28)*um28_A*1</f>
        <v>9.5</v>
      </c>
      <c r="G823" s="21" t="n">
        <f aca="false">(u_bw_28*(1+g29_bw)+u_rb_28*(1+g29_rb)+u_ru_28*(1+g29_ru)+u_hp_28*(1+g29_hp))*um29_A*1</f>
        <v>10.6</v>
      </c>
      <c r="K823" s="7" t="s">
        <v>588</v>
      </c>
    </row>
    <row r="824" customFormat="false" ht="17.15" hidden="false" customHeight="false" outlineLevel="0" collapsed="false">
      <c r="A824" s="3" t="s">
        <v>589</v>
      </c>
      <c r="B824" s="3" t="s">
        <v>32</v>
      </c>
      <c r="D824" s="21" t="n">
        <f aca="false">(u_amd_26+u_tpu_26+u_trn_26+u_oth_26)*1</f>
        <v>7.6</v>
      </c>
      <c r="E824" s="21" t="n">
        <f aca="false">(u_amd_27+u_tpu_27+u_trn_27+u_oth_27)*1*1</f>
        <v>14</v>
      </c>
      <c r="F824" s="21" t="n">
        <f aca="false">(u_amd_28+u_tpu_28+u_trn_28+u_oth_28)*um28_A*1</f>
        <v>17</v>
      </c>
      <c r="G824" s="21" t="n">
        <f aca="false">(u_amd_28*(1+g29_amd)+u_tpu_28*(1+g29_tpu)+u_trn_28*(1+g29_trn)+u_oth_28*(1+g29_oth))*um29_A*1</f>
        <v>19.55</v>
      </c>
      <c r="K824" s="7" t="s">
        <v>590</v>
      </c>
    </row>
    <row r="825" customFormat="false" ht="17.15" hidden="false" customHeight="false" outlineLevel="0" collapsed="false">
      <c r="A825" s="3" t="s">
        <v>591</v>
      </c>
      <c r="B825" s="0" t="s">
        <v>144</v>
      </c>
      <c r="D825" s="19" t="n">
        <f aca="false">1</f>
        <v>1</v>
      </c>
      <c r="E825" s="19" t="n">
        <f aca="false">D825*(1+g_asp)</f>
        <v>1.18</v>
      </c>
      <c r="F825" s="19" t="n">
        <f aca="false">E825*(1+g_asp)</f>
        <v>1.3924</v>
      </c>
      <c r="G825" s="19" t="n">
        <f aca="false">F825*(1+g_asp)</f>
        <v>1.643032</v>
      </c>
      <c r="K825" s="7" t="s">
        <v>592</v>
      </c>
    </row>
    <row r="826" customFormat="false" ht="17.15" hidden="false" customHeight="false" outlineLevel="0" collapsed="false">
      <c r="A826" s="0" t="s">
        <v>593</v>
      </c>
      <c r="B826" s="0" t="s">
        <v>144</v>
      </c>
      <c r="D826" s="18" t="n">
        <f aca="false">1</f>
        <v>1</v>
      </c>
      <c r="E826" s="18" t="n">
        <f aca="false">ibpp_27</f>
        <v>1</v>
      </c>
      <c r="F826" s="18" t="n">
        <f aca="false">ibpp_28</f>
        <v>0.95</v>
      </c>
      <c r="G826" s="18" t="n">
        <f aca="false">ibpp_29</f>
        <v>0.9</v>
      </c>
      <c r="K826" s="7" t="s">
        <v>594</v>
      </c>
    </row>
    <row r="827" customFormat="false" ht="17.15" hidden="false" customHeight="false" outlineLevel="0" collapsed="false">
      <c r="A827" s="3" t="s">
        <v>595</v>
      </c>
      <c r="B827" s="0" t="s">
        <v>144</v>
      </c>
      <c r="D827" s="18" t="n">
        <f aca="false">1</f>
        <v>1</v>
      </c>
      <c r="E827" s="18" t="n">
        <f aca="false">1+carry</f>
        <v>1.05</v>
      </c>
      <c r="F827" s="18" t="n">
        <f aca="false">1+carry</f>
        <v>1.05</v>
      </c>
      <c r="G827" s="18" t="n">
        <f aca="false">1+carry</f>
        <v>1.05</v>
      </c>
      <c r="K827" s="7" t="s">
        <v>596</v>
      </c>
    </row>
    <row r="828" customFormat="false" ht="17.15" hidden="false" customHeight="false" outlineLevel="0" collapsed="false">
      <c r="A828" s="3" t="s">
        <v>597</v>
      </c>
      <c r="B828" s="0" t="s">
        <v>598</v>
      </c>
      <c r="D828" s="23" t="n">
        <f aca="false">v26*D825*D826</f>
        <v>215.308596</v>
      </c>
      <c r="E828" s="23" t="n">
        <f aca="false">v26*E825*E826</f>
        <v>254.06414328</v>
      </c>
      <c r="F828" s="23" t="n">
        <f aca="false">v26*F825*F826</f>
        <v>284.80590461688</v>
      </c>
      <c r="G828" s="23" t="n">
        <f aca="false">v26*G825*G826</f>
        <v>318.383021792765</v>
      </c>
      <c r="K828" s="7" t="s">
        <v>599</v>
      </c>
    </row>
    <row r="829" customFormat="false" ht="17.15" hidden="false" customHeight="false" outlineLevel="0" collapsed="false">
      <c r="A829" s="3" t="s">
        <v>600</v>
      </c>
      <c r="B829" s="0" t="s">
        <v>44</v>
      </c>
      <c r="D829" s="20" t="n">
        <f aca="false">sh_nv_26</f>
        <v>0.25</v>
      </c>
      <c r="E829" s="20" t="n">
        <f aca="false">sh_nv_27</f>
        <v>0.27</v>
      </c>
      <c r="F829" s="20" t="n">
        <f aca="false">sh_nv_28</f>
        <v>0.29</v>
      </c>
      <c r="G829" s="20" t="n">
        <f aca="false">sh_nv_29</f>
        <v>0.3</v>
      </c>
    </row>
    <row r="830" customFormat="false" ht="17.15" hidden="false" customHeight="false" outlineLevel="0" collapsed="false">
      <c r="A830" s="3" t="s">
        <v>601</v>
      </c>
      <c r="B830" s="0" t="s">
        <v>44</v>
      </c>
      <c r="D830" s="20" t="n">
        <f aca="false">sh_ot_26</f>
        <v>0.3</v>
      </c>
      <c r="E830" s="20" t="n">
        <f aca="false">sh_ot_27</f>
        <v>0.31</v>
      </c>
      <c r="F830" s="20" t="n">
        <f aca="false">sh_ot_28</f>
        <v>0.32</v>
      </c>
      <c r="G830" s="20" t="n">
        <f aca="false">sh_ot_29</f>
        <v>0.33</v>
      </c>
    </row>
    <row r="831" customFormat="false" ht="17.15" hidden="false" customHeight="false" outlineLevel="0" collapsed="false">
      <c r="A831" s="3" t="s">
        <v>602</v>
      </c>
      <c r="B831" s="0" t="s">
        <v>552</v>
      </c>
      <c r="D831" s="22" t="n">
        <f aca="false">(D823*D828*D829+D824*D828*v_ot*D830)*D827</f>
        <v>801.809211504</v>
      </c>
      <c r="E831" s="22" t="n">
        <f aca="false">(E823*E828*E829+E824*E828*v_ot*E830)*E827</f>
        <v>1624.8799315544</v>
      </c>
      <c r="F831" s="22" t="n">
        <f aca="false">(F823*F828*F829+F824*F828*v_ot*F830)*F827</f>
        <v>2125.32134231777</v>
      </c>
      <c r="G831" s="22" t="n">
        <f aca="false">(G823*G828*G829+G824*G828*v_ot*G830)*G827</f>
        <v>2788.4812844467</v>
      </c>
    </row>
    <row r="832" customFormat="false" ht="15" hidden="false" customHeight="false" outlineLevel="0" collapsed="false">
      <c r="A832" s="3" t="s">
        <v>603</v>
      </c>
      <c r="B832" s="0" t="s">
        <v>302</v>
      </c>
      <c r="D832" s="21" t="n">
        <f aca="false">D831*fx/1000</f>
        <v>26.05879937388</v>
      </c>
      <c r="E832" s="21" t="n">
        <f aca="false">E831*fx/1000</f>
        <v>52.8085977755181</v>
      </c>
      <c r="F832" s="21" t="n">
        <f aca="false">F831*fx/1000</f>
        <v>69.0729436253277</v>
      </c>
      <c r="G832" s="21" t="n">
        <f aca="false">G831*fx/1000</f>
        <v>90.6256417445177</v>
      </c>
    </row>
    <row r="833" customFormat="false" ht="17.15" hidden="false" customHeight="false" outlineLevel="0" collapsed="false">
      <c r="A833" s="5" t="s">
        <v>604</v>
      </c>
    </row>
    <row r="834" customFormat="false" ht="17.15" hidden="false" customHeight="false" outlineLevel="0" collapsed="false">
      <c r="A834" s="0" t="s">
        <v>605</v>
      </c>
      <c r="B834" s="0" t="s">
        <v>302</v>
      </c>
      <c r="D834" s="21" t="n">
        <f aca="false">a26_abf*ai_abf</f>
        <v>74.83672875</v>
      </c>
      <c r="K834" s="3" t="s">
        <v>606</v>
      </c>
    </row>
    <row r="835" customFormat="false" ht="17.15" hidden="false" customHeight="false" outlineLevel="0" collapsed="false">
      <c r="A835" s="3" t="s">
        <v>607</v>
      </c>
      <c r="B835" s="0" t="s">
        <v>302</v>
      </c>
      <c r="D835" s="21" t="n">
        <f aca="false">D834-D832</f>
        <v>48.77792937612</v>
      </c>
      <c r="E835" s="21" t="n">
        <f aca="false">$D835*(itc_27/itc_26)^el_o*1*1*E826*E827</f>
        <v>72.4686721045733</v>
      </c>
      <c r="F835" s="21" t="n">
        <f aca="false">$D835*(itc_28/itc_26)^el_o*um28_A*1*F826*F827</f>
        <v>77.5118128697435</v>
      </c>
      <c r="G835" s="21" t="n">
        <f aca="false">$D835*(itc_29/itc_26)^el_o*um29_A*1*G826*G827</f>
        <v>78.3752247962621</v>
      </c>
      <c r="K835" s="7" t="s">
        <v>608</v>
      </c>
    </row>
    <row r="836" customFormat="false" ht="17.15" hidden="false" customHeight="false" outlineLevel="0" collapsed="false">
      <c r="A836" s="3" t="s">
        <v>609</v>
      </c>
      <c r="B836" s="0" t="s">
        <v>302</v>
      </c>
      <c r="D836" s="21" t="n">
        <f aca="false">a26_abf-D834</f>
        <v>24.94557625</v>
      </c>
      <c r="E836" s="21" t="n">
        <f aca="false">D836*(1+g_nai)</f>
        <v>25.6939435375</v>
      </c>
      <c r="F836" s="21" t="n">
        <f aca="false">E836*(1+g_nai)</f>
        <v>26.464761843625</v>
      </c>
      <c r="G836" s="21" t="n">
        <f aca="false">F836*(1+g_nai)</f>
        <v>27.2587046989338</v>
      </c>
    </row>
    <row r="837" customFormat="false" ht="17.15" hidden="false" customHeight="false" outlineLevel="0" collapsed="false">
      <c r="A837" s="0" t="s">
        <v>610</v>
      </c>
      <c r="B837" s="0" t="s">
        <v>302</v>
      </c>
      <c r="D837" s="21" t="n">
        <f aca="false">D832+D835+D836</f>
        <v>99.782305</v>
      </c>
      <c r="E837" s="21" t="n">
        <f aca="false">E832+E835+E836</f>
        <v>150.971213417591</v>
      </c>
      <c r="F837" s="21" t="n">
        <f aca="false">F832+F835+F836</f>
        <v>173.049518338696</v>
      </c>
      <c r="G837" s="21" t="n">
        <f aca="false">G832+G835+G836</f>
        <v>196.259571239714</v>
      </c>
    </row>
    <row r="838" customFormat="false" ht="17.15" hidden="false" customHeight="false" outlineLevel="0" collapsed="false">
      <c r="A838" s="0" t="s">
        <v>611</v>
      </c>
      <c r="B838" s="0" t="s">
        <v>302</v>
      </c>
      <c r="D838" s="21" t="n">
        <f aca="false">a26_abf</f>
        <v>99.782305</v>
      </c>
      <c r="E838" s="21" t="n">
        <f aca="false">$D837*cap_27*(1+g_mix)^1*E826*E827</f>
        <v>148.513488204375</v>
      </c>
      <c r="F838" s="21" t="n">
        <f aca="false">$D837*cap_28*(1+g_mix)^2*F826*F827</f>
        <v>186.549442683384</v>
      </c>
      <c r="G838" s="21" t="n">
        <f aca="false">$D837*cap_29*(1+g_mix)^3*G826*G827</f>
        <v>218.314827660431</v>
      </c>
      <c r="K838" s="7" t="s">
        <v>612</v>
      </c>
    </row>
    <row r="839" customFormat="false" ht="17.15" hidden="false" customHeight="false" outlineLevel="0" collapsed="false">
      <c r="A839" s="0" t="s">
        <v>613</v>
      </c>
      <c r="B839" s="0" t="s">
        <v>302</v>
      </c>
      <c r="D839" s="21" t="n">
        <f aca="false">a26_abf</f>
        <v>99.782305</v>
      </c>
      <c r="E839" s="21" t="n">
        <f aca="false">MIN(E837,E838)</f>
        <v>148.513488204375</v>
      </c>
      <c r="F839" s="21" t="n">
        <f aca="false">MIN(F837,F838)</f>
        <v>173.049518338696</v>
      </c>
      <c r="G839" s="21" t="n">
        <f aca="false">MIN(G837,G838)</f>
        <v>196.259571239714</v>
      </c>
    </row>
    <row r="840" customFormat="false" ht="17.15" hidden="false" customHeight="false" outlineLevel="0" collapsed="false">
      <c r="A840" s="3" t="s">
        <v>614</v>
      </c>
      <c r="B840" s="0" t="s">
        <v>44</v>
      </c>
      <c r="D840" s="20" t="n">
        <f aca="false">D839/D837</f>
        <v>1</v>
      </c>
      <c r="E840" s="20" t="n">
        <f aca="false">E839/E837</f>
        <v>0.983720570580444</v>
      </c>
      <c r="F840" s="20" t="n">
        <f aca="false">F839/F837</f>
        <v>1</v>
      </c>
      <c r="G840" s="20" t="n">
        <f aca="false">G839/G837</f>
        <v>1</v>
      </c>
    </row>
    <row r="841" customFormat="false" ht="17.15" hidden="false" customHeight="false" outlineLevel="0" collapsed="false">
      <c r="A841" s="0" t="s">
        <v>615</v>
      </c>
      <c r="B841" s="0" t="s">
        <v>302</v>
      </c>
      <c r="D841" s="21" t="n">
        <f aca="false">(D832+D835)*D840</f>
        <v>74.83672875</v>
      </c>
      <c r="E841" s="21" t="n">
        <f aca="false">(E832+E835)*E840</f>
        <v>123.237827407204</v>
      </c>
      <c r="F841" s="21" t="n">
        <f aca="false">(F832+F835)*F840</f>
        <v>146.584756495071</v>
      </c>
      <c r="G841" s="21" t="n">
        <f aca="false">(G832+G835)*G840</f>
        <v>169.00086654078</v>
      </c>
    </row>
    <row r="842" customFormat="false" ht="17.15" hidden="false" customHeight="false" outlineLevel="0" collapsed="false">
      <c r="A842" s="3" t="s">
        <v>616</v>
      </c>
      <c r="B842" s="0" t="s">
        <v>44</v>
      </c>
      <c r="D842" s="20" t="n">
        <f aca="false">D832/(D832+D835)</f>
        <v>0.348208691228771</v>
      </c>
      <c r="E842" s="20" t="n">
        <f aca="false">E832/(E832+E835)</f>
        <v>0.421533753298293</v>
      </c>
      <c r="F842" s="20" t="n">
        <f aca="false">F832/(F832+F835)</f>
        <v>0.471215051802813</v>
      </c>
      <c r="G842" s="20" t="n">
        <f aca="false">G832/(G832+G835)</f>
        <v>0.536243651287136</v>
      </c>
    </row>
    <row r="843" customFormat="false" ht="17.15" hidden="false" customHeight="false" outlineLevel="0" collapsed="false">
      <c r="A843" s="5" t="s">
        <v>617</v>
      </c>
    </row>
    <row r="844" customFormat="false" ht="17.15" hidden="false" customHeight="false" outlineLevel="0" collapsed="false">
      <c r="A844" s="0" t="s">
        <v>519</v>
      </c>
      <c r="B844" s="0" t="s">
        <v>302</v>
      </c>
      <c r="D844" s="21" t="n">
        <f aca="false">a26_bt</f>
        <v>16.944165</v>
      </c>
      <c r="E844" s="21" t="n">
        <f aca="false">D844*(1+g_bt)</f>
        <v>17.79137325</v>
      </c>
      <c r="F844" s="21" t="n">
        <f aca="false">E844*(1+g_bt)</f>
        <v>18.6809419125</v>
      </c>
      <c r="G844" s="21" t="n">
        <f aca="false">F844*(1+g_bt)</f>
        <v>19.614989008125</v>
      </c>
    </row>
    <row r="845" customFormat="false" ht="17.15" hidden="false" customHeight="false" outlineLevel="0" collapsed="false">
      <c r="A845" s="0" t="s">
        <v>618</v>
      </c>
      <c r="B845" s="0" t="s">
        <v>302</v>
      </c>
      <c r="D845" s="21" t="n">
        <f aca="false">a26_pcb*ai_pcb</f>
        <v>37.93610275</v>
      </c>
      <c r="E845" s="21" t="n">
        <f aca="false">D845*(1+g_pai_27)</f>
        <v>45.5233233</v>
      </c>
      <c r="F845" s="21" t="n">
        <f aca="false">D845*(1+g_pai_27)*(1+g_pai_28)*um28_A</f>
        <v>52.351821795</v>
      </c>
      <c r="G845" s="21" t="n">
        <f aca="false">D845*(1+g_pai_27)*(1+g_pai_28)*(1+g_pai_29)*um29_A</f>
        <v>57.5870039745</v>
      </c>
      <c r="K845" s="3" t="s">
        <v>619</v>
      </c>
    </row>
    <row r="846" customFormat="false" ht="17.15" hidden="false" customHeight="false" outlineLevel="0" collapsed="false">
      <c r="A846" s="3" t="s">
        <v>620</v>
      </c>
      <c r="B846" s="0" t="s">
        <v>302</v>
      </c>
      <c r="D846" s="21" t="n">
        <f aca="false">a26_pcb*(1-ai_pcb)</f>
        <v>20.42713225</v>
      </c>
      <c r="E846" s="21" t="n">
        <f aca="false">D846*(1+g_pcbn)</f>
        <v>20.835674895</v>
      </c>
      <c r="F846" s="21" t="n">
        <f aca="false">E846*(1+g_pcbn)</f>
        <v>21.2523883929</v>
      </c>
      <c r="G846" s="21" t="n">
        <f aca="false">F846*(1+g_pcbn)</f>
        <v>21.677436160758</v>
      </c>
    </row>
    <row r="847" customFormat="false" ht="15" hidden="false" customHeight="false" outlineLevel="0" collapsed="false">
      <c r="A847" s="3" t="s">
        <v>521</v>
      </c>
      <c r="B847" s="0" t="s">
        <v>302</v>
      </c>
      <c r="D847" s="21" t="n">
        <f aca="false">a26_fpc</f>
        <v>13.178795</v>
      </c>
      <c r="E847" s="21" t="n">
        <f aca="false">D847*(1+g_fpc)</f>
        <v>13.178795</v>
      </c>
      <c r="F847" s="21" t="n">
        <f aca="false">E847*(1+g_fpc)</f>
        <v>13.178795</v>
      </c>
      <c r="G847" s="21" t="n">
        <f aca="false">F847*(1+g_fpc)</f>
        <v>13.178795</v>
      </c>
    </row>
    <row r="848" customFormat="false" ht="17.15" hidden="false" customHeight="false" outlineLevel="0" collapsed="false">
      <c r="A848" s="3" t="s">
        <v>484</v>
      </c>
      <c r="B848" s="0" t="s">
        <v>302</v>
      </c>
      <c r="C848" s="23" t="n">
        <f aca="false">a25_rev</f>
        <v>131.241</v>
      </c>
      <c r="D848" s="23" t="n">
        <f aca="false">D839+D844+D845+D846+D847</f>
        <v>188.2685</v>
      </c>
      <c r="E848" s="23" t="n">
        <f aca="false">E839+E844+E845+E846+E847</f>
        <v>245.842654649375</v>
      </c>
      <c r="F848" s="23" t="n">
        <f aca="false">F839+F844+F845+F846+F847</f>
        <v>278.513465439096</v>
      </c>
      <c r="G848" s="23" t="n">
        <f aca="false">G839+G844+G845+G846+G847</f>
        <v>308.317795383097</v>
      </c>
      <c r="H848" s="25" t="n">
        <f aca="false">G848*(1+H849)</f>
        <v>336.479988575722</v>
      </c>
      <c r="I848" s="25" t="n">
        <f aca="false">H848*(1+I849)</f>
        <v>361.941672550702</v>
      </c>
      <c r="J848" s="25" t="n">
        <f aca="false">I848*(1+J849)</f>
        <v>383.658172903744</v>
      </c>
      <c r="K848" s="7" t="s">
        <v>621</v>
      </c>
    </row>
    <row r="849" customFormat="false" ht="15" hidden="false" customHeight="false" outlineLevel="0" collapsed="false">
      <c r="A849" s="3" t="s">
        <v>622</v>
      </c>
      <c r="B849" s="0" t="s">
        <v>44</v>
      </c>
      <c r="D849" s="20" t="n">
        <f aca="false">D848/C848-1</f>
        <v>0.434525034097576</v>
      </c>
      <c r="E849" s="20" t="n">
        <f aca="false">E848/D848-1</f>
        <v>0.30580875</v>
      </c>
      <c r="F849" s="20" t="n">
        <f aca="false">F848/E848-1</f>
        <v>0.132893174442478</v>
      </c>
      <c r="G849" s="20" t="n">
        <f aca="false">G848/F848-1</f>
        <v>0.107012168682803</v>
      </c>
      <c r="H849" s="26" t="n">
        <f aca="false">$G849+(fade_gA-$G849)*1/3</f>
        <v>0.091341445788535</v>
      </c>
      <c r="I849" s="26" t="n">
        <f aca="false">$G849+(fade_gA-$G849)*2/3</f>
        <v>0.0756707228942675</v>
      </c>
      <c r="J849" s="26" t="n">
        <f aca="false">$G849+(fade_gA-$G849)*3/3</f>
        <v>0.06</v>
      </c>
    </row>
    <row r="850" customFormat="false" ht="17.15" hidden="false" customHeight="false" outlineLevel="0" collapsed="false">
      <c r="A850" s="0" t="s">
        <v>623</v>
      </c>
      <c r="B850" s="0" t="s">
        <v>44</v>
      </c>
      <c r="D850" s="20" t="n">
        <f aca="false">D839/D848</f>
        <v>0.53</v>
      </c>
      <c r="E850" s="20" t="n">
        <f aca="false">E839/E848</f>
        <v>0.604099758100105</v>
      </c>
      <c r="F850" s="20" t="n">
        <f aca="false">F839/F848</f>
        <v>0.62133268158461</v>
      </c>
      <c r="G850" s="20" t="n">
        <f aca="false">G839/G848</f>
        <v>0.636549606213464</v>
      </c>
    </row>
    <row r="851" customFormat="false" ht="17.15" hidden="false" customHeight="false" outlineLevel="0" collapsed="false">
      <c r="A851" s="0" t="s">
        <v>624</v>
      </c>
      <c r="B851" s="0" t="s">
        <v>44</v>
      </c>
      <c r="D851" s="20" t="n">
        <f aca="false">(D841+D845)/D848</f>
        <v>0.599</v>
      </c>
      <c r="E851" s="20" t="n">
        <f aca="false">(E841+E845)/E848</f>
        <v>0.68646000812143</v>
      </c>
      <c r="F851" s="20" t="n">
        <f aca="false">(F841+F845)/F848</f>
        <v>0.714279928894761</v>
      </c>
      <c r="G851" s="20" t="n">
        <f aca="false">(G841+G845)/G848</f>
        <v>0.734916614961312</v>
      </c>
      <c r="K851" s="3" t="s">
        <v>625</v>
      </c>
    </row>
    <row r="852" customFormat="false" ht="17.15" hidden="false" customHeight="false" outlineLevel="0" collapsed="false">
      <c r="A852" s="5" t="s">
        <v>626</v>
      </c>
    </row>
    <row r="853" customFormat="false" ht="15" hidden="false" customHeight="false" outlineLevel="0" collapsed="false">
      <c r="A853" s="3" t="s">
        <v>627</v>
      </c>
      <c r="B853" s="0" t="s">
        <v>302</v>
      </c>
      <c r="C853" s="23" t="n">
        <f aca="false">a25_cx</f>
        <v>25.617</v>
      </c>
      <c r="D853" s="23" t="n">
        <f aca="false">capex26</f>
        <v>53.7</v>
      </c>
      <c r="E853" s="23" t="n">
        <f aca="false">cx27_C</f>
        <v>40</v>
      </c>
      <c r="F853" s="23" t="n">
        <f aca="false">cx28_C</f>
        <v>30</v>
      </c>
      <c r="G853" s="23" t="n">
        <f aca="false">cx29_C</f>
        <v>28</v>
      </c>
      <c r="H853" s="25" t="n">
        <f aca="false">H848*H870</f>
        <v>31.946675684025</v>
      </c>
      <c r="I853" s="25" t="n">
        <f aca="false">I848*I870</f>
        <v>35.8583342805647</v>
      </c>
      <c r="J853" s="25" t="n">
        <f aca="false">J848*J870</f>
        <v>39.5937187240669</v>
      </c>
    </row>
    <row r="854" customFormat="false" ht="17.15" hidden="false" customHeight="false" outlineLevel="0" collapsed="false">
      <c r="A854" s="3" t="s">
        <v>628</v>
      </c>
      <c r="B854" s="0" t="s">
        <v>302</v>
      </c>
      <c r="C854" s="23" t="n">
        <f aca="false">a25_da</f>
        <v>18.8</v>
      </c>
      <c r="D854" s="23" t="n">
        <f aca="false">da26</f>
        <v>20.8</v>
      </c>
      <c r="E854" s="23" t="n">
        <f aca="false">D854*(1-1/life)+D853/life</f>
        <v>24.9125</v>
      </c>
      <c r="F854" s="23" t="n">
        <f aca="false">E854*(1-1/life)+E853/life</f>
        <v>26.7984375</v>
      </c>
      <c r="G854" s="23" t="n">
        <f aca="false">F854*(1-1/life)+F853/life</f>
        <v>27.1986328125</v>
      </c>
      <c r="H854" s="25" t="n">
        <f aca="false">H848*H855</f>
        <v>29.6829952570652</v>
      </c>
      <c r="I854" s="25" t="n">
        <f aca="false">I848*I855</f>
        <v>31.9291289658345</v>
      </c>
      <c r="J854" s="25" t="n">
        <f aca="false">J848*J855</f>
        <v>33.8448767037846</v>
      </c>
      <c r="K854" s="3" t="s">
        <v>629</v>
      </c>
    </row>
    <row r="855" customFormat="false" ht="17.15" hidden="false" customHeight="false" outlineLevel="0" collapsed="false">
      <c r="A855" s="3" t="s">
        <v>630</v>
      </c>
      <c r="B855" s="0" t="s">
        <v>44</v>
      </c>
      <c r="C855" s="20" t="n">
        <f aca="false">C854/C848</f>
        <v>0.143247917952469</v>
      </c>
      <c r="D855" s="20" t="n">
        <f aca="false">D854/D848</f>
        <v>0.110480510547436</v>
      </c>
      <c r="E855" s="20" t="n">
        <f aca="false">E854/E848</f>
        <v>0.101335140704247</v>
      </c>
      <c r="F855" s="20" t="n">
        <f aca="false">F854/F848</f>
        <v>0.096219539898189</v>
      </c>
      <c r="G855" s="20" t="n">
        <f aca="false">G854/G848</f>
        <v>0.088216227606015</v>
      </c>
      <c r="H855" s="26" t="n">
        <f aca="false">$G855</f>
        <v>0.088216227606015</v>
      </c>
      <c r="I855" s="26" t="n">
        <f aca="false">$G855</f>
        <v>0.088216227606015</v>
      </c>
      <c r="J855" s="26" t="n">
        <f aca="false">$G855</f>
        <v>0.088216227606015</v>
      </c>
    </row>
    <row r="856" customFormat="false" ht="17.15" hidden="false" customHeight="false" outlineLevel="0" collapsed="false">
      <c r="A856" s="3" t="s">
        <v>631</v>
      </c>
      <c r="B856" s="0" t="s">
        <v>302</v>
      </c>
      <c r="E856" s="21" t="n">
        <f aca="false">E841*(1-1/(E826*E827))</f>
        <v>5.86846797177161</v>
      </c>
      <c r="F856" s="21" t="n">
        <f aca="false">F841*(1-1/(F826*F827))</f>
        <v>-0.367380342092935</v>
      </c>
      <c r="G856" s="21" t="n">
        <f aca="false">G841*(1-1/(G826*G827))</f>
        <v>-9.83602926956918</v>
      </c>
      <c r="K856" s="7" t="s">
        <v>632</v>
      </c>
    </row>
    <row r="857" customFormat="false" ht="17.15" hidden="false" customHeight="false" outlineLevel="0" collapsed="false">
      <c r="A857" s="3" t="s">
        <v>633</v>
      </c>
      <c r="B857" s="0" t="s">
        <v>302</v>
      </c>
      <c r="C857" s="21" t="n">
        <f aca="false">a25_gp</f>
        <v>18.292</v>
      </c>
      <c r="D857" s="21" t="n">
        <f aca="false">a26_gp</f>
        <v>47.3329657</v>
      </c>
      <c r="E857" s="21" t="n">
        <f aca="false">$D857+ft_abf*(E839-E856-$D839)+ft_oth*((E848-E839)-($D848-$D839))+E856-(E854-$D854)</f>
        <v>72.7310341493233</v>
      </c>
      <c r="F857" s="21" t="n">
        <f aca="false">$D857+ft_abf*(F839-F856-$D839)+ft_oth*((F848-F839)-($D848-$D839))+F856-(F854-$D854)</f>
        <v>82.0288827234016</v>
      </c>
      <c r="G857" s="21" t="n">
        <f aca="false">$D857+ft_abf*(G839-G856-$D839)+ft_oth*((G848-G839)-($D848-$D839))+G856-(G854-$D854)</f>
        <v>90.1479586584179</v>
      </c>
      <c r="K857" s="3" t="s">
        <v>634</v>
      </c>
    </row>
    <row r="858" customFormat="false" ht="15" hidden="false" customHeight="false" outlineLevel="0" collapsed="false">
      <c r="A858" s="3" t="s">
        <v>491</v>
      </c>
      <c r="B858" s="0" t="s">
        <v>44</v>
      </c>
      <c r="C858" s="16" t="n">
        <f aca="false">C857/C848</f>
        <v>0.139377176339711</v>
      </c>
      <c r="D858" s="16" t="n">
        <f aca="false">D857/D848</f>
        <v>0.251412029627899</v>
      </c>
      <c r="E858" s="16" t="n">
        <f aca="false">E857/E848</f>
        <v>0.295843836591553</v>
      </c>
      <c r="F858" s="16" t="n">
        <f aca="false">F857/F848</f>
        <v>0.294523938345592</v>
      </c>
      <c r="G858" s="16" t="n">
        <f aca="false">G857/G848</f>
        <v>0.292386492146539</v>
      </c>
    </row>
    <row r="859" customFormat="false" ht="15" hidden="false" customHeight="false" outlineLevel="0" collapsed="false">
      <c r="A859" s="3" t="s">
        <v>493</v>
      </c>
      <c r="B859" s="0" t="s">
        <v>302</v>
      </c>
      <c r="C859" s="21" t="n">
        <f aca="false">a25_opx</f>
        <v>11.618</v>
      </c>
      <c r="D859" s="21" t="n">
        <f aca="false">a26_opx</f>
        <v>16.6539532</v>
      </c>
      <c r="E859" s="21" t="n">
        <f aca="false">D859*(1+phi*E849)</f>
        <v>19.7097079663903</v>
      </c>
      <c r="F859" s="21" t="n">
        <f aca="false">E859*(1+phi*F849)</f>
        <v>21.281279361783</v>
      </c>
      <c r="G859" s="21" t="n">
        <f aca="false">F859*(1+phi*G849)</f>
        <v>22.6476928758924</v>
      </c>
    </row>
    <row r="860" customFormat="false" ht="15" hidden="false" customHeight="false" outlineLevel="0" collapsed="false">
      <c r="A860" s="3" t="s">
        <v>496</v>
      </c>
      <c r="B860" s="0" t="s">
        <v>302</v>
      </c>
      <c r="C860" s="21" t="n">
        <f aca="false">C857-C859</f>
        <v>6.674</v>
      </c>
      <c r="D860" s="21" t="n">
        <f aca="false">D857-D859</f>
        <v>30.6790125</v>
      </c>
      <c r="E860" s="21" t="n">
        <f aca="false">E857-E859</f>
        <v>53.021326182933</v>
      </c>
      <c r="F860" s="21" t="n">
        <f aca="false">F857-F859</f>
        <v>60.7476033616186</v>
      </c>
      <c r="G860" s="21" t="n">
        <f aca="false">G857-G859</f>
        <v>67.5002657825256</v>
      </c>
    </row>
    <row r="861" customFormat="false" ht="15" hidden="false" customHeight="false" outlineLevel="0" collapsed="false">
      <c r="A861" s="3" t="s">
        <v>575</v>
      </c>
      <c r="B861" s="0" t="s">
        <v>44</v>
      </c>
      <c r="C861" s="16" t="n">
        <f aca="false">C860/C848</f>
        <v>0.0508530108731265</v>
      </c>
      <c r="D861" s="16" t="n">
        <f aca="false">D860/D848</f>
        <v>0.162953507888999</v>
      </c>
      <c r="E861" s="16" t="n">
        <f aca="false">E860/E848</f>
        <v>0.215671793239269</v>
      </c>
      <c r="F861" s="16" t="n">
        <f aca="false">F860/F848</f>
        <v>0.218113703284851</v>
      </c>
      <c r="G861" s="16" t="n">
        <f aca="false">G860/G848</f>
        <v>0.218930813573877</v>
      </c>
    </row>
    <row r="862" customFormat="false" ht="17.15" hidden="false" customHeight="false" outlineLevel="0" collapsed="false">
      <c r="A862" s="3" t="s">
        <v>635</v>
      </c>
      <c r="B862" s="0" t="s">
        <v>302</v>
      </c>
      <c r="C862" s="21" t="n">
        <f aca="false">a25_nonop</f>
        <v>-0.00100000000000033</v>
      </c>
      <c r="D862" s="21" t="n">
        <f aca="false">a26_nonop</f>
        <v>14.466</v>
      </c>
      <c r="E862" s="21" t="n">
        <f aca="false">nonop27</f>
        <v>2</v>
      </c>
      <c r="F862" s="21" t="n">
        <f aca="false">nonop28</f>
        <v>2</v>
      </c>
      <c r="G862" s="21" t="n">
        <f aca="false">nonop29</f>
        <v>2</v>
      </c>
      <c r="K862" s="7" t="s">
        <v>636</v>
      </c>
    </row>
    <row r="863" customFormat="false" ht="15" hidden="false" customHeight="false" outlineLevel="0" collapsed="false">
      <c r="A863" s="3" t="s">
        <v>502</v>
      </c>
      <c r="B863" s="0" t="s">
        <v>302</v>
      </c>
      <c r="C863" s="21" t="n">
        <f aca="false">C860+C862</f>
        <v>6.673</v>
      </c>
      <c r="D863" s="21" t="n">
        <f aca="false">D860+D862</f>
        <v>45.1450125</v>
      </c>
      <c r="E863" s="21" t="n">
        <f aca="false">E860+E862</f>
        <v>55.021326182933</v>
      </c>
      <c r="F863" s="21" t="n">
        <f aca="false">F860+F862</f>
        <v>62.7476033616186</v>
      </c>
      <c r="G863" s="21" t="n">
        <f aca="false">G860+G862</f>
        <v>69.5002657825256</v>
      </c>
    </row>
    <row r="864" customFormat="false" ht="15" hidden="false" customHeight="false" outlineLevel="0" collapsed="false">
      <c r="A864" s="3" t="s">
        <v>506</v>
      </c>
      <c r="B864" s="0" t="s">
        <v>302</v>
      </c>
      <c r="E864" s="21" t="n">
        <f aca="false">E863*tax</f>
        <v>9.90383871292794</v>
      </c>
      <c r="F864" s="21" t="n">
        <f aca="false">F863*tax</f>
        <v>11.2945686050914</v>
      </c>
      <c r="G864" s="21" t="n">
        <f aca="false">G863*tax</f>
        <v>12.5100478408546</v>
      </c>
    </row>
    <row r="865" customFormat="false" ht="15" hidden="false" customHeight="false" outlineLevel="0" collapsed="false">
      <c r="A865" s="3" t="s">
        <v>504</v>
      </c>
      <c r="B865" s="0" t="s">
        <v>302</v>
      </c>
      <c r="C865" s="21" t="n">
        <f aca="false">a25_ni</f>
        <v>6.673</v>
      </c>
      <c r="D865" s="21" t="n">
        <f aca="false">a26_ni</f>
        <v>37.23923025</v>
      </c>
      <c r="E865" s="21" t="n">
        <f aca="false">E863-E864</f>
        <v>45.1174874700051</v>
      </c>
      <c r="F865" s="21" t="n">
        <f aca="false">F863-F864</f>
        <v>51.4530347565273</v>
      </c>
      <c r="G865" s="21" t="n">
        <f aca="false">G863-G864</f>
        <v>56.990217941671</v>
      </c>
      <c r="H865" s="30" t="n">
        <f aca="false">H848*H869</f>
        <v>60.9606384267156</v>
      </c>
      <c r="I865" s="30" t="n">
        <f aca="false">I848*I869</f>
        <v>64.2449610133721</v>
      </c>
      <c r="J865" s="30" t="n">
        <f aca="false">J848*J869</f>
        <v>66.691328903514</v>
      </c>
    </row>
    <row r="866" customFormat="false" ht="15" hidden="false" customHeight="false" outlineLevel="0" collapsed="false">
      <c r="A866" s="3" t="s">
        <v>637</v>
      </c>
      <c r="B866" s="3" t="s">
        <v>380</v>
      </c>
      <c r="C866" s="29" t="n">
        <f aca="false">a25_sh</f>
        <v>1.52351598173516</v>
      </c>
      <c r="D866" s="29" t="n">
        <f aca="false">a26_sh</f>
        <v>1.59236316568047</v>
      </c>
      <c r="E866" s="29" t="n">
        <f aca="false">a26_shend*(1+sh_g)</f>
        <v>1.64</v>
      </c>
      <c r="F866" s="29" t="n">
        <f aca="false">E866*(1+sh_g)</f>
        <v>1.64</v>
      </c>
      <c r="G866" s="29" t="n">
        <f aca="false">F866*(1+sh_g)</f>
        <v>1.64</v>
      </c>
      <c r="H866" s="31" t="n">
        <f aca="false">G866*(1+sh_g)</f>
        <v>1.64</v>
      </c>
      <c r="I866" s="31" t="n">
        <f aca="false">H866*(1+sh_g)</f>
        <v>1.64</v>
      </c>
      <c r="J866" s="31" t="n">
        <f aca="false">I866*(1+sh_g)</f>
        <v>1.64</v>
      </c>
    </row>
    <row r="867" customFormat="false" ht="17.15" hidden="false" customHeight="false" outlineLevel="0" collapsed="false">
      <c r="A867" s="0" t="s">
        <v>509</v>
      </c>
      <c r="B867" s="0" t="s">
        <v>386</v>
      </c>
      <c r="C867" s="18" t="n">
        <f aca="false">C865/C866</f>
        <v>4.38</v>
      </c>
      <c r="D867" s="18" t="n">
        <f aca="false">D865/D866</f>
        <v>23.3861414610695</v>
      </c>
      <c r="E867" s="18" t="n">
        <f aca="false">E865/E866</f>
        <v>27.5106630914665</v>
      </c>
      <c r="F867" s="18" t="n">
        <f aca="false">F865/F866</f>
        <v>31.3738016808093</v>
      </c>
      <c r="G867" s="18" t="n">
        <f aca="false">G865/G866</f>
        <v>34.7501328912628</v>
      </c>
      <c r="H867" s="28" t="n">
        <f aca="false">H865/H866</f>
        <v>37.1711209918998</v>
      </c>
      <c r="I867" s="28" t="n">
        <f aca="false">I865/I866</f>
        <v>39.1737567154708</v>
      </c>
      <c r="J867" s="28" t="n">
        <f aca="false">J865/J866</f>
        <v>40.6654444533622</v>
      </c>
    </row>
    <row r="868" customFormat="false" ht="17.15" hidden="false" customHeight="false" outlineLevel="0" collapsed="false">
      <c r="A868" s="0" t="s">
        <v>638</v>
      </c>
      <c r="B868" s="0" t="s">
        <v>44</v>
      </c>
      <c r="D868" s="20" t="n">
        <f aca="false">D867/C867-1</f>
        <v>4.33930170344053</v>
      </c>
      <c r="E868" s="20" t="n">
        <f aca="false">E867/D867-1</f>
        <v>0.176366060098585</v>
      </c>
      <c r="F868" s="20" t="n">
        <f aca="false">F867/E867-1</f>
        <v>0.140423317914904</v>
      </c>
      <c r="G868" s="20" t="n">
        <f aca="false">G867/F867-1</f>
        <v>0.107616260369195</v>
      </c>
      <c r="H868" s="26" t="n">
        <f aca="false">H867/G867-1</f>
        <v>0.0696684558937526</v>
      </c>
      <c r="I868" s="26" t="n">
        <f aca="false">I867/H867-1</f>
        <v>0.0538761186138954</v>
      </c>
      <c r="J868" s="26" t="n">
        <f aca="false">J867/I867-1</f>
        <v>0.038078751260082</v>
      </c>
    </row>
    <row r="869" customFormat="false" ht="17.15" hidden="false" customHeight="false" outlineLevel="0" collapsed="false">
      <c r="A869" s="3" t="s">
        <v>639</v>
      </c>
      <c r="B869" s="0" t="s">
        <v>44</v>
      </c>
      <c r="C869" s="16" t="n">
        <f aca="false">C865/C848</f>
        <v>0.0508453913030227</v>
      </c>
      <c r="D869" s="16" t="n">
        <f aca="false">D865/D848</f>
        <v>0.197798517808343</v>
      </c>
      <c r="E869" s="16" t="n">
        <f aca="false">E865/E848</f>
        <v>0.18352180395364</v>
      </c>
      <c r="F869" s="16" t="n">
        <f aca="false">F865/F848</f>
        <v>0.18474164139751</v>
      </c>
      <c r="G869" s="16" t="n">
        <f aca="false">G865/G848</f>
        <v>0.18484245410116</v>
      </c>
      <c r="H869" s="27" t="n">
        <f aca="false">$G869+(fade_mA-$G869)*1/3</f>
        <v>0.181171661009483</v>
      </c>
      <c r="I869" s="27" t="n">
        <f aca="false">$G869+(fade_mA-$G869)*2/3</f>
        <v>0.177500867917806</v>
      </c>
      <c r="J869" s="27" t="n">
        <f aca="false">$G869+(fade_mA-$G869)*3/3</f>
        <v>0.17383007482613</v>
      </c>
    </row>
    <row r="870" customFormat="false" ht="17.15" hidden="false" customHeight="false" outlineLevel="0" collapsed="false">
      <c r="A870" s="3" t="s">
        <v>640</v>
      </c>
      <c r="B870" s="0" t="s">
        <v>44</v>
      </c>
      <c r="C870" s="20" t="n">
        <f aca="false">C853/C848</f>
        <v>0.195190527350447</v>
      </c>
      <c r="D870" s="20" t="n">
        <f aca="false">D853/D848</f>
        <v>0.285230933480641</v>
      </c>
      <c r="E870" s="20" t="n">
        <f aca="false">E853/E848</f>
        <v>0.162705695059503</v>
      </c>
      <c r="F870" s="20" t="n">
        <f aca="false">F853/F848</f>
        <v>0.10771472019388</v>
      </c>
      <c r="G870" s="20" t="n">
        <f aca="false">G853/G848</f>
        <v>0.090815387302601</v>
      </c>
      <c r="H870" s="26" t="n">
        <f aca="false">$G870+($G855*(1+tp_g)^(life/2)-$G870)*1/3</f>
        <v>0.0949437612003357</v>
      </c>
      <c r="I870" s="26" t="n">
        <f aca="false">$G870+($G855*(1+tp_g)^(life/2)-$G870)*2/3</f>
        <v>0.0990721350980703</v>
      </c>
      <c r="J870" s="26" t="n">
        <f aca="false">$G870+($G855*(1+tp_g)^(life/2)-$G870)*3/3</f>
        <v>0.103200508995805</v>
      </c>
      <c r="K870" s="7" t="s">
        <v>641</v>
      </c>
    </row>
    <row r="871" customFormat="false" ht="15" hidden="false" customHeight="false" outlineLevel="0" collapsed="false">
      <c r="A871" s="3" t="s">
        <v>642</v>
      </c>
      <c r="B871" s="0" t="s">
        <v>302</v>
      </c>
      <c r="E871" s="21" t="n">
        <f aca="false">E865+E854-E853</f>
        <v>30.0299874700051</v>
      </c>
      <c r="F871" s="21" t="n">
        <f aca="false">F865+F854-F853</f>
        <v>48.2514722565273</v>
      </c>
      <c r="G871" s="21" t="n">
        <f aca="false">G865+G854-G853</f>
        <v>56.188850754171</v>
      </c>
      <c r="H871" s="30" t="n">
        <f aca="false">H865+H854-H853</f>
        <v>58.6969579997558</v>
      </c>
      <c r="I871" s="30" t="n">
        <f aca="false">I865+I854-I853</f>
        <v>60.3157556986419</v>
      </c>
      <c r="J871" s="30" t="n">
        <f aca="false">J865+J854-J853</f>
        <v>60.9424868832316</v>
      </c>
      <c r="K871" s="3" t="s">
        <v>643</v>
      </c>
    </row>
    <row r="872" customFormat="false" ht="15" hidden="false" customHeight="false" outlineLevel="0" collapsed="false">
      <c r="A872" s="3" t="s">
        <v>644</v>
      </c>
      <c r="B872" s="0" t="s">
        <v>386</v>
      </c>
      <c r="E872" s="18" t="n">
        <f aca="false">E871/E866</f>
        <v>18.3109679695153</v>
      </c>
      <c r="F872" s="18" t="n">
        <f aca="false">F871/F866</f>
        <v>29.4216294247118</v>
      </c>
      <c r="G872" s="18" t="n">
        <f aca="false">G871/G866</f>
        <v>34.2614943622994</v>
      </c>
      <c r="H872" s="28" t="n">
        <f aca="false">H871/H866</f>
        <v>35.7908280486316</v>
      </c>
      <c r="I872" s="28" t="n">
        <f aca="false">I871/I866</f>
        <v>36.7778998162451</v>
      </c>
      <c r="J872" s="28" t="n">
        <f aca="false">J871/J866</f>
        <v>37.1600529775803</v>
      </c>
    </row>
    <row r="875" customFormat="false" ht="17.15" hidden="false" customHeight="false" outlineLevel="0" collapsed="false">
      <c r="A875" s="1" t="s">
        <v>959</v>
      </c>
    </row>
    <row r="876" customFormat="false" ht="17.15" hidden="false" customHeight="false" outlineLevel="0" collapsed="false">
      <c r="A876" s="4" t="s">
        <v>21</v>
      </c>
      <c r="B876" s="4" t="s">
        <v>22</v>
      </c>
      <c r="C876" s="13" t="s">
        <v>477</v>
      </c>
      <c r="D876" s="13" t="s">
        <v>562</v>
      </c>
      <c r="E876" s="13" t="s">
        <v>563</v>
      </c>
      <c r="F876" s="13" t="s">
        <v>564</v>
      </c>
      <c r="G876" s="13" t="s">
        <v>565</v>
      </c>
      <c r="H876" s="13" t="s">
        <v>566</v>
      </c>
      <c r="I876" s="13" t="s">
        <v>567</v>
      </c>
      <c r="J876" s="13" t="s">
        <v>568</v>
      </c>
      <c r="K876" s="4" t="s">
        <v>533</v>
      </c>
    </row>
    <row r="877" customFormat="false" ht="17.15" hidden="false" customHeight="false" outlineLevel="0" collapsed="false">
      <c r="A877" s="5" t="s">
        <v>586</v>
      </c>
    </row>
    <row r="878" customFormat="false" ht="17.15" hidden="false" customHeight="false" outlineLevel="0" collapsed="false">
      <c r="A878" s="0" t="s">
        <v>587</v>
      </c>
      <c r="B878" s="3" t="s">
        <v>32</v>
      </c>
      <c r="D878" s="21" t="n">
        <f aca="false">(u_bw_26+u_rb_26+u_ru_26+u_hp_26)*1</f>
        <v>7.6</v>
      </c>
      <c r="E878" s="21" t="n">
        <f aca="false">(u_bw_27+u_rb_27+u_ru_27+u_hp_27)*1*1</f>
        <v>9.7</v>
      </c>
      <c r="F878" s="21" t="n">
        <f aca="false">(u_bw_28+u_rb_28+u_ru_28+u_hp_28)*um28_A*1</f>
        <v>9.5</v>
      </c>
      <c r="G878" s="21" t="n">
        <f aca="false">(u_bw_28*(1+g29_bw)+u_rb_28*(1+g29_rb)+u_ru_28*(1+g29_ru)+u_hp_28*(1+g29_hp))*um29_A*1</f>
        <v>10.6</v>
      </c>
      <c r="K878" s="7" t="s">
        <v>588</v>
      </c>
    </row>
    <row r="879" customFormat="false" ht="17.15" hidden="false" customHeight="false" outlineLevel="0" collapsed="false">
      <c r="A879" s="3" t="s">
        <v>589</v>
      </c>
      <c r="B879" s="3" t="s">
        <v>32</v>
      </c>
      <c r="D879" s="21" t="n">
        <f aca="false">(u_amd_26+u_tpu_26+u_trn_26+u_oth_26)*1</f>
        <v>7.6</v>
      </c>
      <c r="E879" s="21" t="n">
        <f aca="false">(u_amd_27+u_tpu_27+u_trn_27+u_oth_27)*1*1</f>
        <v>14</v>
      </c>
      <c r="F879" s="21" t="n">
        <f aca="false">(u_amd_28+u_tpu_28+u_trn_28+u_oth_28)*um28_A*1</f>
        <v>17</v>
      </c>
      <c r="G879" s="21" t="n">
        <f aca="false">(u_amd_28*(1+g29_amd)+u_tpu_28*(1+g29_tpu)+u_trn_28*(1+g29_trn)+u_oth_28*(1+g29_oth))*um29_A*1</f>
        <v>19.55</v>
      </c>
      <c r="K879" s="7" t="s">
        <v>590</v>
      </c>
    </row>
    <row r="880" customFormat="false" ht="17.15" hidden="false" customHeight="false" outlineLevel="0" collapsed="false">
      <c r="A880" s="3" t="s">
        <v>591</v>
      </c>
      <c r="B880" s="0" t="s">
        <v>144</v>
      </c>
      <c r="D880" s="19" t="n">
        <f aca="false">1</f>
        <v>1</v>
      </c>
      <c r="E880" s="19" t="n">
        <f aca="false">D880*(1+g_asp)</f>
        <v>1.18</v>
      </c>
      <c r="F880" s="19" t="n">
        <f aca="false">E880*(1+g_asp)</f>
        <v>1.3924</v>
      </c>
      <c r="G880" s="19" t="n">
        <f aca="false">F880*(1+g_asp)</f>
        <v>1.643032</v>
      </c>
      <c r="K880" s="7" t="s">
        <v>592</v>
      </c>
    </row>
    <row r="881" customFormat="false" ht="17.15" hidden="false" customHeight="false" outlineLevel="0" collapsed="false">
      <c r="A881" s="0" t="s">
        <v>593</v>
      </c>
      <c r="B881" s="0" t="s">
        <v>144</v>
      </c>
      <c r="D881" s="18" t="n">
        <f aca="false">1</f>
        <v>1</v>
      </c>
      <c r="E881" s="18" t="n">
        <f aca="false">ibpp_27</f>
        <v>1</v>
      </c>
      <c r="F881" s="18" t="n">
        <f aca="false">ibpp_28</f>
        <v>0.95</v>
      </c>
      <c r="G881" s="18" t="n">
        <f aca="false">ibpp_29</f>
        <v>0.9</v>
      </c>
      <c r="K881" s="7" t="s">
        <v>594</v>
      </c>
    </row>
    <row r="882" customFormat="false" ht="17.15" hidden="false" customHeight="false" outlineLevel="0" collapsed="false">
      <c r="A882" s="3" t="s">
        <v>595</v>
      </c>
      <c r="B882" s="0" t="s">
        <v>144</v>
      </c>
      <c r="D882" s="18" t="n">
        <f aca="false">1</f>
        <v>1</v>
      </c>
      <c r="E882" s="18" t="n">
        <f aca="false">1+carry</f>
        <v>1.05</v>
      </c>
      <c r="F882" s="18" t="n">
        <f aca="false">1+carry</f>
        <v>1.05</v>
      </c>
      <c r="G882" s="18" t="n">
        <f aca="false">1+carry</f>
        <v>1.05</v>
      </c>
      <c r="K882" s="7" t="s">
        <v>596</v>
      </c>
    </row>
    <row r="883" customFormat="false" ht="17.15" hidden="false" customHeight="false" outlineLevel="0" collapsed="false">
      <c r="A883" s="3" t="s">
        <v>597</v>
      </c>
      <c r="B883" s="0" t="s">
        <v>598</v>
      </c>
      <c r="D883" s="23" t="n">
        <f aca="false">v26*D880*D881</f>
        <v>215.308596</v>
      </c>
      <c r="E883" s="23" t="n">
        <f aca="false">v26*E880*E881</f>
        <v>254.06414328</v>
      </c>
      <c r="F883" s="23" t="n">
        <f aca="false">v26*F880*F881</f>
        <v>284.80590461688</v>
      </c>
      <c r="G883" s="23" t="n">
        <f aca="false">v26*G880*G881</f>
        <v>318.383021792765</v>
      </c>
      <c r="K883" s="7" t="s">
        <v>599</v>
      </c>
    </row>
    <row r="884" customFormat="false" ht="17.15" hidden="false" customHeight="false" outlineLevel="0" collapsed="false">
      <c r="A884" s="3" t="s">
        <v>600</v>
      </c>
      <c r="B884" s="0" t="s">
        <v>44</v>
      </c>
      <c r="D884" s="20" t="n">
        <f aca="false">sh_nv_26_lo</f>
        <v>0.2</v>
      </c>
      <c r="E884" s="20" t="n">
        <f aca="false">sh_nv_27_lo</f>
        <v>0.22</v>
      </c>
      <c r="F884" s="20" t="n">
        <f aca="false">sh_nv_28_lo</f>
        <v>0.22</v>
      </c>
      <c r="G884" s="20" t="n">
        <f aca="false">sh_nv_29_lo</f>
        <v>0.22</v>
      </c>
    </row>
    <row r="885" customFormat="false" ht="17.15" hidden="false" customHeight="false" outlineLevel="0" collapsed="false">
      <c r="A885" s="3" t="s">
        <v>601</v>
      </c>
      <c r="B885" s="0" t="s">
        <v>44</v>
      </c>
      <c r="D885" s="20" t="n">
        <f aca="false">sh_ot_26</f>
        <v>0.3</v>
      </c>
      <c r="E885" s="20" t="n">
        <f aca="false">sh_ot_27</f>
        <v>0.31</v>
      </c>
      <c r="F885" s="20" t="n">
        <f aca="false">sh_ot_28</f>
        <v>0.32</v>
      </c>
      <c r="G885" s="20" t="n">
        <f aca="false">sh_ot_29</f>
        <v>0.33</v>
      </c>
    </row>
    <row r="886" customFormat="false" ht="17.15" hidden="false" customHeight="false" outlineLevel="0" collapsed="false">
      <c r="A886" s="3" t="s">
        <v>602</v>
      </c>
      <c r="B886" s="0" t="s">
        <v>552</v>
      </c>
      <c r="D886" s="22" t="n">
        <f aca="false">(D878*D883*D884+D879*D883*v_ot*D885)*D882</f>
        <v>719.991945024</v>
      </c>
      <c r="E886" s="22" t="n">
        <f aca="false">(E878*E883*E884+E879*E883*v_ot*E885)*E882</f>
        <v>1495.49776658906</v>
      </c>
      <c r="F886" s="22" t="n">
        <f aca="false">(F878*F883*F884+F879*F883*v_ot*F885)*F882</f>
        <v>1926.45561941904</v>
      </c>
      <c r="G886" s="22" t="n">
        <f aca="false">(G878*G883*G884+G879*G883*v_ot*G885)*G882</f>
        <v>2504.99304184242</v>
      </c>
    </row>
    <row r="887" customFormat="false" ht="15" hidden="false" customHeight="false" outlineLevel="0" collapsed="false">
      <c r="A887" s="3" t="s">
        <v>603</v>
      </c>
      <c r="B887" s="0" t="s">
        <v>302</v>
      </c>
      <c r="D887" s="21" t="n">
        <f aca="false">D886*fx/1000</f>
        <v>23.39973821328</v>
      </c>
      <c r="E887" s="21" t="n">
        <f aca="false">E886*fx/1000</f>
        <v>48.6036774141446</v>
      </c>
      <c r="F887" s="21" t="n">
        <f aca="false">F886*fx/1000</f>
        <v>62.6098076311187</v>
      </c>
      <c r="G887" s="21" t="n">
        <f aca="false">G886*fx/1000</f>
        <v>81.4122738598787</v>
      </c>
    </row>
    <row r="888" customFormat="false" ht="17.15" hidden="false" customHeight="false" outlineLevel="0" collapsed="false">
      <c r="A888" s="5" t="s">
        <v>604</v>
      </c>
    </row>
    <row r="889" customFormat="false" ht="17.15" hidden="false" customHeight="false" outlineLevel="0" collapsed="false">
      <c r="A889" s="0" t="s">
        <v>605</v>
      </c>
      <c r="B889" s="0" t="s">
        <v>302</v>
      </c>
      <c r="D889" s="21" t="n">
        <f aca="false">a26_abf*ai_abf</f>
        <v>74.83672875</v>
      </c>
      <c r="K889" s="3" t="s">
        <v>606</v>
      </c>
    </row>
    <row r="890" customFormat="false" ht="17.15" hidden="false" customHeight="false" outlineLevel="0" collapsed="false">
      <c r="A890" s="3" t="s">
        <v>607</v>
      </c>
      <c r="B890" s="0" t="s">
        <v>302</v>
      </c>
      <c r="D890" s="21" t="n">
        <f aca="false">D889-D887</f>
        <v>51.43699053672</v>
      </c>
      <c r="E890" s="21" t="n">
        <f aca="false">$D890*(itc_27/itc_26)^el_o*1*1*E881*E882</f>
        <v>76.4192012438414</v>
      </c>
      <c r="F890" s="21" t="n">
        <f aca="false">$D890*(itc_28/itc_26)^el_o*um28_A*1*F881*F882</f>
        <v>81.7372618325388</v>
      </c>
      <c r="G890" s="21" t="n">
        <f aca="false">$D890*(itc_29/itc_26)^el_o*um29_A*1*G881*G882</f>
        <v>82.6477414626022</v>
      </c>
      <c r="K890" s="7" t="s">
        <v>608</v>
      </c>
    </row>
    <row r="891" customFormat="false" ht="17.15" hidden="false" customHeight="false" outlineLevel="0" collapsed="false">
      <c r="A891" s="3" t="s">
        <v>609</v>
      </c>
      <c r="B891" s="0" t="s">
        <v>302</v>
      </c>
      <c r="D891" s="21" t="n">
        <f aca="false">a26_abf-D889</f>
        <v>24.94557625</v>
      </c>
      <c r="E891" s="21" t="n">
        <f aca="false">D891*(1+g_nai)</f>
        <v>25.6939435375</v>
      </c>
      <c r="F891" s="21" t="n">
        <f aca="false">E891*(1+g_nai)</f>
        <v>26.464761843625</v>
      </c>
      <c r="G891" s="21" t="n">
        <f aca="false">F891*(1+g_nai)</f>
        <v>27.2587046989338</v>
      </c>
    </row>
    <row r="892" customFormat="false" ht="17.15" hidden="false" customHeight="false" outlineLevel="0" collapsed="false">
      <c r="A892" s="0" t="s">
        <v>610</v>
      </c>
      <c r="B892" s="0" t="s">
        <v>302</v>
      </c>
      <c r="D892" s="21" t="n">
        <f aca="false">D887+D890+D891</f>
        <v>99.782305</v>
      </c>
      <c r="E892" s="21" t="n">
        <f aca="false">E887+E890+E891</f>
        <v>150.716822195486</v>
      </c>
      <c r="F892" s="21" t="n">
        <f aca="false">F887+F890+F891</f>
        <v>170.811831307283</v>
      </c>
      <c r="G892" s="21" t="n">
        <f aca="false">G887+G890+G891</f>
        <v>191.318720021415</v>
      </c>
    </row>
    <row r="893" customFormat="false" ht="17.15" hidden="false" customHeight="false" outlineLevel="0" collapsed="false">
      <c r="A893" s="0" t="s">
        <v>611</v>
      </c>
      <c r="B893" s="0" t="s">
        <v>302</v>
      </c>
      <c r="D893" s="21" t="n">
        <f aca="false">a26_abf</f>
        <v>99.782305</v>
      </c>
      <c r="E893" s="21" t="n">
        <f aca="false">$D892*cap_27*(1+g_mix)^1*E881*E882</f>
        <v>148.513488204375</v>
      </c>
      <c r="F893" s="21" t="n">
        <f aca="false">$D892*cap_28*(1+g_mix)^2*F881*F882</f>
        <v>186.549442683384</v>
      </c>
      <c r="G893" s="21" t="n">
        <f aca="false">$D892*cap_29*(1+g_mix)^3*G881*G882</f>
        <v>218.314827660431</v>
      </c>
      <c r="K893" s="7" t="s">
        <v>612</v>
      </c>
    </row>
    <row r="894" customFormat="false" ht="17.15" hidden="false" customHeight="false" outlineLevel="0" collapsed="false">
      <c r="A894" s="0" t="s">
        <v>613</v>
      </c>
      <c r="B894" s="0" t="s">
        <v>302</v>
      </c>
      <c r="D894" s="21" t="n">
        <f aca="false">a26_abf</f>
        <v>99.782305</v>
      </c>
      <c r="E894" s="21" t="n">
        <f aca="false">MIN(E892,E893)</f>
        <v>148.513488204375</v>
      </c>
      <c r="F894" s="21" t="n">
        <f aca="false">MIN(F892,F893)</f>
        <v>170.811831307283</v>
      </c>
      <c r="G894" s="21" t="n">
        <f aca="false">MIN(G892,G893)</f>
        <v>191.318720021415</v>
      </c>
    </row>
    <row r="895" customFormat="false" ht="17.15" hidden="false" customHeight="false" outlineLevel="0" collapsed="false">
      <c r="A895" s="3" t="s">
        <v>614</v>
      </c>
      <c r="B895" s="0" t="s">
        <v>44</v>
      </c>
      <c r="D895" s="20" t="n">
        <f aca="false">D894/D892</f>
        <v>1</v>
      </c>
      <c r="E895" s="20" t="n">
        <f aca="false">E894/E892</f>
        <v>0.985380968368261</v>
      </c>
      <c r="F895" s="20" t="n">
        <f aca="false">F894/F892</f>
        <v>1</v>
      </c>
      <c r="G895" s="20" t="n">
        <f aca="false">G894/G892</f>
        <v>1</v>
      </c>
    </row>
    <row r="896" customFormat="false" ht="17.15" hidden="false" customHeight="false" outlineLevel="0" collapsed="false">
      <c r="A896" s="0" t="s">
        <v>615</v>
      </c>
      <c r="B896" s="0" t="s">
        <v>302</v>
      </c>
      <c r="D896" s="21" t="n">
        <f aca="false">(D887+D890)*D895</f>
        <v>74.83672875</v>
      </c>
      <c r="E896" s="21" t="n">
        <f aca="false">(E887+E890)*E895</f>
        <v>123.195165240194</v>
      </c>
      <c r="F896" s="21" t="n">
        <f aca="false">(F887+F890)*F895</f>
        <v>144.347069463658</v>
      </c>
      <c r="G896" s="21" t="n">
        <f aca="false">(G887+G890)*G895</f>
        <v>164.060015322481</v>
      </c>
    </row>
    <row r="897" customFormat="false" ht="17.15" hidden="false" customHeight="false" outlineLevel="0" collapsed="false">
      <c r="A897" s="3" t="s">
        <v>616</v>
      </c>
      <c r="B897" s="0" t="s">
        <v>44</v>
      </c>
      <c r="D897" s="20" t="n">
        <f aca="false">D887/(D887+D890)</f>
        <v>0.312677192123794</v>
      </c>
      <c r="E897" s="20" t="n">
        <f aca="false">E887/(E887+E890)</f>
        <v>0.388758265174051</v>
      </c>
      <c r="F897" s="20" t="n">
        <f aca="false">F887/(F887+F890)</f>
        <v>0.433744916774234</v>
      </c>
      <c r="G897" s="20" t="n">
        <f aca="false">G887/(G887+G890)</f>
        <v>0.496234708377008</v>
      </c>
    </row>
    <row r="898" customFormat="false" ht="17.15" hidden="false" customHeight="false" outlineLevel="0" collapsed="false">
      <c r="A898" s="5" t="s">
        <v>617</v>
      </c>
    </row>
    <row r="899" customFormat="false" ht="17.15" hidden="false" customHeight="false" outlineLevel="0" collapsed="false">
      <c r="A899" s="0" t="s">
        <v>519</v>
      </c>
      <c r="B899" s="0" t="s">
        <v>302</v>
      </c>
      <c r="D899" s="21" t="n">
        <f aca="false">a26_bt</f>
        <v>16.944165</v>
      </c>
      <c r="E899" s="21" t="n">
        <f aca="false">D899*(1+g_bt)</f>
        <v>17.79137325</v>
      </c>
      <c r="F899" s="21" t="n">
        <f aca="false">E899*(1+g_bt)</f>
        <v>18.6809419125</v>
      </c>
      <c r="G899" s="21" t="n">
        <f aca="false">F899*(1+g_bt)</f>
        <v>19.614989008125</v>
      </c>
    </row>
    <row r="900" customFormat="false" ht="17.15" hidden="false" customHeight="false" outlineLevel="0" collapsed="false">
      <c r="A900" s="0" t="s">
        <v>618</v>
      </c>
      <c r="B900" s="0" t="s">
        <v>302</v>
      </c>
      <c r="D900" s="21" t="n">
        <f aca="false">a26_pcb*ai_pcb</f>
        <v>37.93610275</v>
      </c>
      <c r="E900" s="21" t="n">
        <f aca="false">D900*(1+g_pai_27)</f>
        <v>45.5233233</v>
      </c>
      <c r="F900" s="21" t="n">
        <f aca="false">D900*(1+g_pai_27)*(1+g_pai_28)*um28_A</f>
        <v>52.351821795</v>
      </c>
      <c r="G900" s="21" t="n">
        <f aca="false">D900*(1+g_pai_27)*(1+g_pai_28)*(1+g_pai_29)*um29_A</f>
        <v>57.5870039745</v>
      </c>
      <c r="K900" s="3" t="s">
        <v>619</v>
      </c>
    </row>
    <row r="901" customFormat="false" ht="17.15" hidden="false" customHeight="false" outlineLevel="0" collapsed="false">
      <c r="A901" s="3" t="s">
        <v>620</v>
      </c>
      <c r="B901" s="0" t="s">
        <v>302</v>
      </c>
      <c r="D901" s="21" t="n">
        <f aca="false">a26_pcb*(1-ai_pcb)</f>
        <v>20.42713225</v>
      </c>
      <c r="E901" s="21" t="n">
        <f aca="false">D901*(1+g_pcbn)</f>
        <v>20.835674895</v>
      </c>
      <c r="F901" s="21" t="n">
        <f aca="false">E901*(1+g_pcbn)</f>
        <v>21.2523883929</v>
      </c>
      <c r="G901" s="21" t="n">
        <f aca="false">F901*(1+g_pcbn)</f>
        <v>21.677436160758</v>
      </c>
    </row>
    <row r="902" customFormat="false" ht="15" hidden="false" customHeight="false" outlineLevel="0" collapsed="false">
      <c r="A902" s="3" t="s">
        <v>521</v>
      </c>
      <c r="B902" s="0" t="s">
        <v>302</v>
      </c>
      <c r="D902" s="21" t="n">
        <f aca="false">a26_fpc</f>
        <v>13.178795</v>
      </c>
      <c r="E902" s="21" t="n">
        <f aca="false">D902*(1+g_fpc)</f>
        <v>13.178795</v>
      </c>
      <c r="F902" s="21" t="n">
        <f aca="false">E902*(1+g_fpc)</f>
        <v>13.178795</v>
      </c>
      <c r="G902" s="21" t="n">
        <f aca="false">F902*(1+g_fpc)</f>
        <v>13.178795</v>
      </c>
    </row>
    <row r="903" customFormat="false" ht="17.15" hidden="false" customHeight="false" outlineLevel="0" collapsed="false">
      <c r="A903" s="3" t="s">
        <v>484</v>
      </c>
      <c r="B903" s="0" t="s">
        <v>302</v>
      </c>
      <c r="C903" s="23" t="n">
        <f aca="false">a25_rev</f>
        <v>131.241</v>
      </c>
      <c r="D903" s="23" t="n">
        <f aca="false">D894+D899+D900+D901+D902</f>
        <v>188.2685</v>
      </c>
      <c r="E903" s="23" t="n">
        <f aca="false">E894+E899+E900+E901+E902</f>
        <v>245.842654649375</v>
      </c>
      <c r="F903" s="23" t="n">
        <f aca="false">F894+F899+F900+F901+F902</f>
        <v>276.275778407683</v>
      </c>
      <c r="G903" s="23" t="n">
        <f aca="false">G894+G899+G900+G901+G902</f>
        <v>303.376944164798</v>
      </c>
      <c r="H903" s="25" t="n">
        <f aca="false">G903*(1+H904)</f>
        <v>329.284245809983</v>
      </c>
      <c r="I903" s="25" t="n">
        <f aca="false">H903*(1+I904)</f>
        <v>353.222619272278</v>
      </c>
      <c r="J903" s="25" t="n">
        <f aca="false">I903*(1+J904)</f>
        <v>374.415976428615</v>
      </c>
      <c r="K903" s="7" t="s">
        <v>621</v>
      </c>
    </row>
    <row r="904" customFormat="false" ht="15" hidden="false" customHeight="false" outlineLevel="0" collapsed="false">
      <c r="A904" s="3" t="s">
        <v>622</v>
      </c>
      <c r="B904" s="0" t="s">
        <v>44</v>
      </c>
      <c r="D904" s="20" t="n">
        <f aca="false">D903/C903-1</f>
        <v>0.434525034097576</v>
      </c>
      <c r="E904" s="20" t="n">
        <f aca="false">E903/D903-1</f>
        <v>0.30580875</v>
      </c>
      <c r="F904" s="20" t="n">
        <f aca="false">F903/E903-1</f>
        <v>0.123791063848183</v>
      </c>
      <c r="G904" s="20" t="n">
        <f aca="false">G903/F903-1</f>
        <v>0.0980946136983594</v>
      </c>
      <c r="H904" s="26" t="n">
        <f aca="false">$G904+(fade_gA-$G904)*1/3</f>
        <v>0.0853964091322396</v>
      </c>
      <c r="I904" s="26" t="n">
        <f aca="false">$G904+(fade_gA-$G904)*2/3</f>
        <v>0.0726982045661198</v>
      </c>
      <c r="J904" s="26" t="n">
        <f aca="false">$G904+(fade_gA-$G904)*3/3</f>
        <v>0.06</v>
      </c>
    </row>
    <row r="905" customFormat="false" ht="17.15" hidden="false" customHeight="false" outlineLevel="0" collapsed="false">
      <c r="A905" s="0" t="s">
        <v>623</v>
      </c>
      <c r="B905" s="0" t="s">
        <v>44</v>
      </c>
      <c r="D905" s="20" t="n">
        <f aca="false">D894/D903</f>
        <v>0.53</v>
      </c>
      <c r="E905" s="20" t="n">
        <f aca="false">E894/E903</f>
        <v>0.604099758100105</v>
      </c>
      <c r="F905" s="20" t="n">
        <f aca="false">F894/F903</f>
        <v>0.618265677475448</v>
      </c>
      <c r="G905" s="20" t="n">
        <f aca="false">G894/G903</f>
        <v>0.630630388041249</v>
      </c>
    </row>
    <row r="906" customFormat="false" ht="17.15" hidden="false" customHeight="false" outlineLevel="0" collapsed="false">
      <c r="A906" s="0" t="s">
        <v>624</v>
      </c>
      <c r="B906" s="0" t="s">
        <v>44</v>
      </c>
      <c r="D906" s="20" t="n">
        <f aca="false">(D896+D900)/D903</f>
        <v>0.599</v>
      </c>
      <c r="E906" s="20" t="n">
        <f aca="false">(E896+E900)/E903</f>
        <v>0.686286473683027</v>
      </c>
      <c r="F906" s="20" t="n">
        <f aca="false">(F896+F900)/F903</f>
        <v>0.711965748109853</v>
      </c>
      <c r="G906" s="20" t="n">
        <f aca="false">(G896+G900)/G903</f>
        <v>0.730599419501634</v>
      </c>
      <c r="K906" s="3" t="s">
        <v>625</v>
      </c>
    </row>
    <row r="907" customFormat="false" ht="17.15" hidden="false" customHeight="false" outlineLevel="0" collapsed="false">
      <c r="A907" s="5" t="s">
        <v>626</v>
      </c>
    </row>
    <row r="908" customFormat="false" ht="15" hidden="false" customHeight="false" outlineLevel="0" collapsed="false">
      <c r="A908" s="3" t="s">
        <v>627</v>
      </c>
      <c r="B908" s="0" t="s">
        <v>302</v>
      </c>
      <c r="C908" s="23" t="n">
        <f aca="false">a25_cx</f>
        <v>25.617</v>
      </c>
      <c r="D908" s="23" t="n">
        <f aca="false">capex26</f>
        <v>53.7</v>
      </c>
      <c r="E908" s="23" t="n">
        <f aca="false">cx27_A</f>
        <v>55</v>
      </c>
      <c r="F908" s="23" t="n">
        <f aca="false">cx28_A</f>
        <v>50</v>
      </c>
      <c r="G908" s="23" t="n">
        <f aca="false">cx29_A</f>
        <v>45</v>
      </c>
      <c r="H908" s="25" t="n">
        <f aca="false">H903*H925</f>
        <v>45.8263405345608</v>
      </c>
      <c r="I908" s="25" t="n">
        <f aca="false">I903*I925</f>
        <v>45.9220413571778</v>
      </c>
      <c r="J908" s="25" t="n">
        <f aca="false">J903*J925</f>
        <v>45.2474244711625</v>
      </c>
    </row>
    <row r="909" customFormat="false" ht="17.15" hidden="false" customHeight="false" outlineLevel="0" collapsed="false">
      <c r="A909" s="3" t="s">
        <v>628</v>
      </c>
      <c r="B909" s="0" t="s">
        <v>302</v>
      </c>
      <c r="C909" s="23" t="n">
        <f aca="false">a25_da</f>
        <v>18.8</v>
      </c>
      <c r="D909" s="23" t="n">
        <f aca="false">da26</f>
        <v>20.8</v>
      </c>
      <c r="E909" s="23" t="n">
        <f aca="false">D909*(1-1/life)+D908/life</f>
        <v>24.9125</v>
      </c>
      <c r="F909" s="23" t="n">
        <f aca="false">E909*(1-1/life)+E908/life</f>
        <v>28.6734375</v>
      </c>
      <c r="G909" s="23" t="n">
        <f aca="false">F909*(1-1/life)+F908/life</f>
        <v>31.3392578125</v>
      </c>
      <c r="H909" s="25" t="n">
        <f aca="false">H903*H910</f>
        <v>34.015517894557</v>
      </c>
      <c r="I909" s="25" t="n">
        <f aca="false">I903*I910</f>
        <v>36.488384972878</v>
      </c>
      <c r="J909" s="25" t="n">
        <f aca="false">J903*J910</f>
        <v>38.6776880712507</v>
      </c>
      <c r="K909" s="3" t="s">
        <v>629</v>
      </c>
    </row>
    <row r="910" customFormat="false" ht="17.15" hidden="false" customHeight="false" outlineLevel="0" collapsed="false">
      <c r="A910" s="3" t="s">
        <v>630</v>
      </c>
      <c r="B910" s="0" t="s">
        <v>44</v>
      </c>
      <c r="C910" s="20" t="n">
        <f aca="false">C909/C903</f>
        <v>0.143247917952469</v>
      </c>
      <c r="D910" s="20" t="n">
        <f aca="false">D909/D903</f>
        <v>0.110480510547436</v>
      </c>
      <c r="E910" s="20" t="n">
        <f aca="false">E909/E903</f>
        <v>0.101335140704247</v>
      </c>
      <c r="F910" s="20" t="n">
        <f aca="false">F909/F903</f>
        <v>0.103785564066671</v>
      </c>
      <c r="G910" s="20" t="n">
        <f aca="false">G909/G903</f>
        <v>0.103301382703216</v>
      </c>
      <c r="H910" s="26" t="n">
        <f aca="false">$G910</f>
        <v>0.103301382703216</v>
      </c>
      <c r="I910" s="26" t="n">
        <f aca="false">$G910</f>
        <v>0.103301382703216</v>
      </c>
      <c r="J910" s="26" t="n">
        <f aca="false">$G910</f>
        <v>0.103301382703216</v>
      </c>
    </row>
    <row r="911" customFormat="false" ht="17.15" hidden="false" customHeight="false" outlineLevel="0" collapsed="false">
      <c r="A911" s="3" t="s">
        <v>631</v>
      </c>
      <c r="B911" s="0" t="s">
        <v>302</v>
      </c>
      <c r="E911" s="21" t="n">
        <f aca="false">E896*(1-1/(E881*E882))</f>
        <v>5.86643644000924</v>
      </c>
      <c r="F911" s="21" t="n">
        <f aca="false">F896*(1-1/(F881*F882))</f>
        <v>-0.361772103918965</v>
      </c>
      <c r="G911" s="21" t="n">
        <f aca="false">G896*(1-1/(G881*G882))</f>
        <v>-9.5484665002502</v>
      </c>
      <c r="K911" s="7" t="s">
        <v>632</v>
      </c>
    </row>
    <row r="912" customFormat="false" ht="17.15" hidden="false" customHeight="false" outlineLevel="0" collapsed="false">
      <c r="A912" s="3" t="s">
        <v>633</v>
      </c>
      <c r="B912" s="0" t="s">
        <v>302</v>
      </c>
      <c r="C912" s="21" t="n">
        <f aca="false">a25_gp</f>
        <v>18.292</v>
      </c>
      <c r="D912" s="21" t="n">
        <f aca="false">a26_gp</f>
        <v>47.3329657</v>
      </c>
      <c r="E912" s="21" t="n">
        <f aca="false">$D912+ft_abf*(E894-E911-$D894)+ft_oth*((E903-E894)-($D903-$D894))+E911-(E909-$D909)</f>
        <v>72.7300183834421</v>
      </c>
      <c r="F912" s="21" t="n">
        <f aca="false">$D912+ft_abf*(F894-F911-$D894)+ft_oth*((F903-F894)-($D903-$D894))+F911-(F909-$D909)</f>
        <v>79.0378433267818</v>
      </c>
      <c r="G912" s="21" t="n">
        <f aca="false">$D912+ft_abf*(G894-G911-$D894)+ft_oth*((G903-G894)-($D903-$D894))+G911-(G909-$D909)</f>
        <v>83.680689433928</v>
      </c>
      <c r="K912" s="3" t="s">
        <v>634</v>
      </c>
    </row>
    <row r="913" customFormat="false" ht="15" hidden="false" customHeight="false" outlineLevel="0" collapsed="false">
      <c r="A913" s="3" t="s">
        <v>491</v>
      </c>
      <c r="B913" s="0" t="s">
        <v>44</v>
      </c>
      <c r="C913" s="16" t="n">
        <f aca="false">C912/C903</f>
        <v>0.139377176339711</v>
      </c>
      <c r="D913" s="16" t="n">
        <f aca="false">D912/D903</f>
        <v>0.251412029627899</v>
      </c>
      <c r="E913" s="16" t="n">
        <f aca="false">E912/E903</f>
        <v>0.29583970481921</v>
      </c>
      <c r="F913" s="16" t="n">
        <f aca="false">F912/F903</f>
        <v>0.286083144104478</v>
      </c>
      <c r="G913" s="16" t="n">
        <f aca="false">G912/G903</f>
        <v>0.275830747996696</v>
      </c>
    </row>
    <row r="914" customFormat="false" ht="15" hidden="false" customHeight="false" outlineLevel="0" collapsed="false">
      <c r="A914" s="3" t="s">
        <v>493</v>
      </c>
      <c r="B914" s="0" t="s">
        <v>302</v>
      </c>
      <c r="C914" s="21" t="n">
        <f aca="false">a25_opx</f>
        <v>11.618</v>
      </c>
      <c r="D914" s="21" t="n">
        <f aca="false">a26_opx</f>
        <v>16.6539532</v>
      </c>
      <c r="E914" s="21" t="n">
        <f aca="false">D914*(1+phi*E904)</f>
        <v>19.7097079663903</v>
      </c>
      <c r="F914" s="21" t="n">
        <f aca="false">E914*(1+phi*F904)</f>
        <v>21.1736393967682</v>
      </c>
      <c r="G914" s="21" t="n">
        <f aca="false">F914*(1+phi*G904)</f>
        <v>22.4198513830968</v>
      </c>
    </row>
    <row r="915" customFormat="false" ht="15" hidden="false" customHeight="false" outlineLevel="0" collapsed="false">
      <c r="A915" s="3" t="s">
        <v>496</v>
      </c>
      <c r="B915" s="0" t="s">
        <v>302</v>
      </c>
      <c r="C915" s="21" t="n">
        <f aca="false">C912-C914</f>
        <v>6.674</v>
      </c>
      <c r="D915" s="21" t="n">
        <f aca="false">D912-D914</f>
        <v>30.6790125</v>
      </c>
      <c r="E915" s="21" t="n">
        <f aca="false">E912-E914</f>
        <v>53.0203104170518</v>
      </c>
      <c r="F915" s="21" t="n">
        <f aca="false">F912-F914</f>
        <v>57.8642039300136</v>
      </c>
      <c r="G915" s="21" t="n">
        <f aca="false">G912-G914</f>
        <v>61.2608380508312</v>
      </c>
    </row>
    <row r="916" customFormat="false" ht="15" hidden="false" customHeight="false" outlineLevel="0" collapsed="false">
      <c r="A916" s="3" t="s">
        <v>575</v>
      </c>
      <c r="B916" s="0" t="s">
        <v>44</v>
      </c>
      <c r="C916" s="16" t="n">
        <f aca="false">C915/C903</f>
        <v>0.0508530108731265</v>
      </c>
      <c r="D916" s="16" t="n">
        <f aca="false">D915/D903</f>
        <v>0.162953507888999</v>
      </c>
      <c r="E916" s="16" t="n">
        <f aca="false">E915/E903</f>
        <v>0.215667661466926</v>
      </c>
      <c r="F916" s="16" t="n">
        <f aca="false">F915/F903</f>
        <v>0.209443637308759</v>
      </c>
      <c r="G916" s="16" t="n">
        <f aca="false">G915/G903</f>
        <v>0.201929774919065</v>
      </c>
    </row>
    <row r="917" customFormat="false" ht="17.15" hidden="false" customHeight="false" outlineLevel="0" collapsed="false">
      <c r="A917" s="3" t="s">
        <v>635</v>
      </c>
      <c r="B917" s="0" t="s">
        <v>302</v>
      </c>
      <c r="C917" s="21" t="n">
        <f aca="false">a25_nonop</f>
        <v>-0.00100000000000033</v>
      </c>
      <c r="D917" s="21" t="n">
        <f aca="false">a26_nonop</f>
        <v>14.466</v>
      </c>
      <c r="E917" s="21" t="n">
        <f aca="false">nonop27</f>
        <v>2</v>
      </c>
      <c r="F917" s="21" t="n">
        <f aca="false">nonop28</f>
        <v>2</v>
      </c>
      <c r="G917" s="21" t="n">
        <f aca="false">nonop29</f>
        <v>2</v>
      </c>
      <c r="K917" s="7" t="s">
        <v>636</v>
      </c>
    </row>
    <row r="918" customFormat="false" ht="15" hidden="false" customHeight="false" outlineLevel="0" collapsed="false">
      <c r="A918" s="3" t="s">
        <v>502</v>
      </c>
      <c r="B918" s="0" t="s">
        <v>302</v>
      </c>
      <c r="C918" s="21" t="n">
        <f aca="false">C915+C917</f>
        <v>6.673</v>
      </c>
      <c r="D918" s="21" t="n">
        <f aca="false">D915+D917</f>
        <v>45.1450125</v>
      </c>
      <c r="E918" s="21" t="n">
        <f aca="false">E915+E917</f>
        <v>55.0203104170518</v>
      </c>
      <c r="F918" s="21" t="n">
        <f aca="false">F915+F917</f>
        <v>59.8642039300136</v>
      </c>
      <c r="G918" s="21" t="n">
        <f aca="false">G915+G917</f>
        <v>63.2608380508312</v>
      </c>
    </row>
    <row r="919" customFormat="false" ht="15" hidden="false" customHeight="false" outlineLevel="0" collapsed="false">
      <c r="A919" s="3" t="s">
        <v>506</v>
      </c>
      <c r="B919" s="0" t="s">
        <v>302</v>
      </c>
      <c r="E919" s="21" t="n">
        <f aca="false">E918*tax</f>
        <v>9.90365587506933</v>
      </c>
      <c r="F919" s="21" t="n">
        <f aca="false">F918*tax</f>
        <v>10.7755567074024</v>
      </c>
      <c r="G919" s="21" t="n">
        <f aca="false">G918*tax</f>
        <v>11.3869508491496</v>
      </c>
    </row>
    <row r="920" customFormat="false" ht="15" hidden="false" customHeight="false" outlineLevel="0" collapsed="false">
      <c r="A920" s="3" t="s">
        <v>504</v>
      </c>
      <c r="B920" s="0" t="s">
        <v>302</v>
      </c>
      <c r="C920" s="21" t="n">
        <f aca="false">a25_ni</f>
        <v>6.673</v>
      </c>
      <c r="D920" s="21" t="n">
        <f aca="false">a26_ni</f>
        <v>37.23923025</v>
      </c>
      <c r="E920" s="21" t="n">
        <f aca="false">E918-E919</f>
        <v>45.1166545419825</v>
      </c>
      <c r="F920" s="21" t="n">
        <f aca="false">F918-F919</f>
        <v>49.0886472226111</v>
      </c>
      <c r="G920" s="21" t="n">
        <f aca="false">G918-G919</f>
        <v>51.8738872016816</v>
      </c>
      <c r="H920" s="30" t="n">
        <f aca="false">H903*H924</f>
        <v>56.615655627029</v>
      </c>
      <c r="I920" s="30" t="n">
        <f aca="false">I903*I924</f>
        <v>61.0661132399147</v>
      </c>
      <c r="J920" s="30" t="n">
        <f aca="false">J903*J924</f>
        <v>65.0847571986844</v>
      </c>
    </row>
    <row r="921" customFormat="false" ht="15" hidden="false" customHeight="false" outlineLevel="0" collapsed="false">
      <c r="A921" s="3" t="s">
        <v>637</v>
      </c>
      <c r="B921" s="3" t="s">
        <v>380</v>
      </c>
      <c r="C921" s="29" t="n">
        <f aca="false">a25_sh</f>
        <v>1.52351598173516</v>
      </c>
      <c r="D921" s="29" t="n">
        <f aca="false">a26_sh</f>
        <v>1.59236316568047</v>
      </c>
      <c r="E921" s="29" t="n">
        <f aca="false">a26_shend*(1+sh_g)</f>
        <v>1.64</v>
      </c>
      <c r="F921" s="29" t="n">
        <f aca="false">E921*(1+sh_g)</f>
        <v>1.64</v>
      </c>
      <c r="G921" s="29" t="n">
        <f aca="false">F921*(1+sh_g)</f>
        <v>1.64</v>
      </c>
      <c r="H921" s="31" t="n">
        <f aca="false">G921*(1+sh_g)</f>
        <v>1.64</v>
      </c>
      <c r="I921" s="31" t="n">
        <f aca="false">H921*(1+sh_g)</f>
        <v>1.64</v>
      </c>
      <c r="J921" s="31" t="n">
        <f aca="false">I921*(1+sh_g)</f>
        <v>1.64</v>
      </c>
    </row>
    <row r="922" customFormat="false" ht="17.15" hidden="false" customHeight="false" outlineLevel="0" collapsed="false">
      <c r="A922" s="0" t="s">
        <v>509</v>
      </c>
      <c r="B922" s="0" t="s">
        <v>386</v>
      </c>
      <c r="C922" s="18" t="n">
        <f aca="false">C920/C921</f>
        <v>4.38</v>
      </c>
      <c r="D922" s="18" t="n">
        <f aca="false">D920/D921</f>
        <v>23.3861414610695</v>
      </c>
      <c r="E922" s="18" t="n">
        <f aca="false">E920/E921</f>
        <v>27.5101552085259</v>
      </c>
      <c r="F922" s="18" t="n">
        <f aca="false">F920/F921</f>
        <v>29.9321019650068</v>
      </c>
      <c r="G922" s="18" t="n">
        <f aca="false">G920/G921</f>
        <v>31.6304190254156</v>
      </c>
      <c r="H922" s="28" t="n">
        <f aca="false">H920/H921</f>
        <v>34.5217412359933</v>
      </c>
      <c r="I922" s="28" t="n">
        <f aca="false">I920/I921</f>
        <v>37.235434902387</v>
      </c>
      <c r="J922" s="28" t="n">
        <f aca="false">J920/J921</f>
        <v>39.6858275601734</v>
      </c>
    </row>
    <row r="923" customFormat="false" ht="17.15" hidden="false" customHeight="false" outlineLevel="0" collapsed="false">
      <c r="A923" s="0" t="s">
        <v>638</v>
      </c>
      <c r="B923" s="0" t="s">
        <v>44</v>
      </c>
      <c r="D923" s="20" t="n">
        <f aca="false">D922/C922-1</f>
        <v>4.33930170344053</v>
      </c>
      <c r="E923" s="20" t="n">
        <f aca="false">E922/D922-1</f>
        <v>0.17634434283747</v>
      </c>
      <c r="F923" s="20" t="n">
        <f aca="false">F922/E922-1</f>
        <v>0.0880382803413</v>
      </c>
      <c r="G923" s="20" t="n">
        <f aca="false">G922/F922-1</f>
        <v>0.0567389841981123</v>
      </c>
      <c r="H923" s="26" t="n">
        <f aca="false">H922/G922-1</f>
        <v>0.0914095449780317</v>
      </c>
      <c r="I923" s="26" t="n">
        <f aca="false">I922/H922-1</f>
        <v>0.0786082500254739</v>
      </c>
      <c r="J923" s="26" t="n">
        <f aca="false">J922/I922-1</f>
        <v>0.0658080848044391</v>
      </c>
    </row>
    <row r="924" customFormat="false" ht="17.15" hidden="false" customHeight="false" outlineLevel="0" collapsed="false">
      <c r="A924" s="3" t="s">
        <v>639</v>
      </c>
      <c r="B924" s="0" t="s">
        <v>44</v>
      </c>
      <c r="C924" s="16" t="n">
        <f aca="false">C920/C903</f>
        <v>0.0508453913030227</v>
      </c>
      <c r="D924" s="16" t="n">
        <f aca="false">D920/D903</f>
        <v>0.197798517808343</v>
      </c>
      <c r="E924" s="16" t="n">
        <f aca="false">E920/E903</f>
        <v>0.183518415900319</v>
      </c>
      <c r="F924" s="16" t="n">
        <f aca="false">F920/F903</f>
        <v>0.177679880246954</v>
      </c>
      <c r="G924" s="16" t="n">
        <f aca="false">G920/G903</f>
        <v>0.170988231635372</v>
      </c>
      <c r="H924" s="27" t="n">
        <f aca="false">$G924+(fade_mA-$G924)*1/3</f>
        <v>0.171935512698958</v>
      </c>
      <c r="I924" s="27" t="n">
        <f aca="false">$G924+(fade_mA-$G924)*2/3</f>
        <v>0.172882793762544</v>
      </c>
      <c r="J924" s="27" t="n">
        <f aca="false">$G924+(fade_mA-$G924)*3/3</f>
        <v>0.17383007482613</v>
      </c>
    </row>
    <row r="925" customFormat="false" ht="17.15" hidden="false" customHeight="false" outlineLevel="0" collapsed="false">
      <c r="A925" s="3" t="s">
        <v>640</v>
      </c>
      <c r="B925" s="0" t="s">
        <v>44</v>
      </c>
      <c r="C925" s="20" t="n">
        <f aca="false">C908/C903</f>
        <v>0.195190527350447</v>
      </c>
      <c r="D925" s="20" t="n">
        <f aca="false">D908/D903</f>
        <v>0.285230933480641</v>
      </c>
      <c r="E925" s="20" t="n">
        <f aca="false">E908/E903</f>
        <v>0.223720330706817</v>
      </c>
      <c r="F925" s="20" t="n">
        <f aca="false">F908/F903</f>
        <v>0.180978587005257</v>
      </c>
      <c r="G925" s="20" t="n">
        <f aca="false">G908/G903</f>
        <v>0.14833032260868</v>
      </c>
      <c r="H925" s="26" t="n">
        <f aca="false">$G925+($G910*(1+tp_g)^(life/2)-$G925)*1/3</f>
        <v>0.139169550677518</v>
      </c>
      <c r="I925" s="26" t="n">
        <f aca="false">$G925+($G910*(1+tp_g)^(life/2)-$G925)*2/3</f>
        <v>0.130008778746356</v>
      </c>
      <c r="J925" s="26" t="n">
        <f aca="false">$G925+($G910*(1+tp_g)^(life/2)-$G925)*3/3</f>
        <v>0.120848006815193</v>
      </c>
      <c r="K925" s="7" t="s">
        <v>641</v>
      </c>
    </row>
    <row r="926" customFormat="false" ht="15" hidden="false" customHeight="false" outlineLevel="0" collapsed="false">
      <c r="A926" s="3" t="s">
        <v>642</v>
      </c>
      <c r="B926" s="0" t="s">
        <v>302</v>
      </c>
      <c r="E926" s="21" t="n">
        <f aca="false">E920+E909-E908</f>
        <v>15.0291545419825</v>
      </c>
      <c r="F926" s="21" t="n">
        <f aca="false">F920+F909-F908</f>
        <v>27.7620847226112</v>
      </c>
      <c r="G926" s="21" t="n">
        <f aca="false">G920+G909-G908</f>
        <v>38.2131450141816</v>
      </c>
      <c r="H926" s="30" t="n">
        <f aca="false">H920+H909-H908</f>
        <v>44.8048329870253</v>
      </c>
      <c r="I926" s="30" t="n">
        <f aca="false">I920+I909-I908</f>
        <v>51.6324568556149</v>
      </c>
      <c r="J926" s="30" t="n">
        <f aca="false">J920+J909-J908</f>
        <v>58.5150207987726</v>
      </c>
      <c r="K926" s="3" t="s">
        <v>643</v>
      </c>
    </row>
    <row r="927" customFormat="false" ht="15" hidden="false" customHeight="false" outlineLevel="0" collapsed="false">
      <c r="A927" s="3" t="s">
        <v>644</v>
      </c>
      <c r="B927" s="0" t="s">
        <v>386</v>
      </c>
      <c r="E927" s="18" t="n">
        <f aca="false">E926/E921</f>
        <v>9.16411862316007</v>
      </c>
      <c r="F927" s="18" t="n">
        <f aca="false">F926/F921</f>
        <v>16.9281004406166</v>
      </c>
      <c r="G927" s="18" t="n">
        <f aca="false">G926/G921</f>
        <v>23.300698179379</v>
      </c>
      <c r="H927" s="28" t="n">
        <f aca="false">H926/H921</f>
        <v>27.3200201140398</v>
      </c>
      <c r="I927" s="28" t="n">
        <f aca="false">I926/I921</f>
        <v>31.4832053997652</v>
      </c>
      <c r="J927" s="28" t="n">
        <f aca="false">J926/J921</f>
        <v>35.6798907309589</v>
      </c>
    </row>
    <row r="930" customFormat="false" ht="17.15" hidden="false" customHeight="false" outlineLevel="0" collapsed="false">
      <c r="A930" s="1" t="s">
        <v>960</v>
      </c>
    </row>
    <row r="931" customFormat="false" ht="17.15" hidden="false" customHeight="false" outlineLevel="0" collapsed="false">
      <c r="A931" s="4" t="s">
        <v>21</v>
      </c>
      <c r="B931" s="4" t="s">
        <v>22</v>
      </c>
      <c r="C931" s="13" t="s">
        <v>477</v>
      </c>
      <c r="D931" s="13" t="s">
        <v>562</v>
      </c>
      <c r="E931" s="13" t="s">
        <v>563</v>
      </c>
      <c r="F931" s="13" t="s">
        <v>564</v>
      </c>
      <c r="G931" s="13" t="s">
        <v>565</v>
      </c>
      <c r="H931" s="13" t="s">
        <v>566</v>
      </c>
      <c r="I931" s="13" t="s">
        <v>567</v>
      </c>
      <c r="J931" s="13" t="s">
        <v>568</v>
      </c>
      <c r="K931" s="4" t="s">
        <v>533</v>
      </c>
    </row>
    <row r="932" customFormat="false" ht="17.15" hidden="false" customHeight="false" outlineLevel="0" collapsed="false">
      <c r="A932" s="5" t="s">
        <v>586</v>
      </c>
    </row>
    <row r="933" customFormat="false" ht="17.15" hidden="false" customHeight="false" outlineLevel="0" collapsed="false">
      <c r="A933" s="0" t="s">
        <v>587</v>
      </c>
      <c r="B933" s="3" t="s">
        <v>32</v>
      </c>
      <c r="D933" s="21" t="n">
        <f aca="false">(u_bw_26+u_rb_26+u_ru_26+u_hp_26)*1</f>
        <v>7.6</v>
      </c>
      <c r="E933" s="21" t="n">
        <f aca="false">(u_bw_27+u_rb_27+u_ru_27+u_hp_27)*1*1</f>
        <v>9.7</v>
      </c>
      <c r="F933" s="21" t="n">
        <f aca="false">(u_bw_28+u_rb_28+u_ru_28+u_hp_28)*um28_A*1</f>
        <v>9.5</v>
      </c>
      <c r="G933" s="21" t="n">
        <f aca="false">(u_bw_28*(1+g29_bw)+u_rb_28*(1+g29_rb)+u_ru_28*(1+g29_ru)+u_hp_28*(1+g29_hp))*um29_A*1</f>
        <v>10.6</v>
      </c>
      <c r="K933" s="7" t="s">
        <v>588</v>
      </c>
    </row>
    <row r="934" customFormat="false" ht="17.15" hidden="false" customHeight="false" outlineLevel="0" collapsed="false">
      <c r="A934" s="3" t="s">
        <v>589</v>
      </c>
      <c r="B934" s="3" t="s">
        <v>32</v>
      </c>
      <c r="D934" s="21" t="n">
        <f aca="false">(u_amd_26+u_tpu_26+u_trn_26+u_oth_26)*1</f>
        <v>7.6</v>
      </c>
      <c r="E934" s="21" t="n">
        <f aca="false">(u_amd_27+u_tpu_27+u_trn_27+u_oth_27)*1*1</f>
        <v>14</v>
      </c>
      <c r="F934" s="21" t="n">
        <f aca="false">(u_amd_28+u_tpu_28+u_trn_28+u_oth_28)*um28_A*1</f>
        <v>17</v>
      </c>
      <c r="G934" s="21" t="n">
        <f aca="false">(u_amd_28*(1+g29_amd)+u_tpu_28*(1+g29_tpu)+u_trn_28*(1+g29_trn)+u_oth_28*(1+g29_oth))*um29_A*1</f>
        <v>19.55</v>
      </c>
      <c r="K934" s="7" t="s">
        <v>590</v>
      </c>
    </row>
    <row r="935" customFormat="false" ht="17.15" hidden="false" customHeight="false" outlineLevel="0" collapsed="false">
      <c r="A935" s="3" t="s">
        <v>591</v>
      </c>
      <c r="B935" s="0" t="s">
        <v>144</v>
      </c>
      <c r="D935" s="19" t="n">
        <f aca="false">1</f>
        <v>1</v>
      </c>
      <c r="E935" s="19" t="n">
        <f aca="false">D935*(1+g_asp)</f>
        <v>1.18</v>
      </c>
      <c r="F935" s="19" t="n">
        <f aca="false">E935*(1+g_asp)</f>
        <v>1.3924</v>
      </c>
      <c r="G935" s="19" t="n">
        <f aca="false">F935*(1+g_asp)</f>
        <v>1.643032</v>
      </c>
      <c r="K935" s="7" t="s">
        <v>592</v>
      </c>
    </row>
    <row r="936" customFormat="false" ht="17.15" hidden="false" customHeight="false" outlineLevel="0" collapsed="false">
      <c r="A936" s="0" t="s">
        <v>593</v>
      </c>
      <c r="B936" s="0" t="s">
        <v>144</v>
      </c>
      <c r="D936" s="18" t="n">
        <f aca="false">1</f>
        <v>1</v>
      </c>
      <c r="E936" s="18" t="n">
        <f aca="false">ibpp_27</f>
        <v>1</v>
      </c>
      <c r="F936" s="18" t="n">
        <f aca="false">ibpp_28</f>
        <v>0.95</v>
      </c>
      <c r="G936" s="18" t="n">
        <f aca="false">ibpp_29</f>
        <v>0.9</v>
      </c>
      <c r="K936" s="7" t="s">
        <v>594</v>
      </c>
    </row>
    <row r="937" customFormat="false" ht="17.15" hidden="false" customHeight="false" outlineLevel="0" collapsed="false">
      <c r="A937" s="3" t="s">
        <v>595</v>
      </c>
      <c r="B937" s="0" t="s">
        <v>144</v>
      </c>
      <c r="D937" s="18" t="n">
        <f aca="false">1</f>
        <v>1</v>
      </c>
      <c r="E937" s="18" t="n">
        <f aca="false">1+carry</f>
        <v>1.05</v>
      </c>
      <c r="F937" s="18" t="n">
        <f aca="false">1+carry</f>
        <v>1.05</v>
      </c>
      <c r="G937" s="18" t="n">
        <f aca="false">1+carry</f>
        <v>1.05</v>
      </c>
      <c r="K937" s="7" t="s">
        <v>596</v>
      </c>
    </row>
    <row r="938" customFormat="false" ht="17.15" hidden="false" customHeight="false" outlineLevel="0" collapsed="false">
      <c r="A938" s="3" t="s">
        <v>597</v>
      </c>
      <c r="B938" s="0" t="s">
        <v>598</v>
      </c>
      <c r="D938" s="23" t="n">
        <f aca="false">v26*D935*D936</f>
        <v>215.308596</v>
      </c>
      <c r="E938" s="23" t="n">
        <f aca="false">v26*E935*E936</f>
        <v>254.06414328</v>
      </c>
      <c r="F938" s="23" t="n">
        <f aca="false">v26*F935*F936</f>
        <v>284.80590461688</v>
      </c>
      <c r="G938" s="23" t="n">
        <f aca="false">v26*G935*G936</f>
        <v>318.383021792765</v>
      </c>
      <c r="K938" s="7" t="s">
        <v>599</v>
      </c>
    </row>
    <row r="939" customFormat="false" ht="17.15" hidden="false" customHeight="false" outlineLevel="0" collapsed="false">
      <c r="A939" s="3" t="s">
        <v>600</v>
      </c>
      <c r="B939" s="0" t="s">
        <v>44</v>
      </c>
      <c r="D939" s="20" t="n">
        <f aca="false">sh_nv_26_hi</f>
        <v>0.3</v>
      </c>
      <c r="E939" s="20" t="n">
        <f aca="false">sh_nv_27_hi</f>
        <v>0.32</v>
      </c>
      <c r="F939" s="20" t="n">
        <f aca="false">sh_nv_28_hi</f>
        <v>0.35</v>
      </c>
      <c r="G939" s="20" t="n">
        <f aca="false">sh_nv_29_hi</f>
        <v>0.36</v>
      </c>
    </row>
    <row r="940" customFormat="false" ht="17.15" hidden="false" customHeight="false" outlineLevel="0" collapsed="false">
      <c r="A940" s="3" t="s">
        <v>601</v>
      </c>
      <c r="B940" s="0" t="s">
        <v>44</v>
      </c>
      <c r="D940" s="20" t="n">
        <f aca="false">sh_ot_26</f>
        <v>0.3</v>
      </c>
      <c r="E940" s="20" t="n">
        <f aca="false">sh_ot_27</f>
        <v>0.31</v>
      </c>
      <c r="F940" s="20" t="n">
        <f aca="false">sh_ot_28</f>
        <v>0.32</v>
      </c>
      <c r="G940" s="20" t="n">
        <f aca="false">sh_ot_29</f>
        <v>0.33</v>
      </c>
    </row>
    <row r="941" customFormat="false" ht="17.15" hidden="false" customHeight="false" outlineLevel="0" collapsed="false">
      <c r="A941" s="3" t="s">
        <v>602</v>
      </c>
      <c r="B941" s="0" t="s">
        <v>552</v>
      </c>
      <c r="D941" s="22" t="n">
        <f aca="false">(D933*D938*D939+D934*D938*v_ot*D940)*D937</f>
        <v>883.626477984</v>
      </c>
      <c r="E941" s="22" t="n">
        <f aca="false">(E933*E938*E939+E934*E938*v_ot*E940)*E937</f>
        <v>1754.26209651974</v>
      </c>
      <c r="F941" s="22" t="n">
        <f aca="false">(F933*F938*F939+F934*F938*v_ot*F940)*F937</f>
        <v>2295.77767623098</v>
      </c>
      <c r="G941" s="22" t="n">
        <f aca="false">(G933*G938*G939+G934*G938*v_ot*G940)*G937</f>
        <v>3001.09746639991</v>
      </c>
    </row>
    <row r="942" customFormat="false" ht="15" hidden="false" customHeight="false" outlineLevel="0" collapsed="false">
      <c r="A942" s="3" t="s">
        <v>603</v>
      </c>
      <c r="B942" s="0" t="s">
        <v>302</v>
      </c>
      <c r="D942" s="21" t="n">
        <f aca="false">D941*fx/1000</f>
        <v>28.71786053448</v>
      </c>
      <c r="E942" s="21" t="n">
        <f aca="false">E941*fx/1000</f>
        <v>57.0135181368917</v>
      </c>
      <c r="F942" s="21" t="n">
        <f aca="false">F941*fx/1000</f>
        <v>74.6127744775068</v>
      </c>
      <c r="G942" s="21" t="n">
        <f aca="false">G941*fx/1000</f>
        <v>97.535667657997</v>
      </c>
    </row>
    <row r="943" customFormat="false" ht="17.15" hidden="false" customHeight="false" outlineLevel="0" collapsed="false">
      <c r="A943" s="5" t="s">
        <v>604</v>
      </c>
    </row>
    <row r="944" customFormat="false" ht="17.15" hidden="false" customHeight="false" outlineLevel="0" collapsed="false">
      <c r="A944" s="0" t="s">
        <v>605</v>
      </c>
      <c r="B944" s="0" t="s">
        <v>302</v>
      </c>
      <c r="D944" s="21" t="n">
        <f aca="false">a26_abf*ai_abf</f>
        <v>74.83672875</v>
      </c>
      <c r="K944" s="3" t="s">
        <v>606</v>
      </c>
    </row>
    <row r="945" customFormat="false" ht="17.15" hidden="false" customHeight="false" outlineLevel="0" collapsed="false">
      <c r="A945" s="3" t="s">
        <v>607</v>
      </c>
      <c r="B945" s="0" t="s">
        <v>302</v>
      </c>
      <c r="D945" s="21" t="n">
        <f aca="false">D944-D942</f>
        <v>46.11886821552</v>
      </c>
      <c r="E945" s="21" t="n">
        <f aca="false">$D945*(itc_27/itc_26)^el_o*1*1*E936*E937</f>
        <v>68.5181429653051</v>
      </c>
      <c r="F945" s="21" t="n">
        <f aca="false">$D945*(itc_28/itc_26)^el_o*um28_A*1*F936*F937</f>
        <v>73.2863639069481</v>
      </c>
      <c r="G945" s="21" t="n">
        <f aca="false">$D945*(itc_29/itc_26)^el_o*um29_A*1*G936*G937</f>
        <v>74.1027081299219</v>
      </c>
      <c r="K945" s="7" t="s">
        <v>608</v>
      </c>
    </row>
    <row r="946" customFormat="false" ht="17.15" hidden="false" customHeight="false" outlineLevel="0" collapsed="false">
      <c r="A946" s="3" t="s">
        <v>609</v>
      </c>
      <c r="B946" s="0" t="s">
        <v>302</v>
      </c>
      <c r="D946" s="21" t="n">
        <f aca="false">a26_abf-D944</f>
        <v>24.94557625</v>
      </c>
      <c r="E946" s="21" t="n">
        <f aca="false">D946*(1+g_nai)</f>
        <v>25.6939435375</v>
      </c>
      <c r="F946" s="21" t="n">
        <f aca="false">E946*(1+g_nai)</f>
        <v>26.464761843625</v>
      </c>
      <c r="G946" s="21" t="n">
        <f aca="false">F946*(1+g_nai)</f>
        <v>27.2587046989338</v>
      </c>
    </row>
    <row r="947" customFormat="false" ht="17.15" hidden="false" customHeight="false" outlineLevel="0" collapsed="false">
      <c r="A947" s="0" t="s">
        <v>610</v>
      </c>
      <c r="B947" s="0" t="s">
        <v>302</v>
      </c>
      <c r="D947" s="21" t="n">
        <f aca="false">D942+D945+D946</f>
        <v>99.782305</v>
      </c>
      <c r="E947" s="21" t="n">
        <f aca="false">E942+E945+E946</f>
        <v>151.225604639697</v>
      </c>
      <c r="F947" s="21" t="n">
        <f aca="false">F942+F945+F946</f>
        <v>174.36390022808</v>
      </c>
      <c r="G947" s="21" t="n">
        <f aca="false">G942+G945+G946</f>
        <v>198.897080486853</v>
      </c>
    </row>
    <row r="948" customFormat="false" ht="17.15" hidden="false" customHeight="false" outlineLevel="0" collapsed="false">
      <c r="A948" s="0" t="s">
        <v>611</v>
      </c>
      <c r="B948" s="0" t="s">
        <v>302</v>
      </c>
      <c r="D948" s="21" t="n">
        <f aca="false">a26_abf</f>
        <v>99.782305</v>
      </c>
      <c r="E948" s="21" t="n">
        <f aca="false">$D947*cap_27*(1+g_mix)^1*E936*E937</f>
        <v>148.513488204375</v>
      </c>
      <c r="F948" s="21" t="n">
        <f aca="false">$D947*cap_28*(1+g_mix)^2*F936*F937</f>
        <v>186.549442683384</v>
      </c>
      <c r="G948" s="21" t="n">
        <f aca="false">$D947*cap_29*(1+g_mix)^3*G936*G937</f>
        <v>218.314827660431</v>
      </c>
      <c r="K948" s="7" t="s">
        <v>612</v>
      </c>
    </row>
    <row r="949" customFormat="false" ht="17.15" hidden="false" customHeight="false" outlineLevel="0" collapsed="false">
      <c r="A949" s="0" t="s">
        <v>613</v>
      </c>
      <c r="B949" s="0" t="s">
        <v>302</v>
      </c>
      <c r="D949" s="21" t="n">
        <f aca="false">a26_abf</f>
        <v>99.782305</v>
      </c>
      <c r="E949" s="21" t="n">
        <f aca="false">MIN(E947,E948)</f>
        <v>148.513488204375</v>
      </c>
      <c r="F949" s="21" t="n">
        <f aca="false">MIN(F947,F948)</f>
        <v>174.36390022808</v>
      </c>
      <c r="G949" s="21" t="n">
        <f aca="false">MIN(G947,G948)</f>
        <v>198.897080486853</v>
      </c>
    </row>
    <row r="950" customFormat="false" ht="17.15" hidden="false" customHeight="false" outlineLevel="0" collapsed="false">
      <c r="A950" s="3" t="s">
        <v>614</v>
      </c>
      <c r="B950" s="0" t="s">
        <v>44</v>
      </c>
      <c r="D950" s="20" t="n">
        <f aca="false">D949/D947</f>
        <v>1</v>
      </c>
      <c r="E950" s="20" t="n">
        <f aca="false">E949/E947</f>
        <v>0.982065759024184</v>
      </c>
      <c r="F950" s="20" t="n">
        <f aca="false">F949/F947</f>
        <v>1</v>
      </c>
      <c r="G950" s="20" t="n">
        <f aca="false">G949/G947</f>
        <v>1</v>
      </c>
    </row>
    <row r="951" customFormat="false" ht="17.15" hidden="false" customHeight="false" outlineLevel="0" collapsed="false">
      <c r="A951" s="0" t="s">
        <v>615</v>
      </c>
      <c r="B951" s="0" t="s">
        <v>302</v>
      </c>
      <c r="D951" s="21" t="n">
        <f aca="false">(D942+D945)*D950</f>
        <v>74.83672875</v>
      </c>
      <c r="E951" s="21" t="n">
        <f aca="false">(E942+E945)*E950</f>
        <v>123.280346041896</v>
      </c>
      <c r="F951" s="21" t="n">
        <f aca="false">(F942+F945)*F950</f>
        <v>147.899138384455</v>
      </c>
      <c r="G951" s="21" t="n">
        <f aca="false">(G942+G945)*G950</f>
        <v>171.638375787919</v>
      </c>
    </row>
    <row r="952" customFormat="false" ht="17.15" hidden="false" customHeight="false" outlineLevel="0" collapsed="false">
      <c r="A952" s="3" t="s">
        <v>616</v>
      </c>
      <c r="B952" s="0" t="s">
        <v>44</v>
      </c>
      <c r="D952" s="20" t="n">
        <f aca="false">D942/(D942+D945)</f>
        <v>0.383740190333747</v>
      </c>
      <c r="E952" s="20" t="n">
        <f aca="false">E942/(E942+E945)</f>
        <v>0.454176401684642</v>
      </c>
      <c r="F952" s="20" t="n">
        <f aca="false">F942/(F942+F945)</f>
        <v>0.504484172744505</v>
      </c>
      <c r="G952" s="20" t="n">
        <f aca="false">G942/(G942+G945)</f>
        <v>0.568262588190154</v>
      </c>
    </row>
    <row r="953" customFormat="false" ht="17.15" hidden="false" customHeight="false" outlineLevel="0" collapsed="false">
      <c r="A953" s="5" t="s">
        <v>617</v>
      </c>
    </row>
    <row r="954" customFormat="false" ht="17.15" hidden="false" customHeight="false" outlineLevel="0" collapsed="false">
      <c r="A954" s="0" t="s">
        <v>519</v>
      </c>
      <c r="B954" s="0" t="s">
        <v>302</v>
      </c>
      <c r="D954" s="21" t="n">
        <f aca="false">a26_bt</f>
        <v>16.944165</v>
      </c>
      <c r="E954" s="21" t="n">
        <f aca="false">D954*(1+g_bt)</f>
        <v>17.79137325</v>
      </c>
      <c r="F954" s="21" t="n">
        <f aca="false">E954*(1+g_bt)</f>
        <v>18.6809419125</v>
      </c>
      <c r="G954" s="21" t="n">
        <f aca="false">F954*(1+g_bt)</f>
        <v>19.614989008125</v>
      </c>
    </row>
    <row r="955" customFormat="false" ht="17.15" hidden="false" customHeight="false" outlineLevel="0" collapsed="false">
      <c r="A955" s="0" t="s">
        <v>618</v>
      </c>
      <c r="B955" s="0" t="s">
        <v>302</v>
      </c>
      <c r="D955" s="21" t="n">
        <f aca="false">a26_pcb*ai_pcb</f>
        <v>37.93610275</v>
      </c>
      <c r="E955" s="21" t="n">
        <f aca="false">D955*(1+g_pai_27)</f>
        <v>45.5233233</v>
      </c>
      <c r="F955" s="21" t="n">
        <f aca="false">D955*(1+g_pai_27)*(1+g_pai_28)*um28_A</f>
        <v>52.351821795</v>
      </c>
      <c r="G955" s="21" t="n">
        <f aca="false">D955*(1+g_pai_27)*(1+g_pai_28)*(1+g_pai_29)*um29_A</f>
        <v>57.5870039745</v>
      </c>
      <c r="K955" s="3" t="s">
        <v>619</v>
      </c>
    </row>
    <row r="956" customFormat="false" ht="17.15" hidden="false" customHeight="false" outlineLevel="0" collapsed="false">
      <c r="A956" s="3" t="s">
        <v>620</v>
      </c>
      <c r="B956" s="0" t="s">
        <v>302</v>
      </c>
      <c r="D956" s="21" t="n">
        <f aca="false">a26_pcb*(1-ai_pcb)</f>
        <v>20.42713225</v>
      </c>
      <c r="E956" s="21" t="n">
        <f aca="false">D956*(1+g_pcbn)</f>
        <v>20.835674895</v>
      </c>
      <c r="F956" s="21" t="n">
        <f aca="false">E956*(1+g_pcbn)</f>
        <v>21.2523883929</v>
      </c>
      <c r="G956" s="21" t="n">
        <f aca="false">F956*(1+g_pcbn)</f>
        <v>21.677436160758</v>
      </c>
    </row>
    <row r="957" customFormat="false" ht="15" hidden="false" customHeight="false" outlineLevel="0" collapsed="false">
      <c r="A957" s="3" t="s">
        <v>521</v>
      </c>
      <c r="B957" s="0" t="s">
        <v>302</v>
      </c>
      <c r="D957" s="21" t="n">
        <f aca="false">a26_fpc</f>
        <v>13.178795</v>
      </c>
      <c r="E957" s="21" t="n">
        <f aca="false">D957*(1+g_fpc)</f>
        <v>13.178795</v>
      </c>
      <c r="F957" s="21" t="n">
        <f aca="false">E957*(1+g_fpc)</f>
        <v>13.178795</v>
      </c>
      <c r="G957" s="21" t="n">
        <f aca="false">F957*(1+g_fpc)</f>
        <v>13.178795</v>
      </c>
    </row>
    <row r="958" customFormat="false" ht="17.15" hidden="false" customHeight="false" outlineLevel="0" collapsed="false">
      <c r="A958" s="3" t="s">
        <v>484</v>
      </c>
      <c r="B958" s="0" t="s">
        <v>302</v>
      </c>
      <c r="C958" s="23" t="n">
        <f aca="false">a25_rev</f>
        <v>131.241</v>
      </c>
      <c r="D958" s="23" t="n">
        <f aca="false">D949+D954+D955+D956+D957</f>
        <v>188.2685</v>
      </c>
      <c r="E958" s="23" t="n">
        <f aca="false">E949+E954+E955+E956+E957</f>
        <v>245.842654649375</v>
      </c>
      <c r="F958" s="23" t="n">
        <f aca="false">F949+F954+F955+F956+F957</f>
        <v>279.82784732848</v>
      </c>
      <c r="G958" s="23" t="n">
        <f aca="false">G949+G954+G955+G956+G957</f>
        <v>310.955304630236</v>
      </c>
      <c r="H958" s="25" t="n">
        <f aca="false">G958*(1+H959)</f>
        <v>340.234417223361</v>
      </c>
      <c r="I958" s="25" t="n">
        <f aca="false">H958*(1+I959)</f>
        <v>366.459445994837</v>
      </c>
      <c r="J958" s="25" t="n">
        <f aca="false">I958*(1+J959)</f>
        <v>388.447012754527</v>
      </c>
      <c r="K958" s="7" t="s">
        <v>621</v>
      </c>
    </row>
    <row r="959" customFormat="false" ht="15" hidden="false" customHeight="false" outlineLevel="0" collapsed="false">
      <c r="A959" s="3" t="s">
        <v>622</v>
      </c>
      <c r="B959" s="0" t="s">
        <v>44</v>
      </c>
      <c r="D959" s="20" t="n">
        <f aca="false">D958/C958-1</f>
        <v>0.434525034097576</v>
      </c>
      <c r="E959" s="20" t="n">
        <f aca="false">E958/D958-1</f>
        <v>0.30580875</v>
      </c>
      <c r="F959" s="20" t="n">
        <f aca="false">F958/E958-1</f>
        <v>0.138239609914623</v>
      </c>
      <c r="G959" s="20" t="n">
        <f aca="false">G958/F958-1</f>
        <v>0.111237882858801</v>
      </c>
      <c r="H959" s="26" t="n">
        <f aca="false">$G959+(fade_gA-$G959)*1/3</f>
        <v>0.0941585885725338</v>
      </c>
      <c r="I959" s="26" t="n">
        <f aca="false">$G959+(fade_gA-$G959)*2/3</f>
        <v>0.0770792942862669</v>
      </c>
      <c r="J959" s="26" t="n">
        <f aca="false">$G959+(fade_gA-$G959)*3/3</f>
        <v>0.06</v>
      </c>
    </row>
    <row r="960" customFormat="false" ht="17.15" hidden="false" customHeight="false" outlineLevel="0" collapsed="false">
      <c r="A960" s="0" t="s">
        <v>623</v>
      </c>
      <c r="B960" s="0" t="s">
        <v>44</v>
      </c>
      <c r="D960" s="20" t="n">
        <f aca="false">D949/D958</f>
        <v>0.53</v>
      </c>
      <c r="E960" s="20" t="n">
        <f aca="false">E949/E958</f>
        <v>0.604099758100105</v>
      </c>
      <c r="F960" s="20" t="n">
        <f aca="false">F949/F958</f>
        <v>0.623111323239393</v>
      </c>
      <c r="G960" s="20" t="n">
        <f aca="false">G949/G958</f>
        <v>0.639632376503002</v>
      </c>
    </row>
    <row r="961" customFormat="false" ht="17.15" hidden="false" customHeight="false" outlineLevel="0" collapsed="false">
      <c r="A961" s="0" t="s">
        <v>624</v>
      </c>
      <c r="B961" s="0" t="s">
        <v>44</v>
      </c>
      <c r="D961" s="20" t="n">
        <f aca="false">(D951+D955)/D958</f>
        <v>0.599</v>
      </c>
      <c r="E961" s="20" t="n">
        <f aca="false">(E951+E955)/E958</f>
        <v>0.686632958721692</v>
      </c>
      <c r="F961" s="20" t="n">
        <f aca="false">(F951+F955)/F958</f>
        <v>0.71562198720125</v>
      </c>
      <c r="G961" s="20" t="n">
        <f aca="false">(G951+G955)/G958</f>
        <v>0.737165040599633</v>
      </c>
      <c r="K961" s="3" t="s">
        <v>625</v>
      </c>
    </row>
    <row r="962" customFormat="false" ht="17.15" hidden="false" customHeight="false" outlineLevel="0" collapsed="false">
      <c r="A962" s="5" t="s">
        <v>626</v>
      </c>
    </row>
    <row r="963" customFormat="false" ht="15" hidden="false" customHeight="false" outlineLevel="0" collapsed="false">
      <c r="A963" s="3" t="s">
        <v>627</v>
      </c>
      <c r="B963" s="0" t="s">
        <v>302</v>
      </c>
      <c r="C963" s="23" t="n">
        <f aca="false">a25_cx</f>
        <v>25.617</v>
      </c>
      <c r="D963" s="23" t="n">
        <f aca="false">capex26</f>
        <v>53.7</v>
      </c>
      <c r="E963" s="23" t="n">
        <f aca="false">cx27_A</f>
        <v>55</v>
      </c>
      <c r="F963" s="23" t="n">
        <f aca="false">cx28_A</f>
        <v>50</v>
      </c>
      <c r="G963" s="23" t="n">
        <f aca="false">cx29_A</f>
        <v>45</v>
      </c>
      <c r="H963" s="25" t="n">
        <f aca="false">H958*H980</f>
        <v>46.1962870494722</v>
      </c>
      <c r="I963" s="25" t="n">
        <f aca="false">I958*I980</f>
        <v>46.4818282890193</v>
      </c>
      <c r="J963" s="25" t="n">
        <f aca="false">J958*J980</f>
        <v>45.7989878635961</v>
      </c>
    </row>
    <row r="964" customFormat="false" ht="17.15" hidden="false" customHeight="false" outlineLevel="0" collapsed="false">
      <c r="A964" s="3" t="s">
        <v>628</v>
      </c>
      <c r="B964" s="0" t="s">
        <v>302</v>
      </c>
      <c r="C964" s="23" t="n">
        <f aca="false">a25_da</f>
        <v>18.8</v>
      </c>
      <c r="D964" s="23" t="n">
        <f aca="false">da26</f>
        <v>20.8</v>
      </c>
      <c r="E964" s="23" t="n">
        <f aca="false">D964*(1-1/life)+D963/life</f>
        <v>24.9125</v>
      </c>
      <c r="F964" s="23" t="n">
        <f aca="false">E964*(1-1/life)+E963/life</f>
        <v>28.6734375</v>
      </c>
      <c r="G964" s="23" t="n">
        <f aca="false">F964*(1-1/life)+F963/life</f>
        <v>31.3392578125</v>
      </c>
      <c r="H964" s="25" t="n">
        <f aca="false">H958*H965</f>
        <v>34.2901180950358</v>
      </c>
      <c r="I964" s="25" t="n">
        <f aca="false">I958*I965</f>
        <v>36.9331761987939</v>
      </c>
      <c r="J964" s="25" t="n">
        <f aca="false">J958*J965</f>
        <v>39.1491667707215</v>
      </c>
      <c r="K964" s="3" t="s">
        <v>629</v>
      </c>
    </row>
    <row r="965" customFormat="false" ht="17.15" hidden="false" customHeight="false" outlineLevel="0" collapsed="false">
      <c r="A965" s="3" t="s">
        <v>630</v>
      </c>
      <c r="B965" s="0" t="s">
        <v>44</v>
      </c>
      <c r="C965" s="20" t="n">
        <f aca="false">C964/C958</f>
        <v>0.143247917952469</v>
      </c>
      <c r="D965" s="20" t="n">
        <f aca="false">D964/D958</f>
        <v>0.110480510547436</v>
      </c>
      <c r="E965" s="20" t="n">
        <f aca="false">E964/E958</f>
        <v>0.101335140704247</v>
      </c>
      <c r="F965" s="20" t="n">
        <f aca="false">F964/F958</f>
        <v>0.102468134511078</v>
      </c>
      <c r="G965" s="20" t="n">
        <f aca="false">G964/G958</f>
        <v>0.10078380187071</v>
      </c>
      <c r="H965" s="26" t="n">
        <f aca="false">$G965</f>
        <v>0.10078380187071</v>
      </c>
      <c r="I965" s="26" t="n">
        <f aca="false">$G965</f>
        <v>0.10078380187071</v>
      </c>
      <c r="J965" s="26" t="n">
        <f aca="false">$G965</f>
        <v>0.10078380187071</v>
      </c>
    </row>
    <row r="966" customFormat="false" ht="17.15" hidden="false" customHeight="false" outlineLevel="0" collapsed="false">
      <c r="A966" s="3" t="s">
        <v>631</v>
      </c>
      <c r="B966" s="0" t="s">
        <v>302</v>
      </c>
      <c r="E966" s="21" t="n">
        <f aca="false">E951*(1-1/(E936*E937))</f>
        <v>5.8704926686617</v>
      </c>
      <c r="F966" s="21" t="n">
        <f aca="false">F951*(1-1/(F936*F937))</f>
        <v>-0.370674532291892</v>
      </c>
      <c r="G966" s="21" t="n">
        <f aca="false">G951*(1-1/(G936*G937))</f>
        <v>-9.98953509876776</v>
      </c>
      <c r="K966" s="7" t="s">
        <v>632</v>
      </c>
    </row>
    <row r="967" customFormat="false" ht="17.15" hidden="false" customHeight="false" outlineLevel="0" collapsed="false">
      <c r="A967" s="3" t="s">
        <v>633</v>
      </c>
      <c r="B967" s="0" t="s">
        <v>302</v>
      </c>
      <c r="C967" s="21" t="n">
        <f aca="false">a25_gp</f>
        <v>18.292</v>
      </c>
      <c r="D967" s="21" t="n">
        <f aca="false">a26_gp</f>
        <v>47.3329657</v>
      </c>
      <c r="E967" s="21" t="n">
        <f aca="false">$D967+ft_abf*(E949-E966-$D949)+ft_oth*((E958-E949)-($D958-$D949))+E966-(E964-$D964)</f>
        <v>72.7320464977684</v>
      </c>
      <c r="F967" s="21" t="n">
        <f aca="false">$D967+ft_abf*(F949-F966-$D949)+ft_oth*((F958-F949)-($D958-$D949))+F966-(F964-$D964)</f>
        <v>80.809426572994</v>
      </c>
      <c r="G967" s="21" t="n">
        <f aca="false">$D967+ft_abf*(G949-G966-$D949)+ft_oth*((G958-G949)-($D958-$D949))+G966-(G964-$D964)</f>
        <v>87.2493353673882</v>
      </c>
      <c r="K967" s="3" t="s">
        <v>634</v>
      </c>
    </row>
    <row r="968" customFormat="false" ht="15" hidden="false" customHeight="false" outlineLevel="0" collapsed="false">
      <c r="A968" s="3" t="s">
        <v>491</v>
      </c>
      <c r="B968" s="0" t="s">
        <v>44</v>
      </c>
      <c r="C968" s="16" t="n">
        <f aca="false">C967/C958</f>
        <v>0.139377176339711</v>
      </c>
      <c r="D968" s="16" t="n">
        <f aca="false">D967/D958</f>
        <v>0.251412029627899</v>
      </c>
      <c r="E968" s="16" t="n">
        <f aca="false">E967/E958</f>
        <v>0.295847954462988</v>
      </c>
      <c r="F968" s="16" t="n">
        <f aca="false">F967/F958</f>
        <v>0.288782647418699</v>
      </c>
      <c r="G968" s="16" t="n">
        <f aca="false">G967/G958</f>
        <v>0.280584810962265</v>
      </c>
    </row>
    <row r="969" customFormat="false" ht="15" hidden="false" customHeight="false" outlineLevel="0" collapsed="false">
      <c r="A969" s="3" t="s">
        <v>493</v>
      </c>
      <c r="B969" s="0" t="s">
        <v>302</v>
      </c>
      <c r="C969" s="21" t="n">
        <f aca="false">a25_opx</f>
        <v>11.618</v>
      </c>
      <c r="D969" s="21" t="n">
        <f aca="false">a26_opx</f>
        <v>16.6539532</v>
      </c>
      <c r="E969" s="21" t="n">
        <f aca="false">D969*(1+phi*E959)</f>
        <v>19.7097079663903</v>
      </c>
      <c r="F969" s="21" t="n">
        <f aca="false">E969*(1+phi*F959)</f>
        <v>21.3445053708733</v>
      </c>
      <c r="G969" s="21" t="n">
        <f aca="false">F969*(1+phi*G959)</f>
        <v>22.7690959237478</v>
      </c>
    </row>
    <row r="970" customFormat="false" ht="15" hidden="false" customHeight="false" outlineLevel="0" collapsed="false">
      <c r="A970" s="3" t="s">
        <v>496</v>
      </c>
      <c r="B970" s="0" t="s">
        <v>302</v>
      </c>
      <c r="C970" s="21" t="n">
        <f aca="false">C967-C969</f>
        <v>6.674</v>
      </c>
      <c r="D970" s="21" t="n">
        <f aca="false">D967-D969</f>
        <v>30.6790125</v>
      </c>
      <c r="E970" s="21" t="n">
        <f aca="false">E967-E969</f>
        <v>53.0223385313781</v>
      </c>
      <c r="F970" s="21" t="n">
        <f aca="false">F967-F969</f>
        <v>59.4649212021208</v>
      </c>
      <c r="G970" s="21" t="n">
        <f aca="false">G967-G969</f>
        <v>64.4802394436404</v>
      </c>
    </row>
    <row r="971" customFormat="false" ht="15" hidden="false" customHeight="false" outlineLevel="0" collapsed="false">
      <c r="A971" s="3" t="s">
        <v>575</v>
      </c>
      <c r="B971" s="0" t="s">
        <v>44</v>
      </c>
      <c r="C971" s="16" t="n">
        <f aca="false">C970/C958</f>
        <v>0.0508530108731265</v>
      </c>
      <c r="D971" s="16" t="n">
        <f aca="false">D970/D958</f>
        <v>0.162953507888999</v>
      </c>
      <c r="E971" s="16" t="n">
        <f aca="false">E970/E958</f>
        <v>0.215675911110704</v>
      </c>
      <c r="F971" s="16" t="n">
        <f aca="false">F970/F958</f>
        <v>0.212505373463839</v>
      </c>
      <c r="G971" s="16" t="n">
        <f aca="false">G970/G958</f>
        <v>0.207361760624458</v>
      </c>
    </row>
    <row r="972" customFormat="false" ht="17.15" hidden="false" customHeight="false" outlineLevel="0" collapsed="false">
      <c r="A972" s="3" t="s">
        <v>635</v>
      </c>
      <c r="B972" s="0" t="s">
        <v>302</v>
      </c>
      <c r="C972" s="21" t="n">
        <f aca="false">a25_nonop</f>
        <v>-0.00100000000000033</v>
      </c>
      <c r="D972" s="21" t="n">
        <f aca="false">a26_nonop</f>
        <v>14.466</v>
      </c>
      <c r="E972" s="21" t="n">
        <f aca="false">nonop27</f>
        <v>2</v>
      </c>
      <c r="F972" s="21" t="n">
        <f aca="false">nonop28</f>
        <v>2</v>
      </c>
      <c r="G972" s="21" t="n">
        <f aca="false">nonop29</f>
        <v>2</v>
      </c>
      <c r="K972" s="7" t="s">
        <v>636</v>
      </c>
    </row>
    <row r="973" customFormat="false" ht="15" hidden="false" customHeight="false" outlineLevel="0" collapsed="false">
      <c r="A973" s="3" t="s">
        <v>502</v>
      </c>
      <c r="B973" s="0" t="s">
        <v>302</v>
      </c>
      <c r="C973" s="21" t="n">
        <f aca="false">C970+C972</f>
        <v>6.673</v>
      </c>
      <c r="D973" s="21" t="n">
        <f aca="false">D970+D972</f>
        <v>45.1450125</v>
      </c>
      <c r="E973" s="21" t="n">
        <f aca="false">E970+E972</f>
        <v>55.0223385313781</v>
      </c>
      <c r="F973" s="21" t="n">
        <f aca="false">F970+F972</f>
        <v>61.4649212021208</v>
      </c>
      <c r="G973" s="21" t="n">
        <f aca="false">G970+G972</f>
        <v>66.4802394436404</v>
      </c>
    </row>
    <row r="974" customFormat="false" ht="15" hidden="false" customHeight="false" outlineLevel="0" collapsed="false">
      <c r="A974" s="3" t="s">
        <v>506</v>
      </c>
      <c r="B974" s="0" t="s">
        <v>302</v>
      </c>
      <c r="E974" s="21" t="n">
        <f aca="false">E973*tax</f>
        <v>9.90402093564805</v>
      </c>
      <c r="F974" s="21" t="n">
        <f aca="false">F973*tax</f>
        <v>11.0636858163817</v>
      </c>
      <c r="G974" s="21" t="n">
        <f aca="false">G973*tax</f>
        <v>11.9664430998553</v>
      </c>
    </row>
    <row r="975" customFormat="false" ht="15" hidden="false" customHeight="false" outlineLevel="0" collapsed="false">
      <c r="A975" s="3" t="s">
        <v>504</v>
      </c>
      <c r="B975" s="0" t="s">
        <v>302</v>
      </c>
      <c r="C975" s="21" t="n">
        <f aca="false">a25_ni</f>
        <v>6.673</v>
      </c>
      <c r="D975" s="21" t="n">
        <f aca="false">a26_ni</f>
        <v>37.23923025</v>
      </c>
      <c r="E975" s="21" t="n">
        <f aca="false">E973-E974</f>
        <v>45.11831759573</v>
      </c>
      <c r="F975" s="21" t="n">
        <f aca="false">F973-F974</f>
        <v>50.401235385739</v>
      </c>
      <c r="G975" s="21" t="n">
        <f aca="false">G973-G974</f>
        <v>54.5137963437852</v>
      </c>
      <c r="H975" s="30" t="n">
        <f aca="false">H958*H979</f>
        <v>59.4788170449515</v>
      </c>
      <c r="I975" s="30" t="n">
        <f aca="false">I958*I979</f>
        <v>63.8825376028914</v>
      </c>
      <c r="J975" s="30" t="n">
        <f aca="false">J958*J979</f>
        <v>67.523773293106</v>
      </c>
    </row>
    <row r="976" customFormat="false" ht="15" hidden="false" customHeight="false" outlineLevel="0" collapsed="false">
      <c r="A976" s="3" t="s">
        <v>637</v>
      </c>
      <c r="B976" s="3" t="s">
        <v>380</v>
      </c>
      <c r="C976" s="29" t="n">
        <f aca="false">a25_sh</f>
        <v>1.52351598173516</v>
      </c>
      <c r="D976" s="29" t="n">
        <f aca="false">a26_sh</f>
        <v>1.59236316568047</v>
      </c>
      <c r="E976" s="29" t="n">
        <f aca="false">a26_shend*(1+sh_g)</f>
        <v>1.64</v>
      </c>
      <c r="F976" s="29" t="n">
        <f aca="false">E976*(1+sh_g)</f>
        <v>1.64</v>
      </c>
      <c r="G976" s="29" t="n">
        <f aca="false">F976*(1+sh_g)</f>
        <v>1.64</v>
      </c>
      <c r="H976" s="31" t="n">
        <f aca="false">G976*(1+sh_g)</f>
        <v>1.64</v>
      </c>
      <c r="I976" s="31" t="n">
        <f aca="false">H976*(1+sh_g)</f>
        <v>1.64</v>
      </c>
      <c r="J976" s="31" t="n">
        <f aca="false">I976*(1+sh_g)</f>
        <v>1.64</v>
      </c>
    </row>
    <row r="977" customFormat="false" ht="17.15" hidden="false" customHeight="false" outlineLevel="0" collapsed="false">
      <c r="A977" s="0" t="s">
        <v>509</v>
      </c>
      <c r="B977" s="0" t="s">
        <v>386</v>
      </c>
      <c r="C977" s="18" t="n">
        <f aca="false">C975/C976</f>
        <v>4.38</v>
      </c>
      <c r="D977" s="18" t="n">
        <f aca="false">D975/D976</f>
        <v>23.3861414610695</v>
      </c>
      <c r="E977" s="18" t="n">
        <f aca="false">E975/E976</f>
        <v>27.511169265689</v>
      </c>
      <c r="F977" s="18" t="n">
        <f aca="false">F975/F976</f>
        <v>30.7324606010604</v>
      </c>
      <c r="G977" s="18" t="n">
        <f aca="false">G975/G976</f>
        <v>33.2401197218202</v>
      </c>
      <c r="H977" s="28" t="n">
        <f aca="false">H975/H976</f>
        <v>36.2675713688729</v>
      </c>
      <c r="I977" s="28" t="n">
        <f aca="false">I975/I976</f>
        <v>38.9527668310314</v>
      </c>
      <c r="J977" s="28" t="n">
        <f aca="false">J975/J976</f>
        <v>41.1730324957963</v>
      </c>
    </row>
    <row r="978" customFormat="false" ht="17.15" hidden="false" customHeight="false" outlineLevel="0" collapsed="false">
      <c r="A978" s="0" t="s">
        <v>638</v>
      </c>
      <c r="B978" s="0" t="s">
        <v>44</v>
      </c>
      <c r="D978" s="20" t="n">
        <f aca="false">D977/C977-1</f>
        <v>4.33930170344053</v>
      </c>
      <c r="E978" s="20" t="n">
        <f aca="false">E977/D977-1</f>
        <v>0.176387704294288</v>
      </c>
      <c r="F978" s="20" t="n">
        <f aca="false">F977/E977-1</f>
        <v>0.117090309912376</v>
      </c>
      <c r="G978" s="20" t="n">
        <f aca="false">G977/F977-1</f>
        <v>0.0815964316463911</v>
      </c>
      <c r="H978" s="26" t="n">
        <f aca="false">H977/G977-1</f>
        <v>0.0910782413658184</v>
      </c>
      <c r="I978" s="26" t="n">
        <f aca="false">I977/H977-1</f>
        <v>0.0740384691008864</v>
      </c>
      <c r="J978" s="26" t="n">
        <f aca="false">J977/I977-1</f>
        <v>0.0569989206259982</v>
      </c>
    </row>
    <row r="979" customFormat="false" ht="17.15" hidden="false" customHeight="false" outlineLevel="0" collapsed="false">
      <c r="A979" s="3" t="s">
        <v>639</v>
      </c>
      <c r="B979" s="0" t="s">
        <v>44</v>
      </c>
      <c r="C979" s="16" t="n">
        <f aca="false">C975/C958</f>
        <v>0.0508453913030227</v>
      </c>
      <c r="D979" s="16" t="n">
        <f aca="false">D975/D958</f>
        <v>0.197798517808343</v>
      </c>
      <c r="E979" s="16" t="n">
        <f aca="false">E975/E958</f>
        <v>0.183525180608217</v>
      </c>
      <c r="F979" s="16" t="n">
        <f aca="false">F975/F958</f>
        <v>0.180115152465776</v>
      </c>
      <c r="G979" s="16" t="n">
        <f aca="false">G975/G958</f>
        <v>0.175310713572193</v>
      </c>
      <c r="H979" s="27" t="n">
        <f aca="false">$G979+(fade_mA-$G979)*1/3</f>
        <v>0.174817167323505</v>
      </c>
      <c r="I979" s="27" t="n">
        <f aca="false">$G979+(fade_mA-$G979)*2/3</f>
        <v>0.174323621074817</v>
      </c>
      <c r="J979" s="27" t="n">
        <f aca="false">$G979+(fade_mA-$G979)*3/3</f>
        <v>0.17383007482613</v>
      </c>
    </row>
    <row r="980" customFormat="false" ht="17.15" hidden="false" customHeight="false" outlineLevel="0" collapsed="false">
      <c r="A980" s="3" t="s">
        <v>640</v>
      </c>
      <c r="B980" s="0" t="s">
        <v>44</v>
      </c>
      <c r="C980" s="20" t="n">
        <f aca="false">C963/C958</f>
        <v>0.195190527350447</v>
      </c>
      <c r="D980" s="20" t="n">
        <f aca="false">D963/D958</f>
        <v>0.285230933480641</v>
      </c>
      <c r="E980" s="20" t="n">
        <f aca="false">E963/E958</f>
        <v>0.223720330706817</v>
      </c>
      <c r="F980" s="20" t="n">
        <f aca="false">F963/F958</f>
        <v>0.178681287360606</v>
      </c>
      <c r="G980" s="20" t="n">
        <f aca="false">G963/G958</f>
        <v>0.144715331528145</v>
      </c>
      <c r="H980" s="26" t="n">
        <f aca="false">$G980+($G965*(1+tp_g)^(life/2)-$G980)*1/3</f>
        <v>0.135777818794695</v>
      </c>
      <c r="I980" s="26" t="n">
        <f aca="false">$G980+($G965*(1+tp_g)^(life/2)-$G980)*2/3</f>
        <v>0.126840306061245</v>
      </c>
      <c r="J980" s="26" t="n">
        <f aca="false">$G980+($G965*(1+tp_g)^(life/2)-$G980)*3/3</f>
        <v>0.117902793327794</v>
      </c>
      <c r="K980" s="7" t="s">
        <v>641</v>
      </c>
    </row>
    <row r="981" customFormat="false" ht="15" hidden="false" customHeight="false" outlineLevel="0" collapsed="false">
      <c r="A981" s="3" t="s">
        <v>642</v>
      </c>
      <c r="B981" s="0" t="s">
        <v>302</v>
      </c>
      <c r="E981" s="21" t="n">
        <f aca="false">E975+E964-E963</f>
        <v>15.03081759573</v>
      </c>
      <c r="F981" s="21" t="n">
        <f aca="false">F975+F964-F963</f>
        <v>29.074672885739</v>
      </c>
      <c r="G981" s="21" t="n">
        <f aca="false">G975+G964-G963</f>
        <v>40.8530541562852</v>
      </c>
      <c r="H981" s="30" t="n">
        <f aca="false">H975+H964-H963</f>
        <v>47.5726480905151</v>
      </c>
      <c r="I981" s="30" t="n">
        <f aca="false">I975+I964-I963</f>
        <v>54.333885512666</v>
      </c>
      <c r="J981" s="30" t="n">
        <f aca="false">J975+J964-J963</f>
        <v>60.8739522002314</v>
      </c>
      <c r="K981" s="3" t="s">
        <v>643</v>
      </c>
    </row>
    <row r="982" customFormat="false" ht="15" hidden="false" customHeight="false" outlineLevel="0" collapsed="false">
      <c r="A982" s="3" t="s">
        <v>644</v>
      </c>
      <c r="B982" s="0" t="s">
        <v>386</v>
      </c>
      <c r="E982" s="18" t="n">
        <f aca="false">E981/E976</f>
        <v>9.16513268032317</v>
      </c>
      <c r="F982" s="18" t="n">
        <f aca="false">F981/F976</f>
        <v>17.7284590766701</v>
      </c>
      <c r="G982" s="18" t="n">
        <f aca="false">G981/G976</f>
        <v>24.9103988757836</v>
      </c>
      <c r="H982" s="28" t="n">
        <f aca="false">H981/H976</f>
        <v>29.0077122503141</v>
      </c>
      <c r="I982" s="28" t="n">
        <f aca="false">I981/I976</f>
        <v>33.130417995528</v>
      </c>
      <c r="J982" s="28" t="n">
        <f aca="false">J981/J976</f>
        <v>37.1182635367264</v>
      </c>
    </row>
    <row r="985" customFormat="false" ht="17.15" hidden="false" customHeight="false" outlineLevel="0" collapsed="false">
      <c r="A985" s="1" t="s">
        <v>961</v>
      </c>
    </row>
    <row r="986" customFormat="false" ht="17.15" hidden="false" customHeight="false" outlineLevel="0" collapsed="false">
      <c r="A986" s="4" t="s">
        <v>21</v>
      </c>
      <c r="B986" s="4" t="s">
        <v>22</v>
      </c>
      <c r="C986" s="13" t="s">
        <v>477</v>
      </c>
      <c r="D986" s="13" t="s">
        <v>562</v>
      </c>
      <c r="E986" s="13" t="s">
        <v>563</v>
      </c>
      <c r="F986" s="13" t="s">
        <v>564</v>
      </c>
      <c r="G986" s="13" t="s">
        <v>565</v>
      </c>
      <c r="H986" s="13" t="s">
        <v>566</v>
      </c>
      <c r="I986" s="13" t="s">
        <v>567</v>
      </c>
      <c r="J986" s="13" t="s">
        <v>568</v>
      </c>
      <c r="K986" s="4" t="s">
        <v>533</v>
      </c>
    </row>
    <row r="987" customFormat="false" ht="17.15" hidden="false" customHeight="false" outlineLevel="0" collapsed="false">
      <c r="A987" s="5" t="s">
        <v>586</v>
      </c>
    </row>
    <row r="988" customFormat="false" ht="17.15" hidden="false" customHeight="false" outlineLevel="0" collapsed="false">
      <c r="A988" s="0" t="s">
        <v>587</v>
      </c>
      <c r="B988" s="3" t="s">
        <v>32</v>
      </c>
      <c r="D988" s="21" t="n">
        <f aca="false">(u_bw_26+u_rb_26+u_ru_26+u_hp_26)*1</f>
        <v>7.6</v>
      </c>
      <c r="E988" s="21" t="n">
        <f aca="false">(u_bw_27+u_rb_27+u_ru_27+u_hp_27)*1*1</f>
        <v>9.7</v>
      </c>
      <c r="F988" s="21" t="n">
        <f aca="false">(u_bw_28+u_rb_28+u_ru_28+u_hp_28)*um28_A*1</f>
        <v>9.5</v>
      </c>
      <c r="G988" s="21" t="n">
        <f aca="false">(u_bw_28*(1+g29_bw)+u_rb_28*(1+g29_rb)+u_ru_28*(1+g29_ru)+u_hp_28*(1+g29_hp))*um29_A*1</f>
        <v>10.6</v>
      </c>
      <c r="K988" s="7" t="s">
        <v>588</v>
      </c>
    </row>
    <row r="989" customFormat="false" ht="17.15" hidden="false" customHeight="false" outlineLevel="0" collapsed="false">
      <c r="A989" s="3" t="s">
        <v>589</v>
      </c>
      <c r="B989" s="3" t="s">
        <v>32</v>
      </c>
      <c r="D989" s="21" t="n">
        <f aca="false">(u_amd_26+u_tpu_26+u_trn_26+u_oth_26)*1</f>
        <v>7.6</v>
      </c>
      <c r="E989" s="21" t="n">
        <f aca="false">(u_amd_27+u_tpu_27+u_trn_27+u_oth_27)*1*1</f>
        <v>14</v>
      </c>
      <c r="F989" s="21" t="n">
        <f aca="false">(u_amd_28+u_tpu_28+u_trn_28+u_oth_28)*um28_A*1</f>
        <v>17</v>
      </c>
      <c r="G989" s="21" t="n">
        <f aca="false">(u_amd_28*(1+g29_amd)+u_tpu_28*(1+g29_tpu)+u_trn_28*(1+g29_trn)+u_oth_28*(1+g29_oth))*um29_A*1</f>
        <v>19.55</v>
      </c>
      <c r="K989" s="7" t="s">
        <v>590</v>
      </c>
    </row>
    <row r="990" customFormat="false" ht="17.15" hidden="false" customHeight="false" outlineLevel="0" collapsed="false">
      <c r="A990" s="3" t="s">
        <v>591</v>
      </c>
      <c r="B990" s="0" t="s">
        <v>144</v>
      </c>
      <c r="D990" s="19" t="n">
        <f aca="false">1</f>
        <v>1</v>
      </c>
      <c r="E990" s="19" t="n">
        <f aca="false">D990*(1+g_asp)</f>
        <v>1.18</v>
      </c>
      <c r="F990" s="19" t="n">
        <f aca="false">E990*(1+g_asp)</f>
        <v>1.3924</v>
      </c>
      <c r="G990" s="19" t="n">
        <f aca="false">F990*(1+g_asp)</f>
        <v>1.643032</v>
      </c>
      <c r="K990" s="7" t="s">
        <v>592</v>
      </c>
    </row>
    <row r="991" customFormat="false" ht="17.15" hidden="false" customHeight="false" outlineLevel="0" collapsed="false">
      <c r="A991" s="0" t="s">
        <v>593</v>
      </c>
      <c r="B991" s="0" t="s">
        <v>144</v>
      </c>
      <c r="D991" s="18" t="n">
        <f aca="false">1</f>
        <v>1</v>
      </c>
      <c r="E991" s="18" t="n">
        <f aca="false">ibpp_27</f>
        <v>1</v>
      </c>
      <c r="F991" s="18" t="n">
        <f aca="false">ibpp_28</f>
        <v>0.95</v>
      </c>
      <c r="G991" s="18" t="n">
        <f aca="false">ibpp_29</f>
        <v>0.9</v>
      </c>
      <c r="K991" s="7" t="s">
        <v>594</v>
      </c>
    </row>
    <row r="992" customFormat="false" ht="17.15" hidden="false" customHeight="false" outlineLevel="0" collapsed="false">
      <c r="A992" s="3" t="s">
        <v>595</v>
      </c>
      <c r="B992" s="0" t="s">
        <v>144</v>
      </c>
      <c r="D992" s="18" t="n">
        <f aca="false">1</f>
        <v>1</v>
      </c>
      <c r="E992" s="18" t="n">
        <f aca="false">1+carry</f>
        <v>1.05</v>
      </c>
      <c r="F992" s="18" t="n">
        <f aca="false">1+carry</f>
        <v>1.05</v>
      </c>
      <c r="G992" s="18" t="n">
        <f aca="false">1+carry</f>
        <v>1.05</v>
      </c>
      <c r="K992" s="7" t="s">
        <v>596</v>
      </c>
    </row>
    <row r="993" customFormat="false" ht="17.15" hidden="false" customHeight="false" outlineLevel="0" collapsed="false">
      <c r="A993" s="3" t="s">
        <v>597</v>
      </c>
      <c r="B993" s="0" t="s">
        <v>598</v>
      </c>
      <c r="D993" s="23" t="n">
        <f aca="false">v26*D990*D991</f>
        <v>215.308596</v>
      </c>
      <c r="E993" s="23" t="n">
        <f aca="false">v26*E990*E991</f>
        <v>254.06414328</v>
      </c>
      <c r="F993" s="23" t="n">
        <f aca="false">v26*F990*F991</f>
        <v>284.80590461688</v>
      </c>
      <c r="G993" s="23" t="n">
        <f aca="false">v26*G990*G991</f>
        <v>318.383021792765</v>
      </c>
      <c r="K993" s="7" t="s">
        <v>599</v>
      </c>
    </row>
    <row r="994" customFormat="false" ht="17.15" hidden="false" customHeight="false" outlineLevel="0" collapsed="false">
      <c r="A994" s="3" t="s">
        <v>600</v>
      </c>
      <c r="B994" s="0" t="s">
        <v>44</v>
      </c>
      <c r="D994" s="20" t="n">
        <f aca="false">sh_nv_26</f>
        <v>0.25</v>
      </c>
      <c r="E994" s="20" t="n">
        <f aca="false">sh_nv_27</f>
        <v>0.27</v>
      </c>
      <c r="F994" s="20" t="n">
        <f aca="false">sh_nv_28</f>
        <v>0.29</v>
      </c>
      <c r="G994" s="20" t="n">
        <f aca="false">sh_nv_29</f>
        <v>0.3</v>
      </c>
    </row>
    <row r="995" customFormat="false" ht="17.15" hidden="false" customHeight="false" outlineLevel="0" collapsed="false">
      <c r="A995" s="3" t="s">
        <v>601</v>
      </c>
      <c r="B995" s="0" t="s">
        <v>44</v>
      </c>
      <c r="D995" s="20" t="n">
        <f aca="false">sh_ot_26_lo</f>
        <v>0.22</v>
      </c>
      <c r="E995" s="20" t="n">
        <f aca="false">sh_ot_27_lo</f>
        <v>0.22</v>
      </c>
      <c r="F995" s="20" t="n">
        <f aca="false">sh_ot_28_lo</f>
        <v>0.22</v>
      </c>
      <c r="G995" s="20" t="n">
        <f aca="false">sh_ot_29_lo</f>
        <v>0.22</v>
      </c>
    </row>
    <row r="996" customFormat="false" ht="17.15" hidden="false" customHeight="false" outlineLevel="0" collapsed="false">
      <c r="A996" s="3" t="s">
        <v>602</v>
      </c>
      <c r="B996" s="0" t="s">
        <v>552</v>
      </c>
      <c r="D996" s="22" t="n">
        <f aca="false">(D988*D993*D994+D989*D993*v_ot*D995)*D992</f>
        <v>697.0831104096</v>
      </c>
      <c r="E996" s="22" t="n">
        <f aca="false">(E988*E993*E994+E989*E993*v_ot*E995)*E992</f>
        <v>1355.97844230685</v>
      </c>
      <c r="F996" s="22" t="n">
        <f aca="false">(F988*F993*F994+F989*F993*v_ot*F995)*F992</f>
        <v>1718.61851052487</v>
      </c>
      <c r="G996" s="22" t="n">
        <f aca="false">(G988*G993*G994+G989*G993*v_ot*G995)*G992</f>
        <v>2213.34782621981</v>
      </c>
    </row>
    <row r="997" customFormat="false" ht="15" hidden="false" customHeight="false" outlineLevel="0" collapsed="false">
      <c r="A997" s="3" t="s">
        <v>603</v>
      </c>
      <c r="B997" s="0" t="s">
        <v>302</v>
      </c>
      <c r="D997" s="21" t="n">
        <f aca="false">D996*fx/1000</f>
        <v>22.655201088312</v>
      </c>
      <c r="E997" s="21" t="n">
        <f aca="false">E996*fx/1000</f>
        <v>44.0692993749727</v>
      </c>
      <c r="F997" s="21" t="n">
        <f aca="false">F996*fx/1000</f>
        <v>55.8551015920583</v>
      </c>
      <c r="G997" s="21" t="n">
        <f aca="false">G996*fx/1000</f>
        <v>71.9338043521439</v>
      </c>
    </row>
    <row r="998" customFormat="false" ht="17.15" hidden="false" customHeight="false" outlineLevel="0" collapsed="false">
      <c r="A998" s="5" t="s">
        <v>604</v>
      </c>
    </row>
    <row r="999" customFormat="false" ht="17.15" hidden="false" customHeight="false" outlineLevel="0" collapsed="false">
      <c r="A999" s="0" t="s">
        <v>605</v>
      </c>
      <c r="B999" s="0" t="s">
        <v>302</v>
      </c>
      <c r="D999" s="21" t="n">
        <f aca="false">a26_abf*ai_abf</f>
        <v>74.83672875</v>
      </c>
      <c r="K999" s="3" t="s">
        <v>606</v>
      </c>
    </row>
    <row r="1000" customFormat="false" ht="17.15" hidden="false" customHeight="false" outlineLevel="0" collapsed="false">
      <c r="A1000" s="3" t="s">
        <v>607</v>
      </c>
      <c r="B1000" s="0" t="s">
        <v>302</v>
      </c>
      <c r="D1000" s="21" t="n">
        <f aca="false">D999-D997</f>
        <v>52.181527661688</v>
      </c>
      <c r="E1000" s="21" t="n">
        <f aca="false">$D1000*(itc_27/itc_26)^el_o*1*1*E991*E992</f>
        <v>77.5253494028365</v>
      </c>
      <c r="F1000" s="21" t="n">
        <f aca="false">$D1000*(itc_28/itc_26)^el_o*um28_A*1*F991*F992</f>
        <v>82.9203875421215</v>
      </c>
      <c r="G1000" s="21" t="n">
        <f aca="false">$D1000*(itc_29/itc_26)^el_o*um29_A*1*G991*G992</f>
        <v>83.8440461291775</v>
      </c>
      <c r="K1000" s="7" t="s">
        <v>608</v>
      </c>
    </row>
    <row r="1001" customFormat="false" ht="17.15" hidden="false" customHeight="false" outlineLevel="0" collapsed="false">
      <c r="A1001" s="3" t="s">
        <v>609</v>
      </c>
      <c r="B1001" s="0" t="s">
        <v>302</v>
      </c>
      <c r="D1001" s="21" t="n">
        <f aca="false">a26_abf-D999</f>
        <v>24.94557625</v>
      </c>
      <c r="E1001" s="21" t="n">
        <f aca="false">D1001*(1+g_nai)</f>
        <v>25.6939435375</v>
      </c>
      <c r="F1001" s="21" t="n">
        <f aca="false">E1001*(1+g_nai)</f>
        <v>26.464761843625</v>
      </c>
      <c r="G1001" s="21" t="n">
        <f aca="false">F1001*(1+g_nai)</f>
        <v>27.2587046989338</v>
      </c>
    </row>
    <row r="1002" customFormat="false" ht="17.15" hidden="false" customHeight="false" outlineLevel="0" collapsed="false">
      <c r="A1002" s="0" t="s">
        <v>610</v>
      </c>
      <c r="B1002" s="0" t="s">
        <v>302</v>
      </c>
      <c r="D1002" s="21" t="n">
        <f aca="false">D997+D1000+D1001</f>
        <v>99.782305</v>
      </c>
      <c r="E1002" s="21" t="n">
        <f aca="false">E997+E1000+E1001</f>
        <v>147.288592315309</v>
      </c>
      <c r="F1002" s="21" t="n">
        <f aca="false">F997+F1000+F1001</f>
        <v>165.240250977805</v>
      </c>
      <c r="G1002" s="21" t="n">
        <f aca="false">G997+G1000+G1001</f>
        <v>183.036555180255</v>
      </c>
    </row>
    <row r="1003" customFormat="false" ht="17.15" hidden="false" customHeight="false" outlineLevel="0" collapsed="false">
      <c r="A1003" s="0" t="s">
        <v>611</v>
      </c>
      <c r="B1003" s="0" t="s">
        <v>302</v>
      </c>
      <c r="D1003" s="21" t="n">
        <f aca="false">a26_abf</f>
        <v>99.782305</v>
      </c>
      <c r="E1003" s="21" t="n">
        <f aca="false">$D1002*cap_27*(1+g_mix)^1*E991*E992</f>
        <v>148.513488204375</v>
      </c>
      <c r="F1003" s="21" t="n">
        <f aca="false">$D1002*cap_28*(1+g_mix)^2*F991*F992</f>
        <v>186.549442683384</v>
      </c>
      <c r="G1003" s="21" t="n">
        <f aca="false">$D1002*cap_29*(1+g_mix)^3*G991*G992</f>
        <v>218.314827660431</v>
      </c>
      <c r="K1003" s="7" t="s">
        <v>612</v>
      </c>
    </row>
    <row r="1004" customFormat="false" ht="17.15" hidden="false" customHeight="false" outlineLevel="0" collapsed="false">
      <c r="A1004" s="0" t="s">
        <v>613</v>
      </c>
      <c r="B1004" s="0" t="s">
        <v>302</v>
      </c>
      <c r="D1004" s="21" t="n">
        <f aca="false">a26_abf</f>
        <v>99.782305</v>
      </c>
      <c r="E1004" s="21" t="n">
        <f aca="false">MIN(E1002,E1003)</f>
        <v>147.288592315309</v>
      </c>
      <c r="F1004" s="21" t="n">
        <f aca="false">MIN(F1002,F1003)</f>
        <v>165.240250977805</v>
      </c>
      <c r="G1004" s="21" t="n">
        <f aca="false">MIN(G1002,G1003)</f>
        <v>183.036555180255</v>
      </c>
    </row>
    <row r="1005" customFormat="false" ht="17.15" hidden="false" customHeight="false" outlineLevel="0" collapsed="false">
      <c r="A1005" s="3" t="s">
        <v>614</v>
      </c>
      <c r="B1005" s="0" t="s">
        <v>44</v>
      </c>
      <c r="D1005" s="20" t="n">
        <f aca="false">D1004/D1002</f>
        <v>1</v>
      </c>
      <c r="E1005" s="20" t="n">
        <f aca="false">E1004/E1002</f>
        <v>1</v>
      </c>
      <c r="F1005" s="20" t="n">
        <f aca="false">F1004/F1002</f>
        <v>1</v>
      </c>
      <c r="G1005" s="20" t="n">
        <f aca="false">G1004/G1002</f>
        <v>1</v>
      </c>
    </row>
    <row r="1006" customFormat="false" ht="17.15" hidden="false" customHeight="false" outlineLevel="0" collapsed="false">
      <c r="A1006" s="0" t="s">
        <v>615</v>
      </c>
      <c r="B1006" s="0" t="s">
        <v>302</v>
      </c>
      <c r="D1006" s="21" t="n">
        <f aca="false">(D997+D1000)*D1005</f>
        <v>74.83672875</v>
      </c>
      <c r="E1006" s="21" t="n">
        <f aca="false">(E997+E1000)*E1005</f>
        <v>121.594648777809</v>
      </c>
      <c r="F1006" s="21" t="n">
        <f aca="false">(F997+F1000)*F1005</f>
        <v>138.77548913418</v>
      </c>
      <c r="G1006" s="21" t="n">
        <f aca="false">(G997+G1000)*G1005</f>
        <v>155.777850481321</v>
      </c>
    </row>
    <row r="1007" customFormat="false" ht="17.15" hidden="false" customHeight="false" outlineLevel="0" collapsed="false">
      <c r="A1007" s="3" t="s">
        <v>616</v>
      </c>
      <c r="B1007" s="0" t="s">
        <v>44</v>
      </c>
      <c r="D1007" s="20" t="n">
        <f aca="false">D997/(D997+D1000)</f>
        <v>0.302728372374401</v>
      </c>
      <c r="E1007" s="20" t="n">
        <f aca="false">E997/(E997+E1000)</f>
        <v>0.362427950719286</v>
      </c>
      <c r="F1007" s="20" t="n">
        <f aca="false">F997/(F997+F1000)</f>
        <v>0.402485351992187</v>
      </c>
      <c r="G1007" s="20" t="n">
        <f aca="false">G997/(G997+G1000)</f>
        <v>0.461771709712795</v>
      </c>
    </row>
    <row r="1008" customFormat="false" ht="17.15" hidden="false" customHeight="false" outlineLevel="0" collapsed="false">
      <c r="A1008" s="5" t="s">
        <v>617</v>
      </c>
    </row>
    <row r="1009" customFormat="false" ht="17.15" hidden="false" customHeight="false" outlineLevel="0" collapsed="false">
      <c r="A1009" s="0" t="s">
        <v>519</v>
      </c>
      <c r="B1009" s="0" t="s">
        <v>302</v>
      </c>
      <c r="D1009" s="21" t="n">
        <f aca="false">a26_bt</f>
        <v>16.944165</v>
      </c>
      <c r="E1009" s="21" t="n">
        <f aca="false">D1009*(1+g_bt)</f>
        <v>17.79137325</v>
      </c>
      <c r="F1009" s="21" t="n">
        <f aca="false">E1009*(1+g_bt)</f>
        <v>18.6809419125</v>
      </c>
      <c r="G1009" s="21" t="n">
        <f aca="false">F1009*(1+g_bt)</f>
        <v>19.614989008125</v>
      </c>
    </row>
    <row r="1010" customFormat="false" ht="17.15" hidden="false" customHeight="false" outlineLevel="0" collapsed="false">
      <c r="A1010" s="0" t="s">
        <v>618</v>
      </c>
      <c r="B1010" s="0" t="s">
        <v>302</v>
      </c>
      <c r="D1010" s="21" t="n">
        <f aca="false">a26_pcb*ai_pcb</f>
        <v>37.93610275</v>
      </c>
      <c r="E1010" s="21" t="n">
        <f aca="false">D1010*(1+g_pai_27)</f>
        <v>45.5233233</v>
      </c>
      <c r="F1010" s="21" t="n">
        <f aca="false">D1010*(1+g_pai_27)*(1+g_pai_28)*um28_A</f>
        <v>52.351821795</v>
      </c>
      <c r="G1010" s="21" t="n">
        <f aca="false">D1010*(1+g_pai_27)*(1+g_pai_28)*(1+g_pai_29)*um29_A</f>
        <v>57.5870039745</v>
      </c>
      <c r="K1010" s="3" t="s">
        <v>619</v>
      </c>
    </row>
    <row r="1011" customFormat="false" ht="17.15" hidden="false" customHeight="false" outlineLevel="0" collapsed="false">
      <c r="A1011" s="3" t="s">
        <v>620</v>
      </c>
      <c r="B1011" s="0" t="s">
        <v>302</v>
      </c>
      <c r="D1011" s="21" t="n">
        <f aca="false">a26_pcb*(1-ai_pcb)</f>
        <v>20.42713225</v>
      </c>
      <c r="E1011" s="21" t="n">
        <f aca="false">D1011*(1+g_pcbn)</f>
        <v>20.835674895</v>
      </c>
      <c r="F1011" s="21" t="n">
        <f aca="false">E1011*(1+g_pcbn)</f>
        <v>21.2523883929</v>
      </c>
      <c r="G1011" s="21" t="n">
        <f aca="false">F1011*(1+g_pcbn)</f>
        <v>21.677436160758</v>
      </c>
    </row>
    <row r="1012" customFormat="false" ht="15" hidden="false" customHeight="false" outlineLevel="0" collapsed="false">
      <c r="A1012" s="3" t="s">
        <v>521</v>
      </c>
      <c r="B1012" s="0" t="s">
        <v>302</v>
      </c>
      <c r="D1012" s="21" t="n">
        <f aca="false">a26_fpc</f>
        <v>13.178795</v>
      </c>
      <c r="E1012" s="21" t="n">
        <f aca="false">D1012*(1+g_fpc)</f>
        <v>13.178795</v>
      </c>
      <c r="F1012" s="21" t="n">
        <f aca="false">E1012*(1+g_fpc)</f>
        <v>13.178795</v>
      </c>
      <c r="G1012" s="21" t="n">
        <f aca="false">F1012*(1+g_fpc)</f>
        <v>13.178795</v>
      </c>
    </row>
    <row r="1013" customFormat="false" ht="17.15" hidden="false" customHeight="false" outlineLevel="0" collapsed="false">
      <c r="A1013" s="3" t="s">
        <v>484</v>
      </c>
      <c r="B1013" s="0" t="s">
        <v>302</v>
      </c>
      <c r="C1013" s="23" t="n">
        <f aca="false">a25_rev</f>
        <v>131.241</v>
      </c>
      <c r="D1013" s="23" t="n">
        <f aca="false">D1004+D1009+D1010+D1011+D1012</f>
        <v>188.2685</v>
      </c>
      <c r="E1013" s="23" t="n">
        <f aca="false">E1004+E1009+E1010+E1011+E1012</f>
        <v>244.617758760309</v>
      </c>
      <c r="F1013" s="23" t="n">
        <f aca="false">F1004+F1009+F1010+F1011+F1012</f>
        <v>270.704198078205</v>
      </c>
      <c r="G1013" s="23" t="n">
        <f aca="false">G1004+G1009+G1010+G1011+G1012</f>
        <v>295.094779323638</v>
      </c>
      <c r="H1013" s="25" t="n">
        <f aca="false">G1013*(1+H1014)</f>
        <v>318.722131309368</v>
      </c>
      <c r="I1013" s="25" t="n">
        <f aca="false">H1013*(1+I1014)</f>
        <v>341.043356768762</v>
      </c>
      <c r="J1013" s="25" t="n">
        <f aca="false">I1013*(1+J1014)</f>
        <v>361.505958174888</v>
      </c>
      <c r="K1013" s="7" t="s">
        <v>621</v>
      </c>
    </row>
    <row r="1014" customFormat="false" ht="15" hidden="false" customHeight="false" outlineLevel="0" collapsed="false">
      <c r="A1014" s="3" t="s">
        <v>622</v>
      </c>
      <c r="B1014" s="0" t="s">
        <v>44</v>
      </c>
      <c r="D1014" s="20" t="n">
        <f aca="false">D1013/C1013-1</f>
        <v>0.434525034097576</v>
      </c>
      <c r="E1014" s="20" t="n">
        <f aca="false">E1013/D1013-1</f>
        <v>0.299302638308104</v>
      </c>
      <c r="F1014" s="20" t="n">
        <f aca="false">F1013/E1013-1</f>
        <v>0.106641641433141</v>
      </c>
      <c r="G1014" s="20" t="n">
        <f aca="false">G1013/F1013-1</f>
        <v>0.0901004913059649</v>
      </c>
      <c r="H1014" s="26" t="n">
        <f aca="false">$G1014+(fade_gA-$G1014)*1/3</f>
        <v>0.0800669942039766</v>
      </c>
      <c r="I1014" s="26" t="n">
        <f aca="false">$G1014+(fade_gA-$G1014)*2/3</f>
        <v>0.0700334971019883</v>
      </c>
      <c r="J1014" s="26" t="n">
        <f aca="false">$G1014+(fade_gA-$G1014)*3/3</f>
        <v>0.06</v>
      </c>
    </row>
    <row r="1015" customFormat="false" ht="17.15" hidden="false" customHeight="false" outlineLevel="0" collapsed="false">
      <c r="A1015" s="0" t="s">
        <v>623</v>
      </c>
      <c r="B1015" s="0" t="s">
        <v>44</v>
      </c>
      <c r="D1015" s="20" t="n">
        <f aca="false">D1004/D1013</f>
        <v>0.53</v>
      </c>
      <c r="E1015" s="20" t="n">
        <f aca="false">E1004/E1013</f>
        <v>0.602117332207394</v>
      </c>
      <c r="F1015" s="20" t="n">
        <f aca="false">F1004/F1013</f>
        <v>0.610408897057695</v>
      </c>
      <c r="G1015" s="20" t="n">
        <f aca="false">G1004/G1013</f>
        <v>0.620263616997149</v>
      </c>
    </row>
    <row r="1016" customFormat="false" ht="17.15" hidden="false" customHeight="false" outlineLevel="0" collapsed="false">
      <c r="A1016" s="0" t="s">
        <v>624</v>
      </c>
      <c r="B1016" s="0" t="s">
        <v>44</v>
      </c>
      <c r="D1016" s="20" t="n">
        <f aca="false">(D1006+D1010)/D1013</f>
        <v>0.599</v>
      </c>
      <c r="E1016" s="20" t="n">
        <f aca="false">(E1006+E1010)/E1013</f>
        <v>0.683180047616907</v>
      </c>
      <c r="F1016" s="20" t="n">
        <f aca="false">(F1006+F1010)/F1013</f>
        <v>0.706037484036226</v>
      </c>
      <c r="G1016" s="20" t="n">
        <f aca="false">(G1006+G1010)/G1013</f>
        <v>0.723038391071699</v>
      </c>
      <c r="K1016" s="3" t="s">
        <v>625</v>
      </c>
    </row>
    <row r="1017" customFormat="false" ht="17.15" hidden="false" customHeight="false" outlineLevel="0" collapsed="false">
      <c r="A1017" s="5" t="s">
        <v>626</v>
      </c>
    </row>
    <row r="1018" customFormat="false" ht="15" hidden="false" customHeight="false" outlineLevel="0" collapsed="false">
      <c r="A1018" s="3" t="s">
        <v>627</v>
      </c>
      <c r="B1018" s="0" t="s">
        <v>302</v>
      </c>
      <c r="C1018" s="23" t="n">
        <f aca="false">a25_cx</f>
        <v>25.617</v>
      </c>
      <c r="D1018" s="23" t="n">
        <f aca="false">capex26</f>
        <v>53.7</v>
      </c>
      <c r="E1018" s="23" t="n">
        <f aca="false">cx27_A</f>
        <v>55</v>
      </c>
      <c r="F1018" s="23" t="n">
        <f aca="false">cx28_A</f>
        <v>50</v>
      </c>
      <c r="G1018" s="23" t="n">
        <f aca="false">cx29_A</f>
        <v>45</v>
      </c>
      <c r="H1018" s="25" t="n">
        <f aca="false">H1013*H1035</f>
        <v>45.6013281968584</v>
      </c>
      <c r="I1018" s="25" t="n">
        <f aca="false">I1013*I1035</f>
        <v>45.5830435348967</v>
      </c>
      <c r="J1018" s="25" t="n">
        <f aca="false">J1013*J1035</f>
        <v>44.9134066900223</v>
      </c>
    </row>
    <row r="1019" customFormat="false" ht="17.15" hidden="false" customHeight="false" outlineLevel="0" collapsed="false">
      <c r="A1019" s="3" t="s">
        <v>628</v>
      </c>
      <c r="B1019" s="0" t="s">
        <v>302</v>
      </c>
      <c r="C1019" s="23" t="n">
        <f aca="false">a25_da</f>
        <v>18.8</v>
      </c>
      <c r="D1019" s="23" t="n">
        <f aca="false">da26</f>
        <v>20.8</v>
      </c>
      <c r="E1019" s="23" t="n">
        <f aca="false">D1019*(1-1/life)+D1018/life</f>
        <v>24.9125</v>
      </c>
      <c r="F1019" s="23" t="n">
        <f aca="false">E1019*(1-1/life)+E1018/life</f>
        <v>28.6734375</v>
      </c>
      <c r="G1019" s="23" t="n">
        <f aca="false">F1019*(1-1/life)+F1018/life</f>
        <v>31.3392578125</v>
      </c>
      <c r="H1019" s="25" t="n">
        <f aca="false">H1013*H1020</f>
        <v>33.8484979861304</v>
      </c>
      <c r="I1019" s="25" t="n">
        <f aca="false">I1013*I1020</f>
        <v>36.2190266717487</v>
      </c>
      <c r="J1019" s="25" t="n">
        <f aca="false">J1013*J1020</f>
        <v>38.3921682720536</v>
      </c>
      <c r="K1019" s="3" t="s">
        <v>629</v>
      </c>
    </row>
    <row r="1020" customFormat="false" ht="17.15" hidden="false" customHeight="false" outlineLevel="0" collapsed="false">
      <c r="A1020" s="3" t="s">
        <v>630</v>
      </c>
      <c r="B1020" s="0" t="s">
        <v>44</v>
      </c>
      <c r="C1020" s="20" t="n">
        <f aca="false">C1019/C1013</f>
        <v>0.143247917952469</v>
      </c>
      <c r="D1020" s="20" t="n">
        <f aca="false">D1019/D1013</f>
        <v>0.110480510547436</v>
      </c>
      <c r="E1020" s="20" t="n">
        <f aca="false">E1019/E1013</f>
        <v>0.101842565013486</v>
      </c>
      <c r="F1020" s="20" t="n">
        <f aca="false">F1019/F1013</f>
        <v>0.105921658044315</v>
      </c>
      <c r="G1020" s="20" t="n">
        <f aca="false">G1019/G1013</f>
        <v>0.106200651479942</v>
      </c>
      <c r="H1020" s="26" t="n">
        <f aca="false">$G1020</f>
        <v>0.106200651479942</v>
      </c>
      <c r="I1020" s="26" t="n">
        <f aca="false">$G1020</f>
        <v>0.106200651479942</v>
      </c>
      <c r="J1020" s="26" t="n">
        <f aca="false">$G1020</f>
        <v>0.106200651479942</v>
      </c>
    </row>
    <row r="1021" customFormat="false" ht="17.15" hidden="false" customHeight="false" outlineLevel="0" collapsed="false">
      <c r="A1021" s="3" t="s">
        <v>631</v>
      </c>
      <c r="B1021" s="0" t="s">
        <v>302</v>
      </c>
      <c r="E1021" s="21" t="n">
        <f aca="false">E1006*(1-1/(E991*E992))</f>
        <v>5.79022137037187</v>
      </c>
      <c r="F1021" s="21" t="n">
        <f aca="false">F1006*(1-1/(F991*F992))</f>
        <v>-0.347808243444083</v>
      </c>
      <c r="G1021" s="21" t="n">
        <f aca="false">G1006*(1-1/(G991*G992))</f>
        <v>-9.06643574229912</v>
      </c>
      <c r="K1021" s="7" t="s">
        <v>632</v>
      </c>
    </row>
    <row r="1022" customFormat="false" ht="17.15" hidden="false" customHeight="false" outlineLevel="0" collapsed="false">
      <c r="A1022" s="3" t="s">
        <v>633</v>
      </c>
      <c r="B1022" s="0" t="s">
        <v>302</v>
      </c>
      <c r="C1022" s="21" t="n">
        <f aca="false">a25_gp</f>
        <v>18.292</v>
      </c>
      <c r="D1022" s="21" t="n">
        <f aca="false">a26_gp</f>
        <v>47.3329657</v>
      </c>
      <c r="E1022" s="21" t="n">
        <f aca="false">$D1022+ft_abf*(E1004-E1021-$D1004)+ft_oth*((E1013-E1004)-($D1013-$D1004))+E1021-(E1019-$D1019)</f>
        <v>72.0794629040906</v>
      </c>
      <c r="F1022" s="21" t="n">
        <f aca="false">$D1022+ft_abf*(F1004-F1021-$D1004)+ft_oth*((F1013-F1004)-($D1013-$D1004))+F1021-(F1019-$D1019)</f>
        <v>76.2590350922804</v>
      </c>
      <c r="G1022" s="21" t="n">
        <f aca="false">$D1022+ft_abf*(G1004-G1021-$D1004)+ft_oth*((G1013-G1004)-($D1013-$D1004))+G1021-(G1019-$D1019)</f>
        <v>79.7806223923238</v>
      </c>
      <c r="K1022" s="3" t="s">
        <v>634</v>
      </c>
    </row>
    <row r="1023" customFormat="false" ht="15" hidden="false" customHeight="false" outlineLevel="0" collapsed="false">
      <c r="A1023" s="3" t="s">
        <v>491</v>
      </c>
      <c r="B1023" s="0" t="s">
        <v>44</v>
      </c>
      <c r="C1023" s="16" t="n">
        <f aca="false">C1022/C1013</f>
        <v>0.139377176339711</v>
      </c>
      <c r="D1023" s="16" t="n">
        <f aca="false">D1022/D1013</f>
        <v>0.251412029627899</v>
      </c>
      <c r="E1023" s="16" t="n">
        <f aca="false">E1022/E1013</f>
        <v>0.294661611116788</v>
      </c>
      <c r="F1023" s="16" t="n">
        <f aca="false">F1022/F1013</f>
        <v>0.28170614136634</v>
      </c>
      <c r="G1023" s="16" t="n">
        <f aca="false">G1022/G1013</f>
        <v>0.27035592623896</v>
      </c>
    </row>
    <row r="1024" customFormat="false" ht="15" hidden="false" customHeight="false" outlineLevel="0" collapsed="false">
      <c r="A1024" s="3" t="s">
        <v>493</v>
      </c>
      <c r="B1024" s="0" t="s">
        <v>302</v>
      </c>
      <c r="C1024" s="21" t="n">
        <f aca="false">a25_opx</f>
        <v>11.618</v>
      </c>
      <c r="D1024" s="21" t="n">
        <f aca="false">a26_opx</f>
        <v>16.6539532</v>
      </c>
      <c r="E1024" s="21" t="n">
        <f aca="false">D1024*(1+phi*E1014)</f>
        <v>19.6446964786118</v>
      </c>
      <c r="F1024" s="21" t="n">
        <f aca="false">E1024*(1+phi*F1014)</f>
        <v>20.9016620853728</v>
      </c>
      <c r="G1024" s="21" t="n">
        <f aca="false">F1024*(1+phi*G1014)</f>
        <v>22.0316120991748</v>
      </c>
    </row>
    <row r="1025" customFormat="false" ht="15" hidden="false" customHeight="false" outlineLevel="0" collapsed="false">
      <c r="A1025" s="3" t="s">
        <v>496</v>
      </c>
      <c r="B1025" s="0" t="s">
        <v>302</v>
      </c>
      <c r="C1025" s="21" t="n">
        <f aca="false">C1022-C1024</f>
        <v>6.674</v>
      </c>
      <c r="D1025" s="21" t="n">
        <f aca="false">D1022-D1024</f>
        <v>30.6790125</v>
      </c>
      <c r="E1025" s="21" t="n">
        <f aca="false">E1022-E1024</f>
        <v>52.4347664254787</v>
      </c>
      <c r="F1025" s="21" t="n">
        <f aca="false">F1022-F1024</f>
        <v>55.3573730069075</v>
      </c>
      <c r="G1025" s="21" t="n">
        <f aca="false">G1022-G1024</f>
        <v>57.749010293149</v>
      </c>
    </row>
    <row r="1026" customFormat="false" ht="15" hidden="false" customHeight="false" outlineLevel="0" collapsed="false">
      <c r="A1026" s="3" t="s">
        <v>575</v>
      </c>
      <c r="B1026" s="0" t="s">
        <v>44</v>
      </c>
      <c r="C1026" s="16" t="n">
        <f aca="false">C1025/C1013</f>
        <v>0.0508530108731265</v>
      </c>
      <c r="D1026" s="16" t="n">
        <f aca="false">D1025/D1013</f>
        <v>0.162953507888999</v>
      </c>
      <c r="E1026" s="16" t="n">
        <f aca="false">E1025/E1013</f>
        <v>0.214353882936428</v>
      </c>
      <c r="F1026" s="16" t="n">
        <f aca="false">F1025/F1013</f>
        <v>0.204493958349752</v>
      </c>
      <c r="G1026" s="16" t="n">
        <f aca="false">G1025/G1013</f>
        <v>0.195696482416634</v>
      </c>
    </row>
    <row r="1027" customFormat="false" ht="17.15" hidden="false" customHeight="false" outlineLevel="0" collapsed="false">
      <c r="A1027" s="3" t="s">
        <v>635</v>
      </c>
      <c r="B1027" s="0" t="s">
        <v>302</v>
      </c>
      <c r="C1027" s="21" t="n">
        <f aca="false">a25_nonop</f>
        <v>-0.00100000000000033</v>
      </c>
      <c r="D1027" s="21" t="n">
        <f aca="false">a26_nonop</f>
        <v>14.466</v>
      </c>
      <c r="E1027" s="21" t="n">
        <f aca="false">nonop27</f>
        <v>2</v>
      </c>
      <c r="F1027" s="21" t="n">
        <f aca="false">nonop28</f>
        <v>2</v>
      </c>
      <c r="G1027" s="21" t="n">
        <f aca="false">nonop29</f>
        <v>2</v>
      </c>
      <c r="K1027" s="7" t="s">
        <v>636</v>
      </c>
    </row>
    <row r="1028" customFormat="false" ht="15" hidden="false" customHeight="false" outlineLevel="0" collapsed="false">
      <c r="A1028" s="3" t="s">
        <v>502</v>
      </c>
      <c r="B1028" s="0" t="s">
        <v>302</v>
      </c>
      <c r="C1028" s="21" t="n">
        <f aca="false">C1025+C1027</f>
        <v>6.673</v>
      </c>
      <c r="D1028" s="21" t="n">
        <f aca="false">D1025+D1027</f>
        <v>45.1450125</v>
      </c>
      <c r="E1028" s="21" t="n">
        <f aca="false">E1025+E1027</f>
        <v>54.4347664254787</v>
      </c>
      <c r="F1028" s="21" t="n">
        <f aca="false">F1025+F1027</f>
        <v>57.3573730069075</v>
      </c>
      <c r="G1028" s="21" t="n">
        <f aca="false">G1025+G1027</f>
        <v>59.749010293149</v>
      </c>
    </row>
    <row r="1029" customFormat="false" ht="15" hidden="false" customHeight="false" outlineLevel="0" collapsed="false">
      <c r="A1029" s="3" t="s">
        <v>506</v>
      </c>
      <c r="B1029" s="0" t="s">
        <v>302</v>
      </c>
      <c r="E1029" s="21" t="n">
        <f aca="false">E1028*tax</f>
        <v>9.79825795658617</v>
      </c>
      <c r="F1029" s="21" t="n">
        <f aca="false">F1028*tax</f>
        <v>10.3243271412434</v>
      </c>
      <c r="G1029" s="21" t="n">
        <f aca="false">G1028*tax</f>
        <v>10.7548218527668</v>
      </c>
    </row>
    <row r="1030" customFormat="false" ht="15" hidden="false" customHeight="false" outlineLevel="0" collapsed="false">
      <c r="A1030" s="3" t="s">
        <v>504</v>
      </c>
      <c r="B1030" s="0" t="s">
        <v>302</v>
      </c>
      <c r="C1030" s="21" t="n">
        <f aca="false">a25_ni</f>
        <v>6.673</v>
      </c>
      <c r="D1030" s="21" t="n">
        <f aca="false">a26_ni</f>
        <v>37.23923025</v>
      </c>
      <c r="E1030" s="21" t="n">
        <f aca="false">E1028-E1029</f>
        <v>44.6365084688926</v>
      </c>
      <c r="F1030" s="21" t="n">
        <f aca="false">F1028-F1029</f>
        <v>47.0330458656642</v>
      </c>
      <c r="G1030" s="21" t="n">
        <f aca="false">G1028-G1029</f>
        <v>48.9941884403821</v>
      </c>
      <c r="H1030" s="30" t="n">
        <f aca="false">H1013*H1034</f>
        <v>53.7458345395948</v>
      </c>
      <c r="I1030" s="30" t="n">
        <f aca="false">I1013*I1034</f>
        <v>58.3967177565679</v>
      </c>
      <c r="J1030" s="30" t="n">
        <f aca="false">J1013*J1034</f>
        <v>62.8406077596324</v>
      </c>
    </row>
    <row r="1031" customFormat="false" ht="15" hidden="false" customHeight="false" outlineLevel="0" collapsed="false">
      <c r="A1031" s="3" t="s">
        <v>637</v>
      </c>
      <c r="B1031" s="3" t="s">
        <v>380</v>
      </c>
      <c r="C1031" s="29" t="n">
        <f aca="false">a25_sh</f>
        <v>1.52351598173516</v>
      </c>
      <c r="D1031" s="29" t="n">
        <f aca="false">a26_sh</f>
        <v>1.59236316568047</v>
      </c>
      <c r="E1031" s="29" t="n">
        <f aca="false">a26_shend*(1+sh_g)</f>
        <v>1.64</v>
      </c>
      <c r="F1031" s="29" t="n">
        <f aca="false">E1031*(1+sh_g)</f>
        <v>1.64</v>
      </c>
      <c r="G1031" s="29" t="n">
        <f aca="false">F1031*(1+sh_g)</f>
        <v>1.64</v>
      </c>
      <c r="H1031" s="31" t="n">
        <f aca="false">G1031*(1+sh_g)</f>
        <v>1.64</v>
      </c>
      <c r="I1031" s="31" t="n">
        <f aca="false">H1031*(1+sh_g)</f>
        <v>1.64</v>
      </c>
      <c r="J1031" s="31" t="n">
        <f aca="false">I1031*(1+sh_g)</f>
        <v>1.64</v>
      </c>
    </row>
    <row r="1032" customFormat="false" ht="17.15" hidden="false" customHeight="false" outlineLevel="0" collapsed="false">
      <c r="A1032" s="0" t="s">
        <v>509</v>
      </c>
      <c r="B1032" s="0" t="s">
        <v>386</v>
      </c>
      <c r="C1032" s="18" t="n">
        <f aca="false">C1030/C1031</f>
        <v>4.38</v>
      </c>
      <c r="D1032" s="18" t="n">
        <f aca="false">D1030/D1031</f>
        <v>23.3861414610695</v>
      </c>
      <c r="E1032" s="18" t="n">
        <f aca="false">E1030/E1031</f>
        <v>27.2173832127394</v>
      </c>
      <c r="F1032" s="18" t="n">
        <f aca="false">F1030/F1031</f>
        <v>28.6786865034538</v>
      </c>
      <c r="G1032" s="18" t="n">
        <f aca="false">G1030/G1031</f>
        <v>29.8745051465745</v>
      </c>
      <c r="H1032" s="28" t="n">
        <f aca="false">H1030/H1031</f>
        <v>32.7718503290212</v>
      </c>
      <c r="I1032" s="28" t="n">
        <f aca="false">I1030/I1031</f>
        <v>35.6077547296146</v>
      </c>
      <c r="J1032" s="28" t="n">
        <f aca="false">J1030/J1031</f>
        <v>38.3174437558734</v>
      </c>
    </row>
    <row r="1033" customFormat="false" ht="17.15" hidden="false" customHeight="false" outlineLevel="0" collapsed="false">
      <c r="A1033" s="0" t="s">
        <v>638</v>
      </c>
      <c r="B1033" s="0" t="s">
        <v>44</v>
      </c>
      <c r="D1033" s="20" t="n">
        <f aca="false">D1032/C1032-1</f>
        <v>4.33930170344053</v>
      </c>
      <c r="E1033" s="20" t="n">
        <f aca="false">E1032/D1032-1</f>
        <v>0.163825304745021</v>
      </c>
      <c r="F1033" s="20" t="n">
        <f aca="false">F1032/E1032-1</f>
        <v>0.0536900729688965</v>
      </c>
      <c r="G1033" s="20" t="n">
        <f aca="false">G1032/F1032-1</f>
        <v>0.0416971203676535</v>
      </c>
      <c r="H1033" s="26" t="n">
        <f aca="false">H1032/G1032-1</f>
        <v>0.0969838719748286</v>
      </c>
      <c r="I1033" s="26" t="n">
        <f aca="false">I1032/H1032-1</f>
        <v>0.0865347660300397</v>
      </c>
      <c r="J1033" s="26" t="n">
        <f aca="false">J1032/I1032-1</f>
        <v>0.0760982838383018</v>
      </c>
    </row>
    <row r="1034" customFormat="false" ht="17.15" hidden="false" customHeight="false" outlineLevel="0" collapsed="false">
      <c r="A1034" s="3" t="s">
        <v>639</v>
      </c>
      <c r="B1034" s="0" t="s">
        <v>44</v>
      </c>
      <c r="C1034" s="16" t="n">
        <f aca="false">C1030/C1013</f>
        <v>0.0508453913030227</v>
      </c>
      <c r="D1034" s="16" t="n">
        <f aca="false">D1030/D1013</f>
        <v>0.197798517808343</v>
      </c>
      <c r="E1034" s="16" t="n">
        <f aca="false">E1030/E1013</f>
        <v>0.182474521453817</v>
      </c>
      <c r="F1034" s="16" t="n">
        <f aca="false">F1030/F1013</f>
        <v>0.173743319089853</v>
      </c>
      <c r="G1034" s="16" t="n">
        <f aca="false">G1030/G1013</f>
        <v>0.166028652057748</v>
      </c>
      <c r="H1034" s="27" t="n">
        <f aca="false">$G1034+(fade_mA-$G1034)*1/3</f>
        <v>0.168629126313875</v>
      </c>
      <c r="I1034" s="27" t="n">
        <f aca="false">$G1034+(fade_mA-$G1034)*2/3</f>
        <v>0.171229600570002</v>
      </c>
      <c r="J1034" s="27" t="n">
        <f aca="false">$G1034+(fade_mA-$G1034)*3/3</f>
        <v>0.17383007482613</v>
      </c>
    </row>
    <row r="1035" customFormat="false" ht="17.15" hidden="false" customHeight="false" outlineLevel="0" collapsed="false">
      <c r="A1035" s="3" t="s">
        <v>640</v>
      </c>
      <c r="B1035" s="0" t="s">
        <v>44</v>
      </c>
      <c r="C1035" s="20" t="n">
        <f aca="false">C1018/C1013</f>
        <v>0.195190527350447</v>
      </c>
      <c r="D1035" s="20" t="n">
        <f aca="false">D1018/D1013</f>
        <v>0.285230933480641</v>
      </c>
      <c r="E1035" s="20" t="n">
        <f aca="false">E1018/E1013</f>
        <v>0.22484058507744</v>
      </c>
      <c r="F1035" s="20" t="n">
        <f aca="false">F1018/F1013</f>
        <v>0.184703452532182</v>
      </c>
      <c r="G1035" s="20" t="n">
        <f aca="false">G1018/G1013</f>
        <v>0.152493378917583</v>
      </c>
      <c r="H1035" s="26" t="n">
        <f aca="false">$G1035+($G1020*(1+tp_g)^(life/2)-$G1035)*1/3</f>
        <v>0.143075499682184</v>
      </c>
      <c r="I1035" s="26" t="n">
        <f aca="false">$G1035+($G1020*(1+tp_g)^(life/2)-$G1035)*2/3</f>
        <v>0.133657620446785</v>
      </c>
      <c r="J1035" s="26" t="n">
        <f aca="false">$G1035+($G1020*(1+tp_g)^(life/2)-$G1035)*3/3</f>
        <v>0.124239741211386</v>
      </c>
      <c r="K1035" s="7" t="s">
        <v>641</v>
      </c>
    </row>
    <row r="1036" customFormat="false" ht="15" hidden="false" customHeight="false" outlineLevel="0" collapsed="false">
      <c r="A1036" s="3" t="s">
        <v>642</v>
      </c>
      <c r="B1036" s="0" t="s">
        <v>302</v>
      </c>
      <c r="E1036" s="21" t="n">
        <f aca="false">E1030+E1019-E1018</f>
        <v>14.5490084688926</v>
      </c>
      <c r="F1036" s="21" t="n">
        <f aca="false">F1030+F1019-F1018</f>
        <v>25.7064833656642</v>
      </c>
      <c r="G1036" s="21" t="n">
        <f aca="false">G1030+G1019-G1018</f>
        <v>35.3334462528821</v>
      </c>
      <c r="H1036" s="30" t="n">
        <f aca="false">H1030+H1019-H1018</f>
        <v>41.9930043288667</v>
      </c>
      <c r="I1036" s="30" t="n">
        <f aca="false">I1030+I1019-I1018</f>
        <v>49.0327008934198</v>
      </c>
      <c r="J1036" s="30" t="n">
        <f aca="false">J1030+J1019-J1018</f>
        <v>56.3193693416636</v>
      </c>
      <c r="K1036" s="3" t="s">
        <v>643</v>
      </c>
    </row>
    <row r="1037" customFormat="false" ht="15" hidden="false" customHeight="false" outlineLevel="0" collapsed="false">
      <c r="A1037" s="3" t="s">
        <v>644</v>
      </c>
      <c r="B1037" s="0" t="s">
        <v>386</v>
      </c>
      <c r="E1037" s="18" t="n">
        <f aca="false">E1036/E1031</f>
        <v>8.87134662737352</v>
      </c>
      <c r="F1037" s="18" t="n">
        <f aca="false">F1036/F1031</f>
        <v>15.6746849790635</v>
      </c>
      <c r="G1037" s="18" t="n">
        <f aca="false">G1036/G1031</f>
        <v>21.5447843005379</v>
      </c>
      <c r="H1037" s="28" t="n">
        <f aca="false">H1036/H1031</f>
        <v>25.6054904444309</v>
      </c>
      <c r="I1037" s="28" t="n">
        <f aca="false">I1036/I1031</f>
        <v>29.8979883496462</v>
      </c>
      <c r="J1037" s="28" t="n">
        <f aca="false">J1036/J1031</f>
        <v>34.3410788668681</v>
      </c>
    </row>
    <row r="1040" customFormat="false" ht="17.15" hidden="false" customHeight="false" outlineLevel="0" collapsed="false">
      <c r="A1040" s="1" t="s">
        <v>962</v>
      </c>
    </row>
    <row r="1041" customFormat="false" ht="17.15" hidden="false" customHeight="false" outlineLevel="0" collapsed="false">
      <c r="A1041" s="4" t="s">
        <v>21</v>
      </c>
      <c r="B1041" s="4" t="s">
        <v>22</v>
      </c>
      <c r="C1041" s="13" t="s">
        <v>477</v>
      </c>
      <c r="D1041" s="13" t="s">
        <v>562</v>
      </c>
      <c r="E1041" s="13" t="s">
        <v>563</v>
      </c>
      <c r="F1041" s="13" t="s">
        <v>564</v>
      </c>
      <c r="G1041" s="13" t="s">
        <v>565</v>
      </c>
      <c r="H1041" s="13" t="s">
        <v>566</v>
      </c>
      <c r="I1041" s="13" t="s">
        <v>567</v>
      </c>
      <c r="J1041" s="13" t="s">
        <v>568</v>
      </c>
      <c r="K1041" s="4" t="s">
        <v>533</v>
      </c>
    </row>
    <row r="1042" customFormat="false" ht="17.15" hidden="false" customHeight="false" outlineLevel="0" collapsed="false">
      <c r="A1042" s="5" t="s">
        <v>586</v>
      </c>
    </row>
    <row r="1043" customFormat="false" ht="17.15" hidden="false" customHeight="false" outlineLevel="0" collapsed="false">
      <c r="A1043" s="0" t="s">
        <v>587</v>
      </c>
      <c r="B1043" s="3" t="s">
        <v>32</v>
      </c>
      <c r="D1043" s="21" t="n">
        <f aca="false">(u_bw_26+u_rb_26+u_ru_26+u_hp_26)*1</f>
        <v>7.6</v>
      </c>
      <c r="E1043" s="21" t="n">
        <f aca="false">(u_bw_27+u_rb_27+u_ru_27+u_hp_27)*1*1</f>
        <v>9.7</v>
      </c>
      <c r="F1043" s="21" t="n">
        <f aca="false">(u_bw_28+u_rb_28+u_ru_28+u_hp_28)*um28_A*1</f>
        <v>9.5</v>
      </c>
      <c r="G1043" s="21" t="n">
        <f aca="false">(u_bw_28*(1+g29_bw)+u_rb_28*(1+g29_rb)+u_ru_28*(1+g29_ru)+u_hp_28*(1+g29_hp))*um29_A*1</f>
        <v>10.6</v>
      </c>
      <c r="K1043" s="7" t="s">
        <v>588</v>
      </c>
    </row>
    <row r="1044" customFormat="false" ht="17.15" hidden="false" customHeight="false" outlineLevel="0" collapsed="false">
      <c r="A1044" s="3" t="s">
        <v>589</v>
      </c>
      <c r="B1044" s="3" t="s">
        <v>32</v>
      </c>
      <c r="D1044" s="21" t="n">
        <f aca="false">(u_amd_26+u_tpu_26+u_trn_26+u_oth_26)*1</f>
        <v>7.6</v>
      </c>
      <c r="E1044" s="21" t="n">
        <f aca="false">(u_amd_27+u_tpu_27+u_trn_27+u_oth_27)*1*1</f>
        <v>14</v>
      </c>
      <c r="F1044" s="21" t="n">
        <f aca="false">(u_amd_28+u_tpu_28+u_trn_28+u_oth_28)*um28_A*1</f>
        <v>17</v>
      </c>
      <c r="G1044" s="21" t="n">
        <f aca="false">(u_amd_28*(1+g29_amd)+u_tpu_28*(1+g29_tpu)+u_trn_28*(1+g29_trn)+u_oth_28*(1+g29_oth))*um29_A*1</f>
        <v>19.55</v>
      </c>
      <c r="K1044" s="7" t="s">
        <v>590</v>
      </c>
    </row>
    <row r="1045" customFormat="false" ht="17.15" hidden="false" customHeight="false" outlineLevel="0" collapsed="false">
      <c r="A1045" s="3" t="s">
        <v>591</v>
      </c>
      <c r="B1045" s="0" t="s">
        <v>144</v>
      </c>
      <c r="D1045" s="19" t="n">
        <f aca="false">1</f>
        <v>1</v>
      </c>
      <c r="E1045" s="19" t="n">
        <f aca="false">D1045*(1+g_asp)</f>
        <v>1.18</v>
      </c>
      <c r="F1045" s="19" t="n">
        <f aca="false">E1045*(1+g_asp)</f>
        <v>1.3924</v>
      </c>
      <c r="G1045" s="19" t="n">
        <f aca="false">F1045*(1+g_asp)</f>
        <v>1.643032</v>
      </c>
      <c r="K1045" s="7" t="s">
        <v>592</v>
      </c>
    </row>
    <row r="1046" customFormat="false" ht="17.15" hidden="false" customHeight="false" outlineLevel="0" collapsed="false">
      <c r="A1046" s="0" t="s">
        <v>593</v>
      </c>
      <c r="B1046" s="0" t="s">
        <v>144</v>
      </c>
      <c r="D1046" s="18" t="n">
        <f aca="false">1</f>
        <v>1</v>
      </c>
      <c r="E1046" s="18" t="n">
        <f aca="false">ibpp_27</f>
        <v>1</v>
      </c>
      <c r="F1046" s="18" t="n">
        <f aca="false">ibpp_28</f>
        <v>0.95</v>
      </c>
      <c r="G1046" s="18" t="n">
        <f aca="false">ibpp_29</f>
        <v>0.9</v>
      </c>
      <c r="K1046" s="7" t="s">
        <v>594</v>
      </c>
    </row>
    <row r="1047" customFormat="false" ht="17.15" hidden="false" customHeight="false" outlineLevel="0" collapsed="false">
      <c r="A1047" s="3" t="s">
        <v>595</v>
      </c>
      <c r="B1047" s="0" t="s">
        <v>144</v>
      </c>
      <c r="D1047" s="18" t="n">
        <f aca="false">1</f>
        <v>1</v>
      </c>
      <c r="E1047" s="18" t="n">
        <f aca="false">1+carry</f>
        <v>1.05</v>
      </c>
      <c r="F1047" s="18" t="n">
        <f aca="false">1+carry</f>
        <v>1.05</v>
      </c>
      <c r="G1047" s="18" t="n">
        <f aca="false">1+carry</f>
        <v>1.05</v>
      </c>
      <c r="K1047" s="7" t="s">
        <v>596</v>
      </c>
    </row>
    <row r="1048" customFormat="false" ht="17.15" hidden="false" customHeight="false" outlineLevel="0" collapsed="false">
      <c r="A1048" s="3" t="s">
        <v>597</v>
      </c>
      <c r="B1048" s="0" t="s">
        <v>598</v>
      </c>
      <c r="D1048" s="23" t="n">
        <f aca="false">v26*D1045*D1046</f>
        <v>215.308596</v>
      </c>
      <c r="E1048" s="23" t="n">
        <f aca="false">v26*E1045*E1046</f>
        <v>254.06414328</v>
      </c>
      <c r="F1048" s="23" t="n">
        <f aca="false">v26*F1045*F1046</f>
        <v>284.80590461688</v>
      </c>
      <c r="G1048" s="23" t="n">
        <f aca="false">v26*G1045*G1046</f>
        <v>318.383021792765</v>
      </c>
      <c r="K1048" s="7" t="s">
        <v>599</v>
      </c>
    </row>
    <row r="1049" customFormat="false" ht="17.15" hidden="false" customHeight="false" outlineLevel="0" collapsed="false">
      <c r="A1049" s="3" t="s">
        <v>600</v>
      </c>
      <c r="B1049" s="0" t="s">
        <v>44</v>
      </c>
      <c r="D1049" s="20" t="n">
        <f aca="false">sh_nv_26</f>
        <v>0.25</v>
      </c>
      <c r="E1049" s="20" t="n">
        <f aca="false">sh_nv_27</f>
        <v>0.27</v>
      </c>
      <c r="F1049" s="20" t="n">
        <f aca="false">sh_nv_28</f>
        <v>0.29</v>
      </c>
      <c r="G1049" s="20" t="n">
        <f aca="false">sh_nv_29</f>
        <v>0.3</v>
      </c>
    </row>
    <row r="1050" customFormat="false" ht="17.15" hidden="false" customHeight="false" outlineLevel="0" collapsed="false">
      <c r="A1050" s="3" t="s">
        <v>601</v>
      </c>
      <c r="B1050" s="0" t="s">
        <v>44</v>
      </c>
      <c r="D1050" s="20" t="n">
        <f aca="false">sh_ot_26_hi</f>
        <v>0.4</v>
      </c>
      <c r="E1050" s="20" t="n">
        <f aca="false">sh_ot_27_hi</f>
        <v>0.4</v>
      </c>
      <c r="F1050" s="20" t="n">
        <f aca="false">sh_ot_28_hi</f>
        <v>0.4</v>
      </c>
      <c r="G1050" s="20" t="n">
        <f aca="false">sh_ot_29_hi</f>
        <v>0.4</v>
      </c>
    </row>
    <row r="1051" customFormat="false" ht="17.15" hidden="false" customHeight="false" outlineLevel="0" collapsed="false">
      <c r="A1051" s="3" t="s">
        <v>602</v>
      </c>
      <c r="B1051" s="0" t="s">
        <v>552</v>
      </c>
      <c r="D1051" s="22" t="n">
        <f aca="false">(D1043*D1048*D1049+D1044*D1048*v_ot*D1050)*D1047</f>
        <v>932.716837872</v>
      </c>
      <c r="E1051" s="22" t="n">
        <f aca="false">(E1043*E1048*E1049+E1044*E1048*v_ot*E1050)*E1047</f>
        <v>1893.78142080196</v>
      </c>
      <c r="F1051" s="22" t="n">
        <f aca="false">(F1043*F1048*F1049+F1044*F1048*v_ot*F1050)*F1047</f>
        <v>2450.6836077521</v>
      </c>
      <c r="G1051" s="22" t="n">
        <f aca="false">(G1043*G1048*G1049+G1044*G1048*v_ot*G1050)*G1047</f>
        <v>3154.47530331836</v>
      </c>
    </row>
    <row r="1052" customFormat="false" ht="15" hidden="false" customHeight="false" outlineLevel="0" collapsed="false">
      <c r="A1052" s="3" t="s">
        <v>603</v>
      </c>
      <c r="B1052" s="0" t="s">
        <v>302</v>
      </c>
      <c r="D1052" s="21" t="n">
        <f aca="false">D1051*fx/1000</f>
        <v>30.31329723084</v>
      </c>
      <c r="E1052" s="21" t="n">
        <f aca="false">E1051*fx/1000</f>
        <v>61.5478961760636</v>
      </c>
      <c r="F1052" s="21" t="n">
        <f aca="false">F1051*fx/1000</f>
        <v>79.6472172519432</v>
      </c>
      <c r="G1052" s="21" t="n">
        <f aca="false">G1051*fx/1000</f>
        <v>102.520447357847</v>
      </c>
    </row>
    <row r="1053" customFormat="false" ht="17.15" hidden="false" customHeight="false" outlineLevel="0" collapsed="false">
      <c r="A1053" s="5" t="s">
        <v>604</v>
      </c>
    </row>
    <row r="1054" customFormat="false" ht="17.15" hidden="false" customHeight="false" outlineLevel="0" collapsed="false">
      <c r="A1054" s="0" t="s">
        <v>605</v>
      </c>
      <c r="B1054" s="0" t="s">
        <v>302</v>
      </c>
      <c r="D1054" s="21" t="n">
        <f aca="false">a26_abf*ai_abf</f>
        <v>74.83672875</v>
      </c>
      <c r="K1054" s="3" t="s">
        <v>606</v>
      </c>
    </row>
    <row r="1055" customFormat="false" ht="17.15" hidden="false" customHeight="false" outlineLevel="0" collapsed="false">
      <c r="A1055" s="3" t="s">
        <v>607</v>
      </c>
      <c r="B1055" s="0" t="s">
        <v>302</v>
      </c>
      <c r="D1055" s="21" t="n">
        <f aca="false">D1054-D1052</f>
        <v>44.52343151916</v>
      </c>
      <c r="E1055" s="21" t="n">
        <f aca="false">$D1055*(itc_27/itc_26)^el_o*1*1*E1046*E1047</f>
        <v>66.1478254817442</v>
      </c>
      <c r="F1055" s="21" t="n">
        <f aca="false">$D1055*(itc_28/itc_26)^el_o*um28_A*1*F1046*F1047</f>
        <v>70.7510945292709</v>
      </c>
      <c r="G1055" s="21" t="n">
        <f aca="false">$D1055*(itc_29/itc_26)^el_o*um29_A*1*G1046*G1047</f>
        <v>71.5391981301179</v>
      </c>
      <c r="K1055" s="7" t="s">
        <v>608</v>
      </c>
    </row>
    <row r="1056" customFormat="false" ht="17.15" hidden="false" customHeight="false" outlineLevel="0" collapsed="false">
      <c r="A1056" s="3" t="s">
        <v>609</v>
      </c>
      <c r="B1056" s="0" t="s">
        <v>302</v>
      </c>
      <c r="D1056" s="21" t="n">
        <f aca="false">a26_abf-D1054</f>
        <v>24.94557625</v>
      </c>
      <c r="E1056" s="21" t="n">
        <f aca="false">D1056*(1+g_nai)</f>
        <v>25.6939435375</v>
      </c>
      <c r="F1056" s="21" t="n">
        <f aca="false">E1056*(1+g_nai)</f>
        <v>26.464761843625</v>
      </c>
      <c r="G1056" s="21" t="n">
        <f aca="false">F1056*(1+g_nai)</f>
        <v>27.2587046989338</v>
      </c>
    </row>
    <row r="1057" customFormat="false" ht="17.15" hidden="false" customHeight="false" outlineLevel="0" collapsed="false">
      <c r="A1057" s="0" t="s">
        <v>610</v>
      </c>
      <c r="B1057" s="0" t="s">
        <v>302</v>
      </c>
      <c r="D1057" s="21" t="n">
        <f aca="false">D1052+D1055+D1056</f>
        <v>99.782305</v>
      </c>
      <c r="E1057" s="21" t="n">
        <f aca="false">E1052+E1055+E1056</f>
        <v>153.389665195308</v>
      </c>
      <c r="F1057" s="21" t="n">
        <f aca="false">F1052+F1055+F1056</f>
        <v>176.863073624839</v>
      </c>
      <c r="G1057" s="21" t="n">
        <f aca="false">G1052+G1055+G1056</f>
        <v>201.318350186898</v>
      </c>
    </row>
    <row r="1058" customFormat="false" ht="17.15" hidden="false" customHeight="false" outlineLevel="0" collapsed="false">
      <c r="A1058" s="0" t="s">
        <v>611</v>
      </c>
      <c r="B1058" s="0" t="s">
        <v>302</v>
      </c>
      <c r="D1058" s="21" t="n">
        <f aca="false">a26_abf</f>
        <v>99.782305</v>
      </c>
      <c r="E1058" s="21" t="n">
        <f aca="false">$D1057*cap_27*(1+g_mix)^1*E1046*E1047</f>
        <v>148.513488204375</v>
      </c>
      <c r="F1058" s="21" t="n">
        <f aca="false">$D1057*cap_28*(1+g_mix)^2*F1046*F1047</f>
        <v>186.549442683384</v>
      </c>
      <c r="G1058" s="21" t="n">
        <f aca="false">$D1057*cap_29*(1+g_mix)^3*G1046*G1047</f>
        <v>218.314827660431</v>
      </c>
      <c r="K1058" s="7" t="s">
        <v>612</v>
      </c>
    </row>
    <row r="1059" customFormat="false" ht="17.15" hidden="false" customHeight="false" outlineLevel="0" collapsed="false">
      <c r="A1059" s="0" t="s">
        <v>613</v>
      </c>
      <c r="B1059" s="0" t="s">
        <v>302</v>
      </c>
      <c r="D1059" s="21" t="n">
        <f aca="false">a26_abf</f>
        <v>99.782305</v>
      </c>
      <c r="E1059" s="21" t="n">
        <f aca="false">MIN(E1057,E1058)</f>
        <v>148.513488204375</v>
      </c>
      <c r="F1059" s="21" t="n">
        <f aca="false">MIN(F1057,F1058)</f>
        <v>176.863073624839</v>
      </c>
      <c r="G1059" s="21" t="n">
        <f aca="false">MIN(G1057,G1058)</f>
        <v>201.318350186898</v>
      </c>
    </row>
    <row r="1060" customFormat="false" ht="17.15" hidden="false" customHeight="false" outlineLevel="0" collapsed="false">
      <c r="A1060" s="3" t="s">
        <v>614</v>
      </c>
      <c r="B1060" s="0" t="s">
        <v>44</v>
      </c>
      <c r="D1060" s="20" t="n">
        <f aca="false">D1059/D1057</f>
        <v>1</v>
      </c>
      <c r="E1060" s="20" t="n">
        <f aca="false">E1059/E1057</f>
        <v>0.9682105245831</v>
      </c>
      <c r="F1060" s="20" t="n">
        <f aca="false">F1059/F1057</f>
        <v>1</v>
      </c>
      <c r="G1060" s="20" t="n">
        <f aca="false">G1059/G1057</f>
        <v>1</v>
      </c>
    </row>
    <row r="1061" customFormat="false" ht="17.15" hidden="false" customHeight="false" outlineLevel="0" collapsed="false">
      <c r="A1061" s="0" t="s">
        <v>615</v>
      </c>
      <c r="B1061" s="0" t="s">
        <v>302</v>
      </c>
      <c r="D1061" s="21" t="n">
        <f aca="false">(D1052+D1055)*D1060</f>
        <v>74.83672875</v>
      </c>
      <c r="E1061" s="21" t="n">
        <f aca="false">(E1052+E1055)*E1060</f>
        <v>123.636341653324</v>
      </c>
      <c r="F1061" s="21" t="n">
        <f aca="false">(F1052+F1055)*F1060</f>
        <v>150.398311781214</v>
      </c>
      <c r="G1061" s="21" t="n">
        <f aca="false">(G1052+G1055)*G1060</f>
        <v>174.059645487964</v>
      </c>
    </row>
    <row r="1062" customFormat="false" ht="17.15" hidden="false" customHeight="false" outlineLevel="0" collapsed="false">
      <c r="A1062" s="3" t="s">
        <v>616</v>
      </c>
      <c r="B1062" s="0" t="s">
        <v>44</v>
      </c>
      <c r="D1062" s="20" t="n">
        <f aca="false">D1052/(D1052+D1055)</f>
        <v>0.405059089796733</v>
      </c>
      <c r="E1062" s="20" t="n">
        <f aca="false">E1052/(E1052+E1055)</f>
        <v>0.481988710169918</v>
      </c>
      <c r="F1062" s="20" t="n">
        <f aca="false">F1052/(F1052+F1055)</f>
        <v>0.529575208050252</v>
      </c>
      <c r="G1062" s="20" t="n">
        <f aca="false">G1052/(G1052+G1055)</f>
        <v>0.588996071263028</v>
      </c>
    </row>
    <row r="1063" customFormat="false" ht="17.15" hidden="false" customHeight="false" outlineLevel="0" collapsed="false">
      <c r="A1063" s="5" t="s">
        <v>617</v>
      </c>
    </row>
    <row r="1064" customFormat="false" ht="17.15" hidden="false" customHeight="false" outlineLevel="0" collapsed="false">
      <c r="A1064" s="0" t="s">
        <v>519</v>
      </c>
      <c r="B1064" s="0" t="s">
        <v>302</v>
      </c>
      <c r="D1064" s="21" t="n">
        <f aca="false">a26_bt</f>
        <v>16.944165</v>
      </c>
      <c r="E1064" s="21" t="n">
        <f aca="false">D1064*(1+g_bt)</f>
        <v>17.79137325</v>
      </c>
      <c r="F1064" s="21" t="n">
        <f aca="false">E1064*(1+g_bt)</f>
        <v>18.6809419125</v>
      </c>
      <c r="G1064" s="21" t="n">
        <f aca="false">F1064*(1+g_bt)</f>
        <v>19.614989008125</v>
      </c>
    </row>
    <row r="1065" customFormat="false" ht="17.15" hidden="false" customHeight="false" outlineLevel="0" collapsed="false">
      <c r="A1065" s="0" t="s">
        <v>618</v>
      </c>
      <c r="B1065" s="0" t="s">
        <v>302</v>
      </c>
      <c r="D1065" s="21" t="n">
        <f aca="false">a26_pcb*ai_pcb</f>
        <v>37.93610275</v>
      </c>
      <c r="E1065" s="21" t="n">
        <f aca="false">D1065*(1+g_pai_27)</f>
        <v>45.5233233</v>
      </c>
      <c r="F1065" s="21" t="n">
        <f aca="false">D1065*(1+g_pai_27)*(1+g_pai_28)*um28_A</f>
        <v>52.351821795</v>
      </c>
      <c r="G1065" s="21" t="n">
        <f aca="false">D1065*(1+g_pai_27)*(1+g_pai_28)*(1+g_pai_29)*um29_A</f>
        <v>57.5870039745</v>
      </c>
      <c r="K1065" s="3" t="s">
        <v>619</v>
      </c>
    </row>
    <row r="1066" customFormat="false" ht="17.15" hidden="false" customHeight="false" outlineLevel="0" collapsed="false">
      <c r="A1066" s="3" t="s">
        <v>620</v>
      </c>
      <c r="B1066" s="0" t="s">
        <v>302</v>
      </c>
      <c r="D1066" s="21" t="n">
        <f aca="false">a26_pcb*(1-ai_pcb)</f>
        <v>20.42713225</v>
      </c>
      <c r="E1066" s="21" t="n">
        <f aca="false">D1066*(1+g_pcbn)</f>
        <v>20.835674895</v>
      </c>
      <c r="F1066" s="21" t="n">
        <f aca="false">E1066*(1+g_pcbn)</f>
        <v>21.2523883929</v>
      </c>
      <c r="G1066" s="21" t="n">
        <f aca="false">F1066*(1+g_pcbn)</f>
        <v>21.677436160758</v>
      </c>
    </row>
    <row r="1067" customFormat="false" ht="15" hidden="false" customHeight="false" outlineLevel="0" collapsed="false">
      <c r="A1067" s="3" t="s">
        <v>521</v>
      </c>
      <c r="B1067" s="0" t="s">
        <v>302</v>
      </c>
      <c r="D1067" s="21" t="n">
        <f aca="false">a26_fpc</f>
        <v>13.178795</v>
      </c>
      <c r="E1067" s="21" t="n">
        <f aca="false">D1067*(1+g_fpc)</f>
        <v>13.178795</v>
      </c>
      <c r="F1067" s="21" t="n">
        <f aca="false">E1067*(1+g_fpc)</f>
        <v>13.178795</v>
      </c>
      <c r="G1067" s="21" t="n">
        <f aca="false">F1067*(1+g_fpc)</f>
        <v>13.178795</v>
      </c>
    </row>
    <row r="1068" customFormat="false" ht="17.15" hidden="false" customHeight="false" outlineLevel="0" collapsed="false">
      <c r="A1068" s="3" t="s">
        <v>484</v>
      </c>
      <c r="B1068" s="0" t="s">
        <v>302</v>
      </c>
      <c r="C1068" s="23" t="n">
        <f aca="false">a25_rev</f>
        <v>131.241</v>
      </c>
      <c r="D1068" s="23" t="n">
        <f aca="false">D1059+D1064+D1065+D1066+D1067</f>
        <v>188.2685</v>
      </c>
      <c r="E1068" s="23" t="n">
        <f aca="false">E1059+E1064+E1065+E1066+E1067</f>
        <v>245.842654649375</v>
      </c>
      <c r="F1068" s="23" t="n">
        <f aca="false">F1059+F1064+F1065+F1066+F1067</f>
        <v>282.327020725239</v>
      </c>
      <c r="G1068" s="23" t="n">
        <f aca="false">G1059+G1064+G1065+G1066+G1067</f>
        <v>313.376574330281</v>
      </c>
      <c r="H1068" s="25" t="n">
        <f aca="false">G1068*(1+H1069)</f>
        <v>342.620304879089</v>
      </c>
      <c r="I1068" s="25" t="n">
        <f aca="false">H1068*(1+I1069)</f>
        <v>368.885265107778</v>
      </c>
      <c r="J1068" s="25" t="n">
        <f aca="false">I1068*(1+J1069)</f>
        <v>391.018381014244</v>
      </c>
      <c r="K1068" s="7" t="s">
        <v>621</v>
      </c>
    </row>
    <row r="1069" customFormat="false" ht="15" hidden="false" customHeight="false" outlineLevel="0" collapsed="false">
      <c r="A1069" s="3" t="s">
        <v>622</v>
      </c>
      <c r="B1069" s="0" t="s">
        <v>44</v>
      </c>
      <c r="D1069" s="20" t="n">
        <f aca="false">D1068/C1068-1</f>
        <v>0.434525034097576</v>
      </c>
      <c r="E1069" s="20" t="n">
        <f aca="false">E1068/D1068-1</f>
        <v>0.30580875</v>
      </c>
      <c r="F1069" s="20" t="n">
        <f aca="false">F1068/E1068-1</f>
        <v>0.148405353529471</v>
      </c>
      <c r="G1069" s="20" t="n">
        <f aca="false">G1068/F1068-1</f>
        <v>0.10997726510655</v>
      </c>
      <c r="H1069" s="26" t="n">
        <f aca="false">$G1069+(fade_gA-$G1069)*1/3</f>
        <v>0.0933181767377</v>
      </c>
      <c r="I1069" s="26" t="n">
        <f aca="false">$G1069+(fade_gA-$G1069)*2/3</f>
        <v>0.07665908836885</v>
      </c>
      <c r="J1069" s="26" t="n">
        <f aca="false">$G1069+(fade_gA-$G1069)*3/3</f>
        <v>0.06</v>
      </c>
    </row>
    <row r="1070" customFormat="false" ht="17.15" hidden="false" customHeight="false" outlineLevel="0" collapsed="false">
      <c r="A1070" s="0" t="s">
        <v>623</v>
      </c>
      <c r="B1070" s="0" t="s">
        <v>44</v>
      </c>
      <c r="D1070" s="20" t="n">
        <f aca="false">D1059/D1068</f>
        <v>0.53</v>
      </c>
      <c r="E1070" s="20" t="n">
        <f aca="false">E1059/E1068</f>
        <v>0.604099758100105</v>
      </c>
      <c r="F1070" s="20" t="n">
        <f aca="false">F1059/F1068</f>
        <v>0.626447561308566</v>
      </c>
      <c r="G1070" s="20" t="n">
        <f aca="false">G1059/G1068</f>
        <v>0.642416717385901</v>
      </c>
    </row>
    <row r="1071" customFormat="false" ht="17.15" hidden="false" customHeight="false" outlineLevel="0" collapsed="false">
      <c r="A1071" s="0" t="s">
        <v>624</v>
      </c>
      <c r="B1071" s="0" t="s">
        <v>44</v>
      </c>
      <c r="D1071" s="20" t="n">
        <f aca="false">(D1061+D1065)/D1068</f>
        <v>0.599</v>
      </c>
      <c r="E1071" s="20" t="n">
        <f aca="false">(E1061+E1065)/E1068</f>
        <v>0.688081021556581</v>
      </c>
      <c r="F1071" s="20" t="n">
        <f aca="false">(F1061+F1065)/F1068</f>
        <v>0.718139316085975</v>
      </c>
      <c r="G1071" s="20" t="n">
        <f aca="false">(G1061+G1065)/G1068</f>
        <v>0.739195806060226</v>
      </c>
      <c r="K1071" s="3" t="s">
        <v>625</v>
      </c>
    </row>
    <row r="1072" customFormat="false" ht="17.15" hidden="false" customHeight="false" outlineLevel="0" collapsed="false">
      <c r="A1072" s="5" t="s">
        <v>626</v>
      </c>
    </row>
    <row r="1073" customFormat="false" ht="15" hidden="false" customHeight="false" outlineLevel="0" collapsed="false">
      <c r="A1073" s="3" t="s">
        <v>627</v>
      </c>
      <c r="B1073" s="0" t="s">
        <v>302</v>
      </c>
      <c r="C1073" s="23" t="n">
        <f aca="false">a25_cx</f>
        <v>25.617</v>
      </c>
      <c r="D1073" s="23" t="n">
        <f aca="false">capex26</f>
        <v>53.7</v>
      </c>
      <c r="E1073" s="23" t="n">
        <f aca="false">cx27_A</f>
        <v>55</v>
      </c>
      <c r="F1073" s="23" t="n">
        <f aca="false">cx28_A</f>
        <v>50</v>
      </c>
      <c r="G1073" s="23" t="n">
        <f aca="false">cx29_A</f>
        <v>45</v>
      </c>
      <c r="H1073" s="25" t="n">
        <f aca="false">H1068*H1090</f>
        <v>46.1608041617379</v>
      </c>
      <c r="I1073" s="25" t="n">
        <f aca="false">I1068*I1090</f>
        <v>46.4280058384419</v>
      </c>
      <c r="J1073" s="25" t="n">
        <f aca="false">J1068*J1090</f>
        <v>45.745956090718</v>
      </c>
    </row>
    <row r="1074" customFormat="false" ht="17.15" hidden="false" customHeight="false" outlineLevel="0" collapsed="false">
      <c r="A1074" s="3" t="s">
        <v>628</v>
      </c>
      <c r="B1074" s="0" t="s">
        <v>302</v>
      </c>
      <c r="C1074" s="23" t="n">
        <f aca="false">a25_da</f>
        <v>18.8</v>
      </c>
      <c r="D1074" s="23" t="n">
        <f aca="false">da26</f>
        <v>20.8</v>
      </c>
      <c r="E1074" s="23" t="n">
        <f aca="false">D1074*(1-1/life)+D1073/life</f>
        <v>24.9125</v>
      </c>
      <c r="F1074" s="23" t="n">
        <f aca="false">E1074*(1-1/life)+E1073/life</f>
        <v>28.6734375</v>
      </c>
      <c r="G1074" s="23" t="n">
        <f aca="false">F1074*(1-1/life)+F1073/life</f>
        <v>31.3392578125</v>
      </c>
      <c r="H1074" s="25" t="n">
        <f aca="false">H1068*H1075</f>
        <v>34.2637802118752</v>
      </c>
      <c r="I1074" s="25" t="n">
        <f aca="false">I1068*I1075</f>
        <v>36.8904103669882</v>
      </c>
      <c r="J1074" s="25" t="n">
        <f aca="false">J1068*J1075</f>
        <v>39.1038349890075</v>
      </c>
      <c r="K1074" s="3" t="s">
        <v>629</v>
      </c>
    </row>
    <row r="1075" customFormat="false" ht="17.15" hidden="false" customHeight="false" outlineLevel="0" collapsed="false">
      <c r="A1075" s="3" t="s">
        <v>630</v>
      </c>
      <c r="B1075" s="0" t="s">
        <v>44</v>
      </c>
      <c r="C1075" s="20" t="n">
        <f aca="false">C1074/C1068</f>
        <v>0.143247917952469</v>
      </c>
      <c r="D1075" s="20" t="n">
        <f aca="false">D1074/D1068</f>
        <v>0.110480510547436</v>
      </c>
      <c r="E1075" s="20" t="n">
        <f aca="false">E1074/E1068</f>
        <v>0.101335140704247</v>
      </c>
      <c r="F1075" s="20" t="n">
        <f aca="false">F1074/F1068</f>
        <v>0.101561081282068</v>
      </c>
      <c r="G1075" s="20" t="n">
        <f aca="false">G1074/G1068</f>
        <v>0.100005106889292</v>
      </c>
      <c r="H1075" s="26" t="n">
        <f aca="false">$G1075</f>
        <v>0.100005106889292</v>
      </c>
      <c r="I1075" s="26" t="n">
        <f aca="false">$G1075</f>
        <v>0.100005106889292</v>
      </c>
      <c r="J1075" s="26" t="n">
        <f aca="false">$G1075</f>
        <v>0.100005106889292</v>
      </c>
    </row>
    <row r="1076" customFormat="false" ht="17.15" hidden="false" customHeight="false" outlineLevel="0" collapsed="false">
      <c r="A1076" s="3" t="s">
        <v>631</v>
      </c>
      <c r="B1076" s="0" t="s">
        <v>302</v>
      </c>
      <c r="E1076" s="21" t="n">
        <f aca="false">E1061*(1-1/(E1046*E1047))</f>
        <v>5.88744484063446</v>
      </c>
      <c r="F1076" s="21" t="n">
        <f aca="false">F1061*(1-1/(F1046*F1047))</f>
        <v>-0.376938124764973</v>
      </c>
      <c r="G1076" s="21" t="n">
        <f aca="false">G1061*(1-1/(G1046*G1047))</f>
        <v>-10.1304555575006</v>
      </c>
      <c r="K1076" s="7" t="s">
        <v>632</v>
      </c>
    </row>
    <row r="1077" customFormat="false" ht="17.15" hidden="false" customHeight="false" outlineLevel="0" collapsed="false">
      <c r="A1077" s="3" t="s">
        <v>633</v>
      </c>
      <c r="B1077" s="0" t="s">
        <v>302</v>
      </c>
      <c r="C1077" s="21" t="n">
        <f aca="false">a25_gp</f>
        <v>18.292</v>
      </c>
      <c r="D1077" s="21" t="n">
        <f aca="false">a26_gp</f>
        <v>47.3329657</v>
      </c>
      <c r="E1077" s="21" t="n">
        <f aca="false">$D1077+ft_abf*(E1059-E1076-$D1059)+ft_oth*((E1068-E1059)-($D1068-$D1059))+E1076-(E1074-$D1074)</f>
        <v>72.7405225837547</v>
      </c>
      <c r="F1077" s="21" t="n">
        <f aca="false">$D1077+ft_abf*(F1059-F1076-$D1059)+ft_oth*((F1068-F1059)-($D1068-$D1059))+F1076-(F1074-$D1074)</f>
        <v>82.0558814751371</v>
      </c>
      <c r="G1077" s="21" t="n">
        <f aca="false">$D1077+ft_abf*(G1059-G1076-$D1059)+ft_oth*((G1068-G1059)-($D1068-$D1059))+G1076-(G1074-$D1074)</f>
        <v>88.3895099880446</v>
      </c>
      <c r="K1077" s="3" t="s">
        <v>634</v>
      </c>
    </row>
    <row r="1078" customFormat="false" ht="15" hidden="false" customHeight="false" outlineLevel="0" collapsed="false">
      <c r="A1078" s="3" t="s">
        <v>491</v>
      </c>
      <c r="B1078" s="0" t="s">
        <v>44</v>
      </c>
      <c r="C1078" s="16" t="n">
        <f aca="false">C1077/C1068</f>
        <v>0.139377176339711</v>
      </c>
      <c r="D1078" s="16" t="n">
        <f aca="false">D1077/D1068</f>
        <v>0.251412029627899</v>
      </c>
      <c r="E1078" s="16" t="n">
        <f aca="false">E1077/E1068</f>
        <v>0.295882432149533</v>
      </c>
      <c r="F1078" s="16" t="n">
        <f aca="false">F1077/F1068</f>
        <v>0.290641261556732</v>
      </c>
      <c r="G1078" s="16" t="n">
        <f aca="false">G1077/G1068</f>
        <v>0.282055256290111</v>
      </c>
    </row>
    <row r="1079" customFormat="false" ht="15" hidden="false" customHeight="false" outlineLevel="0" collapsed="false">
      <c r="A1079" s="3" t="s">
        <v>493</v>
      </c>
      <c r="B1079" s="0" t="s">
        <v>302</v>
      </c>
      <c r="C1079" s="21" t="n">
        <f aca="false">a25_opx</f>
        <v>11.618</v>
      </c>
      <c r="D1079" s="21" t="n">
        <f aca="false">a26_opx</f>
        <v>16.6539532</v>
      </c>
      <c r="E1079" s="21" t="n">
        <f aca="false">D1079*(1+phi*E1069)</f>
        <v>19.7097079663903</v>
      </c>
      <c r="F1079" s="21" t="n">
        <f aca="false">E1079*(1+phi*F1069)</f>
        <v>21.4647236736192</v>
      </c>
      <c r="G1079" s="21" t="n">
        <f aca="false">F1079*(1+phi*G1069)</f>
        <v>22.8811026371546</v>
      </c>
    </row>
    <row r="1080" customFormat="false" ht="15" hidden="false" customHeight="false" outlineLevel="0" collapsed="false">
      <c r="A1080" s="3" t="s">
        <v>496</v>
      </c>
      <c r="B1080" s="0" t="s">
        <v>302</v>
      </c>
      <c r="C1080" s="21" t="n">
        <f aca="false">C1077-C1079</f>
        <v>6.674</v>
      </c>
      <c r="D1080" s="21" t="n">
        <f aca="false">D1077-D1079</f>
        <v>30.6790125</v>
      </c>
      <c r="E1080" s="21" t="n">
        <f aca="false">E1077-E1079</f>
        <v>53.0308146173644</v>
      </c>
      <c r="F1080" s="21" t="n">
        <f aca="false">F1077-F1079</f>
        <v>60.5911578015179</v>
      </c>
      <c r="G1080" s="21" t="n">
        <f aca="false">G1077-G1079</f>
        <v>65.5084073508899</v>
      </c>
    </row>
    <row r="1081" customFormat="false" ht="15" hidden="false" customHeight="false" outlineLevel="0" collapsed="false">
      <c r="A1081" s="3" t="s">
        <v>575</v>
      </c>
      <c r="B1081" s="0" t="s">
        <v>44</v>
      </c>
      <c r="C1081" s="16" t="n">
        <f aca="false">C1080/C1068</f>
        <v>0.0508530108731265</v>
      </c>
      <c r="D1081" s="16" t="n">
        <f aca="false">D1080/D1068</f>
        <v>0.162953507888999</v>
      </c>
      <c r="E1081" s="16" t="n">
        <f aca="false">E1080/E1068</f>
        <v>0.215710388797249</v>
      </c>
      <c r="F1081" s="16" t="n">
        <f aca="false">F1080/F1068</f>
        <v>0.214613385732162</v>
      </c>
      <c r="G1081" s="16" t="n">
        <f aca="false">G1080/G1068</f>
        <v>0.209040536903208</v>
      </c>
    </row>
    <row r="1082" customFormat="false" ht="17.15" hidden="false" customHeight="false" outlineLevel="0" collapsed="false">
      <c r="A1082" s="3" t="s">
        <v>635</v>
      </c>
      <c r="B1082" s="0" t="s">
        <v>302</v>
      </c>
      <c r="C1082" s="21" t="n">
        <f aca="false">a25_nonop</f>
        <v>-0.00100000000000033</v>
      </c>
      <c r="D1082" s="21" t="n">
        <f aca="false">a26_nonop</f>
        <v>14.466</v>
      </c>
      <c r="E1082" s="21" t="n">
        <f aca="false">nonop27</f>
        <v>2</v>
      </c>
      <c r="F1082" s="21" t="n">
        <f aca="false">nonop28</f>
        <v>2</v>
      </c>
      <c r="G1082" s="21" t="n">
        <f aca="false">nonop29</f>
        <v>2</v>
      </c>
      <c r="K1082" s="7" t="s">
        <v>636</v>
      </c>
    </row>
    <row r="1083" customFormat="false" ht="15" hidden="false" customHeight="false" outlineLevel="0" collapsed="false">
      <c r="A1083" s="3" t="s">
        <v>502</v>
      </c>
      <c r="B1083" s="0" t="s">
        <v>302</v>
      </c>
      <c r="C1083" s="21" t="n">
        <f aca="false">C1080+C1082</f>
        <v>6.673</v>
      </c>
      <c r="D1083" s="21" t="n">
        <f aca="false">D1080+D1082</f>
        <v>45.1450125</v>
      </c>
      <c r="E1083" s="21" t="n">
        <f aca="false">E1080+E1082</f>
        <v>55.0308146173644</v>
      </c>
      <c r="F1083" s="21" t="n">
        <f aca="false">F1080+F1082</f>
        <v>62.5911578015179</v>
      </c>
      <c r="G1083" s="21" t="n">
        <f aca="false">G1080+G1082</f>
        <v>67.5084073508899</v>
      </c>
    </row>
    <row r="1084" customFormat="false" ht="15" hidden="false" customHeight="false" outlineLevel="0" collapsed="false">
      <c r="A1084" s="3" t="s">
        <v>506</v>
      </c>
      <c r="B1084" s="0" t="s">
        <v>302</v>
      </c>
      <c r="E1084" s="21" t="n">
        <f aca="false">E1083*tax</f>
        <v>9.9055466311256</v>
      </c>
      <c r="F1084" s="21" t="n">
        <f aca="false">F1083*tax</f>
        <v>11.2664084042732</v>
      </c>
      <c r="G1084" s="21" t="n">
        <f aca="false">G1083*tax</f>
        <v>12.1515133231602</v>
      </c>
    </row>
    <row r="1085" customFormat="false" ht="15" hidden="false" customHeight="false" outlineLevel="0" collapsed="false">
      <c r="A1085" s="3" t="s">
        <v>504</v>
      </c>
      <c r="B1085" s="0" t="s">
        <v>302</v>
      </c>
      <c r="C1085" s="21" t="n">
        <f aca="false">a25_ni</f>
        <v>6.673</v>
      </c>
      <c r="D1085" s="21" t="n">
        <f aca="false">a26_ni</f>
        <v>37.23923025</v>
      </c>
      <c r="E1085" s="21" t="n">
        <f aca="false">E1083-E1084</f>
        <v>45.1252679862388</v>
      </c>
      <c r="F1085" s="21" t="n">
        <f aca="false">F1083-F1084</f>
        <v>51.3247493972447</v>
      </c>
      <c r="G1085" s="21" t="n">
        <f aca="false">G1083-G1084</f>
        <v>55.3568940277297</v>
      </c>
      <c r="H1085" s="30" t="n">
        <f aca="false">H1068*H1089</f>
        <v>60.2010367102008</v>
      </c>
      <c r="I1085" s="30" t="n">
        <f aca="false">I1068*I1089</f>
        <v>64.4696732696031</v>
      </c>
      <c r="J1085" s="30" t="n">
        <f aca="false">J1068*J1089</f>
        <v>67.9707544300981</v>
      </c>
    </row>
    <row r="1086" customFormat="false" ht="15" hidden="false" customHeight="false" outlineLevel="0" collapsed="false">
      <c r="A1086" s="3" t="s">
        <v>637</v>
      </c>
      <c r="B1086" s="3" t="s">
        <v>380</v>
      </c>
      <c r="C1086" s="29" t="n">
        <f aca="false">a25_sh</f>
        <v>1.52351598173516</v>
      </c>
      <c r="D1086" s="29" t="n">
        <f aca="false">a26_sh</f>
        <v>1.59236316568047</v>
      </c>
      <c r="E1086" s="29" t="n">
        <f aca="false">a26_shend*(1+sh_g)</f>
        <v>1.64</v>
      </c>
      <c r="F1086" s="29" t="n">
        <f aca="false">E1086*(1+sh_g)</f>
        <v>1.64</v>
      </c>
      <c r="G1086" s="29" t="n">
        <f aca="false">F1086*(1+sh_g)</f>
        <v>1.64</v>
      </c>
      <c r="H1086" s="31" t="n">
        <f aca="false">G1086*(1+sh_g)</f>
        <v>1.64</v>
      </c>
      <c r="I1086" s="31" t="n">
        <f aca="false">H1086*(1+sh_g)</f>
        <v>1.64</v>
      </c>
      <c r="J1086" s="31" t="n">
        <f aca="false">I1086*(1+sh_g)</f>
        <v>1.64</v>
      </c>
    </row>
    <row r="1087" customFormat="false" ht="17.15" hidden="false" customHeight="false" outlineLevel="0" collapsed="false">
      <c r="A1087" s="0" t="s">
        <v>509</v>
      </c>
      <c r="B1087" s="0" t="s">
        <v>386</v>
      </c>
      <c r="C1087" s="18" t="n">
        <f aca="false">C1085/C1086</f>
        <v>4.38</v>
      </c>
      <c r="D1087" s="18" t="n">
        <f aca="false">D1085/D1086</f>
        <v>23.3861414610695</v>
      </c>
      <c r="E1087" s="18" t="n">
        <f aca="false">E1085/E1086</f>
        <v>27.5154073086822</v>
      </c>
      <c r="F1087" s="18" t="n">
        <f aca="false">F1085/F1086</f>
        <v>31.2955789007589</v>
      </c>
      <c r="G1087" s="18" t="n">
        <f aca="false">G1085/G1086</f>
        <v>33.754203675445</v>
      </c>
      <c r="H1087" s="28" t="n">
        <f aca="false">H1085/H1086</f>
        <v>36.7079492135371</v>
      </c>
      <c r="I1087" s="28" t="n">
        <f aca="false">I1085/I1086</f>
        <v>39.3107763839043</v>
      </c>
      <c r="J1087" s="28" t="n">
        <f aca="false">J1085/J1086</f>
        <v>41.445581969572</v>
      </c>
    </row>
    <row r="1088" customFormat="false" ht="17.15" hidden="false" customHeight="false" outlineLevel="0" collapsed="false">
      <c r="A1088" s="0" t="s">
        <v>638</v>
      </c>
      <c r="B1088" s="0" t="s">
        <v>44</v>
      </c>
      <c r="D1088" s="20" t="n">
        <f aca="false">D1087/C1087-1</f>
        <v>4.33930170344053</v>
      </c>
      <c r="E1088" s="20" t="n">
        <f aca="false">E1087/D1087-1</f>
        <v>0.176568924569563</v>
      </c>
      <c r="F1088" s="20" t="n">
        <f aca="false">F1087/E1087-1</f>
        <v>0.137383813718212</v>
      </c>
      <c r="G1088" s="20" t="n">
        <f aca="false">G1087/F1087-1</f>
        <v>0.0785614090246591</v>
      </c>
      <c r="H1088" s="26" t="n">
        <f aca="false">H1087/G1087-1</f>
        <v>0.0875074869634944</v>
      </c>
      <c r="I1088" s="26" t="n">
        <f aca="false">I1087/H1087-1</f>
        <v>0.0709063629576823</v>
      </c>
      <c r="J1088" s="26" t="n">
        <f aca="false">J1087/I1087-1</f>
        <v>0.0543058617011138</v>
      </c>
    </row>
    <row r="1089" customFormat="false" ht="17.15" hidden="false" customHeight="false" outlineLevel="0" collapsed="false">
      <c r="A1089" s="3" t="s">
        <v>639</v>
      </c>
      <c r="B1089" s="0" t="s">
        <v>44</v>
      </c>
      <c r="C1089" s="16" t="n">
        <f aca="false">C1085/C1068</f>
        <v>0.0508453913030227</v>
      </c>
      <c r="D1089" s="16" t="n">
        <f aca="false">D1085/D1068</f>
        <v>0.197798517808343</v>
      </c>
      <c r="E1089" s="16" t="n">
        <f aca="false">E1085/E1068</f>
        <v>0.183553452311184</v>
      </c>
      <c r="F1089" s="16" t="n">
        <f aca="false">F1085/F1068</f>
        <v>0.181791842896943</v>
      </c>
      <c r="G1089" s="16" t="n">
        <f aca="false">G1085/G1068</f>
        <v>0.176646560598964</v>
      </c>
      <c r="H1089" s="27" t="n">
        <f aca="false">$G1089+(fade_mA-$G1089)*1/3</f>
        <v>0.175707732008019</v>
      </c>
      <c r="I1089" s="27" t="n">
        <f aca="false">$G1089+(fade_mA-$G1089)*2/3</f>
        <v>0.174768903417074</v>
      </c>
      <c r="J1089" s="27" t="n">
        <f aca="false">$G1089+(fade_mA-$G1089)*3/3</f>
        <v>0.17383007482613</v>
      </c>
    </row>
    <row r="1090" customFormat="false" ht="17.15" hidden="false" customHeight="false" outlineLevel="0" collapsed="false">
      <c r="A1090" s="3" t="s">
        <v>640</v>
      </c>
      <c r="B1090" s="0" t="s">
        <v>44</v>
      </c>
      <c r="C1090" s="20" t="n">
        <f aca="false">C1073/C1068</f>
        <v>0.195190527350447</v>
      </c>
      <c r="D1090" s="20" t="n">
        <f aca="false">D1073/D1068</f>
        <v>0.285230933480641</v>
      </c>
      <c r="E1090" s="20" t="n">
        <f aca="false">E1073/E1068</f>
        <v>0.223720330706817</v>
      </c>
      <c r="F1090" s="20" t="n">
        <f aca="false">F1073/F1068</f>
        <v>0.177099591358845</v>
      </c>
      <c r="G1090" s="20" t="n">
        <f aca="false">G1073/G1068</f>
        <v>0.143597204405498</v>
      </c>
      <c r="H1090" s="26" t="n">
        <f aca="false">$G1090+($G1075*(1+tp_g)^(life/2)-$G1090)*1/3</f>
        <v>0.13472874638305</v>
      </c>
      <c r="I1090" s="26" t="n">
        <f aca="false">$G1090+($G1075*(1+tp_g)^(life/2)-$G1090)*2/3</f>
        <v>0.125860288360602</v>
      </c>
      <c r="J1090" s="26" t="n">
        <f aca="false">$G1090+($G1075*(1+tp_g)^(life/2)-$G1090)*3/3</f>
        <v>0.116991830338154</v>
      </c>
      <c r="K1090" s="7" t="s">
        <v>641</v>
      </c>
    </row>
    <row r="1091" customFormat="false" ht="15" hidden="false" customHeight="false" outlineLevel="0" collapsed="false">
      <c r="A1091" s="3" t="s">
        <v>642</v>
      </c>
      <c r="B1091" s="0" t="s">
        <v>302</v>
      </c>
      <c r="E1091" s="21" t="n">
        <f aca="false">E1085+E1074-E1073</f>
        <v>15.0377679862388</v>
      </c>
      <c r="F1091" s="21" t="n">
        <f aca="false">F1085+F1074-F1073</f>
        <v>29.9981868972447</v>
      </c>
      <c r="G1091" s="21" t="n">
        <f aca="false">G1085+G1074-G1073</f>
        <v>41.6961518402297</v>
      </c>
      <c r="H1091" s="30" t="n">
        <f aca="false">H1085+H1074-H1073</f>
        <v>48.3040127603381</v>
      </c>
      <c r="I1091" s="30" t="n">
        <f aca="false">I1085+I1074-I1073</f>
        <v>54.9320777981494</v>
      </c>
      <c r="J1091" s="30" t="n">
        <f aca="false">J1085+J1074-J1073</f>
        <v>61.3286333283877</v>
      </c>
      <c r="K1091" s="3" t="s">
        <v>643</v>
      </c>
    </row>
    <row r="1092" customFormat="false" ht="15" hidden="false" customHeight="false" outlineLevel="0" collapsed="false">
      <c r="A1092" s="3" t="s">
        <v>644</v>
      </c>
      <c r="B1092" s="0" t="s">
        <v>386</v>
      </c>
      <c r="E1092" s="18" t="n">
        <f aca="false">E1091/E1086</f>
        <v>9.16937072331636</v>
      </c>
      <c r="F1092" s="18" t="n">
        <f aca="false">F1091/F1086</f>
        <v>18.2915773763687</v>
      </c>
      <c r="G1092" s="18" t="n">
        <f aca="false">G1091/G1086</f>
        <v>25.4244828294084</v>
      </c>
      <c r="H1092" s="28" t="n">
        <f aca="false">H1091/H1086</f>
        <v>29.4536663172793</v>
      </c>
      <c r="I1092" s="28" t="n">
        <f aca="false">I1091/I1086</f>
        <v>33.4951693891155</v>
      </c>
      <c r="J1092" s="28" t="n">
        <f aca="false">J1091/J1086</f>
        <v>37.3955081270657</v>
      </c>
    </row>
    <row r="1095" customFormat="false" ht="17.15" hidden="false" customHeight="false" outlineLevel="0" collapsed="false">
      <c r="A1095" s="1" t="s">
        <v>963</v>
      </c>
    </row>
    <row r="1096" customFormat="false" ht="17.15" hidden="false" customHeight="false" outlineLevel="0" collapsed="false">
      <c r="A1096" s="4" t="s">
        <v>21</v>
      </c>
      <c r="B1096" s="4" t="s">
        <v>22</v>
      </c>
      <c r="C1096" s="13" t="s">
        <v>477</v>
      </c>
      <c r="D1096" s="13" t="s">
        <v>562</v>
      </c>
      <c r="E1096" s="13" t="s">
        <v>563</v>
      </c>
      <c r="F1096" s="13" t="s">
        <v>564</v>
      </c>
      <c r="G1096" s="13" t="s">
        <v>565</v>
      </c>
      <c r="H1096" s="13" t="s">
        <v>566</v>
      </c>
      <c r="I1096" s="13" t="s">
        <v>567</v>
      </c>
      <c r="J1096" s="13" t="s">
        <v>568</v>
      </c>
      <c r="K1096" s="4" t="s">
        <v>533</v>
      </c>
    </row>
    <row r="1097" customFormat="false" ht="17.15" hidden="false" customHeight="false" outlineLevel="0" collapsed="false">
      <c r="A1097" s="5" t="s">
        <v>586</v>
      </c>
    </row>
    <row r="1098" customFormat="false" ht="17.15" hidden="false" customHeight="false" outlineLevel="0" collapsed="false">
      <c r="A1098" s="0" t="s">
        <v>587</v>
      </c>
      <c r="B1098" s="3" t="s">
        <v>32</v>
      </c>
      <c r="D1098" s="21" t="n">
        <f aca="false">(u_bw_26+u_rb_26+u_ru_26+u_hp_26)*1</f>
        <v>7.6</v>
      </c>
      <c r="E1098" s="21" t="n">
        <f aca="false">(u_bw_27+u_rb_27+u_ru_27+u_hp_27)*1*1</f>
        <v>9.7</v>
      </c>
      <c r="F1098" s="21" t="n">
        <f aca="false">(u_bw_28+u_rb_28+u_ru_28+u_hp_28)*um28_A*1</f>
        <v>9.5</v>
      </c>
      <c r="G1098" s="21" t="n">
        <f aca="false">(u_bw_28*(1+g29_bw)+u_rb_28*(1+g29_rb)+u_ru_28*(1+g29_ru)+u_hp_28*(1+g29_hp))*um29_A*1</f>
        <v>10.6</v>
      </c>
      <c r="K1098" s="7" t="s">
        <v>588</v>
      </c>
    </row>
    <row r="1099" customFormat="false" ht="17.15" hidden="false" customHeight="false" outlineLevel="0" collapsed="false">
      <c r="A1099" s="3" t="s">
        <v>589</v>
      </c>
      <c r="B1099" s="3" t="s">
        <v>32</v>
      </c>
      <c r="D1099" s="21" t="n">
        <f aca="false">(u_amd_26+u_tpu_26+u_trn_26+u_oth_26)*1</f>
        <v>7.6</v>
      </c>
      <c r="E1099" s="21" t="n">
        <f aca="false">(u_amd_27+u_tpu_27+u_trn_27+u_oth_27)*1*1</f>
        <v>14</v>
      </c>
      <c r="F1099" s="21" t="n">
        <f aca="false">(u_amd_28+u_tpu_28+u_trn_28+u_oth_28)*um28_A*1</f>
        <v>17</v>
      </c>
      <c r="G1099" s="21" t="n">
        <f aca="false">(u_amd_28*(1+g29_amd)+u_tpu_28*(1+g29_tpu)+u_trn_28*(1+g29_trn)+u_oth_28*(1+g29_oth))*um29_A*1</f>
        <v>19.55</v>
      </c>
      <c r="K1099" s="7" t="s">
        <v>590</v>
      </c>
    </row>
    <row r="1100" customFormat="false" ht="17.15" hidden="false" customHeight="false" outlineLevel="0" collapsed="false">
      <c r="A1100" s="3" t="s">
        <v>591</v>
      </c>
      <c r="B1100" s="0" t="s">
        <v>144</v>
      </c>
      <c r="D1100" s="19" t="n">
        <f aca="false">1</f>
        <v>1</v>
      </c>
      <c r="E1100" s="19" t="n">
        <f aca="false">D1100*(1+g_asp)</f>
        <v>1.18</v>
      </c>
      <c r="F1100" s="19" t="n">
        <f aca="false">E1100*(1+g_asp)</f>
        <v>1.3924</v>
      </c>
      <c r="G1100" s="19" t="n">
        <f aca="false">F1100*(1+g_asp)</f>
        <v>1.643032</v>
      </c>
      <c r="K1100" s="7" t="s">
        <v>592</v>
      </c>
    </row>
    <row r="1101" customFormat="false" ht="17.15" hidden="false" customHeight="false" outlineLevel="0" collapsed="false">
      <c r="A1101" s="0" t="s">
        <v>593</v>
      </c>
      <c r="B1101" s="0" t="s">
        <v>144</v>
      </c>
      <c r="D1101" s="18" t="n">
        <f aca="false">1</f>
        <v>1</v>
      </c>
      <c r="E1101" s="18" t="n">
        <f aca="false">ibpp_27</f>
        <v>1</v>
      </c>
      <c r="F1101" s="18" t="n">
        <f aca="false">ibpp_28</f>
        <v>0.95</v>
      </c>
      <c r="G1101" s="18" t="n">
        <f aca="false">ibpp_29</f>
        <v>0.9</v>
      </c>
      <c r="K1101" s="7" t="s">
        <v>594</v>
      </c>
    </row>
    <row r="1102" customFormat="false" ht="17.15" hidden="false" customHeight="false" outlineLevel="0" collapsed="false">
      <c r="A1102" s="3" t="s">
        <v>595</v>
      </c>
      <c r="B1102" s="0" t="s">
        <v>144</v>
      </c>
      <c r="D1102" s="18" t="n">
        <f aca="false">1</f>
        <v>1</v>
      </c>
      <c r="E1102" s="18" t="n">
        <f aca="false">1+carry</f>
        <v>1.05</v>
      </c>
      <c r="F1102" s="18" t="n">
        <f aca="false">1+carry</f>
        <v>1.05</v>
      </c>
      <c r="G1102" s="18" t="n">
        <f aca="false">1+carry</f>
        <v>1.05</v>
      </c>
      <c r="K1102" s="7" t="s">
        <v>596</v>
      </c>
    </row>
    <row r="1103" customFormat="false" ht="17.15" hidden="false" customHeight="false" outlineLevel="0" collapsed="false">
      <c r="A1103" s="3" t="s">
        <v>597</v>
      </c>
      <c r="B1103" s="0" t="s">
        <v>598</v>
      </c>
      <c r="D1103" s="23" t="n">
        <f aca="false">v26*D1100*D1101</f>
        <v>215.308596</v>
      </c>
      <c r="E1103" s="23" t="n">
        <f aca="false">v26*E1100*E1101</f>
        <v>254.06414328</v>
      </c>
      <c r="F1103" s="23" t="n">
        <f aca="false">v26*F1100*F1101</f>
        <v>284.80590461688</v>
      </c>
      <c r="G1103" s="23" t="n">
        <f aca="false">v26*G1100*G1101</f>
        <v>318.383021792765</v>
      </c>
      <c r="K1103" s="7" t="s">
        <v>599</v>
      </c>
    </row>
    <row r="1104" customFormat="false" ht="17.15" hidden="false" customHeight="false" outlineLevel="0" collapsed="false">
      <c r="A1104" s="3" t="s">
        <v>600</v>
      </c>
      <c r="B1104" s="0" t="s">
        <v>44</v>
      </c>
      <c r="D1104" s="20" t="n">
        <f aca="false">sh_nv_26</f>
        <v>0.25</v>
      </c>
      <c r="E1104" s="20" t="n">
        <f aca="false">sh_nv_27</f>
        <v>0.27</v>
      </c>
      <c r="F1104" s="20" t="n">
        <f aca="false">sh_nv_28</f>
        <v>0.29</v>
      </c>
      <c r="G1104" s="20" t="n">
        <f aca="false">sh_nv_29</f>
        <v>0.3</v>
      </c>
    </row>
    <row r="1105" customFormat="false" ht="17.15" hidden="false" customHeight="false" outlineLevel="0" collapsed="false">
      <c r="A1105" s="3" t="s">
        <v>601</v>
      </c>
      <c r="B1105" s="0" t="s">
        <v>44</v>
      </c>
      <c r="D1105" s="20" t="n">
        <f aca="false">sh_ot_26</f>
        <v>0.3</v>
      </c>
      <c r="E1105" s="20" t="n">
        <f aca="false">sh_ot_27</f>
        <v>0.31</v>
      </c>
      <c r="F1105" s="20" t="n">
        <f aca="false">sh_ot_28</f>
        <v>0.32</v>
      </c>
      <c r="G1105" s="20" t="n">
        <f aca="false">sh_ot_29</f>
        <v>0.33</v>
      </c>
    </row>
    <row r="1106" customFormat="false" ht="17.15" hidden="false" customHeight="false" outlineLevel="0" collapsed="false">
      <c r="A1106" s="3" t="s">
        <v>602</v>
      </c>
      <c r="B1106" s="0" t="s">
        <v>552</v>
      </c>
      <c r="D1106" s="22" t="n">
        <f aca="false">(D1098*D1103*D1104+D1099*D1103*v_ot*D1105)*D1102</f>
        <v>801.809211504</v>
      </c>
      <c r="E1106" s="22" t="n">
        <f aca="false">(E1098*E1103*E1104+E1099*E1103*v_ot*E1105)*E1102</f>
        <v>1624.8799315544</v>
      </c>
      <c r="F1106" s="22" t="n">
        <f aca="false">(F1098*F1103*F1104+F1099*F1103*v_ot*F1105)*F1102</f>
        <v>2125.32134231777</v>
      </c>
      <c r="G1106" s="22" t="n">
        <f aca="false">(G1098*G1103*G1104+G1099*G1103*v_ot*G1105)*G1102</f>
        <v>2788.4812844467</v>
      </c>
    </row>
    <row r="1107" customFormat="false" ht="15" hidden="false" customHeight="false" outlineLevel="0" collapsed="false">
      <c r="A1107" s="3" t="s">
        <v>603</v>
      </c>
      <c r="B1107" s="0" t="s">
        <v>302</v>
      </c>
      <c r="D1107" s="21" t="n">
        <f aca="false">D1106*fx/1000</f>
        <v>26.05879937388</v>
      </c>
      <c r="E1107" s="21" t="n">
        <f aca="false">E1106*fx/1000</f>
        <v>52.8085977755181</v>
      </c>
      <c r="F1107" s="21" t="n">
        <f aca="false">F1106*fx/1000</f>
        <v>69.0729436253277</v>
      </c>
      <c r="G1107" s="21" t="n">
        <f aca="false">G1106*fx/1000</f>
        <v>90.6256417445177</v>
      </c>
    </row>
    <row r="1108" customFormat="false" ht="17.15" hidden="false" customHeight="false" outlineLevel="0" collapsed="false">
      <c r="A1108" s="5" t="s">
        <v>604</v>
      </c>
    </row>
    <row r="1109" customFormat="false" ht="17.15" hidden="false" customHeight="false" outlineLevel="0" collapsed="false">
      <c r="A1109" s="0" t="s">
        <v>605</v>
      </c>
      <c r="B1109" s="0" t="s">
        <v>302</v>
      </c>
      <c r="D1109" s="21" t="n">
        <f aca="false">a26_abf*ai_abf</f>
        <v>74.83672875</v>
      </c>
      <c r="K1109" s="3" t="s">
        <v>606</v>
      </c>
    </row>
    <row r="1110" customFormat="false" ht="17.15" hidden="false" customHeight="false" outlineLevel="0" collapsed="false">
      <c r="A1110" s="3" t="s">
        <v>607</v>
      </c>
      <c r="B1110" s="0" t="s">
        <v>302</v>
      </c>
      <c r="D1110" s="21" t="n">
        <f aca="false">D1109-D1107</f>
        <v>48.77792937612</v>
      </c>
      <c r="E1110" s="21" t="n">
        <f aca="false">$D1110*(itc_27/itc_26)^el_o_lo*1*1*E1101*E1102</f>
        <v>63.0747076072504</v>
      </c>
      <c r="F1110" s="21" t="n">
        <f aca="false">$D1110*(itc_28/itc_26)^el_o_lo*um28_A*1*F1101*F1102</f>
        <v>64.3391386792868</v>
      </c>
      <c r="G1110" s="21" t="n">
        <f aca="false">$D1110*(itc_29/itc_26)^el_o_lo*um29_A*1*G1101*G1102</f>
        <v>63.3824974055552</v>
      </c>
      <c r="K1110" s="7" t="s">
        <v>608</v>
      </c>
    </row>
    <row r="1111" customFormat="false" ht="17.15" hidden="false" customHeight="false" outlineLevel="0" collapsed="false">
      <c r="A1111" s="3" t="s">
        <v>609</v>
      </c>
      <c r="B1111" s="0" t="s">
        <v>302</v>
      </c>
      <c r="D1111" s="21" t="n">
        <f aca="false">a26_abf-D1109</f>
        <v>24.94557625</v>
      </c>
      <c r="E1111" s="21" t="n">
        <f aca="false">D1111*(1+g_nai)</f>
        <v>25.6939435375</v>
      </c>
      <c r="F1111" s="21" t="n">
        <f aca="false">E1111*(1+g_nai)</f>
        <v>26.464761843625</v>
      </c>
      <c r="G1111" s="21" t="n">
        <f aca="false">F1111*(1+g_nai)</f>
        <v>27.2587046989338</v>
      </c>
    </row>
    <row r="1112" customFormat="false" ht="17.15" hidden="false" customHeight="false" outlineLevel="0" collapsed="false">
      <c r="A1112" s="0" t="s">
        <v>610</v>
      </c>
      <c r="B1112" s="0" t="s">
        <v>302</v>
      </c>
      <c r="D1112" s="21" t="n">
        <f aca="false">D1107+D1110+D1111</f>
        <v>99.782305</v>
      </c>
      <c r="E1112" s="21" t="n">
        <f aca="false">E1107+E1110+E1111</f>
        <v>141.577248920269</v>
      </c>
      <c r="F1112" s="21" t="n">
        <f aca="false">F1107+F1110+F1111</f>
        <v>159.876844148239</v>
      </c>
      <c r="G1112" s="21" t="n">
        <f aca="false">G1107+G1110+G1111</f>
        <v>181.266843849007</v>
      </c>
    </row>
    <row r="1113" customFormat="false" ht="17.15" hidden="false" customHeight="false" outlineLevel="0" collapsed="false">
      <c r="A1113" s="0" t="s">
        <v>611</v>
      </c>
      <c r="B1113" s="0" t="s">
        <v>302</v>
      </c>
      <c r="D1113" s="21" t="n">
        <f aca="false">a26_abf</f>
        <v>99.782305</v>
      </c>
      <c r="E1113" s="21" t="n">
        <f aca="false">$D1112*cap_27*(1+g_mix)^1*E1101*E1102</f>
        <v>148.513488204375</v>
      </c>
      <c r="F1113" s="21" t="n">
        <f aca="false">$D1112*cap_28*(1+g_mix)^2*F1101*F1102</f>
        <v>186.549442683384</v>
      </c>
      <c r="G1113" s="21" t="n">
        <f aca="false">$D1112*cap_29*(1+g_mix)^3*G1101*G1102</f>
        <v>218.314827660431</v>
      </c>
      <c r="K1113" s="7" t="s">
        <v>612</v>
      </c>
    </row>
    <row r="1114" customFormat="false" ht="17.15" hidden="false" customHeight="false" outlineLevel="0" collapsed="false">
      <c r="A1114" s="0" t="s">
        <v>613</v>
      </c>
      <c r="B1114" s="0" t="s">
        <v>302</v>
      </c>
      <c r="D1114" s="21" t="n">
        <f aca="false">a26_abf</f>
        <v>99.782305</v>
      </c>
      <c r="E1114" s="21" t="n">
        <f aca="false">MIN(E1112,E1113)</f>
        <v>141.577248920269</v>
      </c>
      <c r="F1114" s="21" t="n">
        <f aca="false">MIN(F1112,F1113)</f>
        <v>159.876844148239</v>
      </c>
      <c r="G1114" s="21" t="n">
        <f aca="false">MIN(G1112,G1113)</f>
        <v>181.266843849007</v>
      </c>
    </row>
    <row r="1115" customFormat="false" ht="17.15" hidden="false" customHeight="false" outlineLevel="0" collapsed="false">
      <c r="A1115" s="3" t="s">
        <v>614</v>
      </c>
      <c r="B1115" s="0" t="s">
        <v>44</v>
      </c>
      <c r="D1115" s="20" t="n">
        <f aca="false">D1114/D1112</f>
        <v>1</v>
      </c>
      <c r="E1115" s="20" t="n">
        <f aca="false">E1114/E1112</f>
        <v>1</v>
      </c>
      <c r="F1115" s="20" t="n">
        <f aca="false">F1114/F1112</f>
        <v>1</v>
      </c>
      <c r="G1115" s="20" t="n">
        <f aca="false">G1114/G1112</f>
        <v>1</v>
      </c>
    </row>
    <row r="1116" customFormat="false" ht="17.15" hidden="false" customHeight="false" outlineLevel="0" collapsed="false">
      <c r="A1116" s="0" t="s">
        <v>615</v>
      </c>
      <c r="B1116" s="0" t="s">
        <v>302</v>
      </c>
      <c r="D1116" s="21" t="n">
        <f aca="false">(D1107+D1110)*D1115</f>
        <v>74.83672875</v>
      </c>
      <c r="E1116" s="21" t="n">
        <f aca="false">(E1107+E1110)*E1115</f>
        <v>115.883305382769</v>
      </c>
      <c r="F1116" s="21" t="n">
        <f aca="false">(F1107+F1110)*F1115</f>
        <v>133.412082304614</v>
      </c>
      <c r="G1116" s="21" t="n">
        <f aca="false">(G1107+G1110)*G1115</f>
        <v>154.008139150073</v>
      </c>
    </row>
    <row r="1117" customFormat="false" ht="17.15" hidden="false" customHeight="false" outlineLevel="0" collapsed="false">
      <c r="A1117" s="3" t="s">
        <v>616</v>
      </c>
      <c r="B1117" s="0" t="s">
        <v>44</v>
      </c>
      <c r="D1117" s="20" t="n">
        <f aca="false">D1107/(D1107+D1110)</f>
        <v>0.348208691228771</v>
      </c>
      <c r="E1117" s="20" t="n">
        <f aca="false">E1107/(E1107+E1110)</f>
        <v>0.455704966311486</v>
      </c>
      <c r="F1117" s="20" t="n">
        <f aca="false">F1107/(F1107+F1110)</f>
        <v>0.517741290234989</v>
      </c>
      <c r="G1117" s="20" t="n">
        <f aca="false">G1107/(G1107+G1110)</f>
        <v>0.588447092761817</v>
      </c>
    </row>
    <row r="1118" customFormat="false" ht="17.15" hidden="false" customHeight="false" outlineLevel="0" collapsed="false">
      <c r="A1118" s="5" t="s">
        <v>617</v>
      </c>
    </row>
    <row r="1119" customFormat="false" ht="17.15" hidden="false" customHeight="false" outlineLevel="0" collapsed="false">
      <c r="A1119" s="0" t="s">
        <v>519</v>
      </c>
      <c r="B1119" s="0" t="s">
        <v>302</v>
      </c>
      <c r="D1119" s="21" t="n">
        <f aca="false">a26_bt</f>
        <v>16.944165</v>
      </c>
      <c r="E1119" s="21" t="n">
        <f aca="false">D1119*(1+g_bt)</f>
        <v>17.79137325</v>
      </c>
      <c r="F1119" s="21" t="n">
        <f aca="false">E1119*(1+g_bt)</f>
        <v>18.6809419125</v>
      </c>
      <c r="G1119" s="21" t="n">
        <f aca="false">F1119*(1+g_bt)</f>
        <v>19.614989008125</v>
      </c>
    </row>
    <row r="1120" customFormat="false" ht="17.15" hidden="false" customHeight="false" outlineLevel="0" collapsed="false">
      <c r="A1120" s="0" t="s">
        <v>618</v>
      </c>
      <c r="B1120" s="0" t="s">
        <v>302</v>
      </c>
      <c r="D1120" s="21" t="n">
        <f aca="false">a26_pcb*ai_pcb</f>
        <v>37.93610275</v>
      </c>
      <c r="E1120" s="21" t="n">
        <f aca="false">D1120*(1+g_pai_27)</f>
        <v>45.5233233</v>
      </c>
      <c r="F1120" s="21" t="n">
        <f aca="false">D1120*(1+g_pai_27)*(1+g_pai_28)*um28_A</f>
        <v>52.351821795</v>
      </c>
      <c r="G1120" s="21" t="n">
        <f aca="false">D1120*(1+g_pai_27)*(1+g_pai_28)*(1+g_pai_29)*um29_A</f>
        <v>57.5870039745</v>
      </c>
      <c r="K1120" s="3" t="s">
        <v>619</v>
      </c>
    </row>
    <row r="1121" customFormat="false" ht="17.15" hidden="false" customHeight="false" outlineLevel="0" collapsed="false">
      <c r="A1121" s="3" t="s">
        <v>620</v>
      </c>
      <c r="B1121" s="0" t="s">
        <v>302</v>
      </c>
      <c r="D1121" s="21" t="n">
        <f aca="false">a26_pcb*(1-ai_pcb)</f>
        <v>20.42713225</v>
      </c>
      <c r="E1121" s="21" t="n">
        <f aca="false">D1121*(1+g_pcbn)</f>
        <v>20.835674895</v>
      </c>
      <c r="F1121" s="21" t="n">
        <f aca="false">E1121*(1+g_pcbn)</f>
        <v>21.2523883929</v>
      </c>
      <c r="G1121" s="21" t="n">
        <f aca="false">F1121*(1+g_pcbn)</f>
        <v>21.677436160758</v>
      </c>
    </row>
    <row r="1122" customFormat="false" ht="15" hidden="false" customHeight="false" outlineLevel="0" collapsed="false">
      <c r="A1122" s="3" t="s">
        <v>521</v>
      </c>
      <c r="B1122" s="0" t="s">
        <v>302</v>
      </c>
      <c r="D1122" s="21" t="n">
        <f aca="false">a26_fpc</f>
        <v>13.178795</v>
      </c>
      <c r="E1122" s="21" t="n">
        <f aca="false">D1122*(1+g_fpc)</f>
        <v>13.178795</v>
      </c>
      <c r="F1122" s="21" t="n">
        <f aca="false">E1122*(1+g_fpc)</f>
        <v>13.178795</v>
      </c>
      <c r="G1122" s="21" t="n">
        <f aca="false">F1122*(1+g_fpc)</f>
        <v>13.178795</v>
      </c>
    </row>
    <row r="1123" customFormat="false" ht="17.15" hidden="false" customHeight="false" outlineLevel="0" collapsed="false">
      <c r="A1123" s="3" t="s">
        <v>484</v>
      </c>
      <c r="B1123" s="0" t="s">
        <v>302</v>
      </c>
      <c r="C1123" s="23" t="n">
        <f aca="false">a25_rev</f>
        <v>131.241</v>
      </c>
      <c r="D1123" s="23" t="n">
        <f aca="false">D1114+D1119+D1120+D1121+D1122</f>
        <v>188.2685</v>
      </c>
      <c r="E1123" s="23" t="n">
        <f aca="false">E1114+E1119+E1120+E1121+E1122</f>
        <v>238.906415365269</v>
      </c>
      <c r="F1123" s="23" t="n">
        <f aca="false">F1114+F1119+F1120+F1121+F1122</f>
        <v>265.340791248639</v>
      </c>
      <c r="G1123" s="23" t="n">
        <f aca="false">G1114+G1119+G1120+G1121+G1122</f>
        <v>293.32506799239</v>
      </c>
      <c r="H1123" s="25" t="n">
        <f aca="false">G1123*(1+H1124)</f>
        <v>319.815336093745</v>
      </c>
      <c r="I1123" s="25" t="n">
        <f aca="false">H1123*(1+I1124)</f>
        <v>343.851101950444</v>
      </c>
      <c r="J1123" s="25" t="n">
        <f aca="false">I1123*(1+J1124)</f>
        <v>364.48216806747</v>
      </c>
      <c r="K1123" s="7" t="s">
        <v>621</v>
      </c>
    </row>
    <row r="1124" customFormat="false" ht="15" hidden="false" customHeight="false" outlineLevel="0" collapsed="false">
      <c r="A1124" s="3" t="s">
        <v>622</v>
      </c>
      <c r="B1124" s="0" t="s">
        <v>44</v>
      </c>
      <c r="D1124" s="20" t="n">
        <f aca="false">D1123/C1123-1</f>
        <v>0.434525034097576</v>
      </c>
      <c r="E1124" s="20" t="n">
        <f aca="false">E1123/D1123-1</f>
        <v>0.268966478010227</v>
      </c>
      <c r="F1124" s="20" t="n">
        <f aca="false">F1123/E1123-1</f>
        <v>0.110647409124426</v>
      </c>
      <c r="G1124" s="20" t="n">
        <f aca="false">G1123/F1123-1</f>
        <v>0.105465415295032</v>
      </c>
      <c r="H1124" s="26" t="n">
        <f aca="false">$G1124+(fade_gA-$G1124)*1/3</f>
        <v>0.0903102768633547</v>
      </c>
      <c r="I1124" s="26" t="n">
        <f aca="false">$G1124+(fade_gA-$G1124)*2/3</f>
        <v>0.0751551384316774</v>
      </c>
      <c r="J1124" s="26" t="n">
        <f aca="false">$G1124+(fade_gA-$G1124)*3/3</f>
        <v>0.06</v>
      </c>
    </row>
    <row r="1125" customFormat="false" ht="17.15" hidden="false" customHeight="false" outlineLevel="0" collapsed="false">
      <c r="A1125" s="0" t="s">
        <v>623</v>
      </c>
      <c r="B1125" s="0" t="s">
        <v>44</v>
      </c>
      <c r="D1125" s="20" t="n">
        <f aca="false">D1114/D1123</f>
        <v>0.53</v>
      </c>
      <c r="E1125" s="20" t="n">
        <f aca="false">E1114/E1123</f>
        <v>0.59260547149313</v>
      </c>
      <c r="F1125" s="20" t="n">
        <f aca="false">F1114/F1123</f>
        <v>0.602533984299556</v>
      </c>
      <c r="G1125" s="20" t="n">
        <f aca="false">G1114/G1123</f>
        <v>0.617972562282708</v>
      </c>
    </row>
    <row r="1126" customFormat="false" ht="17.15" hidden="false" customHeight="false" outlineLevel="0" collapsed="false">
      <c r="A1126" s="0" t="s">
        <v>624</v>
      </c>
      <c r="B1126" s="0" t="s">
        <v>44</v>
      </c>
      <c r="D1126" s="20" t="n">
        <f aca="false">(D1116+D1120)/D1123</f>
        <v>0.599</v>
      </c>
      <c r="E1126" s="20" t="n">
        <f aca="false">(E1116+E1120)/E1123</f>
        <v>0.675606087998896</v>
      </c>
      <c r="F1126" s="20" t="n">
        <f aca="false">(F1116+F1120)/F1123</f>
        <v>0.700095538365766</v>
      </c>
      <c r="G1126" s="20" t="n">
        <f aca="false">(G1116+G1120)/G1123</f>
        <v>0.721367405018595</v>
      </c>
      <c r="K1126" s="3" t="s">
        <v>625</v>
      </c>
    </row>
    <row r="1127" customFormat="false" ht="17.15" hidden="false" customHeight="false" outlineLevel="0" collapsed="false">
      <c r="A1127" s="5" t="s">
        <v>626</v>
      </c>
    </row>
    <row r="1128" customFormat="false" ht="15" hidden="false" customHeight="false" outlineLevel="0" collapsed="false">
      <c r="A1128" s="3" t="s">
        <v>627</v>
      </c>
      <c r="B1128" s="0" t="s">
        <v>302</v>
      </c>
      <c r="C1128" s="23" t="n">
        <f aca="false">a25_cx</f>
        <v>25.617</v>
      </c>
      <c r="D1128" s="23" t="n">
        <f aca="false">capex26</f>
        <v>53.7</v>
      </c>
      <c r="E1128" s="23" t="n">
        <f aca="false">cx27_A</f>
        <v>55</v>
      </c>
      <c r="F1128" s="23" t="n">
        <f aca="false">cx28_A</f>
        <v>50</v>
      </c>
      <c r="G1128" s="23" t="n">
        <f aca="false">cx29_A</f>
        <v>45</v>
      </c>
      <c r="H1128" s="25" t="n">
        <f aca="false">H1123*H1145</f>
        <v>46.0338081234465</v>
      </c>
      <c r="I1128" s="25" t="n">
        <f aca="false">I1123*I1145</f>
        <v>46.2355993415502</v>
      </c>
      <c r="J1128" s="25" t="n">
        <f aca="false">J1123*J1145</f>
        <v>45.5563761378549</v>
      </c>
    </row>
    <row r="1129" customFormat="false" ht="17.15" hidden="false" customHeight="false" outlineLevel="0" collapsed="false">
      <c r="A1129" s="3" t="s">
        <v>628</v>
      </c>
      <c r="B1129" s="0" t="s">
        <v>302</v>
      </c>
      <c r="C1129" s="23" t="n">
        <f aca="false">a25_da</f>
        <v>18.8</v>
      </c>
      <c r="D1129" s="23" t="n">
        <f aca="false">da26</f>
        <v>20.8</v>
      </c>
      <c r="E1129" s="23" t="n">
        <f aca="false">D1129*(1-1/life)+D1128/life</f>
        <v>24.9125</v>
      </c>
      <c r="F1129" s="23" t="n">
        <f aca="false">E1129*(1-1/life)+E1128/life</f>
        <v>28.6734375</v>
      </c>
      <c r="G1129" s="23" t="n">
        <f aca="false">F1129*(1-1/life)+F1128/life</f>
        <v>31.3392578125</v>
      </c>
      <c r="H1129" s="25" t="n">
        <f aca="false">H1123*H1130</f>
        <v>34.1695148622389</v>
      </c>
      <c r="I1129" s="25" t="n">
        <f aca="false">I1123*I1130</f>
        <v>36.7375294818538</v>
      </c>
      <c r="J1129" s="25" t="n">
        <f aca="false">J1123*J1130</f>
        <v>38.941781250765</v>
      </c>
      <c r="K1129" s="3" t="s">
        <v>629</v>
      </c>
    </row>
    <row r="1130" customFormat="false" ht="17.15" hidden="false" customHeight="false" outlineLevel="0" collapsed="false">
      <c r="A1130" s="3" t="s">
        <v>630</v>
      </c>
      <c r="B1130" s="0" t="s">
        <v>44</v>
      </c>
      <c r="C1130" s="20" t="n">
        <f aca="false">C1129/C1123</f>
        <v>0.143247917952469</v>
      </c>
      <c r="D1130" s="20" t="n">
        <f aca="false">D1129/D1123</f>
        <v>0.110480510547436</v>
      </c>
      <c r="E1130" s="20" t="n">
        <f aca="false">E1129/E1123</f>
        <v>0.104277233250144</v>
      </c>
      <c r="F1130" s="20" t="n">
        <f aca="false">F1129/F1123</f>
        <v>0.108062681825394</v>
      </c>
      <c r="G1130" s="20" t="n">
        <f aca="false">G1129/G1123</f>
        <v>0.10684138940799</v>
      </c>
      <c r="H1130" s="26" t="n">
        <f aca="false">$G1130</f>
        <v>0.10684138940799</v>
      </c>
      <c r="I1130" s="26" t="n">
        <f aca="false">$G1130</f>
        <v>0.10684138940799</v>
      </c>
      <c r="J1130" s="26" t="n">
        <f aca="false">$G1130</f>
        <v>0.10684138940799</v>
      </c>
    </row>
    <row r="1131" customFormat="false" ht="17.15" hidden="false" customHeight="false" outlineLevel="0" collapsed="false">
      <c r="A1131" s="3" t="s">
        <v>631</v>
      </c>
      <c r="B1131" s="0" t="s">
        <v>302</v>
      </c>
      <c r="E1131" s="21" t="n">
        <f aca="false">E1116*(1-1/(E1101*E1102))</f>
        <v>5.5182526372747</v>
      </c>
      <c r="F1131" s="21" t="n">
        <f aca="false">F1116*(1-1/(F1101*F1102))</f>
        <v>-0.334366121064219</v>
      </c>
      <c r="G1131" s="21" t="n">
        <f aca="false">G1116*(1-1/(G1101*G1102))</f>
        <v>-8.96343667011005</v>
      </c>
      <c r="K1131" s="7" t="s">
        <v>632</v>
      </c>
    </row>
    <row r="1132" customFormat="false" ht="17.15" hidden="false" customHeight="false" outlineLevel="0" collapsed="false">
      <c r="A1132" s="3" t="s">
        <v>633</v>
      </c>
      <c r="B1132" s="0" t="s">
        <v>302</v>
      </c>
      <c r="C1132" s="21" t="n">
        <f aca="false">a25_gp</f>
        <v>18.292</v>
      </c>
      <c r="D1132" s="21" t="n">
        <f aca="false">a26_gp</f>
        <v>47.3329657</v>
      </c>
      <c r="E1132" s="21" t="n">
        <f aca="false">$D1132+ft_abf*(E1114-E1131-$D1114)+ft_oth*((E1123-E1114)-($D1123-$D1114))+E1131-(E1129-$D1129)</f>
        <v>69.0878068400216</v>
      </c>
      <c r="F1132" s="21" t="n">
        <f aca="false">$D1132+ft_abf*(F1114-F1131-$D1114)+ft_oth*((F1123-F1114)-($D1123-$D1114))+F1131-(F1129-$D1129)</f>
        <v>73.5840527386876</v>
      </c>
      <c r="G1132" s="21" t="n">
        <f aca="false">$D1132+ft_abf*(G1114-G1131-$D1114)+ft_oth*((G1123-G1114)-($D1123-$D1114))+G1131-(G1129-$D1129)</f>
        <v>78.947266262794</v>
      </c>
      <c r="K1132" s="3" t="s">
        <v>634</v>
      </c>
    </row>
    <row r="1133" customFormat="false" ht="15" hidden="false" customHeight="false" outlineLevel="0" collapsed="false">
      <c r="A1133" s="3" t="s">
        <v>491</v>
      </c>
      <c r="B1133" s="0" t="s">
        <v>44</v>
      </c>
      <c r="C1133" s="16" t="n">
        <f aca="false">C1132/C1123</f>
        <v>0.139377176339711</v>
      </c>
      <c r="D1133" s="16" t="n">
        <f aca="false">D1132/D1123</f>
        <v>0.251412029627899</v>
      </c>
      <c r="E1133" s="16" t="n">
        <f aca="false">E1132/E1123</f>
        <v>0.289183556391284</v>
      </c>
      <c r="F1133" s="16" t="n">
        <f aca="false">F1132/F1123</f>
        <v>0.277319037123603</v>
      </c>
      <c r="G1133" s="16" t="n">
        <f aca="false">G1132/G1123</f>
        <v>0.26914599152106</v>
      </c>
    </row>
    <row r="1134" customFormat="false" ht="15" hidden="false" customHeight="false" outlineLevel="0" collapsed="false">
      <c r="A1134" s="3" t="s">
        <v>493</v>
      </c>
      <c r="B1134" s="0" t="s">
        <v>302</v>
      </c>
      <c r="C1134" s="21" t="n">
        <f aca="false">a25_opx</f>
        <v>11.618</v>
      </c>
      <c r="D1134" s="21" t="n">
        <f aca="false">a26_opx</f>
        <v>16.6539532</v>
      </c>
      <c r="E1134" s="21" t="n">
        <f aca="false">D1134*(1+phi*E1124)</f>
        <v>19.3415662822907</v>
      </c>
      <c r="F1134" s="21" t="n">
        <f aca="false">E1134*(1+phi*F1124)</f>
        <v>20.625622800817</v>
      </c>
      <c r="G1134" s="21" t="n">
        <f aca="false">F1134*(1+phi*G1124)</f>
        <v>21.9307967254611</v>
      </c>
    </row>
    <row r="1135" customFormat="false" ht="15" hidden="false" customHeight="false" outlineLevel="0" collapsed="false">
      <c r="A1135" s="3" t="s">
        <v>496</v>
      </c>
      <c r="B1135" s="0" t="s">
        <v>302</v>
      </c>
      <c r="C1135" s="21" t="n">
        <f aca="false">C1132-C1134</f>
        <v>6.674</v>
      </c>
      <c r="D1135" s="21" t="n">
        <f aca="false">D1132-D1134</f>
        <v>30.6790125</v>
      </c>
      <c r="E1135" s="21" t="n">
        <f aca="false">E1132-E1134</f>
        <v>49.7462405577309</v>
      </c>
      <c r="F1135" s="21" t="n">
        <f aca="false">F1132-F1134</f>
        <v>52.9584299378706</v>
      </c>
      <c r="G1135" s="21" t="n">
        <f aca="false">G1132-G1134</f>
        <v>57.0164695373329</v>
      </c>
    </row>
    <row r="1136" customFormat="false" ht="15" hidden="false" customHeight="false" outlineLevel="0" collapsed="false">
      <c r="A1136" s="3" t="s">
        <v>575</v>
      </c>
      <c r="B1136" s="0" t="s">
        <v>44</v>
      </c>
      <c r="C1136" s="16" t="n">
        <f aca="false">C1135/C1123</f>
        <v>0.0508530108731265</v>
      </c>
      <c r="D1136" s="16" t="n">
        <f aca="false">D1135/D1123</f>
        <v>0.162953507888999</v>
      </c>
      <c r="E1136" s="16" t="n">
        <f aca="false">E1135/E1123</f>
        <v>0.208224799998246</v>
      </c>
      <c r="F1136" s="16" t="n">
        <f aca="false">F1135/F1123</f>
        <v>0.199586462709556</v>
      </c>
      <c r="G1136" s="16" t="n">
        <f aca="false">G1135/G1123</f>
        <v>0.194379805066004</v>
      </c>
    </row>
    <row r="1137" customFormat="false" ht="17.15" hidden="false" customHeight="false" outlineLevel="0" collapsed="false">
      <c r="A1137" s="3" t="s">
        <v>635</v>
      </c>
      <c r="B1137" s="0" t="s">
        <v>302</v>
      </c>
      <c r="C1137" s="21" t="n">
        <f aca="false">a25_nonop</f>
        <v>-0.00100000000000033</v>
      </c>
      <c r="D1137" s="21" t="n">
        <f aca="false">a26_nonop</f>
        <v>14.466</v>
      </c>
      <c r="E1137" s="21" t="n">
        <f aca="false">nonop27</f>
        <v>2</v>
      </c>
      <c r="F1137" s="21" t="n">
        <f aca="false">nonop28</f>
        <v>2</v>
      </c>
      <c r="G1137" s="21" t="n">
        <f aca="false">nonop29</f>
        <v>2</v>
      </c>
      <c r="K1137" s="7" t="s">
        <v>636</v>
      </c>
    </row>
    <row r="1138" customFormat="false" ht="15" hidden="false" customHeight="false" outlineLevel="0" collapsed="false">
      <c r="A1138" s="3" t="s">
        <v>502</v>
      </c>
      <c r="B1138" s="0" t="s">
        <v>302</v>
      </c>
      <c r="C1138" s="21" t="n">
        <f aca="false">C1135+C1137</f>
        <v>6.673</v>
      </c>
      <c r="D1138" s="21" t="n">
        <f aca="false">D1135+D1137</f>
        <v>45.1450125</v>
      </c>
      <c r="E1138" s="21" t="n">
        <f aca="false">E1135+E1137</f>
        <v>51.7462405577309</v>
      </c>
      <c r="F1138" s="21" t="n">
        <f aca="false">F1135+F1137</f>
        <v>54.9584299378706</v>
      </c>
      <c r="G1138" s="21" t="n">
        <f aca="false">G1135+G1137</f>
        <v>59.0164695373329</v>
      </c>
    </row>
    <row r="1139" customFormat="false" ht="15" hidden="false" customHeight="false" outlineLevel="0" collapsed="false">
      <c r="A1139" s="3" t="s">
        <v>506</v>
      </c>
      <c r="B1139" s="0" t="s">
        <v>302</v>
      </c>
      <c r="E1139" s="21" t="n">
        <f aca="false">E1138*tax</f>
        <v>9.31432330039156</v>
      </c>
      <c r="F1139" s="21" t="n">
        <f aca="false">F1138*tax</f>
        <v>9.89251738881671</v>
      </c>
      <c r="G1139" s="21" t="n">
        <f aca="false">G1138*tax</f>
        <v>10.6229645167199</v>
      </c>
    </row>
    <row r="1140" customFormat="false" ht="15" hidden="false" customHeight="false" outlineLevel="0" collapsed="false">
      <c r="A1140" s="3" t="s">
        <v>504</v>
      </c>
      <c r="B1140" s="0" t="s">
        <v>302</v>
      </c>
      <c r="C1140" s="21" t="n">
        <f aca="false">a25_ni</f>
        <v>6.673</v>
      </c>
      <c r="D1140" s="21" t="n">
        <f aca="false">a26_ni</f>
        <v>37.23923025</v>
      </c>
      <c r="E1140" s="21" t="n">
        <f aca="false">E1138-E1139</f>
        <v>42.4319172573394</v>
      </c>
      <c r="F1140" s="21" t="n">
        <f aca="false">F1138-F1139</f>
        <v>45.0659125490539</v>
      </c>
      <c r="G1140" s="21" t="n">
        <f aca="false">G1138-G1139</f>
        <v>48.393505020613</v>
      </c>
      <c r="H1140" s="30" t="n">
        <f aca="false">H1123*H1144</f>
        <v>53.7071318395149</v>
      </c>
      <c r="I1140" s="30" t="n">
        <f aca="false">I1123*I1144</f>
        <v>58.7575807743874</v>
      </c>
      <c r="J1140" s="30" t="n">
        <f aca="false">J1123*J1144</f>
        <v>63.3579625479583</v>
      </c>
    </row>
    <row r="1141" customFormat="false" ht="15" hidden="false" customHeight="false" outlineLevel="0" collapsed="false">
      <c r="A1141" s="3" t="s">
        <v>637</v>
      </c>
      <c r="B1141" s="3" t="s">
        <v>380</v>
      </c>
      <c r="C1141" s="29" t="n">
        <f aca="false">a25_sh</f>
        <v>1.52351598173516</v>
      </c>
      <c r="D1141" s="29" t="n">
        <f aca="false">a26_sh</f>
        <v>1.59236316568047</v>
      </c>
      <c r="E1141" s="29" t="n">
        <f aca="false">a26_shend*(1+sh_g)</f>
        <v>1.64</v>
      </c>
      <c r="F1141" s="29" t="n">
        <f aca="false">E1141*(1+sh_g)</f>
        <v>1.64</v>
      </c>
      <c r="G1141" s="29" t="n">
        <f aca="false">F1141*(1+sh_g)</f>
        <v>1.64</v>
      </c>
      <c r="H1141" s="31" t="n">
        <f aca="false">G1141*(1+sh_g)</f>
        <v>1.64</v>
      </c>
      <c r="I1141" s="31" t="n">
        <f aca="false">H1141*(1+sh_g)</f>
        <v>1.64</v>
      </c>
      <c r="J1141" s="31" t="n">
        <f aca="false">I1141*(1+sh_g)</f>
        <v>1.64</v>
      </c>
    </row>
    <row r="1142" customFormat="false" ht="17.15" hidden="false" customHeight="false" outlineLevel="0" collapsed="false">
      <c r="A1142" s="0" t="s">
        <v>509</v>
      </c>
      <c r="B1142" s="0" t="s">
        <v>386</v>
      </c>
      <c r="C1142" s="18" t="n">
        <f aca="false">C1140/C1141</f>
        <v>4.38</v>
      </c>
      <c r="D1142" s="18" t="n">
        <f aca="false">D1140/D1141</f>
        <v>23.3861414610695</v>
      </c>
      <c r="E1142" s="18" t="n">
        <f aca="false">E1140/E1141</f>
        <v>25.8731202788655</v>
      </c>
      <c r="F1142" s="18" t="n">
        <f aca="false">F1140/F1141</f>
        <v>27.4792149689353</v>
      </c>
      <c r="G1142" s="18" t="n">
        <f aca="false">G1140/G1141</f>
        <v>29.5082347686665</v>
      </c>
      <c r="H1142" s="28" t="n">
        <f aca="false">H1140/H1141</f>
        <v>32.7482511216555</v>
      </c>
      <c r="I1142" s="28" t="n">
        <f aca="false">I1140/I1141</f>
        <v>35.8277931551143</v>
      </c>
      <c r="J1142" s="28" t="n">
        <f aca="false">J1140/J1141</f>
        <v>38.6329039926575</v>
      </c>
    </row>
    <row r="1143" customFormat="false" ht="17.15" hidden="false" customHeight="false" outlineLevel="0" collapsed="false">
      <c r="A1143" s="0" t="s">
        <v>638</v>
      </c>
      <c r="B1143" s="0" t="s">
        <v>44</v>
      </c>
      <c r="D1143" s="20" t="n">
        <f aca="false">D1142/C1142-1</f>
        <v>4.33930170344053</v>
      </c>
      <c r="E1143" s="20" t="n">
        <f aca="false">E1142/D1142-1</f>
        <v>0.106344127864615</v>
      </c>
      <c r="F1143" s="20" t="n">
        <f aca="false">F1142/E1142-1</f>
        <v>0.062075801942675</v>
      </c>
      <c r="G1143" s="20" t="n">
        <f aca="false">G1142/F1142-1</f>
        <v>0.0738383466203423</v>
      </c>
      <c r="H1143" s="26" t="n">
        <f aca="false">H1142/G1142-1</f>
        <v>0.109800412609887</v>
      </c>
      <c r="I1143" s="26" t="n">
        <f aca="false">I1142/H1142-1</f>
        <v>0.0940368394641502</v>
      </c>
      <c r="J1143" s="26" t="n">
        <f aca="false">J1142/I1142-1</f>
        <v>0.0782942679555692</v>
      </c>
    </row>
    <row r="1144" customFormat="false" ht="17.15" hidden="false" customHeight="false" outlineLevel="0" collapsed="false">
      <c r="A1144" s="3" t="s">
        <v>639</v>
      </c>
      <c r="B1144" s="0" t="s">
        <v>44</v>
      </c>
      <c r="C1144" s="16" t="n">
        <f aca="false">C1140/C1123</f>
        <v>0.0508453913030227</v>
      </c>
      <c r="D1144" s="16" t="n">
        <f aca="false">D1140/D1123</f>
        <v>0.197798517808343</v>
      </c>
      <c r="E1144" s="16" t="n">
        <f aca="false">E1140/E1123</f>
        <v>0.17760894864403</v>
      </c>
      <c r="F1144" s="16" t="n">
        <f aca="false">F1140/F1123</f>
        <v>0.169841630218192</v>
      </c>
      <c r="G1144" s="16" t="n">
        <f aca="false">G1140/G1123</f>
        <v>0.164982506786186</v>
      </c>
      <c r="H1144" s="27" t="n">
        <f aca="false">$G1144+(fade_mA-$G1144)*1/3</f>
        <v>0.167931696132834</v>
      </c>
      <c r="I1144" s="27" t="n">
        <f aca="false">$G1144+(fade_mA-$G1144)*2/3</f>
        <v>0.170880885479482</v>
      </c>
      <c r="J1144" s="27" t="n">
        <f aca="false">$G1144+(fade_mA-$G1144)*3/3</f>
        <v>0.17383007482613</v>
      </c>
    </row>
    <row r="1145" customFormat="false" ht="17.15" hidden="false" customHeight="false" outlineLevel="0" collapsed="false">
      <c r="A1145" s="3" t="s">
        <v>640</v>
      </c>
      <c r="B1145" s="0" t="s">
        <v>44</v>
      </c>
      <c r="C1145" s="20" t="n">
        <f aca="false">C1128/C1123</f>
        <v>0.195190527350447</v>
      </c>
      <c r="D1145" s="20" t="n">
        <f aca="false">D1128/D1123</f>
        <v>0.285230933480641</v>
      </c>
      <c r="E1145" s="20" t="n">
        <f aca="false">E1128/E1123</f>
        <v>0.230215667988277</v>
      </c>
      <c r="F1145" s="20" t="n">
        <f aca="false">F1128/F1123</f>
        <v>0.188436914523056</v>
      </c>
      <c r="G1145" s="20" t="n">
        <f aca="false">G1128/G1123</f>
        <v>0.153413413684669</v>
      </c>
      <c r="H1145" s="26" t="n">
        <f aca="false">$G1145+($G1130*(1+tp_g)^(life/2)-$G1145)*1/3</f>
        <v>0.143938713776856</v>
      </c>
      <c r="I1145" s="26" t="n">
        <f aca="false">$G1145+($G1130*(1+tp_g)^(life/2)-$G1145)*2/3</f>
        <v>0.134464013869043</v>
      </c>
      <c r="J1145" s="26" t="n">
        <f aca="false">$G1145+($G1130*(1+tp_g)^(life/2)-$G1145)*3/3</f>
        <v>0.12498931396123</v>
      </c>
      <c r="K1145" s="7" t="s">
        <v>641</v>
      </c>
    </row>
    <row r="1146" customFormat="false" ht="15" hidden="false" customHeight="false" outlineLevel="0" collapsed="false">
      <c r="A1146" s="3" t="s">
        <v>642</v>
      </c>
      <c r="B1146" s="0" t="s">
        <v>302</v>
      </c>
      <c r="E1146" s="21" t="n">
        <f aca="false">E1140+E1129-E1128</f>
        <v>12.3444172573394</v>
      </c>
      <c r="F1146" s="21" t="n">
        <f aca="false">F1140+F1129-F1128</f>
        <v>23.7393500490539</v>
      </c>
      <c r="G1146" s="21" t="n">
        <f aca="false">G1140+G1129-G1128</f>
        <v>34.732762833113</v>
      </c>
      <c r="H1146" s="30" t="n">
        <f aca="false">H1140+H1129-H1128</f>
        <v>41.8428385783074</v>
      </c>
      <c r="I1146" s="30" t="n">
        <f aca="false">I1140+I1129-I1128</f>
        <v>49.259510914691</v>
      </c>
      <c r="J1146" s="30" t="n">
        <f aca="false">J1140+J1129-J1128</f>
        <v>56.7433676608683</v>
      </c>
      <c r="K1146" s="3" t="s">
        <v>643</v>
      </c>
    </row>
    <row r="1147" customFormat="false" ht="15" hidden="false" customHeight="false" outlineLevel="0" collapsed="false">
      <c r="A1147" s="3" t="s">
        <v>644</v>
      </c>
      <c r="B1147" s="0" t="s">
        <v>386</v>
      </c>
      <c r="E1147" s="18" t="n">
        <f aca="false">E1146/E1141</f>
        <v>7.52708369349961</v>
      </c>
      <c r="F1147" s="18" t="n">
        <f aca="false">F1146/F1141</f>
        <v>14.4752134445451</v>
      </c>
      <c r="G1147" s="18" t="n">
        <f aca="false">G1146/G1141</f>
        <v>21.1785139226299</v>
      </c>
      <c r="H1147" s="28" t="n">
        <f aca="false">H1146/H1141</f>
        <v>25.5139259623826</v>
      </c>
      <c r="I1147" s="28" t="n">
        <f aca="false">I1146/I1141</f>
        <v>30.0362871431042</v>
      </c>
      <c r="J1147" s="28" t="n">
        <f aca="false">J1146/J1141</f>
        <v>34.5996144273587</v>
      </c>
    </row>
    <row r="1150" customFormat="false" ht="17.15" hidden="false" customHeight="false" outlineLevel="0" collapsed="false">
      <c r="A1150" s="1" t="s">
        <v>964</v>
      </c>
    </row>
    <row r="1151" customFormat="false" ht="17.15" hidden="false" customHeight="false" outlineLevel="0" collapsed="false">
      <c r="A1151" s="4" t="s">
        <v>21</v>
      </c>
      <c r="B1151" s="4" t="s">
        <v>22</v>
      </c>
      <c r="C1151" s="13" t="s">
        <v>477</v>
      </c>
      <c r="D1151" s="13" t="s">
        <v>562</v>
      </c>
      <c r="E1151" s="13" t="s">
        <v>563</v>
      </c>
      <c r="F1151" s="13" t="s">
        <v>564</v>
      </c>
      <c r="G1151" s="13" t="s">
        <v>565</v>
      </c>
      <c r="H1151" s="13" t="s">
        <v>566</v>
      </c>
      <c r="I1151" s="13" t="s">
        <v>567</v>
      </c>
      <c r="J1151" s="13" t="s">
        <v>568</v>
      </c>
      <c r="K1151" s="4" t="s">
        <v>533</v>
      </c>
    </row>
    <row r="1152" customFormat="false" ht="17.15" hidden="false" customHeight="false" outlineLevel="0" collapsed="false">
      <c r="A1152" s="5" t="s">
        <v>586</v>
      </c>
    </row>
    <row r="1153" customFormat="false" ht="17.15" hidden="false" customHeight="false" outlineLevel="0" collapsed="false">
      <c r="A1153" s="0" t="s">
        <v>587</v>
      </c>
      <c r="B1153" s="3" t="s">
        <v>32</v>
      </c>
      <c r="D1153" s="21" t="n">
        <f aca="false">(u_bw_26+u_rb_26+u_ru_26+u_hp_26)*1</f>
        <v>7.6</v>
      </c>
      <c r="E1153" s="21" t="n">
        <f aca="false">(u_bw_27+u_rb_27+u_ru_27+u_hp_27)*1*1</f>
        <v>9.7</v>
      </c>
      <c r="F1153" s="21" t="n">
        <f aca="false">(u_bw_28+u_rb_28+u_ru_28+u_hp_28)*um28_A*1</f>
        <v>9.5</v>
      </c>
      <c r="G1153" s="21" t="n">
        <f aca="false">(u_bw_28*(1+g29_bw)+u_rb_28*(1+g29_rb)+u_ru_28*(1+g29_ru)+u_hp_28*(1+g29_hp))*um29_A*1</f>
        <v>10.6</v>
      </c>
      <c r="K1153" s="7" t="s">
        <v>588</v>
      </c>
    </row>
    <row r="1154" customFormat="false" ht="17.15" hidden="false" customHeight="false" outlineLevel="0" collapsed="false">
      <c r="A1154" s="3" t="s">
        <v>589</v>
      </c>
      <c r="B1154" s="3" t="s">
        <v>32</v>
      </c>
      <c r="D1154" s="21" t="n">
        <f aca="false">(u_amd_26+u_tpu_26+u_trn_26+u_oth_26)*1</f>
        <v>7.6</v>
      </c>
      <c r="E1154" s="21" t="n">
        <f aca="false">(u_amd_27+u_tpu_27+u_trn_27+u_oth_27)*1*1</f>
        <v>14</v>
      </c>
      <c r="F1154" s="21" t="n">
        <f aca="false">(u_amd_28+u_tpu_28+u_trn_28+u_oth_28)*um28_A*1</f>
        <v>17</v>
      </c>
      <c r="G1154" s="21" t="n">
        <f aca="false">(u_amd_28*(1+g29_amd)+u_tpu_28*(1+g29_tpu)+u_trn_28*(1+g29_trn)+u_oth_28*(1+g29_oth))*um29_A*1</f>
        <v>19.55</v>
      </c>
      <c r="K1154" s="7" t="s">
        <v>590</v>
      </c>
    </row>
    <row r="1155" customFormat="false" ht="17.15" hidden="false" customHeight="false" outlineLevel="0" collapsed="false">
      <c r="A1155" s="3" t="s">
        <v>591</v>
      </c>
      <c r="B1155" s="0" t="s">
        <v>144</v>
      </c>
      <c r="D1155" s="19" t="n">
        <f aca="false">1</f>
        <v>1</v>
      </c>
      <c r="E1155" s="19" t="n">
        <f aca="false">D1155*(1+g_asp)</f>
        <v>1.18</v>
      </c>
      <c r="F1155" s="19" t="n">
        <f aca="false">E1155*(1+g_asp)</f>
        <v>1.3924</v>
      </c>
      <c r="G1155" s="19" t="n">
        <f aca="false">F1155*(1+g_asp)</f>
        <v>1.643032</v>
      </c>
      <c r="K1155" s="7" t="s">
        <v>592</v>
      </c>
    </row>
    <row r="1156" customFormat="false" ht="17.15" hidden="false" customHeight="false" outlineLevel="0" collapsed="false">
      <c r="A1156" s="0" t="s">
        <v>593</v>
      </c>
      <c r="B1156" s="0" t="s">
        <v>144</v>
      </c>
      <c r="D1156" s="18" t="n">
        <f aca="false">1</f>
        <v>1</v>
      </c>
      <c r="E1156" s="18" t="n">
        <f aca="false">ibpp_27</f>
        <v>1</v>
      </c>
      <c r="F1156" s="18" t="n">
        <f aca="false">ibpp_28</f>
        <v>0.95</v>
      </c>
      <c r="G1156" s="18" t="n">
        <f aca="false">ibpp_29</f>
        <v>0.9</v>
      </c>
      <c r="K1156" s="7" t="s">
        <v>594</v>
      </c>
    </row>
    <row r="1157" customFormat="false" ht="17.15" hidden="false" customHeight="false" outlineLevel="0" collapsed="false">
      <c r="A1157" s="3" t="s">
        <v>595</v>
      </c>
      <c r="B1157" s="0" t="s">
        <v>144</v>
      </c>
      <c r="D1157" s="18" t="n">
        <f aca="false">1</f>
        <v>1</v>
      </c>
      <c r="E1157" s="18" t="n">
        <f aca="false">1+carry</f>
        <v>1.05</v>
      </c>
      <c r="F1157" s="18" t="n">
        <f aca="false">1+carry</f>
        <v>1.05</v>
      </c>
      <c r="G1157" s="18" t="n">
        <f aca="false">1+carry</f>
        <v>1.05</v>
      </c>
      <c r="K1157" s="7" t="s">
        <v>596</v>
      </c>
    </row>
    <row r="1158" customFormat="false" ht="17.15" hidden="false" customHeight="false" outlineLevel="0" collapsed="false">
      <c r="A1158" s="3" t="s">
        <v>597</v>
      </c>
      <c r="B1158" s="0" t="s">
        <v>598</v>
      </c>
      <c r="D1158" s="23" t="n">
        <f aca="false">v26*D1155*D1156</f>
        <v>215.308596</v>
      </c>
      <c r="E1158" s="23" t="n">
        <f aca="false">v26*E1155*E1156</f>
        <v>254.06414328</v>
      </c>
      <c r="F1158" s="23" t="n">
        <f aca="false">v26*F1155*F1156</f>
        <v>284.80590461688</v>
      </c>
      <c r="G1158" s="23" t="n">
        <f aca="false">v26*G1155*G1156</f>
        <v>318.383021792765</v>
      </c>
      <c r="K1158" s="7" t="s">
        <v>599</v>
      </c>
    </row>
    <row r="1159" customFormat="false" ht="17.15" hidden="false" customHeight="false" outlineLevel="0" collapsed="false">
      <c r="A1159" s="3" t="s">
        <v>600</v>
      </c>
      <c r="B1159" s="0" t="s">
        <v>44</v>
      </c>
      <c r="D1159" s="20" t="n">
        <f aca="false">sh_nv_26</f>
        <v>0.25</v>
      </c>
      <c r="E1159" s="20" t="n">
        <f aca="false">sh_nv_27</f>
        <v>0.27</v>
      </c>
      <c r="F1159" s="20" t="n">
        <f aca="false">sh_nv_28</f>
        <v>0.29</v>
      </c>
      <c r="G1159" s="20" t="n">
        <f aca="false">sh_nv_29</f>
        <v>0.3</v>
      </c>
    </row>
    <row r="1160" customFormat="false" ht="17.15" hidden="false" customHeight="false" outlineLevel="0" collapsed="false">
      <c r="A1160" s="3" t="s">
        <v>601</v>
      </c>
      <c r="B1160" s="0" t="s">
        <v>44</v>
      </c>
      <c r="D1160" s="20" t="n">
        <f aca="false">sh_ot_26</f>
        <v>0.3</v>
      </c>
      <c r="E1160" s="20" t="n">
        <f aca="false">sh_ot_27</f>
        <v>0.31</v>
      </c>
      <c r="F1160" s="20" t="n">
        <f aca="false">sh_ot_28</f>
        <v>0.32</v>
      </c>
      <c r="G1160" s="20" t="n">
        <f aca="false">sh_ot_29</f>
        <v>0.33</v>
      </c>
    </row>
    <row r="1161" customFormat="false" ht="17.15" hidden="false" customHeight="false" outlineLevel="0" collapsed="false">
      <c r="A1161" s="3" t="s">
        <v>602</v>
      </c>
      <c r="B1161" s="0" t="s">
        <v>552</v>
      </c>
      <c r="D1161" s="22" t="n">
        <f aca="false">(D1153*D1158*D1159+D1154*D1158*v_ot*D1160)*D1157</f>
        <v>801.809211504</v>
      </c>
      <c r="E1161" s="22" t="n">
        <f aca="false">(E1153*E1158*E1159+E1154*E1158*v_ot*E1160)*E1157</f>
        <v>1624.8799315544</v>
      </c>
      <c r="F1161" s="22" t="n">
        <f aca="false">(F1153*F1158*F1159+F1154*F1158*v_ot*F1160)*F1157</f>
        <v>2125.32134231777</v>
      </c>
      <c r="G1161" s="22" t="n">
        <f aca="false">(G1153*G1158*G1159+G1154*G1158*v_ot*G1160)*G1157</f>
        <v>2788.4812844467</v>
      </c>
    </row>
    <row r="1162" customFormat="false" ht="15" hidden="false" customHeight="false" outlineLevel="0" collapsed="false">
      <c r="A1162" s="3" t="s">
        <v>603</v>
      </c>
      <c r="B1162" s="0" t="s">
        <v>302</v>
      </c>
      <c r="D1162" s="21" t="n">
        <f aca="false">D1161*fx/1000</f>
        <v>26.05879937388</v>
      </c>
      <c r="E1162" s="21" t="n">
        <f aca="false">E1161*fx/1000</f>
        <v>52.8085977755181</v>
      </c>
      <c r="F1162" s="21" t="n">
        <f aca="false">F1161*fx/1000</f>
        <v>69.0729436253277</v>
      </c>
      <c r="G1162" s="21" t="n">
        <f aca="false">G1161*fx/1000</f>
        <v>90.6256417445177</v>
      </c>
    </row>
    <row r="1163" customFormat="false" ht="17.15" hidden="false" customHeight="false" outlineLevel="0" collapsed="false">
      <c r="A1163" s="5" t="s">
        <v>604</v>
      </c>
    </row>
    <row r="1164" customFormat="false" ht="17.15" hidden="false" customHeight="false" outlineLevel="0" collapsed="false">
      <c r="A1164" s="0" t="s">
        <v>605</v>
      </c>
      <c r="B1164" s="0" t="s">
        <v>302</v>
      </c>
      <c r="D1164" s="21" t="n">
        <f aca="false">a26_abf*ai_abf</f>
        <v>74.83672875</v>
      </c>
      <c r="K1164" s="3" t="s">
        <v>606</v>
      </c>
    </row>
    <row r="1165" customFormat="false" ht="17.15" hidden="false" customHeight="false" outlineLevel="0" collapsed="false">
      <c r="A1165" s="3" t="s">
        <v>607</v>
      </c>
      <c r="B1165" s="0" t="s">
        <v>302</v>
      </c>
      <c r="D1165" s="21" t="n">
        <f aca="false">D1164-D1162</f>
        <v>48.77792937612</v>
      </c>
      <c r="E1165" s="21" t="n">
        <f aca="false">$D1165*(itc_27/itc_26)^el_o_hi*1*1*E1156*E1157</f>
        <v>89.246848633719</v>
      </c>
      <c r="F1165" s="21" t="n">
        <f aca="false">$D1165*(itc_28/itc_26)^el_o_hi*um28_A*1*F1156*F1157</f>
        <v>102.495989411331</v>
      </c>
      <c r="G1165" s="21" t="n">
        <f aca="false">$D1165*(itc_29/itc_26)^el_o_hi*um29_A*1*G1156*G1157</f>
        <v>107.768782803045</v>
      </c>
      <c r="K1165" s="7" t="s">
        <v>608</v>
      </c>
    </row>
    <row r="1166" customFormat="false" ht="17.15" hidden="false" customHeight="false" outlineLevel="0" collapsed="false">
      <c r="A1166" s="3" t="s">
        <v>609</v>
      </c>
      <c r="B1166" s="0" t="s">
        <v>302</v>
      </c>
      <c r="D1166" s="21" t="n">
        <f aca="false">a26_abf-D1164</f>
        <v>24.94557625</v>
      </c>
      <c r="E1166" s="21" t="n">
        <f aca="false">D1166*(1+g_nai)</f>
        <v>25.6939435375</v>
      </c>
      <c r="F1166" s="21" t="n">
        <f aca="false">E1166*(1+g_nai)</f>
        <v>26.464761843625</v>
      </c>
      <c r="G1166" s="21" t="n">
        <f aca="false">F1166*(1+g_nai)</f>
        <v>27.2587046989338</v>
      </c>
    </row>
    <row r="1167" customFormat="false" ht="17.15" hidden="false" customHeight="false" outlineLevel="0" collapsed="false">
      <c r="A1167" s="0" t="s">
        <v>610</v>
      </c>
      <c r="B1167" s="0" t="s">
        <v>302</v>
      </c>
      <c r="D1167" s="21" t="n">
        <f aca="false">D1162+D1165+D1166</f>
        <v>99.782305</v>
      </c>
      <c r="E1167" s="21" t="n">
        <f aca="false">E1162+E1165+E1166</f>
        <v>167.749389946737</v>
      </c>
      <c r="F1167" s="21" t="n">
        <f aca="false">F1162+F1165+F1166</f>
        <v>198.033694880284</v>
      </c>
      <c r="G1167" s="21" t="n">
        <f aca="false">G1162+G1165+G1166</f>
        <v>225.653129246496</v>
      </c>
    </row>
    <row r="1168" customFormat="false" ht="17.15" hidden="false" customHeight="false" outlineLevel="0" collapsed="false">
      <c r="A1168" s="0" t="s">
        <v>611</v>
      </c>
      <c r="B1168" s="0" t="s">
        <v>302</v>
      </c>
      <c r="D1168" s="21" t="n">
        <f aca="false">a26_abf</f>
        <v>99.782305</v>
      </c>
      <c r="E1168" s="21" t="n">
        <f aca="false">$D1167*cap_27*(1+g_mix)^1*E1156*E1157</f>
        <v>148.513488204375</v>
      </c>
      <c r="F1168" s="21" t="n">
        <f aca="false">$D1167*cap_28*(1+g_mix)^2*F1156*F1157</f>
        <v>186.549442683384</v>
      </c>
      <c r="G1168" s="21" t="n">
        <f aca="false">$D1167*cap_29*(1+g_mix)^3*G1156*G1157</f>
        <v>218.314827660431</v>
      </c>
      <c r="K1168" s="7" t="s">
        <v>612</v>
      </c>
    </row>
    <row r="1169" customFormat="false" ht="17.15" hidden="false" customHeight="false" outlineLevel="0" collapsed="false">
      <c r="A1169" s="0" t="s">
        <v>613</v>
      </c>
      <c r="B1169" s="0" t="s">
        <v>302</v>
      </c>
      <c r="D1169" s="21" t="n">
        <f aca="false">a26_abf</f>
        <v>99.782305</v>
      </c>
      <c r="E1169" s="21" t="n">
        <f aca="false">MIN(E1167,E1168)</f>
        <v>148.513488204375</v>
      </c>
      <c r="F1169" s="21" t="n">
        <f aca="false">MIN(F1167,F1168)</f>
        <v>186.549442683384</v>
      </c>
      <c r="G1169" s="21" t="n">
        <f aca="false">MIN(G1167,G1168)</f>
        <v>218.314827660431</v>
      </c>
    </row>
    <row r="1170" customFormat="false" ht="17.15" hidden="false" customHeight="false" outlineLevel="0" collapsed="false">
      <c r="A1170" s="3" t="s">
        <v>614</v>
      </c>
      <c r="B1170" s="0" t="s">
        <v>44</v>
      </c>
      <c r="D1170" s="20" t="n">
        <f aca="false">D1169/D1167</f>
        <v>1</v>
      </c>
      <c r="E1170" s="20" t="n">
        <f aca="false">E1169/E1167</f>
        <v>0.885329527884007</v>
      </c>
      <c r="F1170" s="20" t="n">
        <f aca="false">F1169/F1167</f>
        <v>0.942008595033072</v>
      </c>
      <c r="G1170" s="20" t="n">
        <f aca="false">G1169/G1167</f>
        <v>0.967479726026538</v>
      </c>
    </row>
    <row r="1171" customFormat="false" ht="17.15" hidden="false" customHeight="false" outlineLevel="0" collapsed="false">
      <c r="A1171" s="0" t="s">
        <v>615</v>
      </c>
      <c r="B1171" s="0" t="s">
        <v>302</v>
      </c>
      <c r="D1171" s="21" t="n">
        <f aca="false">(D1162+D1165)*D1170</f>
        <v>74.83672875</v>
      </c>
      <c r="E1171" s="21" t="n">
        <f aca="false">(E1162+E1165)*E1170</f>
        <v>125.765881302842</v>
      </c>
      <c r="F1171" s="21" t="n">
        <f aca="false">(F1162+F1165)*F1170</f>
        <v>161.619409561186</v>
      </c>
      <c r="G1171" s="21" t="n">
        <f aca="false">(G1162+G1165)*G1170</f>
        <v>191.942583506469</v>
      </c>
    </row>
    <row r="1172" customFormat="false" ht="17.15" hidden="false" customHeight="false" outlineLevel="0" collapsed="false">
      <c r="A1172" s="3" t="s">
        <v>616</v>
      </c>
      <c r="B1172" s="0" t="s">
        <v>44</v>
      </c>
      <c r="D1172" s="20" t="n">
        <f aca="false">D1162/(D1162+D1165)</f>
        <v>0.348208691228771</v>
      </c>
      <c r="E1172" s="20" t="n">
        <f aca="false">E1162/(E1162+E1165)</f>
        <v>0.371746378687838</v>
      </c>
      <c r="F1172" s="20" t="n">
        <f aca="false">F1162/(F1162+F1165)</f>
        <v>0.402595868627154</v>
      </c>
      <c r="G1172" s="20" t="n">
        <f aca="false">G1162/(G1162+G1165)</f>
        <v>0.456795305368026</v>
      </c>
    </row>
    <row r="1173" customFormat="false" ht="17.15" hidden="false" customHeight="false" outlineLevel="0" collapsed="false">
      <c r="A1173" s="5" t="s">
        <v>617</v>
      </c>
    </row>
    <row r="1174" customFormat="false" ht="17.15" hidden="false" customHeight="false" outlineLevel="0" collapsed="false">
      <c r="A1174" s="0" t="s">
        <v>519</v>
      </c>
      <c r="B1174" s="0" t="s">
        <v>302</v>
      </c>
      <c r="D1174" s="21" t="n">
        <f aca="false">a26_bt</f>
        <v>16.944165</v>
      </c>
      <c r="E1174" s="21" t="n">
        <f aca="false">D1174*(1+g_bt)</f>
        <v>17.79137325</v>
      </c>
      <c r="F1174" s="21" t="n">
        <f aca="false">E1174*(1+g_bt)</f>
        <v>18.6809419125</v>
      </c>
      <c r="G1174" s="21" t="n">
        <f aca="false">F1174*(1+g_bt)</f>
        <v>19.614989008125</v>
      </c>
    </row>
    <row r="1175" customFormat="false" ht="17.15" hidden="false" customHeight="false" outlineLevel="0" collapsed="false">
      <c r="A1175" s="0" t="s">
        <v>618</v>
      </c>
      <c r="B1175" s="0" t="s">
        <v>302</v>
      </c>
      <c r="D1175" s="21" t="n">
        <f aca="false">a26_pcb*ai_pcb</f>
        <v>37.93610275</v>
      </c>
      <c r="E1175" s="21" t="n">
        <f aca="false">D1175*(1+g_pai_27)</f>
        <v>45.5233233</v>
      </c>
      <c r="F1175" s="21" t="n">
        <f aca="false">D1175*(1+g_pai_27)*(1+g_pai_28)*um28_A</f>
        <v>52.351821795</v>
      </c>
      <c r="G1175" s="21" t="n">
        <f aca="false">D1175*(1+g_pai_27)*(1+g_pai_28)*(1+g_pai_29)*um29_A</f>
        <v>57.5870039745</v>
      </c>
      <c r="K1175" s="3" t="s">
        <v>619</v>
      </c>
    </row>
    <row r="1176" customFormat="false" ht="17.15" hidden="false" customHeight="false" outlineLevel="0" collapsed="false">
      <c r="A1176" s="3" t="s">
        <v>620</v>
      </c>
      <c r="B1176" s="0" t="s">
        <v>302</v>
      </c>
      <c r="D1176" s="21" t="n">
        <f aca="false">a26_pcb*(1-ai_pcb)</f>
        <v>20.42713225</v>
      </c>
      <c r="E1176" s="21" t="n">
        <f aca="false">D1176*(1+g_pcbn)</f>
        <v>20.835674895</v>
      </c>
      <c r="F1176" s="21" t="n">
        <f aca="false">E1176*(1+g_pcbn)</f>
        <v>21.2523883929</v>
      </c>
      <c r="G1176" s="21" t="n">
        <f aca="false">F1176*(1+g_pcbn)</f>
        <v>21.677436160758</v>
      </c>
    </row>
    <row r="1177" customFormat="false" ht="15" hidden="false" customHeight="false" outlineLevel="0" collapsed="false">
      <c r="A1177" s="3" t="s">
        <v>521</v>
      </c>
      <c r="B1177" s="0" t="s">
        <v>302</v>
      </c>
      <c r="D1177" s="21" t="n">
        <f aca="false">a26_fpc</f>
        <v>13.178795</v>
      </c>
      <c r="E1177" s="21" t="n">
        <f aca="false">D1177*(1+g_fpc)</f>
        <v>13.178795</v>
      </c>
      <c r="F1177" s="21" t="n">
        <f aca="false">E1177*(1+g_fpc)</f>
        <v>13.178795</v>
      </c>
      <c r="G1177" s="21" t="n">
        <f aca="false">F1177*(1+g_fpc)</f>
        <v>13.178795</v>
      </c>
    </row>
    <row r="1178" customFormat="false" ht="17.15" hidden="false" customHeight="false" outlineLevel="0" collapsed="false">
      <c r="A1178" s="3" t="s">
        <v>484</v>
      </c>
      <c r="B1178" s="0" t="s">
        <v>302</v>
      </c>
      <c r="C1178" s="23" t="n">
        <f aca="false">a25_rev</f>
        <v>131.241</v>
      </c>
      <c r="D1178" s="23" t="n">
        <f aca="false">D1169+D1174+D1175+D1176+D1177</f>
        <v>188.2685</v>
      </c>
      <c r="E1178" s="23" t="n">
        <f aca="false">E1169+E1174+E1175+E1176+E1177</f>
        <v>245.842654649375</v>
      </c>
      <c r="F1178" s="23" t="n">
        <f aca="false">F1169+F1174+F1175+F1176+F1177</f>
        <v>292.013389783784</v>
      </c>
      <c r="G1178" s="23" t="n">
        <f aca="false">G1169+G1174+G1175+G1176+G1177</f>
        <v>330.373051803814</v>
      </c>
      <c r="H1178" s="25" t="n">
        <f aca="false">G1178*(1+H1179)</f>
        <v>365.912972905286</v>
      </c>
      <c r="I1178" s="25" t="n">
        <f aca="false">H1178*(1+I1179)</f>
        <v>396.571928303815</v>
      </c>
      <c r="J1178" s="25" t="n">
        <f aca="false">I1178*(1+J1179)</f>
        <v>420.366244002044</v>
      </c>
      <c r="K1178" s="7" t="s">
        <v>621</v>
      </c>
    </row>
    <row r="1179" customFormat="false" ht="15" hidden="false" customHeight="false" outlineLevel="0" collapsed="false">
      <c r="A1179" s="3" t="s">
        <v>622</v>
      </c>
      <c r="B1179" s="0" t="s">
        <v>44</v>
      </c>
      <c r="D1179" s="20" t="n">
        <f aca="false">D1178/C1178-1</f>
        <v>0.434525034097576</v>
      </c>
      <c r="E1179" s="20" t="n">
        <f aca="false">E1178/D1178-1</f>
        <v>0.30580875</v>
      </c>
      <c r="F1179" s="20" t="n">
        <f aca="false">F1178/E1178-1</f>
        <v>0.187806038786308</v>
      </c>
      <c r="G1179" s="20" t="n">
        <f aca="false">G1178/F1178-1</f>
        <v>0.131362681856584</v>
      </c>
      <c r="H1179" s="26" t="n">
        <f aca="false">$G1179+(fade_gA-$G1179)*1/3</f>
        <v>0.107575121237723</v>
      </c>
      <c r="I1179" s="26" t="n">
        <f aca="false">$G1179+(fade_gA-$G1179)*2/3</f>
        <v>0.0837875606188614</v>
      </c>
      <c r="J1179" s="26" t="n">
        <f aca="false">$G1179+(fade_gA-$G1179)*3/3</f>
        <v>0.06</v>
      </c>
    </row>
    <row r="1180" customFormat="false" ht="17.15" hidden="false" customHeight="false" outlineLevel="0" collapsed="false">
      <c r="A1180" s="0" t="s">
        <v>623</v>
      </c>
      <c r="B1180" s="0" t="s">
        <v>44</v>
      </c>
      <c r="D1180" s="20" t="n">
        <f aca="false">D1169/D1178</f>
        <v>0.53</v>
      </c>
      <c r="E1180" s="20" t="n">
        <f aca="false">E1169/E1178</f>
        <v>0.604099758100105</v>
      </c>
      <c r="F1180" s="20" t="n">
        <f aca="false">F1169/F1178</f>
        <v>0.638838660177574</v>
      </c>
      <c r="G1180" s="20" t="n">
        <f aca="false">G1169/G1178</f>
        <v>0.660813061078824</v>
      </c>
    </row>
    <row r="1181" customFormat="false" ht="17.15" hidden="false" customHeight="false" outlineLevel="0" collapsed="false">
      <c r="A1181" s="0" t="s">
        <v>624</v>
      </c>
      <c r="B1181" s="0" t="s">
        <v>44</v>
      </c>
      <c r="D1181" s="20" t="n">
        <f aca="false">(D1171+D1175)/D1178</f>
        <v>0.599</v>
      </c>
      <c r="E1181" s="20" t="n">
        <f aca="false">(E1171+E1175)/E1178</f>
        <v>0.696743227277371</v>
      </c>
      <c r="F1181" s="20" t="n">
        <f aca="false">(F1171+F1175)/F1178</f>
        <v>0.732744589262215</v>
      </c>
      <c r="G1181" s="20" t="n">
        <f aca="false">(G1171+G1175)/G1178</f>
        <v>0.755296432679827</v>
      </c>
      <c r="K1181" s="3" t="s">
        <v>625</v>
      </c>
    </row>
    <row r="1182" customFormat="false" ht="17.15" hidden="false" customHeight="false" outlineLevel="0" collapsed="false">
      <c r="A1182" s="5" t="s">
        <v>626</v>
      </c>
    </row>
    <row r="1183" customFormat="false" ht="15" hidden="false" customHeight="false" outlineLevel="0" collapsed="false">
      <c r="A1183" s="3" t="s">
        <v>627</v>
      </c>
      <c r="B1183" s="0" t="s">
        <v>302</v>
      </c>
      <c r="C1183" s="23" t="n">
        <f aca="false">a25_cx</f>
        <v>25.617</v>
      </c>
      <c r="D1183" s="23" t="n">
        <f aca="false">capex26</f>
        <v>53.7</v>
      </c>
      <c r="E1183" s="23" t="n">
        <f aca="false">cx27_A</f>
        <v>55</v>
      </c>
      <c r="F1183" s="23" t="n">
        <f aca="false">cx28_A</f>
        <v>50</v>
      </c>
      <c r="G1183" s="23" t="n">
        <f aca="false">cx29_A</f>
        <v>45</v>
      </c>
      <c r="H1183" s="25" t="n">
        <f aca="false">H1178*H1200</f>
        <v>46.7627442346397</v>
      </c>
      <c r="I1183" s="25" t="n">
        <f aca="false">I1178*I1200</f>
        <v>47.3448347556311</v>
      </c>
      <c r="J1183" s="25" t="n">
        <f aca="false">J1178*J1200</f>
        <v>46.6493163499198</v>
      </c>
    </row>
    <row r="1184" customFormat="false" ht="17.15" hidden="false" customHeight="false" outlineLevel="0" collapsed="false">
      <c r="A1184" s="3" t="s">
        <v>628</v>
      </c>
      <c r="B1184" s="0" t="s">
        <v>302</v>
      </c>
      <c r="C1184" s="23" t="n">
        <f aca="false">a25_da</f>
        <v>18.8</v>
      </c>
      <c r="D1184" s="23" t="n">
        <f aca="false">da26</f>
        <v>20.8</v>
      </c>
      <c r="E1184" s="23" t="n">
        <f aca="false">D1184*(1-1/life)+D1183/life</f>
        <v>24.9125</v>
      </c>
      <c r="F1184" s="23" t="n">
        <f aca="false">E1184*(1-1/life)+E1183/life</f>
        <v>28.6734375</v>
      </c>
      <c r="G1184" s="23" t="n">
        <f aca="false">F1184*(1-1/life)+F1183/life</f>
        <v>31.3392578125</v>
      </c>
      <c r="H1184" s="25" t="n">
        <f aca="false">H1178*H1185</f>
        <v>34.7105822711799</v>
      </c>
      <c r="I1184" s="25" t="n">
        <f aca="false">I1178*I1185</f>
        <v>37.6188972873424</v>
      </c>
      <c r="J1184" s="25" t="n">
        <f aca="false">J1178*J1185</f>
        <v>39.876031124583</v>
      </c>
      <c r="K1184" s="3" t="s">
        <v>629</v>
      </c>
    </row>
    <row r="1185" customFormat="false" ht="17.15" hidden="false" customHeight="false" outlineLevel="0" collapsed="false">
      <c r="A1185" s="3" t="s">
        <v>630</v>
      </c>
      <c r="B1185" s="0" t="s">
        <v>44</v>
      </c>
      <c r="C1185" s="20" t="n">
        <f aca="false">C1184/C1178</f>
        <v>0.143247917952469</v>
      </c>
      <c r="D1185" s="20" t="n">
        <f aca="false">D1184/D1178</f>
        <v>0.110480510547436</v>
      </c>
      <c r="E1185" s="20" t="n">
        <f aca="false">E1184/E1178</f>
        <v>0.101335140704247</v>
      </c>
      <c r="F1185" s="20" t="n">
        <f aca="false">F1184/F1178</f>
        <v>0.0981922011221153</v>
      </c>
      <c r="G1185" s="20" t="n">
        <f aca="false">G1184/G1178</f>
        <v>0.0948602122400414</v>
      </c>
      <c r="H1185" s="26" t="n">
        <f aca="false">$G1185</f>
        <v>0.0948602122400414</v>
      </c>
      <c r="I1185" s="26" t="n">
        <f aca="false">$G1185</f>
        <v>0.0948602122400414</v>
      </c>
      <c r="J1185" s="26" t="n">
        <f aca="false">$G1185</f>
        <v>0.0948602122400414</v>
      </c>
    </row>
    <row r="1186" customFormat="false" ht="17.15" hidden="false" customHeight="false" outlineLevel="0" collapsed="false">
      <c r="A1186" s="3" t="s">
        <v>631</v>
      </c>
      <c r="B1186" s="0" t="s">
        <v>302</v>
      </c>
      <c r="E1186" s="21" t="n">
        <f aca="false">E1171*(1-1/(E1156*E1157))</f>
        <v>5.98885149061152</v>
      </c>
      <c r="F1186" s="21" t="n">
        <f aca="false">F1171*(1-1/(F1156*F1157))</f>
        <v>-0.405061176845105</v>
      </c>
      <c r="G1186" s="21" t="n">
        <f aca="false">G1171*(1-1/(G1156*G1157))</f>
        <v>-11.1712614739214</v>
      </c>
      <c r="K1186" s="7" t="s">
        <v>632</v>
      </c>
    </row>
    <row r="1187" customFormat="false" ht="17.15" hidden="false" customHeight="false" outlineLevel="0" collapsed="false">
      <c r="A1187" s="3" t="s">
        <v>633</v>
      </c>
      <c r="B1187" s="0" t="s">
        <v>302</v>
      </c>
      <c r="C1187" s="21" t="n">
        <f aca="false">a25_gp</f>
        <v>18.292</v>
      </c>
      <c r="D1187" s="21" t="n">
        <f aca="false">a26_gp</f>
        <v>47.3329657</v>
      </c>
      <c r="E1187" s="21" t="n">
        <f aca="false">$D1187+ft_abf*(E1169-E1186-$D1169)+ft_oth*((E1178-E1169)-($D1178-$D1169))+E1186-(E1184-$D1184)</f>
        <v>72.7912259087433</v>
      </c>
      <c r="F1187" s="21" t="n">
        <f aca="false">$D1187+ft_abf*(F1169-F1186-$D1169)+ft_oth*((F1178-F1169)-($D1178-$D1169))+F1186-(F1184-$D1184)</f>
        <v>86.8850044783696</v>
      </c>
      <c r="G1187" s="21" t="n">
        <f aca="false">$D1187+ft_abf*(G1169-G1186-$D1169)+ft_oth*((G1178-G1169)-($D1178-$D1169))+G1186-(G1184-$D1184)</f>
        <v>96.3673457666007</v>
      </c>
      <c r="K1187" s="3" t="s">
        <v>634</v>
      </c>
    </row>
    <row r="1188" customFormat="false" ht="15" hidden="false" customHeight="false" outlineLevel="0" collapsed="false">
      <c r="A1188" s="3" t="s">
        <v>491</v>
      </c>
      <c r="B1188" s="0" t="s">
        <v>44</v>
      </c>
      <c r="C1188" s="16" t="n">
        <f aca="false">C1187/C1178</f>
        <v>0.139377176339711</v>
      </c>
      <c r="D1188" s="16" t="n">
        <f aca="false">D1187/D1178</f>
        <v>0.251412029627899</v>
      </c>
      <c r="E1188" s="16" t="n">
        <f aca="false">E1187/E1178</f>
        <v>0.296088675142885</v>
      </c>
      <c r="F1188" s="16" t="n">
        <f aca="false">F1187/F1178</f>
        <v>0.297537741480628</v>
      </c>
      <c r="G1188" s="16" t="n">
        <f aca="false">G1187/G1178</f>
        <v>0.291692513176972</v>
      </c>
    </row>
    <row r="1189" customFormat="false" ht="15" hidden="false" customHeight="false" outlineLevel="0" collapsed="false">
      <c r="A1189" s="3" t="s">
        <v>493</v>
      </c>
      <c r="B1189" s="0" t="s">
        <v>302</v>
      </c>
      <c r="C1189" s="21" t="n">
        <f aca="false">a25_opx</f>
        <v>11.618</v>
      </c>
      <c r="D1189" s="21" t="n">
        <f aca="false">a26_opx</f>
        <v>16.6539532</v>
      </c>
      <c r="E1189" s="21" t="n">
        <f aca="false">D1189*(1+phi*E1179)</f>
        <v>19.7097079663903</v>
      </c>
      <c r="F1189" s="21" t="n">
        <f aca="false">E1189*(1+phi*F1179)</f>
        <v>21.9306692736719</v>
      </c>
      <c r="G1189" s="21" t="n">
        <f aca="false">F1189*(1+phi*G1179)</f>
        <v>23.6591921920915</v>
      </c>
    </row>
    <row r="1190" customFormat="false" ht="15" hidden="false" customHeight="false" outlineLevel="0" collapsed="false">
      <c r="A1190" s="3" t="s">
        <v>496</v>
      </c>
      <c r="B1190" s="0" t="s">
        <v>302</v>
      </c>
      <c r="C1190" s="21" t="n">
        <f aca="false">C1187-C1189</f>
        <v>6.674</v>
      </c>
      <c r="D1190" s="21" t="n">
        <f aca="false">D1187-D1189</f>
        <v>30.6790125</v>
      </c>
      <c r="E1190" s="21" t="n">
        <f aca="false">E1187-E1189</f>
        <v>53.081517942353</v>
      </c>
      <c r="F1190" s="21" t="n">
        <f aca="false">F1187-F1189</f>
        <v>64.9543352046977</v>
      </c>
      <c r="G1190" s="21" t="n">
        <f aca="false">G1187-G1189</f>
        <v>72.7081535745091</v>
      </c>
    </row>
    <row r="1191" customFormat="false" ht="15" hidden="false" customHeight="false" outlineLevel="0" collapsed="false">
      <c r="A1191" s="3" t="s">
        <v>575</v>
      </c>
      <c r="B1191" s="0" t="s">
        <v>44</v>
      </c>
      <c r="C1191" s="16" t="n">
        <f aca="false">C1190/C1178</f>
        <v>0.0508530108731265</v>
      </c>
      <c r="D1191" s="16" t="n">
        <f aca="false">D1190/D1178</f>
        <v>0.162953507888999</v>
      </c>
      <c r="E1191" s="16" t="n">
        <f aca="false">E1190/E1178</f>
        <v>0.215916631790601</v>
      </c>
      <c r="F1191" s="16" t="n">
        <f aca="false">F1190/F1178</f>
        <v>0.22243615353663</v>
      </c>
      <c r="G1191" s="16" t="n">
        <f aca="false">G1190/G1178</f>
        <v>0.220078947654864</v>
      </c>
    </row>
    <row r="1192" customFormat="false" ht="17.15" hidden="false" customHeight="false" outlineLevel="0" collapsed="false">
      <c r="A1192" s="3" t="s">
        <v>635</v>
      </c>
      <c r="B1192" s="0" t="s">
        <v>302</v>
      </c>
      <c r="C1192" s="21" t="n">
        <f aca="false">a25_nonop</f>
        <v>-0.00100000000000033</v>
      </c>
      <c r="D1192" s="21" t="n">
        <f aca="false">a26_nonop</f>
        <v>14.466</v>
      </c>
      <c r="E1192" s="21" t="n">
        <f aca="false">nonop27</f>
        <v>2</v>
      </c>
      <c r="F1192" s="21" t="n">
        <f aca="false">nonop28</f>
        <v>2</v>
      </c>
      <c r="G1192" s="21" t="n">
        <f aca="false">nonop29</f>
        <v>2</v>
      </c>
      <c r="K1192" s="7" t="s">
        <v>636</v>
      </c>
    </row>
    <row r="1193" customFormat="false" ht="15" hidden="false" customHeight="false" outlineLevel="0" collapsed="false">
      <c r="A1193" s="3" t="s">
        <v>502</v>
      </c>
      <c r="B1193" s="0" t="s">
        <v>302</v>
      </c>
      <c r="C1193" s="21" t="n">
        <f aca="false">C1190+C1192</f>
        <v>6.673</v>
      </c>
      <c r="D1193" s="21" t="n">
        <f aca="false">D1190+D1192</f>
        <v>45.1450125</v>
      </c>
      <c r="E1193" s="21" t="n">
        <f aca="false">E1190+E1192</f>
        <v>55.081517942353</v>
      </c>
      <c r="F1193" s="21" t="n">
        <f aca="false">F1190+F1192</f>
        <v>66.9543352046977</v>
      </c>
      <c r="G1193" s="21" t="n">
        <f aca="false">G1190+G1192</f>
        <v>74.7081535745091</v>
      </c>
    </row>
    <row r="1194" customFormat="false" ht="15" hidden="false" customHeight="false" outlineLevel="0" collapsed="false">
      <c r="A1194" s="3" t="s">
        <v>506</v>
      </c>
      <c r="B1194" s="0" t="s">
        <v>302</v>
      </c>
      <c r="E1194" s="21" t="n">
        <f aca="false">E1193*tax</f>
        <v>9.91467322962353</v>
      </c>
      <c r="F1194" s="21" t="n">
        <f aca="false">F1193*tax</f>
        <v>12.0517803368456</v>
      </c>
      <c r="G1194" s="21" t="n">
        <f aca="false">G1193*tax</f>
        <v>13.4474676434116</v>
      </c>
    </row>
    <row r="1195" customFormat="false" ht="15" hidden="false" customHeight="false" outlineLevel="0" collapsed="false">
      <c r="A1195" s="3" t="s">
        <v>504</v>
      </c>
      <c r="B1195" s="0" t="s">
        <v>302</v>
      </c>
      <c r="C1195" s="21" t="n">
        <f aca="false">a25_ni</f>
        <v>6.673</v>
      </c>
      <c r="D1195" s="21" t="n">
        <f aca="false">a26_ni</f>
        <v>37.23923025</v>
      </c>
      <c r="E1195" s="21" t="n">
        <f aca="false">E1193-E1194</f>
        <v>45.1668447127294</v>
      </c>
      <c r="F1195" s="21" t="n">
        <f aca="false">F1193-F1194</f>
        <v>54.9025548678521</v>
      </c>
      <c r="G1195" s="21" t="n">
        <f aca="false">G1193-G1194</f>
        <v>61.2606859310975</v>
      </c>
      <c r="H1195" s="30" t="n">
        <f aca="false">H1178*H1199</f>
        <v>66.4361009181534</v>
      </c>
      <c r="I1195" s="30" t="n">
        <f aca="false">I1178*I1199</f>
        <v>70.4693738610543</v>
      </c>
      <c r="J1195" s="30" t="n">
        <f aca="false">J1178*J1199</f>
        <v>73.0722956492544</v>
      </c>
    </row>
    <row r="1196" customFormat="false" ht="15" hidden="false" customHeight="false" outlineLevel="0" collapsed="false">
      <c r="A1196" s="3" t="s">
        <v>637</v>
      </c>
      <c r="B1196" s="3" t="s">
        <v>380</v>
      </c>
      <c r="C1196" s="29" t="n">
        <f aca="false">a25_sh</f>
        <v>1.52351598173516</v>
      </c>
      <c r="D1196" s="29" t="n">
        <f aca="false">a26_sh</f>
        <v>1.59236316568047</v>
      </c>
      <c r="E1196" s="29" t="n">
        <f aca="false">a26_shend*(1+sh_g)</f>
        <v>1.64</v>
      </c>
      <c r="F1196" s="29" t="n">
        <f aca="false">E1196*(1+sh_g)</f>
        <v>1.64</v>
      </c>
      <c r="G1196" s="29" t="n">
        <f aca="false">F1196*(1+sh_g)</f>
        <v>1.64</v>
      </c>
      <c r="H1196" s="31" t="n">
        <f aca="false">G1196*(1+sh_g)</f>
        <v>1.64</v>
      </c>
      <c r="I1196" s="31" t="n">
        <f aca="false">H1196*(1+sh_g)</f>
        <v>1.64</v>
      </c>
      <c r="J1196" s="31" t="n">
        <f aca="false">I1196*(1+sh_g)</f>
        <v>1.64</v>
      </c>
    </row>
    <row r="1197" customFormat="false" ht="17.15" hidden="false" customHeight="false" outlineLevel="0" collapsed="false">
      <c r="A1197" s="0" t="s">
        <v>509</v>
      </c>
      <c r="B1197" s="0" t="s">
        <v>386</v>
      </c>
      <c r="C1197" s="18" t="n">
        <f aca="false">C1195/C1196</f>
        <v>4.38</v>
      </c>
      <c r="D1197" s="18" t="n">
        <f aca="false">D1195/D1196</f>
        <v>23.3861414610695</v>
      </c>
      <c r="E1197" s="18" t="n">
        <f aca="false">E1195/E1196</f>
        <v>27.5407589711765</v>
      </c>
      <c r="F1197" s="18" t="n">
        <f aca="false">F1195/F1196</f>
        <v>33.4771676023488</v>
      </c>
      <c r="G1197" s="18" t="n">
        <f aca="false">G1195/G1196</f>
        <v>37.3540767872546</v>
      </c>
      <c r="H1197" s="28" t="n">
        <f aca="false">H1195/H1196</f>
        <v>40.5098176330204</v>
      </c>
      <c r="I1197" s="28" t="n">
        <f aca="false">I1195/I1196</f>
        <v>42.9691304030819</v>
      </c>
      <c r="J1197" s="28" t="n">
        <f aca="false">J1195/J1196</f>
        <v>44.5562778349112</v>
      </c>
    </row>
    <row r="1198" customFormat="false" ht="17.15" hidden="false" customHeight="false" outlineLevel="0" collapsed="false">
      <c r="A1198" s="0" t="s">
        <v>638</v>
      </c>
      <c r="B1198" s="0" t="s">
        <v>44</v>
      </c>
      <c r="D1198" s="20" t="n">
        <f aca="false">D1197/C1197-1</f>
        <v>4.33930170344053</v>
      </c>
      <c r="E1198" s="20" t="n">
        <f aca="false">E1197/D1197-1</f>
        <v>0.177652970970996</v>
      </c>
      <c r="F1198" s="20" t="n">
        <f aca="false">F1197/E1197-1</f>
        <v>0.215549928648853</v>
      </c>
      <c r="G1198" s="20" t="n">
        <f aca="false">G1197/F1197-1</f>
        <v>0.115807562663507</v>
      </c>
      <c r="H1198" s="26" t="n">
        <f aca="false">H1197/G1197-1</f>
        <v>0.0844818321635654</v>
      </c>
      <c r="I1198" s="26" t="n">
        <f aca="false">I1197/H1197-1</f>
        <v>0.0607090555761207</v>
      </c>
      <c r="J1198" s="26" t="n">
        <f aca="false">J1197/I1197-1</f>
        <v>0.0369369223193654</v>
      </c>
    </row>
    <row r="1199" customFormat="false" ht="17.15" hidden="false" customHeight="false" outlineLevel="0" collapsed="false">
      <c r="A1199" s="3" t="s">
        <v>639</v>
      </c>
      <c r="B1199" s="0" t="s">
        <v>44</v>
      </c>
      <c r="C1199" s="16" t="n">
        <f aca="false">C1195/C1178</f>
        <v>0.0508453913030227</v>
      </c>
      <c r="D1199" s="16" t="n">
        <f aca="false">D1195/D1178</f>
        <v>0.197798517808343</v>
      </c>
      <c r="E1199" s="16" t="n">
        <f aca="false">E1195/E1178</f>
        <v>0.183722571565732</v>
      </c>
      <c r="F1199" s="16" t="n">
        <f aca="false">F1195/F1178</f>
        <v>0.188013826723849</v>
      </c>
      <c r="G1199" s="16" t="n">
        <f aca="false">G1195/G1178</f>
        <v>0.185428822346794</v>
      </c>
      <c r="H1199" s="27" t="n">
        <f aca="false">$G1199+(fade_mA-$G1199)*1/3</f>
        <v>0.181562573173239</v>
      </c>
      <c r="I1199" s="27" t="n">
        <f aca="false">$G1199+(fade_mA-$G1199)*2/3</f>
        <v>0.177696323999684</v>
      </c>
      <c r="J1199" s="27" t="n">
        <f aca="false">$G1199+(fade_mA-$G1199)*3/3</f>
        <v>0.17383007482613</v>
      </c>
    </row>
    <row r="1200" customFormat="false" ht="17.15" hidden="false" customHeight="false" outlineLevel="0" collapsed="false">
      <c r="A1200" s="3" t="s">
        <v>640</v>
      </c>
      <c r="B1200" s="0" t="s">
        <v>44</v>
      </c>
      <c r="C1200" s="20" t="n">
        <f aca="false">C1183/C1178</f>
        <v>0.195190527350447</v>
      </c>
      <c r="D1200" s="20" t="n">
        <f aca="false">D1183/D1178</f>
        <v>0.285230933480641</v>
      </c>
      <c r="E1200" s="20" t="n">
        <f aca="false">E1183/E1178</f>
        <v>0.223720330706817</v>
      </c>
      <c r="F1200" s="20" t="n">
        <f aca="false">F1183/F1178</f>
        <v>0.171225025116217</v>
      </c>
      <c r="G1200" s="20" t="n">
        <f aca="false">G1183/G1178</f>
        <v>0.136209656793443</v>
      </c>
      <c r="H1200" s="26" t="n">
        <f aca="false">$G1200+($G1185*(1+tp_g)^(life/2)-$G1200)*1/3</f>
        <v>0.127797448293105</v>
      </c>
      <c r="I1200" s="26" t="n">
        <f aca="false">$G1200+($G1185*(1+tp_g)^(life/2)-$G1200)*2/3</f>
        <v>0.119385239792767</v>
      </c>
      <c r="J1200" s="26" t="n">
        <f aca="false">$G1200+($G1185*(1+tp_g)^(life/2)-$G1200)*3/3</f>
        <v>0.110973031292429</v>
      </c>
      <c r="K1200" s="7" t="s">
        <v>641</v>
      </c>
    </row>
    <row r="1201" customFormat="false" ht="15" hidden="false" customHeight="false" outlineLevel="0" collapsed="false">
      <c r="A1201" s="3" t="s">
        <v>642</v>
      </c>
      <c r="B1201" s="0" t="s">
        <v>302</v>
      </c>
      <c r="E1201" s="21" t="n">
        <f aca="false">E1195+E1184-E1183</f>
        <v>15.0793447127294</v>
      </c>
      <c r="F1201" s="21" t="n">
        <f aca="false">F1195+F1184-F1183</f>
        <v>33.5759923678521</v>
      </c>
      <c r="G1201" s="21" t="n">
        <f aca="false">G1195+G1184-G1183</f>
        <v>47.5999437435975</v>
      </c>
      <c r="H1201" s="30" t="n">
        <f aca="false">H1195+H1184-H1183</f>
        <v>54.3839389546936</v>
      </c>
      <c r="I1201" s="30" t="n">
        <f aca="false">I1195+I1184-I1183</f>
        <v>60.7434363927656</v>
      </c>
      <c r="J1201" s="30" t="n">
        <f aca="false">J1195+J1184-J1183</f>
        <v>66.2990104239176</v>
      </c>
      <c r="K1201" s="3" t="s">
        <v>643</v>
      </c>
    </row>
    <row r="1202" customFormat="false" ht="15" hidden="false" customHeight="false" outlineLevel="0" collapsed="false">
      <c r="A1202" s="3" t="s">
        <v>644</v>
      </c>
      <c r="B1202" s="0" t="s">
        <v>386</v>
      </c>
      <c r="E1202" s="18" t="n">
        <f aca="false">E1201/E1196</f>
        <v>9.19472238581063</v>
      </c>
      <c r="F1202" s="18" t="n">
        <f aca="false">F1201/F1196</f>
        <v>20.4731660779586</v>
      </c>
      <c r="G1202" s="18" t="n">
        <f aca="false">G1201/G1196</f>
        <v>29.024355941218</v>
      </c>
      <c r="H1202" s="28" t="n">
        <f aca="false">H1201/H1196</f>
        <v>33.1609383870083</v>
      </c>
      <c r="I1202" s="28" t="n">
        <f aca="false">I1201/I1196</f>
        <v>37.0386807272961</v>
      </c>
      <c r="J1202" s="28" t="n">
        <f aca="false">J1201/J1196</f>
        <v>40.4262258682424</v>
      </c>
    </row>
    <row r="1205" customFormat="false" ht="17.15" hidden="false" customHeight="false" outlineLevel="0" collapsed="false">
      <c r="A1205" s="1" t="s">
        <v>965</v>
      </c>
    </row>
    <row r="1206" customFormat="false" ht="17.15" hidden="false" customHeight="false" outlineLevel="0" collapsed="false">
      <c r="A1206" s="4" t="s">
        <v>21</v>
      </c>
      <c r="B1206" s="4" t="s">
        <v>22</v>
      </c>
      <c r="C1206" s="13" t="s">
        <v>477</v>
      </c>
      <c r="D1206" s="13" t="s">
        <v>562</v>
      </c>
      <c r="E1206" s="13" t="s">
        <v>563</v>
      </c>
      <c r="F1206" s="13" t="s">
        <v>564</v>
      </c>
      <c r="G1206" s="13" t="s">
        <v>565</v>
      </c>
      <c r="H1206" s="13" t="s">
        <v>566</v>
      </c>
      <c r="I1206" s="13" t="s">
        <v>567</v>
      </c>
      <c r="J1206" s="13" t="s">
        <v>568</v>
      </c>
      <c r="K1206" s="4" t="s">
        <v>533</v>
      </c>
    </row>
    <row r="1207" customFormat="false" ht="17.15" hidden="false" customHeight="false" outlineLevel="0" collapsed="false">
      <c r="A1207" s="5" t="s">
        <v>586</v>
      </c>
    </row>
    <row r="1208" customFormat="false" ht="17.15" hidden="false" customHeight="false" outlineLevel="0" collapsed="false">
      <c r="A1208" s="0" t="s">
        <v>587</v>
      </c>
      <c r="B1208" s="3" t="s">
        <v>32</v>
      </c>
      <c r="D1208" s="21" t="n">
        <f aca="false">(u_bw_26+u_rb_26+u_ru_26+u_hp_26)*1</f>
        <v>7.6</v>
      </c>
      <c r="E1208" s="21" t="n">
        <f aca="false">(u_bw_27+u_rb_27+u_ru_27+u_hp_27)*1*1</f>
        <v>9.7</v>
      </c>
      <c r="F1208" s="21" t="n">
        <f aca="false">(u_bw_28+u_rb_28+u_ru_28+u_hp_28)*um28_A*1</f>
        <v>9.5</v>
      </c>
      <c r="G1208" s="21" t="n">
        <f aca="false">(u_bw_28*(1+g29_bw)+u_rb_28*(1+g29_rb)+u_ru_28*(1+g29_ru)+u_hp_28*(1+g29_hp))*um29_A*1</f>
        <v>10.6</v>
      </c>
      <c r="K1208" s="7" t="s">
        <v>588</v>
      </c>
    </row>
    <row r="1209" customFormat="false" ht="17.15" hidden="false" customHeight="false" outlineLevel="0" collapsed="false">
      <c r="A1209" s="3" t="s">
        <v>589</v>
      </c>
      <c r="B1209" s="3" t="s">
        <v>32</v>
      </c>
      <c r="D1209" s="21" t="n">
        <f aca="false">(u_amd_26+u_tpu_26+u_trn_26+u_oth_26)*1</f>
        <v>7.6</v>
      </c>
      <c r="E1209" s="21" t="n">
        <f aca="false">(u_amd_27+u_tpu_27+u_trn_27+u_oth_27)*1*1</f>
        <v>14</v>
      </c>
      <c r="F1209" s="21" t="n">
        <f aca="false">(u_amd_28+u_tpu_28+u_trn_28+u_oth_28)*um28_A*1</f>
        <v>17</v>
      </c>
      <c r="G1209" s="21" t="n">
        <f aca="false">(u_amd_28*(1+g29_amd)+u_tpu_28*(1+g29_tpu)+u_trn_28*(1+g29_trn)+u_oth_28*(1+g29_oth))*um29_A*1</f>
        <v>19.55</v>
      </c>
      <c r="K1209" s="7" t="s">
        <v>590</v>
      </c>
    </row>
    <row r="1210" customFormat="false" ht="17.15" hidden="false" customHeight="false" outlineLevel="0" collapsed="false">
      <c r="A1210" s="3" t="s">
        <v>591</v>
      </c>
      <c r="B1210" s="0" t="s">
        <v>144</v>
      </c>
      <c r="D1210" s="19" t="n">
        <f aca="false">1</f>
        <v>1</v>
      </c>
      <c r="E1210" s="19" t="n">
        <f aca="false">D1210*(1+g_asp)</f>
        <v>1.18</v>
      </c>
      <c r="F1210" s="19" t="n">
        <f aca="false">E1210*(1+g_asp)</f>
        <v>1.3924</v>
      </c>
      <c r="G1210" s="19" t="n">
        <f aca="false">F1210*(1+g_asp)</f>
        <v>1.643032</v>
      </c>
      <c r="K1210" s="7" t="s">
        <v>592</v>
      </c>
    </row>
    <row r="1211" customFormat="false" ht="17.15" hidden="false" customHeight="false" outlineLevel="0" collapsed="false">
      <c r="A1211" s="0" t="s">
        <v>593</v>
      </c>
      <c r="B1211" s="0" t="s">
        <v>144</v>
      </c>
      <c r="D1211" s="18" t="n">
        <f aca="false">1</f>
        <v>1</v>
      </c>
      <c r="E1211" s="18" t="n">
        <f aca="false">ibpp_27</f>
        <v>1</v>
      </c>
      <c r="F1211" s="18" t="n">
        <f aca="false">ibpp_28</f>
        <v>0.95</v>
      </c>
      <c r="G1211" s="18" t="n">
        <f aca="false">ibpp_29</f>
        <v>0.9</v>
      </c>
      <c r="K1211" s="7" t="s">
        <v>594</v>
      </c>
    </row>
    <row r="1212" customFormat="false" ht="17.15" hidden="false" customHeight="false" outlineLevel="0" collapsed="false">
      <c r="A1212" s="3" t="s">
        <v>595</v>
      </c>
      <c r="B1212" s="0" t="s">
        <v>144</v>
      </c>
      <c r="D1212" s="18" t="n">
        <f aca="false">1</f>
        <v>1</v>
      </c>
      <c r="E1212" s="18" t="n">
        <f aca="false">1+carry</f>
        <v>1.05</v>
      </c>
      <c r="F1212" s="18" t="n">
        <f aca="false">1+carry</f>
        <v>1.05</v>
      </c>
      <c r="G1212" s="18" t="n">
        <f aca="false">1+carry</f>
        <v>1.05</v>
      </c>
      <c r="K1212" s="7" t="s">
        <v>596</v>
      </c>
    </row>
    <row r="1213" customFormat="false" ht="17.15" hidden="false" customHeight="false" outlineLevel="0" collapsed="false">
      <c r="A1213" s="3" t="s">
        <v>597</v>
      </c>
      <c r="B1213" s="0" t="s">
        <v>598</v>
      </c>
      <c r="D1213" s="23" t="n">
        <f aca="false">v26*D1210*D1211</f>
        <v>215.308596</v>
      </c>
      <c r="E1213" s="23" t="n">
        <f aca="false">v26*E1210*E1211</f>
        <v>254.06414328</v>
      </c>
      <c r="F1213" s="23" t="n">
        <f aca="false">v26*F1210*F1211</f>
        <v>284.80590461688</v>
      </c>
      <c r="G1213" s="23" t="n">
        <f aca="false">v26*G1210*G1211</f>
        <v>318.383021792765</v>
      </c>
      <c r="K1213" s="7" t="s">
        <v>599</v>
      </c>
    </row>
    <row r="1214" customFormat="false" ht="17.15" hidden="false" customHeight="false" outlineLevel="0" collapsed="false">
      <c r="A1214" s="3" t="s">
        <v>600</v>
      </c>
      <c r="B1214" s="0" t="s">
        <v>44</v>
      </c>
      <c r="D1214" s="20" t="n">
        <f aca="false">sh_nv_26</f>
        <v>0.25</v>
      </c>
      <c r="E1214" s="20" t="n">
        <f aca="false">sh_nv_27</f>
        <v>0.27</v>
      </c>
      <c r="F1214" s="20" t="n">
        <f aca="false">sh_nv_28</f>
        <v>0.29</v>
      </c>
      <c r="G1214" s="20" t="n">
        <f aca="false">sh_nv_29</f>
        <v>0.3</v>
      </c>
    </row>
    <row r="1215" customFormat="false" ht="17.15" hidden="false" customHeight="false" outlineLevel="0" collapsed="false">
      <c r="A1215" s="3" t="s">
        <v>601</v>
      </c>
      <c r="B1215" s="0" t="s">
        <v>44</v>
      </c>
      <c r="D1215" s="20" t="n">
        <f aca="false">sh_ot_26</f>
        <v>0.3</v>
      </c>
      <c r="E1215" s="20" t="n">
        <f aca="false">sh_ot_27</f>
        <v>0.31</v>
      </c>
      <c r="F1215" s="20" t="n">
        <f aca="false">sh_ot_28</f>
        <v>0.32</v>
      </c>
      <c r="G1215" s="20" t="n">
        <f aca="false">sh_ot_29</f>
        <v>0.33</v>
      </c>
    </row>
    <row r="1216" customFormat="false" ht="17.15" hidden="false" customHeight="false" outlineLevel="0" collapsed="false">
      <c r="A1216" s="3" t="s">
        <v>602</v>
      </c>
      <c r="B1216" s="0" t="s">
        <v>552</v>
      </c>
      <c r="D1216" s="22" t="n">
        <f aca="false">(D1208*D1213*D1214+D1209*D1213*v_ot*D1215)*D1212</f>
        <v>801.809211504</v>
      </c>
      <c r="E1216" s="22" t="n">
        <f aca="false">(E1208*E1213*E1214+E1209*E1213*v_ot*E1215)*E1212</f>
        <v>1624.8799315544</v>
      </c>
      <c r="F1216" s="22" t="n">
        <f aca="false">(F1208*F1213*F1214+F1209*F1213*v_ot*F1215)*F1212</f>
        <v>2125.32134231777</v>
      </c>
      <c r="G1216" s="22" t="n">
        <f aca="false">(G1208*G1213*G1214+G1209*G1213*v_ot*G1215)*G1212</f>
        <v>2788.4812844467</v>
      </c>
    </row>
    <row r="1217" customFormat="false" ht="15" hidden="false" customHeight="false" outlineLevel="0" collapsed="false">
      <c r="A1217" s="3" t="s">
        <v>603</v>
      </c>
      <c r="B1217" s="0" t="s">
        <v>302</v>
      </c>
      <c r="D1217" s="21" t="n">
        <f aca="false">D1216*fx/1000</f>
        <v>26.05879937388</v>
      </c>
      <c r="E1217" s="21" t="n">
        <f aca="false">E1216*fx/1000</f>
        <v>52.8085977755181</v>
      </c>
      <c r="F1217" s="21" t="n">
        <f aca="false">F1216*fx/1000</f>
        <v>69.0729436253277</v>
      </c>
      <c r="G1217" s="21" t="n">
        <f aca="false">G1216*fx/1000</f>
        <v>90.6256417445177</v>
      </c>
    </row>
    <row r="1218" customFormat="false" ht="17.15" hidden="false" customHeight="false" outlineLevel="0" collapsed="false">
      <c r="A1218" s="5" t="s">
        <v>604</v>
      </c>
    </row>
    <row r="1219" customFormat="false" ht="17.15" hidden="false" customHeight="false" outlineLevel="0" collapsed="false">
      <c r="A1219" s="0" t="s">
        <v>605</v>
      </c>
      <c r="B1219" s="0" t="s">
        <v>302</v>
      </c>
      <c r="D1219" s="21" t="n">
        <f aca="false">a26_abf*ai_abf</f>
        <v>74.83672875</v>
      </c>
      <c r="K1219" s="3" t="s">
        <v>606</v>
      </c>
    </row>
    <row r="1220" customFormat="false" ht="17.15" hidden="false" customHeight="false" outlineLevel="0" collapsed="false">
      <c r="A1220" s="3" t="s">
        <v>607</v>
      </c>
      <c r="B1220" s="0" t="s">
        <v>302</v>
      </c>
      <c r="D1220" s="21" t="n">
        <f aca="false">D1219-D1217</f>
        <v>48.77792937612</v>
      </c>
      <c r="E1220" s="21" t="n">
        <f aca="false">$D1220*(itc_27/itc_26)^el_o*1*1*E1211*E1212</f>
        <v>72.4686721045733</v>
      </c>
      <c r="F1220" s="21" t="n">
        <f aca="false">$D1220*(itc_28/itc_26)^el_o*um28_A*1*F1211*F1212</f>
        <v>77.5118128697435</v>
      </c>
      <c r="G1220" s="21" t="n">
        <f aca="false">$D1220*(itc_29/itc_26)^el_o*um29_A*1*G1211*G1212</f>
        <v>78.3752247962621</v>
      </c>
      <c r="K1220" s="7" t="s">
        <v>608</v>
      </c>
    </row>
    <row r="1221" customFormat="false" ht="17.15" hidden="false" customHeight="false" outlineLevel="0" collapsed="false">
      <c r="A1221" s="3" t="s">
        <v>609</v>
      </c>
      <c r="B1221" s="0" t="s">
        <v>302</v>
      </c>
      <c r="D1221" s="21" t="n">
        <f aca="false">a26_abf-D1219</f>
        <v>24.94557625</v>
      </c>
      <c r="E1221" s="21" t="n">
        <f aca="false">D1221*(1+g_nai)</f>
        <v>25.6939435375</v>
      </c>
      <c r="F1221" s="21" t="n">
        <f aca="false">E1221*(1+g_nai)</f>
        <v>26.464761843625</v>
      </c>
      <c r="G1221" s="21" t="n">
        <f aca="false">F1221*(1+g_nai)</f>
        <v>27.2587046989338</v>
      </c>
    </row>
    <row r="1222" customFormat="false" ht="17.15" hidden="false" customHeight="false" outlineLevel="0" collapsed="false">
      <c r="A1222" s="0" t="s">
        <v>610</v>
      </c>
      <c r="B1222" s="0" t="s">
        <v>302</v>
      </c>
      <c r="D1222" s="21" t="n">
        <f aca="false">D1217+D1220+D1221</f>
        <v>99.782305</v>
      </c>
      <c r="E1222" s="21" t="n">
        <f aca="false">E1217+E1220+E1221</f>
        <v>150.971213417591</v>
      </c>
      <c r="F1222" s="21" t="n">
        <f aca="false">F1217+F1220+F1221</f>
        <v>173.049518338696</v>
      </c>
      <c r="G1222" s="21" t="n">
        <f aca="false">G1217+G1220+G1221</f>
        <v>196.259571239714</v>
      </c>
    </row>
    <row r="1223" customFormat="false" ht="17.15" hidden="false" customHeight="false" outlineLevel="0" collapsed="false">
      <c r="A1223" s="0" t="s">
        <v>611</v>
      </c>
      <c r="B1223" s="0" t="s">
        <v>302</v>
      </c>
      <c r="D1223" s="21" t="n">
        <f aca="false">a26_abf</f>
        <v>99.782305</v>
      </c>
      <c r="E1223" s="21" t="n">
        <f aca="false">$D1222*cap_27*(1+g_mix)^1*E1211*E1212</f>
        <v>148.513488204375</v>
      </c>
      <c r="F1223" s="21" t="n">
        <f aca="false">$D1222*cap_28*(1+g_mix)^2*F1211*F1212</f>
        <v>186.549442683384</v>
      </c>
      <c r="G1223" s="21" t="n">
        <f aca="false">$D1222*cap_29*(1+g_mix)^3*G1211*G1212</f>
        <v>218.314827660431</v>
      </c>
      <c r="K1223" s="7" t="s">
        <v>612</v>
      </c>
    </row>
    <row r="1224" customFormat="false" ht="17.15" hidden="false" customHeight="false" outlineLevel="0" collapsed="false">
      <c r="A1224" s="0" t="s">
        <v>613</v>
      </c>
      <c r="B1224" s="0" t="s">
        <v>302</v>
      </c>
      <c r="D1224" s="21" t="n">
        <f aca="false">a26_abf</f>
        <v>99.782305</v>
      </c>
      <c r="E1224" s="21" t="n">
        <f aca="false">MIN(E1222,E1223)</f>
        <v>148.513488204375</v>
      </c>
      <c r="F1224" s="21" t="n">
        <f aca="false">MIN(F1222,F1223)</f>
        <v>173.049518338696</v>
      </c>
      <c r="G1224" s="21" t="n">
        <f aca="false">MIN(G1222,G1223)</f>
        <v>196.259571239714</v>
      </c>
    </row>
    <row r="1225" customFormat="false" ht="17.15" hidden="false" customHeight="false" outlineLevel="0" collapsed="false">
      <c r="A1225" s="3" t="s">
        <v>614</v>
      </c>
      <c r="B1225" s="0" t="s">
        <v>44</v>
      </c>
      <c r="D1225" s="20" t="n">
        <f aca="false">D1224/D1222</f>
        <v>1</v>
      </c>
      <c r="E1225" s="20" t="n">
        <f aca="false">E1224/E1222</f>
        <v>0.983720570580444</v>
      </c>
      <c r="F1225" s="20" t="n">
        <f aca="false">F1224/F1222</f>
        <v>1</v>
      </c>
      <c r="G1225" s="20" t="n">
        <f aca="false">G1224/G1222</f>
        <v>1</v>
      </c>
    </row>
    <row r="1226" customFormat="false" ht="17.15" hidden="false" customHeight="false" outlineLevel="0" collapsed="false">
      <c r="A1226" s="0" t="s">
        <v>615</v>
      </c>
      <c r="B1226" s="0" t="s">
        <v>302</v>
      </c>
      <c r="D1226" s="21" t="n">
        <f aca="false">(D1217+D1220)*D1225</f>
        <v>74.83672875</v>
      </c>
      <c r="E1226" s="21" t="n">
        <f aca="false">(E1217+E1220)*E1225</f>
        <v>123.237827407204</v>
      </c>
      <c r="F1226" s="21" t="n">
        <f aca="false">(F1217+F1220)*F1225</f>
        <v>146.584756495071</v>
      </c>
      <c r="G1226" s="21" t="n">
        <f aca="false">(G1217+G1220)*G1225</f>
        <v>169.00086654078</v>
      </c>
    </row>
    <row r="1227" customFormat="false" ht="17.15" hidden="false" customHeight="false" outlineLevel="0" collapsed="false">
      <c r="A1227" s="3" t="s">
        <v>616</v>
      </c>
      <c r="B1227" s="0" t="s">
        <v>44</v>
      </c>
      <c r="D1227" s="20" t="n">
        <f aca="false">D1217/(D1217+D1220)</f>
        <v>0.348208691228771</v>
      </c>
      <c r="E1227" s="20" t="n">
        <f aca="false">E1217/(E1217+E1220)</f>
        <v>0.421533753298293</v>
      </c>
      <c r="F1227" s="20" t="n">
        <f aca="false">F1217/(F1217+F1220)</f>
        <v>0.471215051802813</v>
      </c>
      <c r="G1227" s="20" t="n">
        <f aca="false">G1217/(G1217+G1220)</f>
        <v>0.536243651287136</v>
      </c>
    </row>
    <row r="1228" customFormat="false" ht="17.15" hidden="false" customHeight="false" outlineLevel="0" collapsed="false">
      <c r="A1228" s="5" t="s">
        <v>617</v>
      </c>
    </row>
    <row r="1229" customFormat="false" ht="17.15" hidden="false" customHeight="false" outlineLevel="0" collapsed="false">
      <c r="A1229" s="0" t="s">
        <v>519</v>
      </c>
      <c r="B1229" s="0" t="s">
        <v>302</v>
      </c>
      <c r="D1229" s="21" t="n">
        <f aca="false">a26_bt</f>
        <v>16.944165</v>
      </c>
      <c r="E1229" s="21" t="n">
        <f aca="false">D1229*(1+g_bt)</f>
        <v>17.79137325</v>
      </c>
      <c r="F1229" s="21" t="n">
        <f aca="false">E1229*(1+g_bt)</f>
        <v>18.6809419125</v>
      </c>
      <c r="G1229" s="21" t="n">
        <f aca="false">F1229*(1+g_bt)</f>
        <v>19.614989008125</v>
      </c>
    </row>
    <row r="1230" customFormat="false" ht="17.15" hidden="false" customHeight="false" outlineLevel="0" collapsed="false">
      <c r="A1230" s="0" t="s">
        <v>618</v>
      </c>
      <c r="B1230" s="0" t="s">
        <v>302</v>
      </c>
      <c r="D1230" s="21" t="n">
        <f aca="false">a26_pcb*ai_pcb</f>
        <v>37.93610275</v>
      </c>
      <c r="E1230" s="21" t="n">
        <f aca="false">D1230*(1+g_pai_27_lo)</f>
        <v>41.729713025</v>
      </c>
      <c r="F1230" s="21" t="n">
        <f aca="false">D1230*(1+g_pai_27_lo)*(1+g_pai_28_lo)*um28_A</f>
        <v>43.81619867625</v>
      </c>
      <c r="G1230" s="21" t="n">
        <f aca="false">D1230*(1+g_pai_27_lo)*(1+g_pai_28_lo)*(1+g_pai_29_lo)*um29_A</f>
        <v>43.81619867625</v>
      </c>
      <c r="K1230" s="3" t="s">
        <v>619</v>
      </c>
    </row>
    <row r="1231" customFormat="false" ht="17.15" hidden="false" customHeight="false" outlineLevel="0" collapsed="false">
      <c r="A1231" s="3" t="s">
        <v>620</v>
      </c>
      <c r="B1231" s="0" t="s">
        <v>302</v>
      </c>
      <c r="D1231" s="21" t="n">
        <f aca="false">a26_pcb*(1-ai_pcb)</f>
        <v>20.42713225</v>
      </c>
      <c r="E1231" s="21" t="n">
        <f aca="false">D1231*(1+g_pcbn)</f>
        <v>20.835674895</v>
      </c>
      <c r="F1231" s="21" t="n">
        <f aca="false">E1231*(1+g_pcbn)</f>
        <v>21.2523883929</v>
      </c>
      <c r="G1231" s="21" t="n">
        <f aca="false">F1231*(1+g_pcbn)</f>
        <v>21.677436160758</v>
      </c>
    </row>
    <row r="1232" customFormat="false" ht="15" hidden="false" customHeight="false" outlineLevel="0" collapsed="false">
      <c r="A1232" s="3" t="s">
        <v>521</v>
      </c>
      <c r="B1232" s="0" t="s">
        <v>302</v>
      </c>
      <c r="D1232" s="21" t="n">
        <f aca="false">a26_fpc</f>
        <v>13.178795</v>
      </c>
      <c r="E1232" s="21" t="n">
        <f aca="false">D1232*(1+g_fpc)</f>
        <v>13.178795</v>
      </c>
      <c r="F1232" s="21" t="n">
        <f aca="false">E1232*(1+g_fpc)</f>
        <v>13.178795</v>
      </c>
      <c r="G1232" s="21" t="n">
        <f aca="false">F1232*(1+g_fpc)</f>
        <v>13.178795</v>
      </c>
    </row>
    <row r="1233" customFormat="false" ht="17.15" hidden="false" customHeight="false" outlineLevel="0" collapsed="false">
      <c r="A1233" s="3" t="s">
        <v>484</v>
      </c>
      <c r="B1233" s="0" t="s">
        <v>302</v>
      </c>
      <c r="C1233" s="23" t="n">
        <f aca="false">a25_rev</f>
        <v>131.241</v>
      </c>
      <c r="D1233" s="23" t="n">
        <f aca="false">D1224+D1229+D1230+D1231+D1232</f>
        <v>188.2685</v>
      </c>
      <c r="E1233" s="23" t="n">
        <f aca="false">E1224+E1229+E1230+E1231+E1232</f>
        <v>242.049044374375</v>
      </c>
      <c r="F1233" s="23" t="n">
        <f aca="false">F1224+F1229+F1230+F1231+F1232</f>
        <v>269.977842320346</v>
      </c>
      <c r="G1233" s="23" t="n">
        <f aca="false">G1224+G1229+G1230+G1231+G1232</f>
        <v>294.546990084847</v>
      </c>
      <c r="H1233" s="25" t="n">
        <f aca="false">G1233*(1+H1234)</f>
        <v>318.30796065348</v>
      </c>
      <c r="I1233" s="25" t="n">
        <f aca="false">H1233*(1+I1234)</f>
        <v>340.696078055191</v>
      </c>
      <c r="J1233" s="25" t="n">
        <f aca="false">I1233*(1+J1234)</f>
        <v>361.137842738503</v>
      </c>
      <c r="K1233" s="7" t="s">
        <v>621</v>
      </c>
    </row>
    <row r="1234" customFormat="false" ht="15" hidden="false" customHeight="false" outlineLevel="0" collapsed="false">
      <c r="A1234" s="3" t="s">
        <v>622</v>
      </c>
      <c r="B1234" s="0" t="s">
        <v>44</v>
      </c>
      <c r="D1234" s="20" t="n">
        <f aca="false">D1233/C1233-1</f>
        <v>0.434525034097576</v>
      </c>
      <c r="E1234" s="20" t="n">
        <f aca="false">E1233/D1233-1</f>
        <v>0.28565875</v>
      </c>
      <c r="F1234" s="20" t="n">
        <f aca="false">F1233/E1233-1</f>
        <v>0.115384871764971</v>
      </c>
      <c r="G1234" s="20" t="n">
        <f aca="false">G1233/F1233-1</f>
        <v>0.091004311884779</v>
      </c>
      <c r="H1234" s="26" t="n">
        <f aca="false">$G1234+(fade_gA-$G1234)*1/3</f>
        <v>0.0806695412565193</v>
      </c>
      <c r="I1234" s="26" t="n">
        <f aca="false">$G1234+(fade_gA-$G1234)*2/3</f>
        <v>0.0703347706282597</v>
      </c>
      <c r="J1234" s="26" t="n">
        <f aca="false">$G1234+(fade_gA-$G1234)*3/3</f>
        <v>0.06</v>
      </c>
    </row>
    <row r="1235" customFormat="false" ht="17.15" hidden="false" customHeight="false" outlineLevel="0" collapsed="false">
      <c r="A1235" s="0" t="s">
        <v>623</v>
      </c>
      <c r="B1235" s="0" t="s">
        <v>44</v>
      </c>
      <c r="D1235" s="20" t="n">
        <f aca="false">D1224/D1233</f>
        <v>0.53</v>
      </c>
      <c r="E1235" s="20" t="n">
        <f aca="false">E1224/E1233</f>
        <v>0.613567752718208</v>
      </c>
      <c r="F1235" s="20" t="n">
        <f aca="false">F1224/F1233</f>
        <v>0.640976744059469</v>
      </c>
      <c r="G1235" s="20" t="n">
        <f aca="false">G1224/G1233</f>
        <v>0.666309885506484</v>
      </c>
    </row>
    <row r="1236" customFormat="false" ht="17.15" hidden="false" customHeight="false" outlineLevel="0" collapsed="false">
      <c r="A1236" s="0" t="s">
        <v>624</v>
      </c>
      <c r="B1236" s="0" t="s">
        <v>44</v>
      </c>
      <c r="D1236" s="20" t="n">
        <f aca="false">(D1226+D1230)/D1233</f>
        <v>0.599</v>
      </c>
      <c r="E1236" s="20" t="n">
        <f aca="false">(E1226+E1230)/E1233</f>
        <v>0.68154592743217</v>
      </c>
      <c r="F1236" s="20" t="n">
        <f aca="false">(F1226+F1230)/F1233</f>
        <v>0.705246599257572</v>
      </c>
      <c r="G1236" s="20" t="n">
        <f aca="false">(G1226+G1230)/G1233</f>
        <v>0.722523306572327</v>
      </c>
      <c r="K1236" s="3" t="s">
        <v>625</v>
      </c>
    </row>
    <row r="1237" customFormat="false" ht="17.15" hidden="false" customHeight="false" outlineLevel="0" collapsed="false">
      <c r="A1237" s="5" t="s">
        <v>626</v>
      </c>
    </row>
    <row r="1238" customFormat="false" ht="15" hidden="false" customHeight="false" outlineLevel="0" collapsed="false">
      <c r="A1238" s="3" t="s">
        <v>627</v>
      </c>
      <c r="B1238" s="0" t="s">
        <v>302</v>
      </c>
      <c r="C1238" s="23" t="n">
        <f aca="false">a25_cx</f>
        <v>25.617</v>
      </c>
      <c r="D1238" s="23" t="n">
        <f aca="false">capex26</f>
        <v>53.7</v>
      </c>
      <c r="E1238" s="23" t="n">
        <f aca="false">cx27_A</f>
        <v>55</v>
      </c>
      <c r="F1238" s="23" t="n">
        <f aca="false">cx28_A</f>
        <v>50</v>
      </c>
      <c r="G1238" s="23" t="n">
        <f aca="false">cx29_A</f>
        <v>45</v>
      </c>
      <c r="H1238" s="25" t="n">
        <f aca="false">H1233*H1255</f>
        <v>45.6267682353417</v>
      </c>
      <c r="I1238" s="25" t="n">
        <f aca="false">I1233*I1255</f>
        <v>45.621314676908</v>
      </c>
      <c r="J1238" s="25" t="n">
        <f aca="false">J1233*J1255</f>
        <v>44.9511156105407</v>
      </c>
    </row>
    <row r="1239" customFormat="false" ht="17.15" hidden="false" customHeight="false" outlineLevel="0" collapsed="false">
      <c r="A1239" s="3" t="s">
        <v>628</v>
      </c>
      <c r="B1239" s="0" t="s">
        <v>302</v>
      </c>
      <c r="C1239" s="23" t="n">
        <f aca="false">a25_da</f>
        <v>18.8</v>
      </c>
      <c r="D1239" s="23" t="n">
        <f aca="false">da26</f>
        <v>20.8</v>
      </c>
      <c r="E1239" s="23" t="n">
        <f aca="false">D1239*(1-1/life)+D1238/life</f>
        <v>24.9125</v>
      </c>
      <c r="F1239" s="23" t="n">
        <f aca="false">E1239*(1-1/life)+E1238/life</f>
        <v>28.6734375</v>
      </c>
      <c r="G1239" s="23" t="n">
        <f aca="false">F1239*(1-1/life)+F1238/life</f>
        <v>31.3392578125</v>
      </c>
      <c r="H1239" s="25" t="n">
        <f aca="false">H1233*H1240</f>
        <v>33.8673813635542</v>
      </c>
      <c r="I1239" s="25" t="n">
        <f aca="false">I1233*I1240</f>
        <v>36.2494358635395</v>
      </c>
      <c r="J1239" s="25" t="n">
        <f aca="false">J1233*J1240</f>
        <v>38.4244020153519</v>
      </c>
      <c r="K1239" s="3" t="s">
        <v>629</v>
      </c>
    </row>
    <row r="1240" customFormat="false" ht="17.15" hidden="false" customHeight="false" outlineLevel="0" collapsed="false">
      <c r="A1240" s="3" t="s">
        <v>630</v>
      </c>
      <c r="B1240" s="0" t="s">
        <v>44</v>
      </c>
      <c r="C1240" s="20" t="n">
        <f aca="false">C1239/C1233</f>
        <v>0.143247917952469</v>
      </c>
      <c r="D1240" s="20" t="n">
        <f aca="false">D1239/D1233</f>
        <v>0.110480510547436</v>
      </c>
      <c r="E1240" s="20" t="n">
        <f aca="false">E1239/E1233</f>
        <v>0.102923356150368</v>
      </c>
      <c r="F1240" s="20" t="n">
        <f aca="false">F1239/F1233</f>
        <v>0.106206632564969</v>
      </c>
      <c r="G1240" s="20" t="n">
        <f aca="false">G1239/G1233</f>
        <v>0.106398160115208</v>
      </c>
      <c r="H1240" s="26" t="n">
        <f aca="false">$G1240</f>
        <v>0.106398160115208</v>
      </c>
      <c r="I1240" s="26" t="n">
        <f aca="false">$G1240</f>
        <v>0.106398160115208</v>
      </c>
      <c r="J1240" s="26" t="n">
        <f aca="false">$G1240</f>
        <v>0.106398160115208</v>
      </c>
    </row>
    <row r="1241" customFormat="false" ht="17.15" hidden="false" customHeight="false" outlineLevel="0" collapsed="false">
      <c r="A1241" s="3" t="s">
        <v>631</v>
      </c>
      <c r="B1241" s="0" t="s">
        <v>302</v>
      </c>
      <c r="E1241" s="21" t="n">
        <f aca="false">E1226*(1-1/(E1211*E1212))</f>
        <v>5.86846797177161</v>
      </c>
      <c r="F1241" s="21" t="n">
        <f aca="false">F1226*(1-1/(F1211*F1212))</f>
        <v>-0.367380342092935</v>
      </c>
      <c r="G1241" s="21" t="n">
        <f aca="false">G1226*(1-1/(G1211*G1212))</f>
        <v>-9.83602926956918</v>
      </c>
      <c r="K1241" s="7" t="s">
        <v>632</v>
      </c>
    </row>
    <row r="1242" customFormat="false" ht="17.15" hidden="false" customHeight="false" outlineLevel="0" collapsed="false">
      <c r="A1242" s="3" t="s">
        <v>633</v>
      </c>
      <c r="B1242" s="0" t="s">
        <v>302</v>
      </c>
      <c r="C1242" s="21" t="n">
        <f aca="false">a25_gp</f>
        <v>18.292</v>
      </c>
      <c r="D1242" s="21" t="n">
        <f aca="false">a26_gp</f>
        <v>47.3329657</v>
      </c>
      <c r="E1242" s="21" t="n">
        <f aca="false">$D1242+ft_abf*(E1224-E1241-$D1224)+ft_oth*((E1233-E1224)-($D1233-$D1224))+E1241-(E1239-$D1239)</f>
        <v>71.7826315805733</v>
      </c>
      <c r="F1242" s="21" t="n">
        <f aca="false">$D1242+ft_abf*(F1224-F1241-$D1224)+ft_oth*((F1233-F1224)-($D1233-$D1224))+F1241-(F1239-$D1239)</f>
        <v>78.0199769437141</v>
      </c>
      <c r="G1242" s="21" t="n">
        <f aca="false">$D1242+ft_abf*(G1224-G1241-$D1224)+ft_oth*((G1233-G1224)-($D1233-$D1224))+G1241-(G1239-$D1239)</f>
        <v>82.5646323338554</v>
      </c>
      <c r="K1242" s="3" t="s">
        <v>634</v>
      </c>
    </row>
    <row r="1243" customFormat="false" ht="15" hidden="false" customHeight="false" outlineLevel="0" collapsed="false">
      <c r="A1243" s="3" t="s">
        <v>491</v>
      </c>
      <c r="B1243" s="0" t="s">
        <v>44</v>
      </c>
      <c r="C1243" s="16" t="n">
        <f aca="false">C1242/C1233</f>
        <v>0.139377176339711</v>
      </c>
      <c r="D1243" s="16" t="n">
        <f aca="false">D1242/D1233</f>
        <v>0.251412029627899</v>
      </c>
      <c r="E1243" s="16" t="n">
        <f aca="false">E1242/E1233</f>
        <v>0.296562342421595</v>
      </c>
      <c r="F1243" s="16" t="n">
        <f aca="false">F1242/F1233</f>
        <v>0.28898659339287</v>
      </c>
      <c r="G1243" s="16" t="n">
        <f aca="false">G1242/G1233</f>
        <v>0.280310562026358</v>
      </c>
    </row>
    <row r="1244" customFormat="false" ht="15" hidden="false" customHeight="false" outlineLevel="0" collapsed="false">
      <c r="A1244" s="3" t="s">
        <v>493</v>
      </c>
      <c r="B1244" s="0" t="s">
        <v>302</v>
      </c>
      <c r="C1244" s="21" t="n">
        <f aca="false">a25_opx</f>
        <v>11.618</v>
      </c>
      <c r="D1244" s="21" t="n">
        <f aca="false">a26_opx</f>
        <v>16.6539532</v>
      </c>
      <c r="E1244" s="21" t="n">
        <f aca="false">D1244*(1+phi*E1234)</f>
        <v>19.5083616722023</v>
      </c>
      <c r="F1244" s="21" t="n">
        <f aca="false">E1244*(1+phi*F1234)</f>
        <v>20.8589435581374</v>
      </c>
      <c r="G1244" s="21" t="n">
        <f aca="false">F1244*(1+phi*G1234)</f>
        <v>21.9978958412284</v>
      </c>
    </row>
    <row r="1245" customFormat="false" ht="15" hidden="false" customHeight="false" outlineLevel="0" collapsed="false">
      <c r="A1245" s="3" t="s">
        <v>496</v>
      </c>
      <c r="B1245" s="0" t="s">
        <v>302</v>
      </c>
      <c r="C1245" s="21" t="n">
        <f aca="false">C1242-C1244</f>
        <v>6.674</v>
      </c>
      <c r="D1245" s="21" t="n">
        <f aca="false">D1242-D1244</f>
        <v>30.6790125</v>
      </c>
      <c r="E1245" s="21" t="n">
        <f aca="false">E1242-E1244</f>
        <v>52.274269908371</v>
      </c>
      <c r="F1245" s="21" t="n">
        <f aca="false">F1242-F1244</f>
        <v>57.1610333855768</v>
      </c>
      <c r="G1245" s="21" t="n">
        <f aca="false">G1242-G1244</f>
        <v>60.566736492627</v>
      </c>
    </row>
    <row r="1246" customFormat="false" ht="15" hidden="false" customHeight="false" outlineLevel="0" collapsed="false">
      <c r="A1246" s="3" t="s">
        <v>575</v>
      </c>
      <c r="B1246" s="0" t="s">
        <v>44</v>
      </c>
      <c r="C1246" s="16" t="n">
        <f aca="false">C1245/C1233</f>
        <v>0.0508530108731265</v>
      </c>
      <c r="D1246" s="16" t="n">
        <f aca="false">D1245/D1233</f>
        <v>0.162953507888999</v>
      </c>
      <c r="E1246" s="16" t="n">
        <f aca="false">E1245/E1233</f>
        <v>0.215965611611831</v>
      </c>
      <c r="F1246" s="16" t="n">
        <f aca="false">F1245/F1233</f>
        <v>0.211724906363803</v>
      </c>
      <c r="G1246" s="16" t="n">
        <f aca="false">G1245/G1233</f>
        <v>0.205626737096109</v>
      </c>
    </row>
    <row r="1247" customFormat="false" ht="17.15" hidden="false" customHeight="false" outlineLevel="0" collapsed="false">
      <c r="A1247" s="3" t="s">
        <v>635</v>
      </c>
      <c r="B1247" s="0" t="s">
        <v>302</v>
      </c>
      <c r="C1247" s="21" t="n">
        <f aca="false">a25_nonop</f>
        <v>-0.00100000000000033</v>
      </c>
      <c r="D1247" s="21" t="n">
        <f aca="false">a26_nonop</f>
        <v>14.466</v>
      </c>
      <c r="E1247" s="21" t="n">
        <f aca="false">nonop27</f>
        <v>2</v>
      </c>
      <c r="F1247" s="21" t="n">
        <f aca="false">nonop28</f>
        <v>2</v>
      </c>
      <c r="G1247" s="21" t="n">
        <f aca="false">nonop29</f>
        <v>2</v>
      </c>
      <c r="K1247" s="7" t="s">
        <v>636</v>
      </c>
    </row>
    <row r="1248" customFormat="false" ht="15" hidden="false" customHeight="false" outlineLevel="0" collapsed="false">
      <c r="A1248" s="3" t="s">
        <v>502</v>
      </c>
      <c r="B1248" s="0" t="s">
        <v>302</v>
      </c>
      <c r="C1248" s="21" t="n">
        <f aca="false">C1245+C1247</f>
        <v>6.673</v>
      </c>
      <c r="D1248" s="21" t="n">
        <f aca="false">D1245+D1247</f>
        <v>45.1450125</v>
      </c>
      <c r="E1248" s="21" t="n">
        <f aca="false">E1245+E1247</f>
        <v>54.274269908371</v>
      </c>
      <c r="F1248" s="21" t="n">
        <f aca="false">F1245+F1247</f>
        <v>59.1610333855768</v>
      </c>
      <c r="G1248" s="21" t="n">
        <f aca="false">G1245+G1247</f>
        <v>62.566736492627</v>
      </c>
    </row>
    <row r="1249" customFormat="false" ht="15" hidden="false" customHeight="false" outlineLevel="0" collapsed="false">
      <c r="A1249" s="3" t="s">
        <v>506</v>
      </c>
      <c r="B1249" s="0" t="s">
        <v>302</v>
      </c>
      <c r="E1249" s="21" t="n">
        <f aca="false">E1248*tax</f>
        <v>9.76936858350678</v>
      </c>
      <c r="F1249" s="21" t="n">
        <f aca="false">F1248*tax</f>
        <v>10.6489860094038</v>
      </c>
      <c r="G1249" s="21" t="n">
        <f aca="false">G1248*tax</f>
        <v>11.2620125686729</v>
      </c>
    </row>
    <row r="1250" customFormat="false" ht="15" hidden="false" customHeight="false" outlineLevel="0" collapsed="false">
      <c r="A1250" s="3" t="s">
        <v>504</v>
      </c>
      <c r="B1250" s="0" t="s">
        <v>302</v>
      </c>
      <c r="C1250" s="21" t="n">
        <f aca="false">a25_ni</f>
        <v>6.673</v>
      </c>
      <c r="D1250" s="21" t="n">
        <f aca="false">a26_ni</f>
        <v>37.23923025</v>
      </c>
      <c r="E1250" s="21" t="n">
        <f aca="false">E1248-E1249</f>
        <v>44.5049013248642</v>
      </c>
      <c r="F1250" s="21" t="n">
        <f aca="false">F1248-F1249</f>
        <v>48.5120473761729</v>
      </c>
      <c r="G1250" s="21" t="n">
        <f aca="false">G1248-G1249</f>
        <v>51.3047239239542</v>
      </c>
      <c r="H1250" s="30" t="n">
        <f aca="false">H1233*H1254</f>
        <v>55.4061338508436</v>
      </c>
      <c r="I1250" s="30" t="n">
        <f aca="false">I1233*I1254</f>
        <v>59.2631681539721</v>
      </c>
      <c r="J1250" s="30" t="n">
        <f aca="false">J1233*J1254</f>
        <v>62.7766182257809</v>
      </c>
    </row>
    <row r="1251" customFormat="false" ht="15" hidden="false" customHeight="false" outlineLevel="0" collapsed="false">
      <c r="A1251" s="3" t="s">
        <v>637</v>
      </c>
      <c r="B1251" s="3" t="s">
        <v>380</v>
      </c>
      <c r="C1251" s="29" t="n">
        <f aca="false">a25_sh</f>
        <v>1.52351598173516</v>
      </c>
      <c r="D1251" s="29" t="n">
        <f aca="false">a26_sh</f>
        <v>1.59236316568047</v>
      </c>
      <c r="E1251" s="29" t="n">
        <f aca="false">a26_shend*(1+sh_g)</f>
        <v>1.64</v>
      </c>
      <c r="F1251" s="29" t="n">
        <f aca="false">E1251*(1+sh_g)</f>
        <v>1.64</v>
      </c>
      <c r="G1251" s="29" t="n">
        <f aca="false">F1251*(1+sh_g)</f>
        <v>1.64</v>
      </c>
      <c r="H1251" s="31" t="n">
        <f aca="false">G1251*(1+sh_g)</f>
        <v>1.64</v>
      </c>
      <c r="I1251" s="31" t="n">
        <f aca="false">H1251*(1+sh_g)</f>
        <v>1.64</v>
      </c>
      <c r="J1251" s="31" t="n">
        <f aca="false">I1251*(1+sh_g)</f>
        <v>1.64</v>
      </c>
    </row>
    <row r="1252" customFormat="false" ht="17.15" hidden="false" customHeight="false" outlineLevel="0" collapsed="false">
      <c r="A1252" s="0" t="s">
        <v>509</v>
      </c>
      <c r="B1252" s="0" t="s">
        <v>386</v>
      </c>
      <c r="C1252" s="18" t="n">
        <f aca="false">C1250/C1251</f>
        <v>4.38</v>
      </c>
      <c r="D1252" s="18" t="n">
        <f aca="false">D1250/D1251</f>
        <v>23.3861414610695</v>
      </c>
      <c r="E1252" s="18" t="n">
        <f aca="false">E1250/E1251</f>
        <v>27.1371349541855</v>
      </c>
      <c r="F1252" s="18" t="n">
        <f aca="false">F1250/F1251</f>
        <v>29.5805166927884</v>
      </c>
      <c r="G1252" s="18" t="n">
        <f aca="false">G1250/G1251</f>
        <v>31.2833682463135</v>
      </c>
      <c r="H1252" s="28" t="n">
        <f aca="false">H1250/H1251</f>
        <v>33.7842279578315</v>
      </c>
      <c r="I1252" s="28" t="n">
        <f aca="false">I1250/I1251</f>
        <v>36.1360781426659</v>
      </c>
      <c r="J1252" s="28" t="n">
        <f aca="false">J1250/J1251</f>
        <v>38.2784257474274</v>
      </c>
    </row>
    <row r="1253" customFormat="false" ht="17.15" hidden="false" customHeight="false" outlineLevel="0" collapsed="false">
      <c r="A1253" s="0" t="s">
        <v>638</v>
      </c>
      <c r="B1253" s="0" t="s">
        <v>44</v>
      </c>
      <c r="D1253" s="20" t="n">
        <f aca="false">D1252/C1252-1</f>
        <v>4.33930170344053</v>
      </c>
      <c r="E1253" s="20" t="n">
        <f aca="false">E1252/D1252-1</f>
        <v>0.160393859729285</v>
      </c>
      <c r="F1253" s="20" t="n">
        <f aca="false">F1252/E1252-1</f>
        <v>0.0900383088608263</v>
      </c>
      <c r="G1253" s="20" t="n">
        <f aca="false">G1252/F1252-1</f>
        <v>0.0575666602179497</v>
      </c>
      <c r="H1253" s="26" t="n">
        <f aca="false">H1252/G1252-1</f>
        <v>0.0799421498294921</v>
      </c>
      <c r="I1253" s="26" t="n">
        <f aca="false">I1252/H1252-1</f>
        <v>0.0696138502193957</v>
      </c>
      <c r="J1253" s="26" t="n">
        <f aca="false">J1252/I1252-1</f>
        <v>0.0592855593322406</v>
      </c>
    </row>
    <row r="1254" customFormat="false" ht="17.15" hidden="false" customHeight="false" outlineLevel="0" collapsed="false">
      <c r="A1254" s="3" t="s">
        <v>639</v>
      </c>
      <c r="B1254" s="0" t="s">
        <v>44</v>
      </c>
      <c r="C1254" s="16" t="n">
        <f aca="false">C1250/C1233</f>
        <v>0.0508453913030227</v>
      </c>
      <c r="D1254" s="16" t="n">
        <f aca="false">D1250/D1233</f>
        <v>0.197798517808343</v>
      </c>
      <c r="E1254" s="16" t="n">
        <f aca="false">E1250/E1233</f>
        <v>0.183867287887445</v>
      </c>
      <c r="F1254" s="16" t="n">
        <f aca="false">F1250/F1233</f>
        <v>0.179688995805109</v>
      </c>
      <c r="G1254" s="16" t="n">
        <f aca="false">G1250/G1233</f>
        <v>0.174181796626662</v>
      </c>
      <c r="H1254" s="27" t="n">
        <f aca="false">$G1254+(fade_mA-$G1254)*1/3</f>
        <v>0.174064556026485</v>
      </c>
      <c r="I1254" s="27" t="n">
        <f aca="false">$G1254+(fade_mA-$G1254)*2/3</f>
        <v>0.173947315426307</v>
      </c>
      <c r="J1254" s="27" t="n">
        <f aca="false">$G1254+(fade_mA-$G1254)*3/3</f>
        <v>0.17383007482613</v>
      </c>
    </row>
    <row r="1255" customFormat="false" ht="17.15" hidden="false" customHeight="false" outlineLevel="0" collapsed="false">
      <c r="A1255" s="3" t="s">
        <v>640</v>
      </c>
      <c r="B1255" s="0" t="s">
        <v>44</v>
      </c>
      <c r="C1255" s="20" t="n">
        <f aca="false">C1238/C1233</f>
        <v>0.195190527350447</v>
      </c>
      <c r="D1255" s="20" t="n">
        <f aca="false">D1238/D1233</f>
        <v>0.285230933480641</v>
      </c>
      <c r="E1255" s="20" t="n">
        <f aca="false">E1238/E1233</f>
        <v>0.227226676899959</v>
      </c>
      <c r="F1255" s="20" t="n">
        <f aca="false">F1238/F1233</f>
        <v>0.18520038374361</v>
      </c>
      <c r="G1255" s="20" t="n">
        <f aca="false">G1238/G1233</f>
        <v>0.152776981313024</v>
      </c>
      <c r="H1255" s="26" t="n">
        <f aca="false">$G1255+($G1240*(1+tp_g)^(life/2)-$G1255)*1/3</f>
        <v>0.143341587001691</v>
      </c>
      <c r="I1255" s="26" t="n">
        <f aca="false">$G1255+($G1240*(1+tp_g)^(life/2)-$G1255)*2/3</f>
        <v>0.133906192690359</v>
      </c>
      <c r="J1255" s="26" t="n">
        <f aca="false">$G1255+($G1240*(1+tp_g)^(life/2)-$G1255)*3/3</f>
        <v>0.124470798379026</v>
      </c>
      <c r="K1255" s="7" t="s">
        <v>641</v>
      </c>
    </row>
    <row r="1256" customFormat="false" ht="15" hidden="false" customHeight="false" outlineLevel="0" collapsed="false">
      <c r="A1256" s="3" t="s">
        <v>642</v>
      </c>
      <c r="B1256" s="0" t="s">
        <v>302</v>
      </c>
      <c r="E1256" s="21" t="n">
        <f aca="false">E1250+E1239-E1238</f>
        <v>14.4174013248642</v>
      </c>
      <c r="F1256" s="21" t="n">
        <f aca="false">F1250+F1239-F1238</f>
        <v>27.185484876173</v>
      </c>
      <c r="G1256" s="21" t="n">
        <f aca="false">G1250+G1239-G1238</f>
        <v>37.6439817364542</v>
      </c>
      <c r="H1256" s="30" t="n">
        <f aca="false">H1250+H1239-H1238</f>
        <v>43.6467469790561</v>
      </c>
      <c r="I1256" s="30" t="n">
        <f aca="false">I1250+I1239-I1238</f>
        <v>49.8912893406037</v>
      </c>
      <c r="J1256" s="30" t="n">
        <f aca="false">J1250+J1239-J1238</f>
        <v>56.2499046305922</v>
      </c>
      <c r="K1256" s="3" t="s">
        <v>643</v>
      </c>
    </row>
    <row r="1257" customFormat="false" ht="15" hidden="false" customHeight="false" outlineLevel="0" collapsed="false">
      <c r="A1257" s="3" t="s">
        <v>644</v>
      </c>
      <c r="B1257" s="0" t="s">
        <v>386</v>
      </c>
      <c r="E1257" s="18" t="n">
        <f aca="false">E1256/E1251</f>
        <v>8.79109836881965</v>
      </c>
      <c r="F1257" s="18" t="n">
        <f aca="false">F1256/F1251</f>
        <v>16.5765151683981</v>
      </c>
      <c r="G1257" s="18" t="n">
        <f aca="false">G1256/G1251</f>
        <v>22.9536474002769</v>
      </c>
      <c r="H1257" s="28" t="n">
        <f aca="false">H1256/H1251</f>
        <v>26.6138701091806</v>
      </c>
      <c r="I1257" s="28" t="n">
        <f aca="false">I1256/I1251</f>
        <v>30.421517890612</v>
      </c>
      <c r="J1257" s="28" t="n">
        <f aca="false">J1256/J1251</f>
        <v>34.2987223357269</v>
      </c>
    </row>
    <row r="1260" customFormat="false" ht="17.15" hidden="false" customHeight="false" outlineLevel="0" collapsed="false">
      <c r="A1260" s="1" t="s">
        <v>966</v>
      </c>
    </row>
    <row r="1261" customFormat="false" ht="17.15" hidden="false" customHeight="false" outlineLevel="0" collapsed="false">
      <c r="A1261" s="4" t="s">
        <v>21</v>
      </c>
      <c r="B1261" s="4" t="s">
        <v>22</v>
      </c>
      <c r="C1261" s="13" t="s">
        <v>477</v>
      </c>
      <c r="D1261" s="13" t="s">
        <v>562</v>
      </c>
      <c r="E1261" s="13" t="s">
        <v>563</v>
      </c>
      <c r="F1261" s="13" t="s">
        <v>564</v>
      </c>
      <c r="G1261" s="13" t="s">
        <v>565</v>
      </c>
      <c r="H1261" s="13" t="s">
        <v>566</v>
      </c>
      <c r="I1261" s="13" t="s">
        <v>567</v>
      </c>
      <c r="J1261" s="13" t="s">
        <v>568</v>
      </c>
      <c r="K1261" s="4" t="s">
        <v>533</v>
      </c>
    </row>
    <row r="1262" customFormat="false" ht="17.15" hidden="false" customHeight="false" outlineLevel="0" collapsed="false">
      <c r="A1262" s="5" t="s">
        <v>586</v>
      </c>
    </row>
    <row r="1263" customFormat="false" ht="17.15" hidden="false" customHeight="false" outlineLevel="0" collapsed="false">
      <c r="A1263" s="0" t="s">
        <v>587</v>
      </c>
      <c r="B1263" s="3" t="s">
        <v>32</v>
      </c>
      <c r="D1263" s="21" t="n">
        <f aca="false">(u_bw_26+u_rb_26+u_ru_26+u_hp_26)*1</f>
        <v>7.6</v>
      </c>
      <c r="E1263" s="21" t="n">
        <f aca="false">(u_bw_27+u_rb_27+u_ru_27+u_hp_27)*1*1</f>
        <v>9.7</v>
      </c>
      <c r="F1263" s="21" t="n">
        <f aca="false">(u_bw_28+u_rb_28+u_ru_28+u_hp_28)*um28_A*1</f>
        <v>9.5</v>
      </c>
      <c r="G1263" s="21" t="n">
        <f aca="false">(u_bw_28*(1+g29_bw)+u_rb_28*(1+g29_rb)+u_ru_28*(1+g29_ru)+u_hp_28*(1+g29_hp))*um29_A*1</f>
        <v>10.6</v>
      </c>
      <c r="K1263" s="7" t="s">
        <v>588</v>
      </c>
    </row>
    <row r="1264" customFormat="false" ht="17.15" hidden="false" customHeight="false" outlineLevel="0" collapsed="false">
      <c r="A1264" s="3" t="s">
        <v>589</v>
      </c>
      <c r="B1264" s="3" t="s">
        <v>32</v>
      </c>
      <c r="D1264" s="21" t="n">
        <f aca="false">(u_amd_26+u_tpu_26+u_trn_26+u_oth_26)*1</f>
        <v>7.6</v>
      </c>
      <c r="E1264" s="21" t="n">
        <f aca="false">(u_amd_27+u_tpu_27+u_trn_27+u_oth_27)*1*1</f>
        <v>14</v>
      </c>
      <c r="F1264" s="21" t="n">
        <f aca="false">(u_amd_28+u_tpu_28+u_trn_28+u_oth_28)*um28_A*1</f>
        <v>17</v>
      </c>
      <c r="G1264" s="21" t="n">
        <f aca="false">(u_amd_28*(1+g29_amd)+u_tpu_28*(1+g29_tpu)+u_trn_28*(1+g29_trn)+u_oth_28*(1+g29_oth))*um29_A*1</f>
        <v>19.55</v>
      </c>
      <c r="K1264" s="7" t="s">
        <v>590</v>
      </c>
    </row>
    <row r="1265" customFormat="false" ht="17.15" hidden="false" customHeight="false" outlineLevel="0" collapsed="false">
      <c r="A1265" s="3" t="s">
        <v>591</v>
      </c>
      <c r="B1265" s="0" t="s">
        <v>144</v>
      </c>
      <c r="D1265" s="19" t="n">
        <f aca="false">1</f>
        <v>1</v>
      </c>
      <c r="E1265" s="19" t="n">
        <f aca="false">D1265*(1+g_asp)</f>
        <v>1.18</v>
      </c>
      <c r="F1265" s="19" t="n">
        <f aca="false">E1265*(1+g_asp)</f>
        <v>1.3924</v>
      </c>
      <c r="G1265" s="19" t="n">
        <f aca="false">F1265*(1+g_asp)</f>
        <v>1.643032</v>
      </c>
      <c r="K1265" s="7" t="s">
        <v>592</v>
      </c>
    </row>
    <row r="1266" customFormat="false" ht="17.15" hidden="false" customHeight="false" outlineLevel="0" collapsed="false">
      <c r="A1266" s="0" t="s">
        <v>593</v>
      </c>
      <c r="B1266" s="0" t="s">
        <v>144</v>
      </c>
      <c r="D1266" s="18" t="n">
        <f aca="false">1</f>
        <v>1</v>
      </c>
      <c r="E1266" s="18" t="n">
        <f aca="false">ibpp_27</f>
        <v>1</v>
      </c>
      <c r="F1266" s="18" t="n">
        <f aca="false">ibpp_28</f>
        <v>0.95</v>
      </c>
      <c r="G1266" s="18" t="n">
        <f aca="false">ibpp_29</f>
        <v>0.9</v>
      </c>
      <c r="K1266" s="7" t="s">
        <v>594</v>
      </c>
    </row>
    <row r="1267" customFormat="false" ht="17.15" hidden="false" customHeight="false" outlineLevel="0" collapsed="false">
      <c r="A1267" s="3" t="s">
        <v>595</v>
      </c>
      <c r="B1267" s="0" t="s">
        <v>144</v>
      </c>
      <c r="D1267" s="18" t="n">
        <f aca="false">1</f>
        <v>1</v>
      </c>
      <c r="E1267" s="18" t="n">
        <f aca="false">1+carry</f>
        <v>1.05</v>
      </c>
      <c r="F1267" s="18" t="n">
        <f aca="false">1+carry</f>
        <v>1.05</v>
      </c>
      <c r="G1267" s="18" t="n">
        <f aca="false">1+carry</f>
        <v>1.05</v>
      </c>
      <c r="K1267" s="7" t="s">
        <v>596</v>
      </c>
    </row>
    <row r="1268" customFormat="false" ht="17.15" hidden="false" customHeight="false" outlineLevel="0" collapsed="false">
      <c r="A1268" s="3" t="s">
        <v>597</v>
      </c>
      <c r="B1268" s="0" t="s">
        <v>598</v>
      </c>
      <c r="D1268" s="23" t="n">
        <f aca="false">v26*D1265*D1266</f>
        <v>215.308596</v>
      </c>
      <c r="E1268" s="23" t="n">
        <f aca="false">v26*E1265*E1266</f>
        <v>254.06414328</v>
      </c>
      <c r="F1268" s="23" t="n">
        <f aca="false">v26*F1265*F1266</f>
        <v>284.80590461688</v>
      </c>
      <c r="G1268" s="23" t="n">
        <f aca="false">v26*G1265*G1266</f>
        <v>318.383021792765</v>
      </c>
      <c r="K1268" s="7" t="s">
        <v>599</v>
      </c>
    </row>
    <row r="1269" customFormat="false" ht="17.15" hidden="false" customHeight="false" outlineLevel="0" collapsed="false">
      <c r="A1269" s="3" t="s">
        <v>600</v>
      </c>
      <c r="B1269" s="0" t="s">
        <v>44</v>
      </c>
      <c r="D1269" s="20" t="n">
        <f aca="false">sh_nv_26</f>
        <v>0.25</v>
      </c>
      <c r="E1269" s="20" t="n">
        <f aca="false">sh_nv_27</f>
        <v>0.27</v>
      </c>
      <c r="F1269" s="20" t="n">
        <f aca="false">sh_nv_28</f>
        <v>0.29</v>
      </c>
      <c r="G1269" s="20" t="n">
        <f aca="false">sh_nv_29</f>
        <v>0.3</v>
      </c>
    </row>
    <row r="1270" customFormat="false" ht="17.15" hidden="false" customHeight="false" outlineLevel="0" collapsed="false">
      <c r="A1270" s="3" t="s">
        <v>601</v>
      </c>
      <c r="B1270" s="0" t="s">
        <v>44</v>
      </c>
      <c r="D1270" s="20" t="n">
        <f aca="false">sh_ot_26</f>
        <v>0.3</v>
      </c>
      <c r="E1270" s="20" t="n">
        <f aca="false">sh_ot_27</f>
        <v>0.31</v>
      </c>
      <c r="F1270" s="20" t="n">
        <f aca="false">sh_ot_28</f>
        <v>0.32</v>
      </c>
      <c r="G1270" s="20" t="n">
        <f aca="false">sh_ot_29</f>
        <v>0.33</v>
      </c>
    </row>
    <row r="1271" customFormat="false" ht="17.15" hidden="false" customHeight="false" outlineLevel="0" collapsed="false">
      <c r="A1271" s="3" t="s">
        <v>602</v>
      </c>
      <c r="B1271" s="0" t="s">
        <v>552</v>
      </c>
      <c r="D1271" s="22" t="n">
        <f aca="false">(D1263*D1268*D1269+D1264*D1268*v_ot*D1270)*D1267</f>
        <v>801.809211504</v>
      </c>
      <c r="E1271" s="22" t="n">
        <f aca="false">(E1263*E1268*E1269+E1264*E1268*v_ot*E1270)*E1267</f>
        <v>1624.8799315544</v>
      </c>
      <c r="F1271" s="22" t="n">
        <f aca="false">(F1263*F1268*F1269+F1264*F1268*v_ot*F1270)*F1267</f>
        <v>2125.32134231777</v>
      </c>
      <c r="G1271" s="22" t="n">
        <f aca="false">(G1263*G1268*G1269+G1264*G1268*v_ot*G1270)*G1267</f>
        <v>2788.4812844467</v>
      </c>
    </row>
    <row r="1272" customFormat="false" ht="15" hidden="false" customHeight="false" outlineLevel="0" collapsed="false">
      <c r="A1272" s="3" t="s">
        <v>603</v>
      </c>
      <c r="B1272" s="0" t="s">
        <v>302</v>
      </c>
      <c r="D1272" s="21" t="n">
        <f aca="false">D1271*fx/1000</f>
        <v>26.05879937388</v>
      </c>
      <c r="E1272" s="21" t="n">
        <f aca="false">E1271*fx/1000</f>
        <v>52.8085977755181</v>
      </c>
      <c r="F1272" s="21" t="n">
        <f aca="false">F1271*fx/1000</f>
        <v>69.0729436253277</v>
      </c>
      <c r="G1272" s="21" t="n">
        <f aca="false">G1271*fx/1000</f>
        <v>90.6256417445177</v>
      </c>
    </row>
    <row r="1273" customFormat="false" ht="17.15" hidden="false" customHeight="false" outlineLevel="0" collapsed="false">
      <c r="A1273" s="5" t="s">
        <v>604</v>
      </c>
    </row>
    <row r="1274" customFormat="false" ht="17.15" hidden="false" customHeight="false" outlineLevel="0" collapsed="false">
      <c r="A1274" s="0" t="s">
        <v>605</v>
      </c>
      <c r="B1274" s="0" t="s">
        <v>302</v>
      </c>
      <c r="D1274" s="21" t="n">
        <f aca="false">a26_abf*ai_abf</f>
        <v>74.83672875</v>
      </c>
      <c r="K1274" s="3" t="s">
        <v>606</v>
      </c>
    </row>
    <row r="1275" customFormat="false" ht="17.15" hidden="false" customHeight="false" outlineLevel="0" collapsed="false">
      <c r="A1275" s="3" t="s">
        <v>607</v>
      </c>
      <c r="B1275" s="0" t="s">
        <v>302</v>
      </c>
      <c r="D1275" s="21" t="n">
        <f aca="false">D1274-D1272</f>
        <v>48.77792937612</v>
      </c>
      <c r="E1275" s="21" t="n">
        <f aca="false">$D1275*(itc_27/itc_26)^el_o*1*1*E1266*E1267</f>
        <v>72.4686721045733</v>
      </c>
      <c r="F1275" s="21" t="n">
        <f aca="false">$D1275*(itc_28/itc_26)^el_o*um28_A*1*F1266*F1267</f>
        <v>77.5118128697435</v>
      </c>
      <c r="G1275" s="21" t="n">
        <f aca="false">$D1275*(itc_29/itc_26)^el_o*um29_A*1*G1266*G1267</f>
        <v>78.3752247962621</v>
      </c>
      <c r="K1275" s="7" t="s">
        <v>608</v>
      </c>
    </row>
    <row r="1276" customFormat="false" ht="17.15" hidden="false" customHeight="false" outlineLevel="0" collapsed="false">
      <c r="A1276" s="3" t="s">
        <v>609</v>
      </c>
      <c r="B1276" s="0" t="s">
        <v>302</v>
      </c>
      <c r="D1276" s="21" t="n">
        <f aca="false">a26_abf-D1274</f>
        <v>24.94557625</v>
      </c>
      <c r="E1276" s="21" t="n">
        <f aca="false">D1276*(1+g_nai)</f>
        <v>25.6939435375</v>
      </c>
      <c r="F1276" s="21" t="n">
        <f aca="false">E1276*(1+g_nai)</f>
        <v>26.464761843625</v>
      </c>
      <c r="G1276" s="21" t="n">
        <f aca="false">F1276*(1+g_nai)</f>
        <v>27.2587046989338</v>
      </c>
    </row>
    <row r="1277" customFormat="false" ht="17.15" hidden="false" customHeight="false" outlineLevel="0" collapsed="false">
      <c r="A1277" s="0" t="s">
        <v>610</v>
      </c>
      <c r="B1277" s="0" t="s">
        <v>302</v>
      </c>
      <c r="D1277" s="21" t="n">
        <f aca="false">D1272+D1275+D1276</f>
        <v>99.782305</v>
      </c>
      <c r="E1277" s="21" t="n">
        <f aca="false">E1272+E1275+E1276</f>
        <v>150.971213417591</v>
      </c>
      <c r="F1277" s="21" t="n">
        <f aca="false">F1272+F1275+F1276</f>
        <v>173.049518338696</v>
      </c>
      <c r="G1277" s="21" t="n">
        <f aca="false">G1272+G1275+G1276</f>
        <v>196.259571239714</v>
      </c>
    </row>
    <row r="1278" customFormat="false" ht="17.15" hidden="false" customHeight="false" outlineLevel="0" collapsed="false">
      <c r="A1278" s="0" t="s">
        <v>611</v>
      </c>
      <c r="B1278" s="0" t="s">
        <v>302</v>
      </c>
      <c r="D1278" s="21" t="n">
        <f aca="false">a26_abf</f>
        <v>99.782305</v>
      </c>
      <c r="E1278" s="21" t="n">
        <f aca="false">$D1277*cap_27*(1+g_mix)^1*E1266*E1267</f>
        <v>148.513488204375</v>
      </c>
      <c r="F1278" s="21" t="n">
        <f aca="false">$D1277*cap_28*(1+g_mix)^2*F1266*F1267</f>
        <v>186.549442683384</v>
      </c>
      <c r="G1278" s="21" t="n">
        <f aca="false">$D1277*cap_29*(1+g_mix)^3*G1266*G1267</f>
        <v>218.314827660431</v>
      </c>
      <c r="K1278" s="7" t="s">
        <v>612</v>
      </c>
    </row>
    <row r="1279" customFormat="false" ht="17.15" hidden="false" customHeight="false" outlineLevel="0" collapsed="false">
      <c r="A1279" s="0" t="s">
        <v>613</v>
      </c>
      <c r="B1279" s="0" t="s">
        <v>302</v>
      </c>
      <c r="D1279" s="21" t="n">
        <f aca="false">a26_abf</f>
        <v>99.782305</v>
      </c>
      <c r="E1279" s="21" t="n">
        <f aca="false">MIN(E1277,E1278)</f>
        <v>148.513488204375</v>
      </c>
      <c r="F1279" s="21" t="n">
        <f aca="false">MIN(F1277,F1278)</f>
        <v>173.049518338696</v>
      </c>
      <c r="G1279" s="21" t="n">
        <f aca="false">MIN(G1277,G1278)</f>
        <v>196.259571239714</v>
      </c>
    </row>
    <row r="1280" customFormat="false" ht="17.15" hidden="false" customHeight="false" outlineLevel="0" collapsed="false">
      <c r="A1280" s="3" t="s">
        <v>614</v>
      </c>
      <c r="B1280" s="0" t="s">
        <v>44</v>
      </c>
      <c r="D1280" s="20" t="n">
        <f aca="false">D1279/D1277</f>
        <v>1</v>
      </c>
      <c r="E1280" s="20" t="n">
        <f aca="false">E1279/E1277</f>
        <v>0.983720570580444</v>
      </c>
      <c r="F1280" s="20" t="n">
        <f aca="false">F1279/F1277</f>
        <v>1</v>
      </c>
      <c r="G1280" s="20" t="n">
        <f aca="false">G1279/G1277</f>
        <v>1</v>
      </c>
    </row>
    <row r="1281" customFormat="false" ht="17.15" hidden="false" customHeight="false" outlineLevel="0" collapsed="false">
      <c r="A1281" s="0" t="s">
        <v>615</v>
      </c>
      <c r="B1281" s="0" t="s">
        <v>302</v>
      </c>
      <c r="D1281" s="21" t="n">
        <f aca="false">(D1272+D1275)*D1280</f>
        <v>74.83672875</v>
      </c>
      <c r="E1281" s="21" t="n">
        <f aca="false">(E1272+E1275)*E1280</f>
        <v>123.237827407204</v>
      </c>
      <c r="F1281" s="21" t="n">
        <f aca="false">(F1272+F1275)*F1280</f>
        <v>146.584756495071</v>
      </c>
      <c r="G1281" s="21" t="n">
        <f aca="false">(G1272+G1275)*G1280</f>
        <v>169.00086654078</v>
      </c>
    </row>
    <row r="1282" customFormat="false" ht="17.15" hidden="false" customHeight="false" outlineLevel="0" collapsed="false">
      <c r="A1282" s="3" t="s">
        <v>616</v>
      </c>
      <c r="B1282" s="0" t="s">
        <v>44</v>
      </c>
      <c r="D1282" s="20" t="n">
        <f aca="false">D1272/(D1272+D1275)</f>
        <v>0.348208691228771</v>
      </c>
      <c r="E1282" s="20" t="n">
        <f aca="false">E1272/(E1272+E1275)</f>
        <v>0.421533753298293</v>
      </c>
      <c r="F1282" s="20" t="n">
        <f aca="false">F1272/(F1272+F1275)</f>
        <v>0.471215051802813</v>
      </c>
      <c r="G1282" s="20" t="n">
        <f aca="false">G1272/(G1272+G1275)</f>
        <v>0.536243651287136</v>
      </c>
    </row>
    <row r="1283" customFormat="false" ht="17.15" hidden="false" customHeight="false" outlineLevel="0" collapsed="false">
      <c r="A1283" s="5" t="s">
        <v>617</v>
      </c>
    </row>
    <row r="1284" customFormat="false" ht="17.15" hidden="false" customHeight="false" outlineLevel="0" collapsed="false">
      <c r="A1284" s="0" t="s">
        <v>519</v>
      </c>
      <c r="B1284" s="0" t="s">
        <v>302</v>
      </c>
      <c r="D1284" s="21" t="n">
        <f aca="false">a26_bt</f>
        <v>16.944165</v>
      </c>
      <c r="E1284" s="21" t="n">
        <f aca="false">D1284*(1+g_bt)</f>
        <v>17.79137325</v>
      </c>
      <c r="F1284" s="21" t="n">
        <f aca="false">E1284*(1+g_bt)</f>
        <v>18.6809419125</v>
      </c>
      <c r="G1284" s="21" t="n">
        <f aca="false">F1284*(1+g_bt)</f>
        <v>19.614989008125</v>
      </c>
    </row>
    <row r="1285" customFormat="false" ht="17.15" hidden="false" customHeight="false" outlineLevel="0" collapsed="false">
      <c r="A1285" s="0" t="s">
        <v>618</v>
      </c>
      <c r="B1285" s="0" t="s">
        <v>302</v>
      </c>
      <c r="D1285" s="21" t="n">
        <f aca="false">a26_pcb*ai_pcb</f>
        <v>37.93610275</v>
      </c>
      <c r="E1285" s="21" t="n">
        <f aca="false">D1285*(1+g_pai_27_hi)</f>
        <v>49.316933575</v>
      </c>
      <c r="F1285" s="21" t="n">
        <f aca="false">D1285*(1+g_pai_27_hi)*(1+g_pai_28_hi)*um28_A</f>
        <v>61.64616696875</v>
      </c>
      <c r="G1285" s="21" t="n">
        <f aca="false">D1285*(1+g_pai_27_hi)*(1+g_pai_28_hi)*(1+g_pai_29_hi)*um29_A</f>
        <v>73.9754003625</v>
      </c>
      <c r="K1285" s="3" t="s">
        <v>619</v>
      </c>
    </row>
    <row r="1286" customFormat="false" ht="17.15" hidden="false" customHeight="false" outlineLevel="0" collapsed="false">
      <c r="A1286" s="3" t="s">
        <v>620</v>
      </c>
      <c r="B1286" s="0" t="s">
        <v>302</v>
      </c>
      <c r="D1286" s="21" t="n">
        <f aca="false">a26_pcb*(1-ai_pcb)</f>
        <v>20.42713225</v>
      </c>
      <c r="E1286" s="21" t="n">
        <f aca="false">D1286*(1+g_pcbn)</f>
        <v>20.835674895</v>
      </c>
      <c r="F1286" s="21" t="n">
        <f aca="false">E1286*(1+g_pcbn)</f>
        <v>21.2523883929</v>
      </c>
      <c r="G1286" s="21" t="n">
        <f aca="false">F1286*(1+g_pcbn)</f>
        <v>21.677436160758</v>
      </c>
    </row>
    <row r="1287" customFormat="false" ht="15" hidden="false" customHeight="false" outlineLevel="0" collapsed="false">
      <c r="A1287" s="3" t="s">
        <v>521</v>
      </c>
      <c r="B1287" s="0" t="s">
        <v>302</v>
      </c>
      <c r="D1287" s="21" t="n">
        <f aca="false">a26_fpc</f>
        <v>13.178795</v>
      </c>
      <c r="E1287" s="21" t="n">
        <f aca="false">D1287*(1+g_fpc)</f>
        <v>13.178795</v>
      </c>
      <c r="F1287" s="21" t="n">
        <f aca="false">E1287*(1+g_fpc)</f>
        <v>13.178795</v>
      </c>
      <c r="G1287" s="21" t="n">
        <f aca="false">F1287*(1+g_fpc)</f>
        <v>13.178795</v>
      </c>
    </row>
    <row r="1288" customFormat="false" ht="17.15" hidden="false" customHeight="false" outlineLevel="0" collapsed="false">
      <c r="A1288" s="3" t="s">
        <v>484</v>
      </c>
      <c r="B1288" s="0" t="s">
        <v>302</v>
      </c>
      <c r="C1288" s="23" t="n">
        <f aca="false">a25_rev</f>
        <v>131.241</v>
      </c>
      <c r="D1288" s="23" t="n">
        <f aca="false">D1279+D1284+D1285+D1286+D1287</f>
        <v>188.2685</v>
      </c>
      <c r="E1288" s="23" t="n">
        <f aca="false">E1279+E1284+E1285+E1286+E1287</f>
        <v>249.636264924375</v>
      </c>
      <c r="F1288" s="23" t="n">
        <f aca="false">F1279+F1284+F1285+F1286+F1287</f>
        <v>287.807810612846</v>
      </c>
      <c r="G1288" s="23" t="n">
        <f aca="false">G1279+G1284+G1285+G1286+G1287</f>
        <v>324.706191771097</v>
      </c>
      <c r="H1288" s="25" t="n">
        <f aca="false">G1288*(1+H1289)</f>
        <v>358.952939375141</v>
      </c>
      <c r="I1288" s="25" t="n">
        <f aca="false">H1288*(1+I1289)</f>
        <v>388.650902831715</v>
      </c>
      <c r="J1288" s="25" t="n">
        <f aca="false">I1288*(1+J1289)</f>
        <v>411.969957001618</v>
      </c>
      <c r="K1288" s="7" t="s">
        <v>621</v>
      </c>
    </row>
    <row r="1289" customFormat="false" ht="15" hidden="false" customHeight="false" outlineLevel="0" collapsed="false">
      <c r="A1289" s="3" t="s">
        <v>622</v>
      </c>
      <c r="B1289" s="0" t="s">
        <v>44</v>
      </c>
      <c r="D1289" s="20" t="n">
        <f aca="false">D1288/C1288-1</f>
        <v>0.434525034097576</v>
      </c>
      <c r="E1289" s="20" t="n">
        <f aca="false">E1288/D1288-1</f>
        <v>0.32595875</v>
      </c>
      <c r="F1289" s="20" t="n">
        <f aca="false">F1288/E1288-1</f>
        <v>0.152908655719692</v>
      </c>
      <c r="G1289" s="20" t="n">
        <f aca="false">G1288/F1288-1</f>
        <v>0.128204933284057</v>
      </c>
      <c r="H1289" s="26" t="n">
        <f aca="false">$G1289+(fade_gA-$G1289)*1/3</f>
        <v>0.105469955522705</v>
      </c>
      <c r="I1289" s="26" t="n">
        <f aca="false">$G1289+(fade_gA-$G1289)*2/3</f>
        <v>0.0827349777613523</v>
      </c>
      <c r="J1289" s="26" t="n">
        <f aca="false">$G1289+(fade_gA-$G1289)*3/3</f>
        <v>0.06</v>
      </c>
    </row>
    <row r="1290" customFormat="false" ht="17.15" hidden="false" customHeight="false" outlineLevel="0" collapsed="false">
      <c r="A1290" s="0" t="s">
        <v>623</v>
      </c>
      <c r="B1290" s="0" t="s">
        <v>44</v>
      </c>
      <c r="D1290" s="20" t="n">
        <f aca="false">D1279/D1288</f>
        <v>0.53</v>
      </c>
      <c r="E1290" s="20" t="n">
        <f aca="false">E1279/E1288</f>
        <v>0.594919525211474</v>
      </c>
      <c r="F1290" s="20" t="n">
        <f aca="false">F1279/F1288</f>
        <v>0.601267623593021</v>
      </c>
      <c r="G1290" s="20" t="n">
        <f aca="false">G1279/G1288</f>
        <v>0.604422016621315</v>
      </c>
    </row>
    <row r="1291" customFormat="false" ht="17.15" hidden="false" customHeight="false" outlineLevel="0" collapsed="false">
      <c r="A1291" s="0" t="s">
        <v>624</v>
      </c>
      <c r="B1291" s="0" t="s">
        <v>44</v>
      </c>
      <c r="D1291" s="20" t="n">
        <f aca="false">(D1281+D1285)/D1288</f>
        <v>0.599</v>
      </c>
      <c r="E1291" s="20" t="n">
        <f aca="false">(E1281+E1285)/E1288</f>
        <v>0.691224734653347</v>
      </c>
      <c r="F1291" s="20" t="n">
        <f aca="false">(F1281+F1285)/F1288</f>
        <v>0.723506853481227</v>
      </c>
      <c r="G1291" s="20" t="n">
        <f aca="false">(G1281+G1285)/G1288</f>
        <v>0.748295761093978</v>
      </c>
      <c r="K1291" s="3" t="s">
        <v>625</v>
      </c>
    </row>
    <row r="1292" customFormat="false" ht="17.15" hidden="false" customHeight="false" outlineLevel="0" collapsed="false">
      <c r="A1292" s="5" t="s">
        <v>626</v>
      </c>
    </row>
    <row r="1293" customFormat="false" ht="15" hidden="false" customHeight="false" outlineLevel="0" collapsed="false">
      <c r="A1293" s="3" t="s">
        <v>627</v>
      </c>
      <c r="B1293" s="0" t="s">
        <v>302</v>
      </c>
      <c r="C1293" s="23" t="n">
        <f aca="false">a25_cx</f>
        <v>25.617</v>
      </c>
      <c r="D1293" s="23" t="n">
        <f aca="false">capex26</f>
        <v>53.7</v>
      </c>
      <c r="E1293" s="23" t="n">
        <f aca="false">cx27_A</f>
        <v>55</v>
      </c>
      <c r="F1293" s="23" t="n">
        <f aca="false">cx28_A</f>
        <v>50</v>
      </c>
      <c r="G1293" s="23" t="n">
        <f aca="false">cx29_A</f>
        <v>45</v>
      </c>
      <c r="H1293" s="25" t="n">
        <f aca="false">H1288*H1310</f>
        <v>46.6738623845374</v>
      </c>
      <c r="I1293" s="25" t="n">
        <f aca="false">I1288*I1310</f>
        <v>47.2089522550247</v>
      </c>
      <c r="J1293" s="25" t="n">
        <f aca="false">J1288*J1310</f>
        <v>46.5154300286363</v>
      </c>
    </row>
    <row r="1294" customFormat="false" ht="17.15" hidden="false" customHeight="false" outlineLevel="0" collapsed="false">
      <c r="A1294" s="3" t="s">
        <v>628</v>
      </c>
      <c r="B1294" s="0" t="s">
        <v>302</v>
      </c>
      <c r="C1294" s="23" t="n">
        <f aca="false">a25_da</f>
        <v>18.8</v>
      </c>
      <c r="D1294" s="23" t="n">
        <f aca="false">da26</f>
        <v>20.8</v>
      </c>
      <c r="E1294" s="23" t="n">
        <f aca="false">D1294*(1-1/life)+D1293/life</f>
        <v>24.9125</v>
      </c>
      <c r="F1294" s="23" t="n">
        <f aca="false">E1294*(1-1/life)+E1293/life</f>
        <v>28.6734375</v>
      </c>
      <c r="G1294" s="23" t="n">
        <f aca="false">F1294*(1-1/life)+F1293/life</f>
        <v>31.3392578125</v>
      </c>
      <c r="H1294" s="25" t="n">
        <f aca="false">H1288*H1295</f>
        <v>34.644607940099</v>
      </c>
      <c r="I1294" s="25" t="n">
        <f aca="false">I1288*I1295</f>
        <v>37.5109288075738</v>
      </c>
      <c r="J1294" s="25" t="n">
        <f aca="false">J1288*J1295</f>
        <v>39.7615845360282</v>
      </c>
      <c r="K1294" s="3" t="s">
        <v>629</v>
      </c>
    </row>
    <row r="1295" customFormat="false" ht="17.15" hidden="false" customHeight="false" outlineLevel="0" collapsed="false">
      <c r="A1295" s="3" t="s">
        <v>630</v>
      </c>
      <c r="B1295" s="0" t="s">
        <v>44</v>
      </c>
      <c r="C1295" s="20" t="n">
        <f aca="false">C1294/C1288</f>
        <v>0.143247917952469</v>
      </c>
      <c r="D1295" s="20" t="n">
        <f aca="false">D1294/D1288</f>
        <v>0.110480510547436</v>
      </c>
      <c r="E1295" s="20" t="n">
        <f aca="false">E1294/E1288</f>
        <v>0.099795196052733</v>
      </c>
      <c r="F1295" s="20" t="n">
        <f aca="false">F1294/F1288</f>
        <v>0.0996270304094387</v>
      </c>
      <c r="G1295" s="20" t="n">
        <f aca="false">G1294/G1288</f>
        <v>0.0965157382480491</v>
      </c>
      <c r="H1295" s="26" t="n">
        <f aca="false">$G1295</f>
        <v>0.0965157382480491</v>
      </c>
      <c r="I1295" s="26" t="n">
        <f aca="false">$G1295</f>
        <v>0.0965157382480491</v>
      </c>
      <c r="J1295" s="26" t="n">
        <f aca="false">$G1295</f>
        <v>0.0965157382480491</v>
      </c>
    </row>
    <row r="1296" customFormat="false" ht="17.15" hidden="false" customHeight="false" outlineLevel="0" collapsed="false">
      <c r="A1296" s="3" t="s">
        <v>631</v>
      </c>
      <c r="B1296" s="0" t="s">
        <v>302</v>
      </c>
      <c r="E1296" s="21" t="n">
        <f aca="false">E1281*(1-1/(E1266*E1267))</f>
        <v>5.86846797177161</v>
      </c>
      <c r="F1296" s="21" t="n">
        <f aca="false">F1281*(1-1/(F1266*F1267))</f>
        <v>-0.367380342092935</v>
      </c>
      <c r="G1296" s="21" t="n">
        <f aca="false">G1281*(1-1/(G1266*G1267))</f>
        <v>-9.83602926956918</v>
      </c>
      <c r="K1296" s="7" t="s">
        <v>632</v>
      </c>
    </row>
    <row r="1297" customFormat="false" ht="17.15" hidden="false" customHeight="false" outlineLevel="0" collapsed="false">
      <c r="A1297" s="3" t="s">
        <v>633</v>
      </c>
      <c r="B1297" s="0" t="s">
        <v>302</v>
      </c>
      <c r="C1297" s="21" t="n">
        <f aca="false">a25_gp</f>
        <v>18.292</v>
      </c>
      <c r="D1297" s="21" t="n">
        <f aca="false">a26_gp</f>
        <v>47.3329657</v>
      </c>
      <c r="E1297" s="21" t="n">
        <f aca="false">$D1297+ft_abf*(E1279-E1296-$D1279)+ft_oth*((E1288-E1279)-($D1288-$D1279))+E1296-(E1294-$D1294)</f>
        <v>73.6794367180733</v>
      </c>
      <c r="F1297" s="21" t="n">
        <f aca="false">$D1297+ft_abf*(F1279-F1296-$D1279)+ft_oth*((F1288-F1279)-($D1288-$D1279))+F1296-(F1294-$D1294)</f>
        <v>82.4774690168391</v>
      </c>
      <c r="G1297" s="21" t="n">
        <f aca="false">$D1297+ft_abf*(G1279-G1296-$D1279)+ft_oth*((G1288-G1279)-($D1288-$D1279))+G1296-(G1294-$D1294)</f>
        <v>90.1044327554179</v>
      </c>
      <c r="K1297" s="3" t="s">
        <v>634</v>
      </c>
    </row>
    <row r="1298" customFormat="false" ht="15" hidden="false" customHeight="false" outlineLevel="0" collapsed="false">
      <c r="A1298" s="3" t="s">
        <v>491</v>
      </c>
      <c r="B1298" s="0" t="s">
        <v>44</v>
      </c>
      <c r="C1298" s="16" t="n">
        <f aca="false">C1297/C1288</f>
        <v>0.139377176339711</v>
      </c>
      <c r="D1298" s="16" t="n">
        <f aca="false">D1297/D1288</f>
        <v>0.251412029627899</v>
      </c>
      <c r="E1298" s="16" t="n">
        <f aca="false">E1297/E1288</f>
        <v>0.295147168382742</v>
      </c>
      <c r="F1298" s="16" t="n">
        <f aca="false">F1297/F1288</f>
        <v>0.286571336758426</v>
      </c>
      <c r="G1298" s="16" t="n">
        <f aca="false">G1297/G1288</f>
        <v>0.277495271229498</v>
      </c>
    </row>
    <row r="1299" customFormat="false" ht="15" hidden="false" customHeight="false" outlineLevel="0" collapsed="false">
      <c r="A1299" s="3" t="s">
        <v>493</v>
      </c>
      <c r="B1299" s="0" t="s">
        <v>302</v>
      </c>
      <c r="C1299" s="21" t="n">
        <f aca="false">a25_opx</f>
        <v>11.618</v>
      </c>
      <c r="D1299" s="21" t="n">
        <f aca="false">a26_opx</f>
        <v>16.6539532</v>
      </c>
      <c r="E1299" s="21" t="n">
        <f aca="false">D1299*(1+phi*E1289)</f>
        <v>19.9110542605783</v>
      </c>
      <c r="F1299" s="21" t="n">
        <f aca="false">E1299*(1+phi*F1289)</f>
        <v>21.7377977851464</v>
      </c>
      <c r="G1299" s="21" t="n">
        <f aca="false">F1299*(1+phi*G1289)</f>
        <v>23.4099335340186</v>
      </c>
    </row>
    <row r="1300" customFormat="false" ht="15" hidden="false" customHeight="false" outlineLevel="0" collapsed="false">
      <c r="A1300" s="3" t="s">
        <v>496</v>
      </c>
      <c r="B1300" s="0" t="s">
        <v>302</v>
      </c>
      <c r="C1300" s="21" t="n">
        <f aca="false">C1297-C1299</f>
        <v>6.674</v>
      </c>
      <c r="D1300" s="21" t="n">
        <f aca="false">D1297-D1299</f>
        <v>30.6790125</v>
      </c>
      <c r="E1300" s="21" t="n">
        <f aca="false">E1297-E1299</f>
        <v>53.768382457495</v>
      </c>
      <c r="F1300" s="21" t="n">
        <f aca="false">F1297-F1299</f>
        <v>60.7396712316927</v>
      </c>
      <c r="G1300" s="21" t="n">
        <f aca="false">G1297-G1299</f>
        <v>66.6944992213993</v>
      </c>
    </row>
    <row r="1301" customFormat="false" ht="15" hidden="false" customHeight="false" outlineLevel="0" collapsed="false">
      <c r="A1301" s="3" t="s">
        <v>575</v>
      </c>
      <c r="B1301" s="0" t="s">
        <v>44</v>
      </c>
      <c r="C1301" s="16" t="n">
        <f aca="false">C1300/C1288</f>
        <v>0.0508530108731265</v>
      </c>
      <c r="D1301" s="16" t="n">
        <f aca="false">D1300/D1288</f>
        <v>0.162953507888999</v>
      </c>
      <c r="E1301" s="16" t="n">
        <f aca="false">E1300/E1288</f>
        <v>0.215386904918577</v>
      </c>
      <c r="F1301" s="16" t="n">
        <f aca="false">F1300/F1288</f>
        <v>0.211042469981465</v>
      </c>
      <c r="G1301" s="16" t="n">
        <f aca="false">G1300/G1288</f>
        <v>0.205399530134048</v>
      </c>
    </row>
    <row r="1302" customFormat="false" ht="17.15" hidden="false" customHeight="false" outlineLevel="0" collapsed="false">
      <c r="A1302" s="3" t="s">
        <v>635</v>
      </c>
      <c r="B1302" s="0" t="s">
        <v>302</v>
      </c>
      <c r="C1302" s="21" t="n">
        <f aca="false">a25_nonop</f>
        <v>-0.00100000000000033</v>
      </c>
      <c r="D1302" s="21" t="n">
        <f aca="false">a26_nonop</f>
        <v>14.466</v>
      </c>
      <c r="E1302" s="21" t="n">
        <f aca="false">nonop27</f>
        <v>2</v>
      </c>
      <c r="F1302" s="21" t="n">
        <f aca="false">nonop28</f>
        <v>2</v>
      </c>
      <c r="G1302" s="21" t="n">
        <f aca="false">nonop29</f>
        <v>2</v>
      </c>
      <c r="K1302" s="7" t="s">
        <v>636</v>
      </c>
    </row>
    <row r="1303" customFormat="false" ht="15" hidden="false" customHeight="false" outlineLevel="0" collapsed="false">
      <c r="A1303" s="3" t="s">
        <v>502</v>
      </c>
      <c r="B1303" s="0" t="s">
        <v>302</v>
      </c>
      <c r="C1303" s="21" t="n">
        <f aca="false">C1300+C1302</f>
        <v>6.673</v>
      </c>
      <c r="D1303" s="21" t="n">
        <f aca="false">D1300+D1302</f>
        <v>45.1450125</v>
      </c>
      <c r="E1303" s="21" t="n">
        <f aca="false">E1300+E1302</f>
        <v>55.768382457495</v>
      </c>
      <c r="F1303" s="21" t="n">
        <f aca="false">F1300+F1302</f>
        <v>62.7396712316927</v>
      </c>
      <c r="G1303" s="21" t="n">
        <f aca="false">G1300+G1302</f>
        <v>68.6944992213993</v>
      </c>
    </row>
    <row r="1304" customFormat="false" ht="15" hidden="false" customHeight="false" outlineLevel="0" collapsed="false">
      <c r="A1304" s="3" t="s">
        <v>506</v>
      </c>
      <c r="B1304" s="0" t="s">
        <v>302</v>
      </c>
      <c r="E1304" s="21" t="n">
        <f aca="false">E1303*tax</f>
        <v>10.0383088423491</v>
      </c>
      <c r="F1304" s="21" t="n">
        <f aca="false">F1303*tax</f>
        <v>11.2931408217047</v>
      </c>
      <c r="G1304" s="21" t="n">
        <f aca="false">G1303*tax</f>
        <v>12.3650098598519</v>
      </c>
    </row>
    <row r="1305" customFormat="false" ht="15" hidden="false" customHeight="false" outlineLevel="0" collapsed="false">
      <c r="A1305" s="3" t="s">
        <v>504</v>
      </c>
      <c r="B1305" s="0" t="s">
        <v>302</v>
      </c>
      <c r="C1305" s="21" t="n">
        <f aca="false">a25_ni</f>
        <v>6.673</v>
      </c>
      <c r="D1305" s="21" t="n">
        <f aca="false">a26_ni</f>
        <v>37.23923025</v>
      </c>
      <c r="E1305" s="21" t="n">
        <f aca="false">E1303-E1304</f>
        <v>45.7300736151459</v>
      </c>
      <c r="F1305" s="21" t="n">
        <f aca="false">F1303-F1304</f>
        <v>51.446530409988</v>
      </c>
      <c r="G1305" s="21" t="n">
        <f aca="false">G1303-G1304</f>
        <v>56.3294893615474</v>
      </c>
      <c r="H1305" s="30" t="n">
        <f aca="false">H1288*H1309</f>
        <v>62.312644169631</v>
      </c>
      <c r="I1305" s="30" t="n">
        <f aca="false">I1288*I1309</f>
        <v>67.5136474598681</v>
      </c>
      <c r="J1305" s="30" t="n">
        <f aca="false">J1288*J1309</f>
        <v>71.6127684517087</v>
      </c>
    </row>
    <row r="1306" customFormat="false" ht="15" hidden="false" customHeight="false" outlineLevel="0" collapsed="false">
      <c r="A1306" s="3" t="s">
        <v>637</v>
      </c>
      <c r="B1306" s="3" t="s">
        <v>380</v>
      </c>
      <c r="C1306" s="29" t="n">
        <f aca="false">a25_sh</f>
        <v>1.52351598173516</v>
      </c>
      <c r="D1306" s="29" t="n">
        <f aca="false">a26_sh</f>
        <v>1.59236316568047</v>
      </c>
      <c r="E1306" s="29" t="n">
        <f aca="false">a26_shend*(1+sh_g)</f>
        <v>1.64</v>
      </c>
      <c r="F1306" s="29" t="n">
        <f aca="false">E1306*(1+sh_g)</f>
        <v>1.64</v>
      </c>
      <c r="G1306" s="29" t="n">
        <f aca="false">F1306*(1+sh_g)</f>
        <v>1.64</v>
      </c>
      <c r="H1306" s="31" t="n">
        <f aca="false">G1306*(1+sh_g)</f>
        <v>1.64</v>
      </c>
      <c r="I1306" s="31" t="n">
        <f aca="false">H1306*(1+sh_g)</f>
        <v>1.64</v>
      </c>
      <c r="J1306" s="31" t="n">
        <f aca="false">I1306*(1+sh_g)</f>
        <v>1.64</v>
      </c>
    </row>
    <row r="1307" customFormat="false" ht="17.15" hidden="false" customHeight="false" outlineLevel="0" collapsed="false">
      <c r="A1307" s="0" t="s">
        <v>509</v>
      </c>
      <c r="B1307" s="0" t="s">
        <v>386</v>
      </c>
      <c r="C1307" s="18" t="n">
        <f aca="false">C1305/C1306</f>
        <v>4.38</v>
      </c>
      <c r="D1307" s="18" t="n">
        <f aca="false">D1305/D1306</f>
        <v>23.3861414610695</v>
      </c>
      <c r="E1307" s="18" t="n">
        <f aca="false">E1305/E1306</f>
        <v>27.8841912287475</v>
      </c>
      <c r="F1307" s="18" t="n">
        <f aca="false">F1305/F1306</f>
        <v>31.3698356158463</v>
      </c>
      <c r="G1307" s="18" t="n">
        <f aca="false">G1305/G1306</f>
        <v>34.3472496106997</v>
      </c>
      <c r="H1307" s="28" t="n">
        <f aca="false">H1305/H1306</f>
        <v>37.9955147375799</v>
      </c>
      <c r="I1307" s="28" t="n">
        <f aca="false">I1305/I1306</f>
        <v>41.1668582072367</v>
      </c>
      <c r="J1307" s="28" t="n">
        <f aca="false">J1305/J1306</f>
        <v>43.6663222266516</v>
      </c>
    </row>
    <row r="1308" customFormat="false" ht="17.15" hidden="false" customHeight="false" outlineLevel="0" collapsed="false">
      <c r="A1308" s="0" t="s">
        <v>638</v>
      </c>
      <c r="B1308" s="0" t="s">
        <v>44</v>
      </c>
      <c r="D1308" s="20" t="n">
        <f aca="false">D1307/C1307-1</f>
        <v>4.33930170344053</v>
      </c>
      <c r="E1308" s="20" t="n">
        <f aca="false">E1307/D1307-1</f>
        <v>0.192338260467885</v>
      </c>
      <c r="F1308" s="20" t="n">
        <f aca="false">F1307/E1307-1</f>
        <v>0.125004320853505</v>
      </c>
      <c r="G1308" s="20" t="n">
        <f aca="false">G1307/F1307-1</f>
        <v>0.0949132801113335</v>
      </c>
      <c r="H1308" s="26" t="n">
        <f aca="false">H1307/G1307-1</f>
        <v>0.106217096513711</v>
      </c>
      <c r="I1308" s="26" t="n">
        <f aca="false">I1307/H1307-1</f>
        <v>0.083466258887662</v>
      </c>
      <c r="J1308" s="26" t="n">
        <f aca="false">J1307/I1307-1</f>
        <v>0.0607154426707153</v>
      </c>
    </row>
    <row r="1309" customFormat="false" ht="17.15" hidden="false" customHeight="false" outlineLevel="0" collapsed="false">
      <c r="A1309" s="3" t="s">
        <v>639</v>
      </c>
      <c r="B1309" s="0" t="s">
        <v>44</v>
      </c>
      <c r="C1309" s="16" t="n">
        <f aca="false">C1305/C1288</f>
        <v>0.0508453913030227</v>
      </c>
      <c r="D1309" s="16" t="n">
        <f aca="false">D1305/D1288</f>
        <v>0.197798517808343</v>
      </c>
      <c r="E1309" s="16" t="n">
        <f aca="false">E1305/E1288</f>
        <v>0.183186820348395</v>
      </c>
      <c r="F1309" s="16" t="n">
        <f aca="false">F1305/F1288</f>
        <v>0.178753072407729</v>
      </c>
      <c r="G1309" s="16" t="n">
        <f aca="false">G1305/G1288</f>
        <v>0.173478334534677</v>
      </c>
      <c r="H1309" s="27" t="n">
        <f aca="false">$G1309+(fade_mA-$G1309)*1/3</f>
        <v>0.173595581298495</v>
      </c>
      <c r="I1309" s="27" t="n">
        <f aca="false">$G1309+(fade_mA-$G1309)*2/3</f>
        <v>0.173712828062312</v>
      </c>
      <c r="J1309" s="27" t="n">
        <f aca="false">$G1309+(fade_mA-$G1309)*3/3</f>
        <v>0.17383007482613</v>
      </c>
    </row>
    <row r="1310" customFormat="false" ht="17.15" hidden="false" customHeight="false" outlineLevel="0" collapsed="false">
      <c r="A1310" s="3" t="s">
        <v>640</v>
      </c>
      <c r="B1310" s="0" t="s">
        <v>44</v>
      </c>
      <c r="C1310" s="20" t="n">
        <f aca="false">C1293/C1288</f>
        <v>0.195190527350447</v>
      </c>
      <c r="D1310" s="20" t="n">
        <f aca="false">D1293/D1288</f>
        <v>0.285230933480641</v>
      </c>
      <c r="E1310" s="20" t="n">
        <f aca="false">E1293/E1288</f>
        <v>0.220320553252396</v>
      </c>
      <c r="F1310" s="20" t="n">
        <f aca="false">F1293/F1288</f>
        <v>0.173727043381943</v>
      </c>
      <c r="G1310" s="20" t="n">
        <f aca="false">G1293/G1288</f>
        <v>0.138586824459827</v>
      </c>
      <c r="H1310" s="26" t="n">
        <f aca="false">$G1310+($G1295*(1+tp_g)^(life/2)-$G1310)*1/3</f>
        <v>0.130027803827951</v>
      </c>
      <c r="I1310" s="26" t="n">
        <f aca="false">$G1310+($G1295*(1+tp_g)^(life/2)-$G1310)*2/3</f>
        <v>0.121468783196076</v>
      </c>
      <c r="J1310" s="26" t="n">
        <f aca="false">$G1310+($G1295*(1+tp_g)^(life/2)-$G1310)*3/3</f>
        <v>0.1129097625642</v>
      </c>
      <c r="K1310" s="7" t="s">
        <v>641</v>
      </c>
    </row>
    <row r="1311" customFormat="false" ht="15" hidden="false" customHeight="false" outlineLevel="0" collapsed="false">
      <c r="A1311" s="3" t="s">
        <v>642</v>
      </c>
      <c r="B1311" s="0" t="s">
        <v>302</v>
      </c>
      <c r="E1311" s="21" t="n">
        <f aca="false">E1305+E1294-E1293</f>
        <v>15.6425736151459</v>
      </c>
      <c r="F1311" s="21" t="n">
        <f aca="false">F1305+F1294-F1293</f>
        <v>30.119967909988</v>
      </c>
      <c r="G1311" s="21" t="n">
        <f aca="false">G1305+G1294-G1293</f>
        <v>42.6687471740474</v>
      </c>
      <c r="H1311" s="30" t="n">
        <f aca="false">H1305+H1294-H1293</f>
        <v>50.2833897251925</v>
      </c>
      <c r="I1311" s="30" t="n">
        <f aca="false">I1305+I1294-I1293</f>
        <v>57.8156240124173</v>
      </c>
      <c r="J1311" s="30" t="n">
        <f aca="false">J1305+J1294-J1293</f>
        <v>64.8589229591006</v>
      </c>
      <c r="K1311" s="3" t="s">
        <v>643</v>
      </c>
    </row>
    <row r="1312" customFormat="false" ht="15" hidden="false" customHeight="false" outlineLevel="0" collapsed="false">
      <c r="A1312" s="3" t="s">
        <v>644</v>
      </c>
      <c r="B1312" s="0" t="s">
        <v>386</v>
      </c>
      <c r="E1312" s="18" t="n">
        <f aca="false">E1311/E1306</f>
        <v>9.53815464338165</v>
      </c>
      <c r="F1312" s="18" t="n">
        <f aca="false">F1311/F1306</f>
        <v>18.3658340914561</v>
      </c>
      <c r="G1312" s="18" t="n">
        <f aca="false">G1311/G1306</f>
        <v>26.0175287646631</v>
      </c>
      <c r="H1312" s="28" t="n">
        <f aca="false">H1311/H1306</f>
        <v>30.660603490971</v>
      </c>
      <c r="I1312" s="28" t="n">
        <f aca="false">I1311/I1306</f>
        <v>35.2534292758642</v>
      </c>
      <c r="J1312" s="28" t="n">
        <f aca="false">J1311/J1306</f>
        <v>39.5481237555492</v>
      </c>
    </row>
    <row r="1315" customFormat="false" ht="17.15" hidden="false" customHeight="false" outlineLevel="0" collapsed="false">
      <c r="A1315" s="1" t="s">
        <v>967</v>
      </c>
    </row>
    <row r="1316" customFormat="false" ht="17.15" hidden="false" customHeight="false" outlineLevel="0" collapsed="false">
      <c r="A1316" s="4" t="s">
        <v>21</v>
      </c>
      <c r="B1316" s="4" t="s">
        <v>22</v>
      </c>
      <c r="C1316" s="13" t="s">
        <v>477</v>
      </c>
      <c r="D1316" s="13" t="s">
        <v>562</v>
      </c>
      <c r="E1316" s="13" t="s">
        <v>563</v>
      </c>
      <c r="F1316" s="13" t="s">
        <v>564</v>
      </c>
      <c r="G1316" s="13" t="s">
        <v>565</v>
      </c>
      <c r="H1316" s="13" t="s">
        <v>566</v>
      </c>
      <c r="I1316" s="13" t="s">
        <v>567</v>
      </c>
      <c r="J1316" s="13" t="s">
        <v>568</v>
      </c>
      <c r="K1316" s="4" t="s">
        <v>533</v>
      </c>
    </row>
    <row r="1317" customFormat="false" ht="17.15" hidden="false" customHeight="false" outlineLevel="0" collapsed="false">
      <c r="A1317" s="5" t="s">
        <v>586</v>
      </c>
    </row>
    <row r="1318" customFormat="false" ht="17.15" hidden="false" customHeight="false" outlineLevel="0" collapsed="false">
      <c r="A1318" s="0" t="s">
        <v>587</v>
      </c>
      <c r="B1318" s="3" t="s">
        <v>32</v>
      </c>
      <c r="D1318" s="21" t="n">
        <f aca="false">(u_bw_26+u_rb_26+u_ru_26+u_hp_26)*1</f>
        <v>7.6</v>
      </c>
      <c r="E1318" s="21" t="n">
        <f aca="false">(u_bw_27+u_rb_27+u_ru_27+u_hp_27)*1*1</f>
        <v>9.7</v>
      </c>
      <c r="F1318" s="21" t="n">
        <f aca="false">(u_bw_28+u_rb_28+u_ru_28+u_hp_28)*um28_A*1</f>
        <v>9.5</v>
      </c>
      <c r="G1318" s="21" t="n">
        <f aca="false">(u_bw_28*(1+g29_bw)+u_rb_28*(1+g29_rb)+u_ru_28*(1+g29_ru)+u_hp_28*(1+g29_hp))*um29_A*1</f>
        <v>10.6</v>
      </c>
      <c r="K1318" s="7" t="s">
        <v>588</v>
      </c>
    </row>
    <row r="1319" customFormat="false" ht="17.15" hidden="false" customHeight="false" outlineLevel="0" collapsed="false">
      <c r="A1319" s="3" t="s">
        <v>589</v>
      </c>
      <c r="B1319" s="3" t="s">
        <v>32</v>
      </c>
      <c r="D1319" s="21" t="n">
        <f aca="false">(u_amd_26+u_tpu_26+u_trn_26+u_oth_26)*1</f>
        <v>7.6</v>
      </c>
      <c r="E1319" s="21" t="n">
        <f aca="false">(u_amd_27+u_tpu_27+u_trn_27+u_oth_27)*1*1</f>
        <v>14</v>
      </c>
      <c r="F1319" s="21" t="n">
        <f aca="false">(u_amd_28+u_tpu_28+u_trn_28+u_oth_28)*um28_A*1</f>
        <v>17</v>
      </c>
      <c r="G1319" s="21" t="n">
        <f aca="false">(u_amd_28*(1+g29_amd)+u_tpu_28*(1+g29_tpu)+u_trn_28*(1+g29_trn)+u_oth_28*(1+g29_oth))*um29_A*1</f>
        <v>19.55</v>
      </c>
      <c r="K1319" s="7" t="s">
        <v>590</v>
      </c>
    </row>
    <row r="1320" customFormat="false" ht="17.15" hidden="false" customHeight="false" outlineLevel="0" collapsed="false">
      <c r="A1320" s="3" t="s">
        <v>591</v>
      </c>
      <c r="B1320" s="0" t="s">
        <v>144</v>
      </c>
      <c r="D1320" s="19" t="n">
        <f aca="false">1</f>
        <v>1</v>
      </c>
      <c r="E1320" s="19" t="n">
        <f aca="false">D1320*(1+g_asp)</f>
        <v>1.18</v>
      </c>
      <c r="F1320" s="19" t="n">
        <f aca="false">E1320*(1+g_asp)</f>
        <v>1.3924</v>
      </c>
      <c r="G1320" s="19" t="n">
        <f aca="false">F1320*(1+g_asp)</f>
        <v>1.643032</v>
      </c>
      <c r="K1320" s="7" t="s">
        <v>592</v>
      </c>
    </row>
    <row r="1321" customFormat="false" ht="17.15" hidden="false" customHeight="false" outlineLevel="0" collapsed="false">
      <c r="A1321" s="0" t="s">
        <v>593</v>
      </c>
      <c r="B1321" s="0" t="s">
        <v>144</v>
      </c>
      <c r="D1321" s="18" t="n">
        <f aca="false">1</f>
        <v>1</v>
      </c>
      <c r="E1321" s="18" t="n">
        <f aca="false">ibpp_27</f>
        <v>1</v>
      </c>
      <c r="F1321" s="18" t="n">
        <f aca="false">ibpp_28</f>
        <v>0.95</v>
      </c>
      <c r="G1321" s="18" t="n">
        <f aca="false">ibpp_29</f>
        <v>0.9</v>
      </c>
      <c r="K1321" s="7" t="s">
        <v>594</v>
      </c>
    </row>
    <row r="1322" customFormat="false" ht="17.15" hidden="false" customHeight="false" outlineLevel="0" collapsed="false">
      <c r="A1322" s="3" t="s">
        <v>595</v>
      </c>
      <c r="B1322" s="0" t="s">
        <v>144</v>
      </c>
      <c r="D1322" s="18" t="n">
        <f aca="false">1</f>
        <v>1</v>
      </c>
      <c r="E1322" s="18" t="n">
        <f aca="false">1+carry</f>
        <v>1.05</v>
      </c>
      <c r="F1322" s="18" t="n">
        <f aca="false">1+carry</f>
        <v>1.05</v>
      </c>
      <c r="G1322" s="18" t="n">
        <f aca="false">1+carry</f>
        <v>1.05</v>
      </c>
      <c r="K1322" s="7" t="s">
        <v>596</v>
      </c>
    </row>
    <row r="1323" customFormat="false" ht="17.15" hidden="false" customHeight="false" outlineLevel="0" collapsed="false">
      <c r="A1323" s="3" t="s">
        <v>597</v>
      </c>
      <c r="B1323" s="0" t="s">
        <v>598</v>
      </c>
      <c r="D1323" s="23" t="n">
        <f aca="false">v26*D1320*D1321</f>
        <v>215.308596</v>
      </c>
      <c r="E1323" s="23" t="n">
        <f aca="false">v26*E1320*E1321</f>
        <v>254.06414328</v>
      </c>
      <c r="F1323" s="23" t="n">
        <f aca="false">v26*F1320*F1321</f>
        <v>284.80590461688</v>
      </c>
      <c r="G1323" s="23" t="n">
        <f aca="false">v26*G1320*G1321</f>
        <v>318.383021792765</v>
      </c>
      <c r="K1323" s="7" t="s">
        <v>599</v>
      </c>
    </row>
    <row r="1324" customFormat="false" ht="17.15" hidden="false" customHeight="false" outlineLevel="0" collapsed="false">
      <c r="A1324" s="3" t="s">
        <v>600</v>
      </c>
      <c r="B1324" s="0" t="s">
        <v>44</v>
      </c>
      <c r="D1324" s="20" t="n">
        <f aca="false">sh_nv_26</f>
        <v>0.25</v>
      </c>
      <c r="E1324" s="20" t="n">
        <f aca="false">sh_nv_27</f>
        <v>0.27</v>
      </c>
      <c r="F1324" s="20" t="n">
        <f aca="false">sh_nv_28</f>
        <v>0.29</v>
      </c>
      <c r="G1324" s="20" t="n">
        <f aca="false">sh_nv_29</f>
        <v>0.3</v>
      </c>
    </row>
    <row r="1325" customFormat="false" ht="17.15" hidden="false" customHeight="false" outlineLevel="0" collapsed="false">
      <c r="A1325" s="3" t="s">
        <v>601</v>
      </c>
      <c r="B1325" s="0" t="s">
        <v>44</v>
      </c>
      <c r="D1325" s="20" t="n">
        <f aca="false">sh_ot_26</f>
        <v>0.3</v>
      </c>
      <c r="E1325" s="20" t="n">
        <f aca="false">sh_ot_27</f>
        <v>0.31</v>
      </c>
      <c r="F1325" s="20" t="n">
        <f aca="false">sh_ot_28</f>
        <v>0.32</v>
      </c>
      <c r="G1325" s="20" t="n">
        <f aca="false">sh_ot_29</f>
        <v>0.33</v>
      </c>
    </row>
    <row r="1326" customFormat="false" ht="17.15" hidden="false" customHeight="false" outlineLevel="0" collapsed="false">
      <c r="A1326" s="3" t="s">
        <v>602</v>
      </c>
      <c r="B1326" s="0" t="s">
        <v>552</v>
      </c>
      <c r="D1326" s="22" t="n">
        <f aca="false">(D1318*D1323*D1324+D1319*D1323*v_ot*D1325)*D1322</f>
        <v>801.809211504</v>
      </c>
      <c r="E1326" s="22" t="n">
        <f aca="false">(E1318*E1323*E1324+E1319*E1323*v_ot*E1325)*E1322</f>
        <v>1624.8799315544</v>
      </c>
      <c r="F1326" s="22" t="n">
        <f aca="false">(F1318*F1323*F1324+F1319*F1323*v_ot*F1325)*F1322</f>
        <v>2125.32134231777</v>
      </c>
      <c r="G1326" s="22" t="n">
        <f aca="false">(G1318*G1323*G1324+G1319*G1323*v_ot*G1325)*G1322</f>
        <v>2788.4812844467</v>
      </c>
    </row>
    <row r="1327" customFormat="false" ht="15" hidden="false" customHeight="false" outlineLevel="0" collapsed="false">
      <c r="A1327" s="3" t="s">
        <v>603</v>
      </c>
      <c r="B1327" s="0" t="s">
        <v>302</v>
      </c>
      <c r="D1327" s="21" t="n">
        <f aca="false">D1326*fx/1000</f>
        <v>26.05879937388</v>
      </c>
      <c r="E1327" s="21" t="n">
        <f aca="false">E1326*fx/1000</f>
        <v>52.8085977755181</v>
      </c>
      <c r="F1327" s="21" t="n">
        <f aca="false">F1326*fx/1000</f>
        <v>69.0729436253277</v>
      </c>
      <c r="G1327" s="21" t="n">
        <f aca="false">G1326*fx/1000</f>
        <v>90.6256417445177</v>
      </c>
    </row>
    <row r="1328" customFormat="false" ht="17.15" hidden="false" customHeight="false" outlineLevel="0" collapsed="false">
      <c r="A1328" s="5" t="s">
        <v>604</v>
      </c>
    </row>
    <row r="1329" customFormat="false" ht="17.15" hidden="false" customHeight="false" outlineLevel="0" collapsed="false">
      <c r="A1329" s="0" t="s">
        <v>605</v>
      </c>
      <c r="B1329" s="0" t="s">
        <v>302</v>
      </c>
      <c r="D1329" s="21" t="n">
        <f aca="false">a26_abf*ai_abf</f>
        <v>74.83672875</v>
      </c>
      <c r="K1329" s="3" t="s">
        <v>606</v>
      </c>
    </row>
    <row r="1330" customFormat="false" ht="17.15" hidden="false" customHeight="false" outlineLevel="0" collapsed="false">
      <c r="A1330" s="3" t="s">
        <v>607</v>
      </c>
      <c r="B1330" s="0" t="s">
        <v>302</v>
      </c>
      <c r="D1330" s="21" t="n">
        <f aca="false">D1329-D1327</f>
        <v>48.77792937612</v>
      </c>
      <c r="E1330" s="21" t="n">
        <f aca="false">$D1330*(itc_27/itc_26)^el_o*1*1*E1321*E1322</f>
        <v>72.4686721045733</v>
      </c>
      <c r="F1330" s="21" t="n">
        <f aca="false">$D1330*(itc_28/itc_26)^el_o*um28_A*1*F1321*F1322</f>
        <v>77.5118128697435</v>
      </c>
      <c r="G1330" s="21" t="n">
        <f aca="false">$D1330*(itc_29/itc_26)^el_o*um29_A*1*G1321*G1322</f>
        <v>78.3752247962621</v>
      </c>
      <c r="K1330" s="7" t="s">
        <v>608</v>
      </c>
    </row>
    <row r="1331" customFormat="false" ht="17.15" hidden="false" customHeight="false" outlineLevel="0" collapsed="false">
      <c r="A1331" s="3" t="s">
        <v>609</v>
      </c>
      <c r="B1331" s="0" t="s">
        <v>302</v>
      </c>
      <c r="D1331" s="21" t="n">
        <f aca="false">a26_abf-D1329</f>
        <v>24.94557625</v>
      </c>
      <c r="E1331" s="21" t="n">
        <f aca="false">D1331*(1+g_nai)</f>
        <v>25.6939435375</v>
      </c>
      <c r="F1331" s="21" t="n">
        <f aca="false">E1331*(1+g_nai)</f>
        <v>26.464761843625</v>
      </c>
      <c r="G1331" s="21" t="n">
        <f aca="false">F1331*(1+g_nai)</f>
        <v>27.2587046989338</v>
      </c>
    </row>
    <row r="1332" customFormat="false" ht="17.15" hidden="false" customHeight="false" outlineLevel="0" collapsed="false">
      <c r="A1332" s="0" t="s">
        <v>610</v>
      </c>
      <c r="B1332" s="0" t="s">
        <v>302</v>
      </c>
      <c r="D1332" s="21" t="n">
        <f aca="false">D1327+D1330+D1331</f>
        <v>99.782305</v>
      </c>
      <c r="E1332" s="21" t="n">
        <f aca="false">E1327+E1330+E1331</f>
        <v>150.971213417591</v>
      </c>
      <c r="F1332" s="21" t="n">
        <f aca="false">F1327+F1330+F1331</f>
        <v>173.049518338696</v>
      </c>
      <c r="G1332" s="21" t="n">
        <f aca="false">G1327+G1330+G1331</f>
        <v>196.259571239714</v>
      </c>
    </row>
    <row r="1333" customFormat="false" ht="17.15" hidden="false" customHeight="false" outlineLevel="0" collapsed="false">
      <c r="A1333" s="0" t="s">
        <v>611</v>
      </c>
      <c r="B1333" s="0" t="s">
        <v>302</v>
      </c>
      <c r="D1333" s="21" t="n">
        <f aca="false">a26_abf</f>
        <v>99.782305</v>
      </c>
      <c r="E1333" s="21" t="n">
        <f aca="false">$D1332*cap_27*(1+g_mix)^1*E1321*E1322</f>
        <v>148.513488204375</v>
      </c>
      <c r="F1333" s="21" t="n">
        <f aca="false">$D1332*cap_28*(1+g_mix)^2*F1321*F1322</f>
        <v>186.549442683384</v>
      </c>
      <c r="G1333" s="21" t="n">
        <f aca="false">$D1332*cap_29*(1+g_mix)^3*G1321*G1322</f>
        <v>218.314827660431</v>
      </c>
      <c r="K1333" s="7" t="s">
        <v>612</v>
      </c>
    </row>
    <row r="1334" customFormat="false" ht="17.15" hidden="false" customHeight="false" outlineLevel="0" collapsed="false">
      <c r="A1334" s="0" t="s">
        <v>613</v>
      </c>
      <c r="B1334" s="0" t="s">
        <v>302</v>
      </c>
      <c r="D1334" s="21" t="n">
        <f aca="false">a26_abf</f>
        <v>99.782305</v>
      </c>
      <c r="E1334" s="21" t="n">
        <f aca="false">MIN(E1332,E1333)</f>
        <v>148.513488204375</v>
      </c>
      <c r="F1334" s="21" t="n">
        <f aca="false">MIN(F1332,F1333)</f>
        <v>173.049518338696</v>
      </c>
      <c r="G1334" s="21" t="n">
        <f aca="false">MIN(G1332,G1333)</f>
        <v>196.259571239714</v>
      </c>
    </row>
    <row r="1335" customFormat="false" ht="17.15" hidden="false" customHeight="false" outlineLevel="0" collapsed="false">
      <c r="A1335" s="3" t="s">
        <v>614</v>
      </c>
      <c r="B1335" s="0" t="s">
        <v>44</v>
      </c>
      <c r="D1335" s="20" t="n">
        <f aca="false">D1334/D1332</f>
        <v>1</v>
      </c>
      <c r="E1335" s="20" t="n">
        <f aca="false">E1334/E1332</f>
        <v>0.983720570580444</v>
      </c>
      <c r="F1335" s="20" t="n">
        <f aca="false">F1334/F1332</f>
        <v>1</v>
      </c>
      <c r="G1335" s="20" t="n">
        <f aca="false">G1334/G1332</f>
        <v>1</v>
      </c>
    </row>
    <row r="1336" customFormat="false" ht="17.15" hidden="false" customHeight="false" outlineLevel="0" collapsed="false">
      <c r="A1336" s="0" t="s">
        <v>615</v>
      </c>
      <c r="B1336" s="0" t="s">
        <v>302</v>
      </c>
      <c r="D1336" s="21" t="n">
        <f aca="false">(D1327+D1330)*D1335</f>
        <v>74.83672875</v>
      </c>
      <c r="E1336" s="21" t="n">
        <f aca="false">(E1327+E1330)*E1335</f>
        <v>123.237827407204</v>
      </c>
      <c r="F1336" s="21" t="n">
        <f aca="false">(F1327+F1330)*F1335</f>
        <v>146.584756495071</v>
      </c>
      <c r="G1336" s="21" t="n">
        <f aca="false">(G1327+G1330)*G1335</f>
        <v>169.00086654078</v>
      </c>
    </row>
    <row r="1337" customFormat="false" ht="17.15" hidden="false" customHeight="false" outlineLevel="0" collapsed="false">
      <c r="A1337" s="3" t="s">
        <v>616</v>
      </c>
      <c r="B1337" s="0" t="s">
        <v>44</v>
      </c>
      <c r="D1337" s="20" t="n">
        <f aca="false">D1327/(D1327+D1330)</f>
        <v>0.348208691228771</v>
      </c>
      <c r="E1337" s="20" t="n">
        <f aca="false">E1327/(E1327+E1330)</f>
        <v>0.421533753298293</v>
      </c>
      <c r="F1337" s="20" t="n">
        <f aca="false">F1327/(F1327+F1330)</f>
        <v>0.471215051802813</v>
      </c>
      <c r="G1337" s="20" t="n">
        <f aca="false">G1327/(G1327+G1330)</f>
        <v>0.536243651287136</v>
      </c>
    </row>
    <row r="1338" customFormat="false" ht="17.15" hidden="false" customHeight="false" outlineLevel="0" collapsed="false">
      <c r="A1338" s="5" t="s">
        <v>617</v>
      </c>
    </row>
    <row r="1339" customFormat="false" ht="17.15" hidden="false" customHeight="false" outlineLevel="0" collapsed="false">
      <c r="A1339" s="0" t="s">
        <v>519</v>
      </c>
      <c r="B1339" s="0" t="s">
        <v>302</v>
      </c>
      <c r="D1339" s="21" t="n">
        <f aca="false">a26_bt</f>
        <v>16.944165</v>
      </c>
      <c r="E1339" s="21" t="n">
        <f aca="false">D1339*(1+g_bt)</f>
        <v>17.79137325</v>
      </c>
      <c r="F1339" s="21" t="n">
        <f aca="false">E1339*(1+g_bt)</f>
        <v>18.6809419125</v>
      </c>
      <c r="G1339" s="21" t="n">
        <f aca="false">F1339*(1+g_bt)</f>
        <v>19.614989008125</v>
      </c>
    </row>
    <row r="1340" customFormat="false" ht="17.15" hidden="false" customHeight="false" outlineLevel="0" collapsed="false">
      <c r="A1340" s="0" t="s">
        <v>618</v>
      </c>
      <c r="B1340" s="0" t="s">
        <v>302</v>
      </c>
      <c r="D1340" s="21" t="n">
        <f aca="false">a26_pcb*ai_pcb</f>
        <v>37.93610275</v>
      </c>
      <c r="E1340" s="21" t="n">
        <f aca="false">D1340*(1+g_pai_27)</f>
        <v>45.5233233</v>
      </c>
      <c r="F1340" s="21" t="n">
        <f aca="false">D1340*(1+g_pai_27)*(1+g_pai_28)*um28_A</f>
        <v>52.351821795</v>
      </c>
      <c r="G1340" s="21" t="n">
        <f aca="false">D1340*(1+g_pai_27)*(1+g_pai_28)*(1+g_pai_29)*um29_A</f>
        <v>57.5870039745</v>
      </c>
      <c r="K1340" s="3" t="s">
        <v>619</v>
      </c>
    </row>
    <row r="1341" customFormat="false" ht="17.15" hidden="false" customHeight="false" outlineLevel="0" collapsed="false">
      <c r="A1341" s="3" t="s">
        <v>620</v>
      </c>
      <c r="B1341" s="0" t="s">
        <v>302</v>
      </c>
      <c r="D1341" s="21" t="n">
        <f aca="false">a26_pcb*(1-ai_pcb)</f>
        <v>20.42713225</v>
      </c>
      <c r="E1341" s="21" t="n">
        <f aca="false">D1341*(1+g_pcbn)</f>
        <v>20.835674895</v>
      </c>
      <c r="F1341" s="21" t="n">
        <f aca="false">E1341*(1+g_pcbn)</f>
        <v>21.2523883929</v>
      </c>
      <c r="G1341" s="21" t="n">
        <f aca="false">F1341*(1+g_pcbn)</f>
        <v>21.677436160758</v>
      </c>
    </row>
    <row r="1342" customFormat="false" ht="15" hidden="false" customHeight="false" outlineLevel="0" collapsed="false">
      <c r="A1342" s="3" t="s">
        <v>521</v>
      </c>
      <c r="B1342" s="0" t="s">
        <v>302</v>
      </c>
      <c r="D1342" s="21" t="n">
        <f aca="false">a26_fpc</f>
        <v>13.178795</v>
      </c>
      <c r="E1342" s="21" t="n">
        <f aca="false">D1342*(1+g_fpc)</f>
        <v>13.178795</v>
      </c>
      <c r="F1342" s="21" t="n">
        <f aca="false">E1342*(1+g_fpc)</f>
        <v>13.178795</v>
      </c>
      <c r="G1342" s="21" t="n">
        <f aca="false">F1342*(1+g_fpc)</f>
        <v>13.178795</v>
      </c>
    </row>
    <row r="1343" customFormat="false" ht="17.15" hidden="false" customHeight="false" outlineLevel="0" collapsed="false">
      <c r="A1343" s="3" t="s">
        <v>484</v>
      </c>
      <c r="B1343" s="0" t="s">
        <v>302</v>
      </c>
      <c r="C1343" s="23" t="n">
        <f aca="false">a25_rev</f>
        <v>131.241</v>
      </c>
      <c r="D1343" s="23" t="n">
        <f aca="false">D1334+D1339+D1340+D1341+D1342</f>
        <v>188.2685</v>
      </c>
      <c r="E1343" s="23" t="n">
        <f aca="false">E1334+E1339+E1340+E1341+E1342</f>
        <v>245.842654649375</v>
      </c>
      <c r="F1343" s="23" t="n">
        <f aca="false">F1334+F1339+F1340+F1341+F1342</f>
        <v>278.513465439096</v>
      </c>
      <c r="G1343" s="23" t="n">
        <f aca="false">G1334+G1339+G1340+G1341+G1342</f>
        <v>308.317795383097</v>
      </c>
      <c r="H1343" s="25" t="n">
        <f aca="false">G1343*(1+H1344)</f>
        <v>336.479988575722</v>
      </c>
      <c r="I1343" s="25" t="n">
        <f aca="false">H1343*(1+I1344)</f>
        <v>361.941672550702</v>
      </c>
      <c r="J1343" s="25" t="n">
        <f aca="false">I1343*(1+J1344)</f>
        <v>383.658172903744</v>
      </c>
      <c r="K1343" s="7" t="s">
        <v>621</v>
      </c>
    </row>
    <row r="1344" customFormat="false" ht="15" hidden="false" customHeight="false" outlineLevel="0" collapsed="false">
      <c r="A1344" s="3" t="s">
        <v>622</v>
      </c>
      <c r="B1344" s="0" t="s">
        <v>44</v>
      </c>
      <c r="D1344" s="20" t="n">
        <f aca="false">D1343/C1343-1</f>
        <v>0.434525034097576</v>
      </c>
      <c r="E1344" s="20" t="n">
        <f aca="false">E1343/D1343-1</f>
        <v>0.30580875</v>
      </c>
      <c r="F1344" s="20" t="n">
        <f aca="false">F1343/E1343-1</f>
        <v>0.132893174442478</v>
      </c>
      <c r="G1344" s="20" t="n">
        <f aca="false">G1343/F1343-1</f>
        <v>0.107012168682803</v>
      </c>
      <c r="H1344" s="26" t="n">
        <f aca="false">$G1344+(fade_gA-$G1344)*1/3</f>
        <v>0.091341445788535</v>
      </c>
      <c r="I1344" s="26" t="n">
        <f aca="false">$G1344+(fade_gA-$G1344)*2/3</f>
        <v>0.0756707228942675</v>
      </c>
      <c r="J1344" s="26" t="n">
        <f aca="false">$G1344+(fade_gA-$G1344)*3/3</f>
        <v>0.06</v>
      </c>
    </row>
    <row r="1345" customFormat="false" ht="17.15" hidden="false" customHeight="false" outlineLevel="0" collapsed="false">
      <c r="A1345" s="0" t="s">
        <v>623</v>
      </c>
      <c r="B1345" s="0" t="s">
        <v>44</v>
      </c>
      <c r="D1345" s="20" t="n">
        <f aca="false">D1334/D1343</f>
        <v>0.53</v>
      </c>
      <c r="E1345" s="20" t="n">
        <f aca="false">E1334/E1343</f>
        <v>0.604099758100105</v>
      </c>
      <c r="F1345" s="20" t="n">
        <f aca="false">F1334/F1343</f>
        <v>0.62133268158461</v>
      </c>
      <c r="G1345" s="20" t="n">
        <f aca="false">G1334/G1343</f>
        <v>0.636549606213464</v>
      </c>
    </row>
    <row r="1346" customFormat="false" ht="17.15" hidden="false" customHeight="false" outlineLevel="0" collapsed="false">
      <c r="A1346" s="0" t="s">
        <v>624</v>
      </c>
      <c r="B1346" s="0" t="s">
        <v>44</v>
      </c>
      <c r="D1346" s="20" t="n">
        <f aca="false">(D1336+D1340)/D1343</f>
        <v>0.599</v>
      </c>
      <c r="E1346" s="20" t="n">
        <f aca="false">(E1336+E1340)/E1343</f>
        <v>0.68646000812143</v>
      </c>
      <c r="F1346" s="20" t="n">
        <f aca="false">(F1336+F1340)/F1343</f>
        <v>0.714279928894761</v>
      </c>
      <c r="G1346" s="20" t="n">
        <f aca="false">(G1336+G1340)/G1343</f>
        <v>0.734916614961312</v>
      </c>
      <c r="K1346" s="3" t="s">
        <v>625</v>
      </c>
    </row>
    <row r="1347" customFormat="false" ht="17.15" hidden="false" customHeight="false" outlineLevel="0" collapsed="false">
      <c r="A1347" s="5" t="s">
        <v>626</v>
      </c>
    </row>
    <row r="1348" customFormat="false" ht="15" hidden="false" customHeight="false" outlineLevel="0" collapsed="false">
      <c r="A1348" s="3" t="s">
        <v>627</v>
      </c>
      <c r="B1348" s="0" t="s">
        <v>302</v>
      </c>
      <c r="C1348" s="23" t="n">
        <f aca="false">a25_cx</f>
        <v>25.617</v>
      </c>
      <c r="D1348" s="23" t="n">
        <f aca="false">capex26</f>
        <v>53.7</v>
      </c>
      <c r="E1348" s="23" t="n">
        <f aca="false">cx27_A</f>
        <v>55</v>
      </c>
      <c r="F1348" s="23" t="n">
        <f aca="false">cx28_A</f>
        <v>50</v>
      </c>
      <c r="G1348" s="23" t="n">
        <f aca="false">cx29_A</f>
        <v>45</v>
      </c>
      <c r="H1348" s="25" t="n">
        <f aca="false">H1343*H1365</f>
        <v>46.0773449344368</v>
      </c>
      <c r="I1348" s="25" t="n">
        <f aca="false">I1343*I1365</f>
        <v>46.301519983136</v>
      </c>
      <c r="J1348" s="25" t="n">
        <f aca="false">J1343*J1365</f>
        <v>45.6213283734937</v>
      </c>
    </row>
    <row r="1349" customFormat="false" ht="17.15" hidden="false" customHeight="false" outlineLevel="0" collapsed="false">
      <c r="A1349" s="3" t="s">
        <v>628</v>
      </c>
      <c r="B1349" s="0" t="s">
        <v>302</v>
      </c>
      <c r="C1349" s="23" t="n">
        <f aca="false">a25_da</f>
        <v>18.8</v>
      </c>
      <c r="D1349" s="23" t="n">
        <f aca="false">da26</f>
        <v>20.8</v>
      </c>
      <c r="E1349" s="23" t="n">
        <f aca="false">D1349*(1-1/life)+D1348/life</f>
        <v>24.9125</v>
      </c>
      <c r="F1349" s="23" t="n">
        <f aca="false">E1349*(1-1/life)+E1348/life</f>
        <v>28.6734375</v>
      </c>
      <c r="G1349" s="23" t="n">
        <f aca="false">F1349*(1-1/life)+F1348/life</f>
        <v>31.3392578125</v>
      </c>
      <c r="H1349" s="25" t="n">
        <f aca="false">H1343*H1350</f>
        <v>34.2018309310334</v>
      </c>
      <c r="I1349" s="25" t="n">
        <f aca="false">I1343*I1350</f>
        <v>36.7899082018922</v>
      </c>
      <c r="J1349" s="25" t="n">
        <f aca="false">J1343*J1350</f>
        <v>38.9973026940057</v>
      </c>
      <c r="K1349" s="3" t="s">
        <v>629</v>
      </c>
    </row>
    <row r="1350" customFormat="false" ht="17.15" hidden="false" customHeight="false" outlineLevel="0" collapsed="false">
      <c r="A1350" s="3" t="s">
        <v>630</v>
      </c>
      <c r="B1350" s="0" t="s">
        <v>44</v>
      </c>
      <c r="C1350" s="20" t="n">
        <f aca="false">C1349/C1343</f>
        <v>0.143247917952469</v>
      </c>
      <c r="D1350" s="20" t="n">
        <f aca="false">D1349/D1343</f>
        <v>0.110480510547436</v>
      </c>
      <c r="E1350" s="20" t="n">
        <f aca="false">E1349/E1343</f>
        <v>0.101335140704247</v>
      </c>
      <c r="F1350" s="20" t="n">
        <f aca="false">F1349/F1343</f>
        <v>0.102951709910307</v>
      </c>
      <c r="G1350" s="20" t="n">
        <f aca="false">G1349/G1343</f>
        <v>0.101645958429223</v>
      </c>
      <c r="H1350" s="26" t="n">
        <f aca="false">$G1350</f>
        <v>0.101645958429223</v>
      </c>
      <c r="I1350" s="26" t="n">
        <f aca="false">$G1350</f>
        <v>0.101645958429223</v>
      </c>
      <c r="J1350" s="26" t="n">
        <f aca="false">$G1350</f>
        <v>0.101645958429223</v>
      </c>
    </row>
    <row r="1351" customFormat="false" ht="17.15" hidden="false" customHeight="false" outlineLevel="0" collapsed="false">
      <c r="A1351" s="3" t="s">
        <v>631</v>
      </c>
      <c r="B1351" s="0" t="s">
        <v>302</v>
      </c>
      <c r="E1351" s="21" t="n">
        <f aca="false">E1336*(1-1/(E1321*E1322))</f>
        <v>5.86846797177161</v>
      </c>
      <c r="F1351" s="21" t="n">
        <f aca="false">F1336*(1-1/(F1321*F1322))</f>
        <v>-0.367380342092935</v>
      </c>
      <c r="G1351" s="21" t="n">
        <f aca="false">G1336*(1-1/(G1321*G1322))</f>
        <v>-9.83602926956918</v>
      </c>
      <c r="K1351" s="7" t="s">
        <v>632</v>
      </c>
    </row>
    <row r="1352" customFormat="false" ht="17.15" hidden="false" customHeight="false" outlineLevel="0" collapsed="false">
      <c r="A1352" s="3" t="s">
        <v>633</v>
      </c>
      <c r="B1352" s="0" t="s">
        <v>302</v>
      </c>
      <c r="C1352" s="21" t="n">
        <f aca="false">a25_gp</f>
        <v>18.292</v>
      </c>
      <c r="D1352" s="21" t="n">
        <f aca="false">a26_gp</f>
        <v>47.3329657</v>
      </c>
      <c r="E1352" s="21" t="n">
        <f aca="false">$D1352+ft_abf*(E1334-E1351-$D1334)+ft_oth*((E1343-E1334)-($D1343-$D1334))+E1351-(E1349-$D1349)</f>
        <v>72.7310341493233</v>
      </c>
      <c r="F1352" s="21" t="n">
        <f aca="false">$D1352+ft_abf*(F1334-F1351-$D1334)+ft_oth*((F1343-F1334)-($D1343-$D1334))+F1351-(F1349-$D1349)</f>
        <v>80.1538827234016</v>
      </c>
      <c r="G1352" s="21" t="n">
        <f aca="false">$D1352+ft_abf*(G1334-G1351-$D1334)+ft_oth*((G1343-G1334)-($D1343-$D1334))+G1351-(G1349-$D1349)</f>
        <v>86.0073336584179</v>
      </c>
      <c r="K1352" s="3" t="s">
        <v>634</v>
      </c>
    </row>
    <row r="1353" customFormat="false" ht="15" hidden="false" customHeight="false" outlineLevel="0" collapsed="false">
      <c r="A1353" s="3" t="s">
        <v>491</v>
      </c>
      <c r="B1353" s="0" t="s">
        <v>44</v>
      </c>
      <c r="C1353" s="16" t="n">
        <f aca="false">C1352/C1343</f>
        <v>0.139377176339711</v>
      </c>
      <c r="D1353" s="16" t="n">
        <f aca="false">D1352/D1343</f>
        <v>0.251412029627899</v>
      </c>
      <c r="E1353" s="16" t="n">
        <f aca="false">E1352/E1343</f>
        <v>0.295843836591553</v>
      </c>
      <c r="F1353" s="16" t="n">
        <f aca="false">F1352/F1343</f>
        <v>0.287791768333475</v>
      </c>
      <c r="G1353" s="16" t="n">
        <f aca="false">G1352/G1343</f>
        <v>0.278956761323331</v>
      </c>
    </row>
    <row r="1354" customFormat="false" ht="15" hidden="false" customHeight="false" outlineLevel="0" collapsed="false">
      <c r="A1354" s="3" t="s">
        <v>493</v>
      </c>
      <c r="B1354" s="0" t="s">
        <v>302</v>
      </c>
      <c r="C1354" s="21" t="n">
        <f aca="false">a25_opx</f>
        <v>11.618</v>
      </c>
      <c r="D1354" s="21" t="n">
        <f aca="false">a26_opx</f>
        <v>16.6539532</v>
      </c>
      <c r="E1354" s="21" t="n">
        <f aca="false">D1354*(1+phi_hi*E1344)</f>
        <v>21.7468778106505</v>
      </c>
      <c r="F1354" s="21" t="n">
        <f aca="false">E1354*(1+phi_hi*F1344)</f>
        <v>24.6368894371205</v>
      </c>
      <c r="G1354" s="21" t="n">
        <f aca="false">F1354*(1+phi_hi*G1344)</f>
        <v>27.2733364053852</v>
      </c>
    </row>
    <row r="1355" customFormat="false" ht="15" hidden="false" customHeight="false" outlineLevel="0" collapsed="false">
      <c r="A1355" s="3" t="s">
        <v>496</v>
      </c>
      <c r="B1355" s="0" t="s">
        <v>302</v>
      </c>
      <c r="C1355" s="21" t="n">
        <f aca="false">C1352-C1354</f>
        <v>6.674</v>
      </c>
      <c r="D1355" s="21" t="n">
        <f aca="false">D1352-D1354</f>
        <v>30.6790125</v>
      </c>
      <c r="E1355" s="21" t="n">
        <f aca="false">E1352-E1354</f>
        <v>50.9841563386728</v>
      </c>
      <c r="F1355" s="21" t="n">
        <f aca="false">F1352-F1354</f>
        <v>55.5169932862811</v>
      </c>
      <c r="G1355" s="21" t="n">
        <f aca="false">G1352-G1354</f>
        <v>58.7339972530327</v>
      </c>
    </row>
    <row r="1356" customFormat="false" ht="15" hidden="false" customHeight="false" outlineLevel="0" collapsed="false">
      <c r="A1356" s="3" t="s">
        <v>575</v>
      </c>
      <c r="B1356" s="0" t="s">
        <v>44</v>
      </c>
      <c r="C1356" s="16" t="n">
        <f aca="false">C1355/C1343</f>
        <v>0.0508530108731265</v>
      </c>
      <c r="D1356" s="16" t="n">
        <f aca="false">D1355/D1343</f>
        <v>0.162953507888999</v>
      </c>
      <c r="E1356" s="16" t="n">
        <f aca="false">E1355/E1343</f>
        <v>0.207385314852654</v>
      </c>
      <c r="F1356" s="16" t="n">
        <f aca="false">F1355/F1343</f>
        <v>0.199333246594575</v>
      </c>
      <c r="G1356" s="16" t="n">
        <f aca="false">G1355/G1343</f>
        <v>0.190498239584431</v>
      </c>
    </row>
    <row r="1357" customFormat="false" ht="17.15" hidden="false" customHeight="false" outlineLevel="0" collapsed="false">
      <c r="A1357" s="3" t="s">
        <v>635</v>
      </c>
      <c r="B1357" s="0" t="s">
        <v>302</v>
      </c>
      <c r="C1357" s="21" t="n">
        <f aca="false">a25_nonop</f>
        <v>-0.00100000000000033</v>
      </c>
      <c r="D1357" s="21" t="n">
        <f aca="false">a26_nonop</f>
        <v>14.466</v>
      </c>
      <c r="E1357" s="21" t="n">
        <f aca="false">nonop27</f>
        <v>2</v>
      </c>
      <c r="F1357" s="21" t="n">
        <f aca="false">nonop28</f>
        <v>2</v>
      </c>
      <c r="G1357" s="21" t="n">
        <f aca="false">nonop29</f>
        <v>2</v>
      </c>
      <c r="K1357" s="7" t="s">
        <v>636</v>
      </c>
    </row>
    <row r="1358" customFormat="false" ht="15" hidden="false" customHeight="false" outlineLevel="0" collapsed="false">
      <c r="A1358" s="3" t="s">
        <v>502</v>
      </c>
      <c r="B1358" s="0" t="s">
        <v>302</v>
      </c>
      <c r="C1358" s="21" t="n">
        <f aca="false">C1355+C1357</f>
        <v>6.673</v>
      </c>
      <c r="D1358" s="21" t="n">
        <f aca="false">D1355+D1357</f>
        <v>45.1450125</v>
      </c>
      <c r="E1358" s="21" t="n">
        <f aca="false">E1355+E1357</f>
        <v>52.9841563386728</v>
      </c>
      <c r="F1358" s="21" t="n">
        <f aca="false">F1355+F1357</f>
        <v>57.5169932862811</v>
      </c>
      <c r="G1358" s="21" t="n">
        <f aca="false">G1355+G1357</f>
        <v>60.7339972530327</v>
      </c>
    </row>
    <row r="1359" customFormat="false" ht="15" hidden="false" customHeight="false" outlineLevel="0" collapsed="false">
      <c r="A1359" s="3" t="s">
        <v>506</v>
      </c>
      <c r="B1359" s="0" t="s">
        <v>302</v>
      </c>
      <c r="E1359" s="21" t="n">
        <f aca="false">E1358*tax</f>
        <v>9.5371481409611</v>
      </c>
      <c r="F1359" s="21" t="n">
        <f aca="false">F1358*tax</f>
        <v>10.3530587915306</v>
      </c>
      <c r="G1359" s="21" t="n">
        <f aca="false">G1358*tax</f>
        <v>10.9321195055459</v>
      </c>
    </row>
    <row r="1360" customFormat="false" ht="15" hidden="false" customHeight="false" outlineLevel="0" collapsed="false">
      <c r="A1360" s="3" t="s">
        <v>504</v>
      </c>
      <c r="B1360" s="0" t="s">
        <v>302</v>
      </c>
      <c r="C1360" s="21" t="n">
        <f aca="false">a25_ni</f>
        <v>6.673</v>
      </c>
      <c r="D1360" s="21" t="n">
        <f aca="false">a26_ni</f>
        <v>37.23923025</v>
      </c>
      <c r="E1360" s="21" t="n">
        <f aca="false">E1358-E1359</f>
        <v>43.4470081977117</v>
      </c>
      <c r="F1360" s="21" t="n">
        <f aca="false">F1358-F1359</f>
        <v>47.1639344947505</v>
      </c>
      <c r="G1360" s="21" t="n">
        <f aca="false">G1358-G1359</f>
        <v>49.8018777474868</v>
      </c>
      <c r="H1360" s="30" t="n">
        <f aca="false">H1343*H1364</f>
        <v>55.7306827064884</v>
      </c>
      <c r="I1360" s="30" t="n">
        <f aca="false">I1343*I1364</f>
        <v>61.4321058882313</v>
      </c>
      <c r="J1360" s="30" t="n">
        <f aca="false">J1343*J1364</f>
        <v>66.691328903514</v>
      </c>
    </row>
    <row r="1361" customFormat="false" ht="15" hidden="false" customHeight="false" outlineLevel="0" collapsed="false">
      <c r="A1361" s="3" t="s">
        <v>637</v>
      </c>
      <c r="B1361" s="3" t="s">
        <v>380</v>
      </c>
      <c r="C1361" s="29" t="n">
        <f aca="false">a25_sh</f>
        <v>1.52351598173516</v>
      </c>
      <c r="D1361" s="29" t="n">
        <f aca="false">a26_sh</f>
        <v>1.59236316568047</v>
      </c>
      <c r="E1361" s="29" t="n">
        <f aca="false">a26_shend*(1+sh_g)</f>
        <v>1.64</v>
      </c>
      <c r="F1361" s="29" t="n">
        <f aca="false">E1361*(1+sh_g)</f>
        <v>1.64</v>
      </c>
      <c r="G1361" s="29" t="n">
        <f aca="false">F1361*(1+sh_g)</f>
        <v>1.64</v>
      </c>
      <c r="H1361" s="31" t="n">
        <f aca="false">G1361*(1+sh_g)</f>
        <v>1.64</v>
      </c>
      <c r="I1361" s="31" t="n">
        <f aca="false">H1361*(1+sh_g)</f>
        <v>1.64</v>
      </c>
      <c r="J1361" s="31" t="n">
        <f aca="false">I1361*(1+sh_g)</f>
        <v>1.64</v>
      </c>
    </row>
    <row r="1362" customFormat="false" ht="17.15" hidden="false" customHeight="false" outlineLevel="0" collapsed="false">
      <c r="A1362" s="0" t="s">
        <v>509</v>
      </c>
      <c r="B1362" s="0" t="s">
        <v>386</v>
      </c>
      <c r="C1362" s="18" t="n">
        <f aca="false">C1360/C1361</f>
        <v>4.38</v>
      </c>
      <c r="D1362" s="18" t="n">
        <f aca="false">D1360/D1361</f>
        <v>23.3861414610695</v>
      </c>
      <c r="E1362" s="18" t="n">
        <f aca="false">E1360/E1361</f>
        <v>26.4920781693364</v>
      </c>
      <c r="F1362" s="18" t="n">
        <f aca="false">F1360/F1361</f>
        <v>28.7584966431405</v>
      </c>
      <c r="G1362" s="18" t="n">
        <f aca="false">G1360/G1361</f>
        <v>30.3669986265164</v>
      </c>
      <c r="H1362" s="28" t="n">
        <f aca="false">H1360/H1361</f>
        <v>33.9821236015173</v>
      </c>
      <c r="I1362" s="28" t="n">
        <f aca="false">I1360/I1361</f>
        <v>37.4586011513605</v>
      </c>
      <c r="J1362" s="28" t="n">
        <f aca="false">J1360/J1361</f>
        <v>40.6654444533622</v>
      </c>
    </row>
    <row r="1363" customFormat="false" ht="17.15" hidden="false" customHeight="false" outlineLevel="0" collapsed="false">
      <c r="A1363" s="0" t="s">
        <v>638</v>
      </c>
      <c r="B1363" s="0" t="s">
        <v>44</v>
      </c>
      <c r="D1363" s="20" t="n">
        <f aca="false">D1362/C1362-1</f>
        <v>4.33930170344053</v>
      </c>
      <c r="E1363" s="20" t="n">
        <f aca="false">E1362/D1362-1</f>
        <v>0.132810994641305</v>
      </c>
      <c r="F1363" s="20" t="n">
        <f aca="false">F1362/E1362-1</f>
        <v>0.0855507997265173</v>
      </c>
      <c r="G1363" s="20" t="n">
        <f aca="false">G1362/F1362-1</f>
        <v>0.0559313653747431</v>
      </c>
      <c r="H1363" s="26" t="n">
        <f aca="false">H1362/G1362-1</f>
        <v>0.119047819623645</v>
      </c>
      <c r="I1363" s="26" t="n">
        <f aca="false">I1362/H1362-1</f>
        <v>0.102303128274419</v>
      </c>
      <c r="J1363" s="26" t="n">
        <f aca="false">J1362/I1362-1</f>
        <v>0.0856103325653739</v>
      </c>
    </row>
    <row r="1364" customFormat="false" ht="17.15" hidden="false" customHeight="false" outlineLevel="0" collapsed="false">
      <c r="A1364" s="3" t="s">
        <v>639</v>
      </c>
      <c r="B1364" s="0" t="s">
        <v>44</v>
      </c>
      <c r="C1364" s="16" t="n">
        <f aca="false">C1360/C1343</f>
        <v>0.0508453913030227</v>
      </c>
      <c r="D1364" s="16" t="n">
        <f aca="false">D1360/D1343</f>
        <v>0.197798517808343</v>
      </c>
      <c r="E1364" s="16" t="n">
        <f aca="false">E1360/E1343</f>
        <v>0.176726891676616</v>
      </c>
      <c r="F1364" s="16" t="n">
        <f aca="false">F1360/F1343</f>
        <v>0.169341666911484</v>
      </c>
      <c r="G1364" s="16" t="n">
        <f aca="false">G1360/G1343</f>
        <v>0.161527743429814</v>
      </c>
      <c r="H1364" s="27" t="n">
        <f aca="false">$G1364+(fade_mA-$G1364)*1/3</f>
        <v>0.165628520561919</v>
      </c>
      <c r="I1364" s="27" t="n">
        <f aca="false">$G1364+(fade_mA-$G1364)*2/3</f>
        <v>0.169729297694025</v>
      </c>
      <c r="J1364" s="27" t="n">
        <f aca="false">$G1364+(fade_mA-$G1364)*3/3</f>
        <v>0.17383007482613</v>
      </c>
    </row>
    <row r="1365" customFormat="false" ht="17.15" hidden="false" customHeight="false" outlineLevel="0" collapsed="false">
      <c r="A1365" s="3" t="s">
        <v>640</v>
      </c>
      <c r="B1365" s="0" t="s">
        <v>44</v>
      </c>
      <c r="C1365" s="20" t="n">
        <f aca="false">C1348/C1343</f>
        <v>0.195190527350447</v>
      </c>
      <c r="D1365" s="20" t="n">
        <f aca="false">D1348/D1343</f>
        <v>0.285230933480641</v>
      </c>
      <c r="E1365" s="20" t="n">
        <f aca="false">E1348/E1343</f>
        <v>0.223720330706817</v>
      </c>
      <c r="F1365" s="20" t="n">
        <f aca="false">F1348/F1343</f>
        <v>0.179524533656466</v>
      </c>
      <c r="G1365" s="20" t="n">
        <f aca="false">G1348/G1343</f>
        <v>0.145953301022037</v>
      </c>
      <c r="H1365" s="26" t="n">
        <f aca="false">$G1365+($G1350*(1+tp_g)^(life/2)-$G1365)*1/3</f>
        <v>0.136939332200635</v>
      </c>
      <c r="I1365" s="26" t="n">
        <f aca="false">$G1365+($G1350*(1+tp_g)^(life/2)-$G1365)*2/3</f>
        <v>0.127925363379233</v>
      </c>
      <c r="J1365" s="26" t="n">
        <f aca="false">$G1365+($G1350*(1+tp_g)^(life/2)-$G1365)*3/3</f>
        <v>0.118911394557831</v>
      </c>
      <c r="K1365" s="7" t="s">
        <v>641</v>
      </c>
    </row>
    <row r="1366" customFormat="false" ht="15" hidden="false" customHeight="false" outlineLevel="0" collapsed="false">
      <c r="A1366" s="3" t="s">
        <v>642</v>
      </c>
      <c r="B1366" s="0" t="s">
        <v>302</v>
      </c>
      <c r="E1366" s="21" t="n">
        <f aca="false">E1360+E1349-E1348</f>
        <v>13.3595081977117</v>
      </c>
      <c r="F1366" s="21" t="n">
        <f aca="false">F1360+F1349-F1348</f>
        <v>25.8373719947505</v>
      </c>
      <c r="G1366" s="21" t="n">
        <f aca="false">G1360+G1349-G1348</f>
        <v>36.1411355599868</v>
      </c>
      <c r="H1366" s="30" t="n">
        <f aca="false">H1360+H1349-H1348</f>
        <v>43.855168703085</v>
      </c>
      <c r="I1366" s="30" t="n">
        <f aca="false">I1360+I1349-I1348</f>
        <v>51.9204941069875</v>
      </c>
      <c r="J1366" s="30" t="n">
        <f aca="false">J1360+J1349-J1348</f>
        <v>60.0673032240261</v>
      </c>
      <c r="K1366" s="3" t="s">
        <v>643</v>
      </c>
    </row>
    <row r="1367" customFormat="false" ht="15" hidden="false" customHeight="false" outlineLevel="0" collapsed="false">
      <c r="A1367" s="3" t="s">
        <v>644</v>
      </c>
      <c r="B1367" s="0" t="s">
        <v>386</v>
      </c>
      <c r="E1367" s="18" t="n">
        <f aca="false">E1366/E1361</f>
        <v>8.14604158397055</v>
      </c>
      <c r="F1367" s="18" t="n">
        <f aca="false">F1366/F1361</f>
        <v>15.7544951187503</v>
      </c>
      <c r="G1367" s="18" t="n">
        <f aca="false">G1366/G1361</f>
        <v>22.0372777804798</v>
      </c>
      <c r="H1367" s="28" t="n">
        <f aca="false">H1366/H1361</f>
        <v>26.7409565262714</v>
      </c>
      <c r="I1367" s="28" t="n">
        <f aca="false">I1366/I1361</f>
        <v>31.6588378701143</v>
      </c>
      <c r="J1367" s="28" t="n">
        <f aca="false">J1366/J1361</f>
        <v>36.6264044048939</v>
      </c>
    </row>
    <row r="1370" customFormat="false" ht="17.15" hidden="false" customHeight="false" outlineLevel="0" collapsed="false">
      <c r="A1370" s="1" t="s">
        <v>968</v>
      </c>
    </row>
    <row r="1371" customFormat="false" ht="17.15" hidden="false" customHeight="false" outlineLevel="0" collapsed="false">
      <c r="A1371" s="4" t="s">
        <v>21</v>
      </c>
      <c r="B1371" s="4" t="s">
        <v>22</v>
      </c>
      <c r="C1371" s="13" t="s">
        <v>477</v>
      </c>
      <c r="D1371" s="13" t="s">
        <v>562</v>
      </c>
      <c r="E1371" s="13" t="s">
        <v>563</v>
      </c>
      <c r="F1371" s="13" t="s">
        <v>564</v>
      </c>
      <c r="G1371" s="13" t="s">
        <v>565</v>
      </c>
      <c r="H1371" s="13" t="s">
        <v>566</v>
      </c>
      <c r="I1371" s="13" t="s">
        <v>567</v>
      </c>
      <c r="J1371" s="13" t="s">
        <v>568</v>
      </c>
      <c r="K1371" s="4" t="s">
        <v>533</v>
      </c>
    </row>
    <row r="1372" customFormat="false" ht="17.15" hidden="false" customHeight="false" outlineLevel="0" collapsed="false">
      <c r="A1372" s="5" t="s">
        <v>586</v>
      </c>
    </row>
    <row r="1373" customFormat="false" ht="17.15" hidden="false" customHeight="false" outlineLevel="0" collapsed="false">
      <c r="A1373" s="0" t="s">
        <v>587</v>
      </c>
      <c r="B1373" s="3" t="s">
        <v>32</v>
      </c>
      <c r="D1373" s="21" t="n">
        <f aca="false">(u_bw_26+u_rb_26+u_ru_26+u_hp_26)*1</f>
        <v>7.6</v>
      </c>
      <c r="E1373" s="21" t="n">
        <f aca="false">(u_bw_27+u_rb_27+u_ru_27+u_hp_27)*1*1</f>
        <v>9.7</v>
      </c>
      <c r="F1373" s="21" t="n">
        <f aca="false">(u_bw_28+u_rb_28+u_ru_28+u_hp_28)*um28_A*1</f>
        <v>9.5</v>
      </c>
      <c r="G1373" s="21" t="n">
        <f aca="false">(u_bw_28*(1+g29_bw)+u_rb_28*(1+g29_rb)+u_ru_28*(1+g29_ru)+u_hp_28*(1+g29_hp))*um29_A*1</f>
        <v>10.6</v>
      </c>
      <c r="K1373" s="7" t="s">
        <v>588</v>
      </c>
    </row>
    <row r="1374" customFormat="false" ht="17.15" hidden="false" customHeight="false" outlineLevel="0" collapsed="false">
      <c r="A1374" s="3" t="s">
        <v>589</v>
      </c>
      <c r="B1374" s="3" t="s">
        <v>32</v>
      </c>
      <c r="D1374" s="21" t="n">
        <f aca="false">(u_amd_26+u_tpu_26+u_trn_26+u_oth_26)*1</f>
        <v>7.6</v>
      </c>
      <c r="E1374" s="21" t="n">
        <f aca="false">(u_amd_27+u_tpu_27+u_trn_27+u_oth_27)*1*1</f>
        <v>14</v>
      </c>
      <c r="F1374" s="21" t="n">
        <f aca="false">(u_amd_28+u_tpu_28+u_trn_28+u_oth_28)*um28_A*1</f>
        <v>17</v>
      </c>
      <c r="G1374" s="21" t="n">
        <f aca="false">(u_amd_28*(1+g29_amd)+u_tpu_28*(1+g29_tpu)+u_trn_28*(1+g29_trn)+u_oth_28*(1+g29_oth))*um29_A*1</f>
        <v>19.55</v>
      </c>
      <c r="K1374" s="7" t="s">
        <v>590</v>
      </c>
    </row>
    <row r="1375" customFormat="false" ht="17.15" hidden="false" customHeight="false" outlineLevel="0" collapsed="false">
      <c r="A1375" s="3" t="s">
        <v>591</v>
      </c>
      <c r="B1375" s="0" t="s">
        <v>144</v>
      </c>
      <c r="D1375" s="19" t="n">
        <f aca="false">1</f>
        <v>1</v>
      </c>
      <c r="E1375" s="19" t="n">
        <f aca="false">D1375*(1+g_asp)</f>
        <v>1.18</v>
      </c>
      <c r="F1375" s="19" t="n">
        <f aca="false">E1375*(1+g_asp)</f>
        <v>1.3924</v>
      </c>
      <c r="G1375" s="19" t="n">
        <f aca="false">F1375*(1+g_asp)</f>
        <v>1.643032</v>
      </c>
      <c r="K1375" s="7" t="s">
        <v>592</v>
      </c>
    </row>
    <row r="1376" customFormat="false" ht="17.15" hidden="false" customHeight="false" outlineLevel="0" collapsed="false">
      <c r="A1376" s="0" t="s">
        <v>593</v>
      </c>
      <c r="B1376" s="0" t="s">
        <v>144</v>
      </c>
      <c r="D1376" s="18" t="n">
        <f aca="false">1</f>
        <v>1</v>
      </c>
      <c r="E1376" s="18" t="n">
        <f aca="false">ibpp_27</f>
        <v>1</v>
      </c>
      <c r="F1376" s="18" t="n">
        <f aca="false">ibpp_28</f>
        <v>0.95</v>
      </c>
      <c r="G1376" s="18" t="n">
        <f aca="false">ibpp_29</f>
        <v>0.9</v>
      </c>
      <c r="K1376" s="7" t="s">
        <v>594</v>
      </c>
    </row>
    <row r="1377" customFormat="false" ht="17.15" hidden="false" customHeight="false" outlineLevel="0" collapsed="false">
      <c r="A1377" s="3" t="s">
        <v>595</v>
      </c>
      <c r="B1377" s="0" t="s">
        <v>144</v>
      </c>
      <c r="D1377" s="18" t="n">
        <f aca="false">1</f>
        <v>1</v>
      </c>
      <c r="E1377" s="18" t="n">
        <f aca="false">1+carry</f>
        <v>1.05</v>
      </c>
      <c r="F1377" s="18" t="n">
        <f aca="false">1+carry</f>
        <v>1.05</v>
      </c>
      <c r="G1377" s="18" t="n">
        <f aca="false">1+carry</f>
        <v>1.05</v>
      </c>
      <c r="K1377" s="7" t="s">
        <v>596</v>
      </c>
    </row>
    <row r="1378" customFormat="false" ht="17.15" hidden="false" customHeight="false" outlineLevel="0" collapsed="false">
      <c r="A1378" s="3" t="s">
        <v>597</v>
      </c>
      <c r="B1378" s="0" t="s">
        <v>598</v>
      </c>
      <c r="D1378" s="23" t="n">
        <f aca="false">v26*D1375*D1376</f>
        <v>215.308596</v>
      </c>
      <c r="E1378" s="23" t="n">
        <f aca="false">v26*E1375*E1376</f>
        <v>254.06414328</v>
      </c>
      <c r="F1378" s="23" t="n">
        <f aca="false">v26*F1375*F1376</f>
        <v>284.80590461688</v>
      </c>
      <c r="G1378" s="23" t="n">
        <f aca="false">v26*G1375*G1376</f>
        <v>318.383021792765</v>
      </c>
      <c r="K1378" s="7" t="s">
        <v>599</v>
      </c>
    </row>
    <row r="1379" customFormat="false" ht="17.15" hidden="false" customHeight="false" outlineLevel="0" collapsed="false">
      <c r="A1379" s="3" t="s">
        <v>600</v>
      </c>
      <c r="B1379" s="0" t="s">
        <v>44</v>
      </c>
      <c r="D1379" s="20" t="n">
        <f aca="false">sh_nv_26</f>
        <v>0.25</v>
      </c>
      <c r="E1379" s="20" t="n">
        <f aca="false">sh_nv_27</f>
        <v>0.27</v>
      </c>
      <c r="F1379" s="20" t="n">
        <f aca="false">sh_nv_28</f>
        <v>0.29</v>
      </c>
      <c r="G1379" s="20" t="n">
        <f aca="false">sh_nv_29</f>
        <v>0.3</v>
      </c>
    </row>
    <row r="1380" customFormat="false" ht="17.15" hidden="false" customHeight="false" outlineLevel="0" collapsed="false">
      <c r="A1380" s="3" t="s">
        <v>601</v>
      </c>
      <c r="B1380" s="0" t="s">
        <v>44</v>
      </c>
      <c r="D1380" s="20" t="n">
        <f aca="false">sh_ot_26</f>
        <v>0.3</v>
      </c>
      <c r="E1380" s="20" t="n">
        <f aca="false">sh_ot_27</f>
        <v>0.31</v>
      </c>
      <c r="F1380" s="20" t="n">
        <f aca="false">sh_ot_28</f>
        <v>0.32</v>
      </c>
      <c r="G1380" s="20" t="n">
        <f aca="false">sh_ot_29</f>
        <v>0.33</v>
      </c>
    </row>
    <row r="1381" customFormat="false" ht="17.15" hidden="false" customHeight="false" outlineLevel="0" collapsed="false">
      <c r="A1381" s="3" t="s">
        <v>602</v>
      </c>
      <c r="B1381" s="0" t="s">
        <v>552</v>
      </c>
      <c r="D1381" s="22" t="n">
        <f aca="false">(D1373*D1378*D1379+D1374*D1378*v_ot*D1380)*D1377</f>
        <v>801.809211504</v>
      </c>
      <c r="E1381" s="22" t="n">
        <f aca="false">(E1373*E1378*E1379+E1374*E1378*v_ot*E1380)*E1377</f>
        <v>1624.8799315544</v>
      </c>
      <c r="F1381" s="22" t="n">
        <f aca="false">(F1373*F1378*F1379+F1374*F1378*v_ot*F1380)*F1377</f>
        <v>2125.32134231777</v>
      </c>
      <c r="G1381" s="22" t="n">
        <f aca="false">(G1373*G1378*G1379+G1374*G1378*v_ot*G1380)*G1377</f>
        <v>2788.4812844467</v>
      </c>
    </row>
    <row r="1382" customFormat="false" ht="15" hidden="false" customHeight="false" outlineLevel="0" collapsed="false">
      <c r="A1382" s="3" t="s">
        <v>603</v>
      </c>
      <c r="B1382" s="0" t="s">
        <v>302</v>
      </c>
      <c r="D1382" s="21" t="n">
        <f aca="false">D1381*fx/1000</f>
        <v>26.05879937388</v>
      </c>
      <c r="E1382" s="21" t="n">
        <f aca="false">E1381*fx/1000</f>
        <v>52.8085977755181</v>
      </c>
      <c r="F1382" s="21" t="n">
        <f aca="false">F1381*fx/1000</f>
        <v>69.0729436253277</v>
      </c>
      <c r="G1382" s="21" t="n">
        <f aca="false">G1381*fx/1000</f>
        <v>90.6256417445177</v>
      </c>
    </row>
    <row r="1383" customFormat="false" ht="17.15" hidden="false" customHeight="false" outlineLevel="0" collapsed="false">
      <c r="A1383" s="5" t="s">
        <v>604</v>
      </c>
    </row>
    <row r="1384" customFormat="false" ht="17.15" hidden="false" customHeight="false" outlineLevel="0" collapsed="false">
      <c r="A1384" s="0" t="s">
        <v>605</v>
      </c>
      <c r="B1384" s="0" t="s">
        <v>302</v>
      </c>
      <c r="D1384" s="21" t="n">
        <f aca="false">a26_abf*ai_abf</f>
        <v>74.83672875</v>
      </c>
      <c r="K1384" s="3" t="s">
        <v>606</v>
      </c>
    </row>
    <row r="1385" customFormat="false" ht="17.15" hidden="false" customHeight="false" outlineLevel="0" collapsed="false">
      <c r="A1385" s="3" t="s">
        <v>607</v>
      </c>
      <c r="B1385" s="0" t="s">
        <v>302</v>
      </c>
      <c r="D1385" s="21" t="n">
        <f aca="false">D1384-D1382</f>
        <v>48.77792937612</v>
      </c>
      <c r="E1385" s="21" t="n">
        <f aca="false">$D1385*(itc_27/itc_26)^el_o*1*1*E1376*E1377</f>
        <v>72.4686721045733</v>
      </c>
      <c r="F1385" s="21" t="n">
        <f aca="false">$D1385*(itc_28/itc_26)^el_o*um28_A*1*F1376*F1377</f>
        <v>77.5118128697435</v>
      </c>
      <c r="G1385" s="21" t="n">
        <f aca="false">$D1385*(itc_29/itc_26)^el_o*um29_A*1*G1376*G1377</f>
        <v>78.3752247962621</v>
      </c>
      <c r="K1385" s="7" t="s">
        <v>608</v>
      </c>
    </row>
    <row r="1386" customFormat="false" ht="17.15" hidden="false" customHeight="false" outlineLevel="0" collapsed="false">
      <c r="A1386" s="3" t="s">
        <v>609</v>
      </c>
      <c r="B1386" s="0" t="s">
        <v>302</v>
      </c>
      <c r="D1386" s="21" t="n">
        <f aca="false">a26_abf-D1384</f>
        <v>24.94557625</v>
      </c>
      <c r="E1386" s="21" t="n">
        <f aca="false">D1386*(1+g_nai)</f>
        <v>25.6939435375</v>
      </c>
      <c r="F1386" s="21" t="n">
        <f aca="false">E1386*(1+g_nai)</f>
        <v>26.464761843625</v>
      </c>
      <c r="G1386" s="21" t="n">
        <f aca="false">F1386*(1+g_nai)</f>
        <v>27.2587046989338</v>
      </c>
    </row>
    <row r="1387" customFormat="false" ht="17.15" hidden="false" customHeight="false" outlineLevel="0" collapsed="false">
      <c r="A1387" s="0" t="s">
        <v>610</v>
      </c>
      <c r="B1387" s="0" t="s">
        <v>302</v>
      </c>
      <c r="D1387" s="21" t="n">
        <f aca="false">D1382+D1385+D1386</f>
        <v>99.782305</v>
      </c>
      <c r="E1387" s="21" t="n">
        <f aca="false">E1382+E1385+E1386</f>
        <v>150.971213417591</v>
      </c>
      <c r="F1387" s="21" t="n">
        <f aca="false">F1382+F1385+F1386</f>
        <v>173.049518338696</v>
      </c>
      <c r="G1387" s="21" t="n">
        <f aca="false">G1382+G1385+G1386</f>
        <v>196.259571239714</v>
      </c>
    </row>
    <row r="1388" customFormat="false" ht="17.15" hidden="false" customHeight="false" outlineLevel="0" collapsed="false">
      <c r="A1388" s="0" t="s">
        <v>611</v>
      </c>
      <c r="B1388" s="0" t="s">
        <v>302</v>
      </c>
      <c r="D1388" s="21" t="n">
        <f aca="false">a26_abf</f>
        <v>99.782305</v>
      </c>
      <c r="E1388" s="21" t="n">
        <f aca="false">$D1387*cap_27*(1+g_mix)^1*E1376*E1377</f>
        <v>148.513488204375</v>
      </c>
      <c r="F1388" s="21" t="n">
        <f aca="false">$D1387*cap_28*(1+g_mix)^2*F1376*F1377</f>
        <v>186.549442683384</v>
      </c>
      <c r="G1388" s="21" t="n">
        <f aca="false">$D1387*cap_29*(1+g_mix)^3*G1376*G1377</f>
        <v>218.314827660431</v>
      </c>
      <c r="K1388" s="7" t="s">
        <v>612</v>
      </c>
    </row>
    <row r="1389" customFormat="false" ht="17.15" hidden="false" customHeight="false" outlineLevel="0" collapsed="false">
      <c r="A1389" s="0" t="s">
        <v>613</v>
      </c>
      <c r="B1389" s="0" t="s">
        <v>302</v>
      </c>
      <c r="D1389" s="21" t="n">
        <f aca="false">a26_abf</f>
        <v>99.782305</v>
      </c>
      <c r="E1389" s="21" t="n">
        <f aca="false">MIN(E1387,E1388)</f>
        <v>148.513488204375</v>
      </c>
      <c r="F1389" s="21" t="n">
        <f aca="false">MIN(F1387,F1388)</f>
        <v>173.049518338696</v>
      </c>
      <c r="G1389" s="21" t="n">
        <f aca="false">MIN(G1387,G1388)</f>
        <v>196.259571239714</v>
      </c>
    </row>
    <row r="1390" customFormat="false" ht="17.15" hidden="false" customHeight="false" outlineLevel="0" collapsed="false">
      <c r="A1390" s="3" t="s">
        <v>614</v>
      </c>
      <c r="B1390" s="0" t="s">
        <v>44</v>
      </c>
      <c r="D1390" s="20" t="n">
        <f aca="false">D1389/D1387</f>
        <v>1</v>
      </c>
      <c r="E1390" s="20" t="n">
        <f aca="false">E1389/E1387</f>
        <v>0.983720570580444</v>
      </c>
      <c r="F1390" s="20" t="n">
        <f aca="false">F1389/F1387</f>
        <v>1</v>
      </c>
      <c r="G1390" s="20" t="n">
        <f aca="false">G1389/G1387</f>
        <v>1</v>
      </c>
    </row>
    <row r="1391" customFormat="false" ht="17.15" hidden="false" customHeight="false" outlineLevel="0" collapsed="false">
      <c r="A1391" s="0" t="s">
        <v>615</v>
      </c>
      <c r="B1391" s="0" t="s">
        <v>302</v>
      </c>
      <c r="D1391" s="21" t="n">
        <f aca="false">(D1382+D1385)*D1390</f>
        <v>74.83672875</v>
      </c>
      <c r="E1391" s="21" t="n">
        <f aca="false">(E1382+E1385)*E1390</f>
        <v>123.237827407204</v>
      </c>
      <c r="F1391" s="21" t="n">
        <f aca="false">(F1382+F1385)*F1390</f>
        <v>146.584756495071</v>
      </c>
      <c r="G1391" s="21" t="n">
        <f aca="false">(G1382+G1385)*G1390</f>
        <v>169.00086654078</v>
      </c>
    </row>
    <row r="1392" customFormat="false" ht="17.15" hidden="false" customHeight="false" outlineLevel="0" collapsed="false">
      <c r="A1392" s="3" t="s">
        <v>616</v>
      </c>
      <c r="B1392" s="0" t="s">
        <v>44</v>
      </c>
      <c r="D1392" s="20" t="n">
        <f aca="false">D1382/(D1382+D1385)</f>
        <v>0.348208691228771</v>
      </c>
      <c r="E1392" s="20" t="n">
        <f aca="false">E1382/(E1382+E1385)</f>
        <v>0.421533753298293</v>
      </c>
      <c r="F1392" s="20" t="n">
        <f aca="false">F1382/(F1382+F1385)</f>
        <v>0.471215051802813</v>
      </c>
      <c r="G1392" s="20" t="n">
        <f aca="false">G1382/(G1382+G1385)</f>
        <v>0.536243651287136</v>
      </c>
    </row>
    <row r="1393" customFormat="false" ht="17.15" hidden="false" customHeight="false" outlineLevel="0" collapsed="false">
      <c r="A1393" s="5" t="s">
        <v>617</v>
      </c>
    </row>
    <row r="1394" customFormat="false" ht="17.15" hidden="false" customHeight="false" outlineLevel="0" collapsed="false">
      <c r="A1394" s="0" t="s">
        <v>519</v>
      </c>
      <c r="B1394" s="0" t="s">
        <v>302</v>
      </c>
      <c r="D1394" s="21" t="n">
        <f aca="false">a26_bt</f>
        <v>16.944165</v>
      </c>
      <c r="E1394" s="21" t="n">
        <f aca="false">D1394*(1+g_bt)</f>
        <v>17.79137325</v>
      </c>
      <c r="F1394" s="21" t="n">
        <f aca="false">E1394*(1+g_bt)</f>
        <v>18.6809419125</v>
      </c>
      <c r="G1394" s="21" t="n">
        <f aca="false">F1394*(1+g_bt)</f>
        <v>19.614989008125</v>
      </c>
    </row>
    <row r="1395" customFormat="false" ht="17.15" hidden="false" customHeight="false" outlineLevel="0" collapsed="false">
      <c r="A1395" s="0" t="s">
        <v>618</v>
      </c>
      <c r="B1395" s="0" t="s">
        <v>302</v>
      </c>
      <c r="D1395" s="21" t="n">
        <f aca="false">a26_pcb*ai_pcb</f>
        <v>37.93610275</v>
      </c>
      <c r="E1395" s="21" t="n">
        <f aca="false">D1395*(1+g_pai_27)</f>
        <v>45.5233233</v>
      </c>
      <c r="F1395" s="21" t="n">
        <f aca="false">D1395*(1+g_pai_27)*(1+g_pai_28)*um28_A</f>
        <v>52.351821795</v>
      </c>
      <c r="G1395" s="21" t="n">
        <f aca="false">D1395*(1+g_pai_27)*(1+g_pai_28)*(1+g_pai_29)*um29_A</f>
        <v>57.5870039745</v>
      </c>
      <c r="K1395" s="3" t="s">
        <v>619</v>
      </c>
    </row>
    <row r="1396" customFormat="false" ht="17.15" hidden="false" customHeight="false" outlineLevel="0" collapsed="false">
      <c r="A1396" s="3" t="s">
        <v>620</v>
      </c>
      <c r="B1396" s="0" t="s">
        <v>302</v>
      </c>
      <c r="D1396" s="21" t="n">
        <f aca="false">a26_pcb*(1-ai_pcb)</f>
        <v>20.42713225</v>
      </c>
      <c r="E1396" s="21" t="n">
        <f aca="false">D1396*(1+g_pcbn)</f>
        <v>20.835674895</v>
      </c>
      <c r="F1396" s="21" t="n">
        <f aca="false">E1396*(1+g_pcbn)</f>
        <v>21.2523883929</v>
      </c>
      <c r="G1396" s="21" t="n">
        <f aca="false">F1396*(1+g_pcbn)</f>
        <v>21.677436160758</v>
      </c>
    </row>
    <row r="1397" customFormat="false" ht="15" hidden="false" customHeight="false" outlineLevel="0" collapsed="false">
      <c r="A1397" s="3" t="s">
        <v>521</v>
      </c>
      <c r="B1397" s="0" t="s">
        <v>302</v>
      </c>
      <c r="D1397" s="21" t="n">
        <f aca="false">a26_fpc</f>
        <v>13.178795</v>
      </c>
      <c r="E1397" s="21" t="n">
        <f aca="false">D1397*(1+g_fpc)</f>
        <v>13.178795</v>
      </c>
      <c r="F1397" s="21" t="n">
        <f aca="false">E1397*(1+g_fpc)</f>
        <v>13.178795</v>
      </c>
      <c r="G1397" s="21" t="n">
        <f aca="false">F1397*(1+g_fpc)</f>
        <v>13.178795</v>
      </c>
    </row>
    <row r="1398" customFormat="false" ht="17.15" hidden="false" customHeight="false" outlineLevel="0" collapsed="false">
      <c r="A1398" s="3" t="s">
        <v>484</v>
      </c>
      <c r="B1398" s="0" t="s">
        <v>302</v>
      </c>
      <c r="C1398" s="23" t="n">
        <f aca="false">a25_rev</f>
        <v>131.241</v>
      </c>
      <c r="D1398" s="23" t="n">
        <f aca="false">D1389+D1394+D1395+D1396+D1397</f>
        <v>188.2685</v>
      </c>
      <c r="E1398" s="23" t="n">
        <f aca="false">E1389+E1394+E1395+E1396+E1397</f>
        <v>245.842654649375</v>
      </c>
      <c r="F1398" s="23" t="n">
        <f aca="false">F1389+F1394+F1395+F1396+F1397</f>
        <v>278.513465439096</v>
      </c>
      <c r="G1398" s="23" t="n">
        <f aca="false">G1389+G1394+G1395+G1396+G1397</f>
        <v>308.317795383097</v>
      </c>
      <c r="H1398" s="25" t="n">
        <f aca="false">G1398*(1+H1399)</f>
        <v>336.479988575722</v>
      </c>
      <c r="I1398" s="25" t="n">
        <f aca="false">H1398*(1+I1399)</f>
        <v>361.941672550702</v>
      </c>
      <c r="J1398" s="25" t="n">
        <f aca="false">I1398*(1+J1399)</f>
        <v>383.658172903744</v>
      </c>
      <c r="K1398" s="7" t="s">
        <v>621</v>
      </c>
    </row>
    <row r="1399" customFormat="false" ht="15" hidden="false" customHeight="false" outlineLevel="0" collapsed="false">
      <c r="A1399" s="3" t="s">
        <v>622</v>
      </c>
      <c r="B1399" s="0" t="s">
        <v>44</v>
      </c>
      <c r="D1399" s="20" t="n">
        <f aca="false">D1398/C1398-1</f>
        <v>0.434525034097576</v>
      </c>
      <c r="E1399" s="20" t="n">
        <f aca="false">E1398/D1398-1</f>
        <v>0.30580875</v>
      </c>
      <c r="F1399" s="20" t="n">
        <f aca="false">F1398/E1398-1</f>
        <v>0.132893174442478</v>
      </c>
      <c r="G1399" s="20" t="n">
        <f aca="false">G1398/F1398-1</f>
        <v>0.107012168682803</v>
      </c>
      <c r="H1399" s="26" t="n">
        <f aca="false">$G1399+(fade_gA-$G1399)*1/3</f>
        <v>0.091341445788535</v>
      </c>
      <c r="I1399" s="26" t="n">
        <f aca="false">$G1399+(fade_gA-$G1399)*2/3</f>
        <v>0.0756707228942675</v>
      </c>
      <c r="J1399" s="26" t="n">
        <f aca="false">$G1399+(fade_gA-$G1399)*3/3</f>
        <v>0.06</v>
      </c>
    </row>
    <row r="1400" customFormat="false" ht="17.15" hidden="false" customHeight="false" outlineLevel="0" collapsed="false">
      <c r="A1400" s="0" t="s">
        <v>623</v>
      </c>
      <c r="B1400" s="0" t="s">
        <v>44</v>
      </c>
      <c r="D1400" s="20" t="n">
        <f aca="false">D1389/D1398</f>
        <v>0.53</v>
      </c>
      <c r="E1400" s="20" t="n">
        <f aca="false">E1389/E1398</f>
        <v>0.604099758100105</v>
      </c>
      <c r="F1400" s="20" t="n">
        <f aca="false">F1389/F1398</f>
        <v>0.62133268158461</v>
      </c>
      <c r="G1400" s="20" t="n">
        <f aca="false">G1389/G1398</f>
        <v>0.636549606213464</v>
      </c>
    </row>
    <row r="1401" customFormat="false" ht="17.15" hidden="false" customHeight="false" outlineLevel="0" collapsed="false">
      <c r="A1401" s="0" t="s">
        <v>624</v>
      </c>
      <c r="B1401" s="0" t="s">
        <v>44</v>
      </c>
      <c r="D1401" s="20" t="n">
        <f aca="false">(D1391+D1395)/D1398</f>
        <v>0.599</v>
      </c>
      <c r="E1401" s="20" t="n">
        <f aca="false">(E1391+E1395)/E1398</f>
        <v>0.68646000812143</v>
      </c>
      <c r="F1401" s="20" t="n">
        <f aca="false">(F1391+F1395)/F1398</f>
        <v>0.714279928894761</v>
      </c>
      <c r="G1401" s="20" t="n">
        <f aca="false">(G1391+G1395)/G1398</f>
        <v>0.734916614961312</v>
      </c>
      <c r="K1401" s="3" t="s">
        <v>625</v>
      </c>
    </row>
    <row r="1402" customFormat="false" ht="17.15" hidden="false" customHeight="false" outlineLevel="0" collapsed="false">
      <c r="A1402" s="5" t="s">
        <v>626</v>
      </c>
    </row>
    <row r="1403" customFormat="false" ht="15" hidden="false" customHeight="false" outlineLevel="0" collapsed="false">
      <c r="A1403" s="3" t="s">
        <v>627</v>
      </c>
      <c r="B1403" s="0" t="s">
        <v>302</v>
      </c>
      <c r="C1403" s="23" t="n">
        <f aca="false">a25_cx</f>
        <v>25.617</v>
      </c>
      <c r="D1403" s="23" t="n">
        <f aca="false">capex26</f>
        <v>53.7</v>
      </c>
      <c r="E1403" s="23" t="n">
        <f aca="false">cx27_A</f>
        <v>55</v>
      </c>
      <c r="F1403" s="23" t="n">
        <f aca="false">cx28_A</f>
        <v>50</v>
      </c>
      <c r="G1403" s="23" t="n">
        <f aca="false">cx29_A</f>
        <v>45</v>
      </c>
      <c r="H1403" s="25" t="n">
        <f aca="false">H1398*H1420</f>
        <v>46.0773449344368</v>
      </c>
      <c r="I1403" s="25" t="n">
        <f aca="false">I1398*I1420</f>
        <v>46.301519983136</v>
      </c>
      <c r="J1403" s="25" t="n">
        <f aca="false">J1398*J1420</f>
        <v>45.6213283734937</v>
      </c>
    </row>
    <row r="1404" customFormat="false" ht="17.15" hidden="false" customHeight="false" outlineLevel="0" collapsed="false">
      <c r="A1404" s="3" t="s">
        <v>628</v>
      </c>
      <c r="B1404" s="0" t="s">
        <v>302</v>
      </c>
      <c r="C1404" s="23" t="n">
        <f aca="false">a25_da</f>
        <v>18.8</v>
      </c>
      <c r="D1404" s="23" t="n">
        <f aca="false">da26</f>
        <v>20.8</v>
      </c>
      <c r="E1404" s="23" t="n">
        <f aca="false">D1404*(1-1/life)+D1403/life</f>
        <v>24.9125</v>
      </c>
      <c r="F1404" s="23" t="n">
        <f aca="false">E1404*(1-1/life)+E1403/life</f>
        <v>28.6734375</v>
      </c>
      <c r="G1404" s="23" t="n">
        <f aca="false">F1404*(1-1/life)+F1403/life</f>
        <v>31.3392578125</v>
      </c>
      <c r="H1404" s="25" t="n">
        <f aca="false">H1398*H1405</f>
        <v>34.2018309310334</v>
      </c>
      <c r="I1404" s="25" t="n">
        <f aca="false">I1398*I1405</f>
        <v>36.7899082018922</v>
      </c>
      <c r="J1404" s="25" t="n">
        <f aca="false">J1398*J1405</f>
        <v>38.9973026940057</v>
      </c>
      <c r="K1404" s="3" t="s">
        <v>629</v>
      </c>
    </row>
    <row r="1405" customFormat="false" ht="17.15" hidden="false" customHeight="false" outlineLevel="0" collapsed="false">
      <c r="A1405" s="3" t="s">
        <v>630</v>
      </c>
      <c r="B1405" s="0" t="s">
        <v>44</v>
      </c>
      <c r="C1405" s="20" t="n">
        <f aca="false">C1404/C1398</f>
        <v>0.143247917952469</v>
      </c>
      <c r="D1405" s="20" t="n">
        <f aca="false">D1404/D1398</f>
        <v>0.110480510547436</v>
      </c>
      <c r="E1405" s="20" t="n">
        <f aca="false">E1404/E1398</f>
        <v>0.101335140704247</v>
      </c>
      <c r="F1405" s="20" t="n">
        <f aca="false">F1404/F1398</f>
        <v>0.102951709910307</v>
      </c>
      <c r="G1405" s="20" t="n">
        <f aca="false">G1404/G1398</f>
        <v>0.101645958429223</v>
      </c>
      <c r="H1405" s="26" t="n">
        <f aca="false">$G1405</f>
        <v>0.101645958429223</v>
      </c>
      <c r="I1405" s="26" t="n">
        <f aca="false">$G1405</f>
        <v>0.101645958429223</v>
      </c>
      <c r="J1405" s="26" t="n">
        <f aca="false">$G1405</f>
        <v>0.101645958429223</v>
      </c>
    </row>
    <row r="1406" customFormat="false" ht="17.15" hidden="false" customHeight="false" outlineLevel="0" collapsed="false">
      <c r="A1406" s="3" t="s">
        <v>631</v>
      </c>
      <c r="B1406" s="0" t="s">
        <v>302</v>
      </c>
      <c r="E1406" s="21" t="n">
        <f aca="false">E1391*(1-1/(E1376*E1377))</f>
        <v>5.86846797177161</v>
      </c>
      <c r="F1406" s="21" t="n">
        <f aca="false">F1391*(1-1/(F1376*F1377))</f>
        <v>-0.367380342092935</v>
      </c>
      <c r="G1406" s="21" t="n">
        <f aca="false">G1391*(1-1/(G1376*G1377))</f>
        <v>-9.83602926956918</v>
      </c>
      <c r="K1406" s="7" t="s">
        <v>632</v>
      </c>
    </row>
    <row r="1407" customFormat="false" ht="17.15" hidden="false" customHeight="false" outlineLevel="0" collapsed="false">
      <c r="A1407" s="3" t="s">
        <v>633</v>
      </c>
      <c r="B1407" s="0" t="s">
        <v>302</v>
      </c>
      <c r="C1407" s="21" t="n">
        <f aca="false">a25_gp</f>
        <v>18.292</v>
      </c>
      <c r="D1407" s="21" t="n">
        <f aca="false">a26_gp</f>
        <v>47.3329657</v>
      </c>
      <c r="E1407" s="21" t="n">
        <f aca="false">$D1407+ft_abf*(E1389-E1406-$D1389)+ft_oth*((E1398-E1389)-($D1398-$D1389))+E1406-(E1404-$D1404)</f>
        <v>72.7310341493233</v>
      </c>
      <c r="F1407" s="21" t="n">
        <f aca="false">$D1407+ft_abf*(F1389-F1406-$D1389)+ft_oth*((F1398-F1389)-($D1398-$D1389))+F1406-(F1404-$D1404)</f>
        <v>80.1538827234016</v>
      </c>
      <c r="G1407" s="21" t="n">
        <f aca="false">$D1407+ft_abf*(G1389-G1406-$D1389)+ft_oth*((G1398-G1389)-($D1398-$D1389))+G1406-(G1404-$D1404)</f>
        <v>86.0073336584179</v>
      </c>
      <c r="K1407" s="3" t="s">
        <v>634</v>
      </c>
    </row>
    <row r="1408" customFormat="false" ht="15" hidden="false" customHeight="false" outlineLevel="0" collapsed="false">
      <c r="A1408" s="3" t="s">
        <v>491</v>
      </c>
      <c r="B1408" s="0" t="s">
        <v>44</v>
      </c>
      <c r="C1408" s="16" t="n">
        <f aca="false">C1407/C1398</f>
        <v>0.139377176339711</v>
      </c>
      <c r="D1408" s="16" t="n">
        <f aca="false">D1407/D1398</f>
        <v>0.251412029627899</v>
      </c>
      <c r="E1408" s="16" t="n">
        <f aca="false">E1407/E1398</f>
        <v>0.295843836591553</v>
      </c>
      <c r="F1408" s="16" t="n">
        <f aca="false">F1407/F1398</f>
        <v>0.287791768333475</v>
      </c>
      <c r="G1408" s="16" t="n">
        <f aca="false">G1407/G1398</f>
        <v>0.278956761323331</v>
      </c>
    </row>
    <row r="1409" customFormat="false" ht="15" hidden="false" customHeight="false" outlineLevel="0" collapsed="false">
      <c r="A1409" s="3" t="s">
        <v>493</v>
      </c>
      <c r="B1409" s="0" t="s">
        <v>302</v>
      </c>
      <c r="C1409" s="21" t="n">
        <f aca="false">a25_opx</f>
        <v>11.618</v>
      </c>
      <c r="D1409" s="21" t="n">
        <f aca="false">a26_opx</f>
        <v>16.6539532</v>
      </c>
      <c r="E1409" s="21" t="n">
        <f aca="false">D1409*(1+phi*E1399)</f>
        <v>19.7097079663903</v>
      </c>
      <c r="F1409" s="21" t="n">
        <f aca="false">E1409*(1+phi*F1399)</f>
        <v>21.281279361783</v>
      </c>
      <c r="G1409" s="21" t="n">
        <f aca="false">F1409*(1+phi*G1399)</f>
        <v>22.6476928758924</v>
      </c>
    </row>
    <row r="1410" customFormat="false" ht="15" hidden="false" customHeight="false" outlineLevel="0" collapsed="false">
      <c r="A1410" s="3" t="s">
        <v>496</v>
      </c>
      <c r="B1410" s="0" t="s">
        <v>302</v>
      </c>
      <c r="C1410" s="21" t="n">
        <f aca="false">C1407-C1409</f>
        <v>6.674</v>
      </c>
      <c r="D1410" s="21" t="n">
        <f aca="false">D1407-D1409</f>
        <v>30.6790125</v>
      </c>
      <c r="E1410" s="21" t="n">
        <f aca="false">E1407-E1409</f>
        <v>53.021326182933</v>
      </c>
      <c r="F1410" s="21" t="n">
        <f aca="false">F1407-F1409</f>
        <v>58.8726033616186</v>
      </c>
      <c r="G1410" s="21" t="n">
        <f aca="false">G1407-G1409</f>
        <v>63.3596407825256</v>
      </c>
    </row>
    <row r="1411" customFormat="false" ht="15" hidden="false" customHeight="false" outlineLevel="0" collapsed="false">
      <c r="A1411" s="3" t="s">
        <v>575</v>
      </c>
      <c r="B1411" s="0" t="s">
        <v>44</v>
      </c>
      <c r="C1411" s="16" t="n">
        <f aca="false">C1410/C1398</f>
        <v>0.0508530108731265</v>
      </c>
      <c r="D1411" s="16" t="n">
        <f aca="false">D1410/D1398</f>
        <v>0.162953507888999</v>
      </c>
      <c r="E1411" s="16" t="n">
        <f aca="false">E1410/E1398</f>
        <v>0.215671793239269</v>
      </c>
      <c r="F1411" s="16" t="n">
        <f aca="false">F1410/F1398</f>
        <v>0.211381533272734</v>
      </c>
      <c r="G1411" s="16" t="n">
        <f aca="false">G1410/G1398</f>
        <v>0.205501082750669</v>
      </c>
    </row>
    <row r="1412" customFormat="false" ht="17.15" hidden="false" customHeight="false" outlineLevel="0" collapsed="false">
      <c r="A1412" s="3" t="s">
        <v>635</v>
      </c>
      <c r="B1412" s="0" t="s">
        <v>302</v>
      </c>
      <c r="C1412" s="21" t="n">
        <f aca="false">a25_nonop</f>
        <v>-0.00100000000000033</v>
      </c>
      <c r="D1412" s="21" t="n">
        <f aca="false">a26_nonop</f>
        <v>14.466</v>
      </c>
      <c r="E1412" s="21" t="n">
        <f aca="false">nonop27</f>
        <v>2</v>
      </c>
      <c r="F1412" s="21" t="n">
        <f aca="false">nonop28</f>
        <v>2</v>
      </c>
      <c r="G1412" s="21" t="n">
        <f aca="false">nonop29</f>
        <v>2</v>
      </c>
      <c r="K1412" s="7" t="s">
        <v>636</v>
      </c>
    </row>
    <row r="1413" customFormat="false" ht="15" hidden="false" customHeight="false" outlineLevel="0" collapsed="false">
      <c r="A1413" s="3" t="s">
        <v>502</v>
      </c>
      <c r="B1413" s="0" t="s">
        <v>302</v>
      </c>
      <c r="C1413" s="21" t="n">
        <f aca="false">C1410+C1412</f>
        <v>6.673</v>
      </c>
      <c r="D1413" s="21" t="n">
        <f aca="false">D1410+D1412</f>
        <v>45.1450125</v>
      </c>
      <c r="E1413" s="21" t="n">
        <f aca="false">E1410+E1412</f>
        <v>55.021326182933</v>
      </c>
      <c r="F1413" s="21" t="n">
        <f aca="false">F1410+F1412</f>
        <v>60.8726033616186</v>
      </c>
      <c r="G1413" s="21" t="n">
        <f aca="false">G1410+G1412</f>
        <v>65.3596407825256</v>
      </c>
    </row>
    <row r="1414" customFormat="false" ht="15" hidden="false" customHeight="false" outlineLevel="0" collapsed="false">
      <c r="A1414" s="3" t="s">
        <v>506</v>
      </c>
      <c r="B1414" s="0" t="s">
        <v>302</v>
      </c>
      <c r="E1414" s="21" t="n">
        <f aca="false">E1413*tax_hi</f>
        <v>12.1046917602453</v>
      </c>
      <c r="F1414" s="21" t="n">
        <f aca="false">F1413*tax_hi</f>
        <v>13.3919727395561</v>
      </c>
      <c r="G1414" s="21" t="n">
        <f aca="false">G1413*tax_hi</f>
        <v>14.3791209721556</v>
      </c>
    </row>
    <row r="1415" customFormat="false" ht="15" hidden="false" customHeight="false" outlineLevel="0" collapsed="false">
      <c r="A1415" s="3" t="s">
        <v>504</v>
      </c>
      <c r="B1415" s="0" t="s">
        <v>302</v>
      </c>
      <c r="C1415" s="21" t="n">
        <f aca="false">a25_ni</f>
        <v>6.673</v>
      </c>
      <c r="D1415" s="21" t="n">
        <f aca="false">a26_ni</f>
        <v>37.23923025</v>
      </c>
      <c r="E1415" s="21" t="n">
        <f aca="false">E1413-E1414</f>
        <v>42.9166344226877</v>
      </c>
      <c r="F1415" s="21" t="n">
        <f aca="false">F1413-F1414</f>
        <v>47.4806306220625</v>
      </c>
      <c r="G1415" s="21" t="n">
        <f aca="false">G1413-G1414</f>
        <v>50.98051981037</v>
      </c>
      <c r="H1415" s="30" t="n">
        <f aca="false">H1398*H1419</f>
        <v>56.5882166618045</v>
      </c>
      <c r="I1415" s="30" t="n">
        <f aca="false">I1398*I1419</f>
        <v>61.8933179730418</v>
      </c>
      <c r="J1415" s="30" t="n">
        <f aca="false">J1398*J1419</f>
        <v>66.691328903514</v>
      </c>
    </row>
    <row r="1416" customFormat="false" ht="15" hidden="false" customHeight="false" outlineLevel="0" collapsed="false">
      <c r="A1416" s="3" t="s">
        <v>637</v>
      </c>
      <c r="B1416" s="3" t="s">
        <v>380</v>
      </c>
      <c r="C1416" s="29" t="n">
        <f aca="false">a25_sh</f>
        <v>1.52351598173516</v>
      </c>
      <c r="D1416" s="29" t="n">
        <f aca="false">a26_sh</f>
        <v>1.59236316568047</v>
      </c>
      <c r="E1416" s="29" t="n">
        <f aca="false">a26_shend*(1+sh_g)</f>
        <v>1.64</v>
      </c>
      <c r="F1416" s="29" t="n">
        <f aca="false">E1416*(1+sh_g)</f>
        <v>1.64</v>
      </c>
      <c r="G1416" s="29" t="n">
        <f aca="false">F1416*(1+sh_g)</f>
        <v>1.64</v>
      </c>
      <c r="H1416" s="31" t="n">
        <f aca="false">G1416*(1+sh_g)</f>
        <v>1.64</v>
      </c>
      <c r="I1416" s="31" t="n">
        <f aca="false">H1416*(1+sh_g)</f>
        <v>1.64</v>
      </c>
      <c r="J1416" s="31" t="n">
        <f aca="false">I1416*(1+sh_g)</f>
        <v>1.64</v>
      </c>
    </row>
    <row r="1417" customFormat="false" ht="17.15" hidden="false" customHeight="false" outlineLevel="0" collapsed="false">
      <c r="A1417" s="0" t="s">
        <v>509</v>
      </c>
      <c r="B1417" s="0" t="s">
        <v>386</v>
      </c>
      <c r="C1417" s="18" t="n">
        <f aca="false">C1415/C1416</f>
        <v>4.38</v>
      </c>
      <c r="D1417" s="18" t="n">
        <f aca="false">D1415/D1416</f>
        <v>23.3861414610695</v>
      </c>
      <c r="E1417" s="18" t="n">
        <f aca="false">E1415/E1416</f>
        <v>26.1686795260291</v>
      </c>
      <c r="F1417" s="18" t="n">
        <f aca="false">F1415/F1416</f>
        <v>28.951604037843</v>
      </c>
      <c r="G1417" s="18" t="n">
        <f aca="false">G1415/G1416</f>
        <v>31.0856828112012</v>
      </c>
      <c r="H1417" s="28" t="n">
        <f aca="false">H1415/H1416</f>
        <v>34.5050101596369</v>
      </c>
      <c r="I1417" s="28" t="n">
        <f aca="false">I1415/I1416</f>
        <v>37.7398280323426</v>
      </c>
      <c r="J1417" s="28" t="n">
        <f aca="false">J1415/J1416</f>
        <v>40.6654444533622</v>
      </c>
    </row>
    <row r="1418" customFormat="false" ht="17.15" hidden="false" customHeight="false" outlineLevel="0" collapsed="false">
      <c r="A1418" s="0" t="s">
        <v>638</v>
      </c>
      <c r="B1418" s="0" t="s">
        <v>44</v>
      </c>
      <c r="D1418" s="20" t="n">
        <f aca="false">D1417/C1417-1</f>
        <v>4.33930170344053</v>
      </c>
      <c r="E1418" s="20" t="n">
        <f aca="false">E1417/D1417-1</f>
        <v>0.118982349849874</v>
      </c>
      <c r="F1418" s="20" t="n">
        <f aca="false">F1417/E1417-1</f>
        <v>0.106345622408873</v>
      </c>
      <c r="G1418" s="20" t="n">
        <f aca="false">G1417/F1417-1</f>
        <v>0.0737119356346785</v>
      </c>
      <c r="H1418" s="26" t="n">
        <f aca="false">H1417/G1417-1</f>
        <v>0.109996855118254</v>
      </c>
      <c r="I1418" s="26" t="n">
        <f aca="false">I1417/H1417-1</f>
        <v>0.0937492224387091</v>
      </c>
      <c r="J1418" s="26" t="n">
        <f aca="false">J1417/I1417-1</f>
        <v>0.0775206611570247</v>
      </c>
    </row>
    <row r="1419" customFormat="false" ht="17.15" hidden="false" customHeight="false" outlineLevel="0" collapsed="false">
      <c r="A1419" s="3" t="s">
        <v>639</v>
      </c>
      <c r="B1419" s="0" t="s">
        <v>44</v>
      </c>
      <c r="C1419" s="16" t="n">
        <f aca="false">C1415/C1398</f>
        <v>0.0508453913030227</v>
      </c>
      <c r="D1419" s="16" t="n">
        <f aca="false">D1415/D1398</f>
        <v>0.197798517808343</v>
      </c>
      <c r="E1419" s="16" t="n">
        <f aca="false">E1415/E1398</f>
        <v>0.17456952083395</v>
      </c>
      <c r="F1419" s="16" t="n">
        <f aca="false">F1415/F1398</f>
        <v>0.170478761402814</v>
      </c>
      <c r="G1419" s="16" t="n">
        <f aca="false">G1415/G1398</f>
        <v>0.165350558980953</v>
      </c>
      <c r="H1419" s="27" t="n">
        <f aca="false">$G1419+(fade_mA-$G1419)*1/3</f>
        <v>0.168177064262678</v>
      </c>
      <c r="I1419" s="27" t="n">
        <f aca="false">$G1419+(fade_mA-$G1419)*2/3</f>
        <v>0.171003569544404</v>
      </c>
      <c r="J1419" s="27" t="n">
        <f aca="false">$G1419+(fade_mA-$G1419)*3/3</f>
        <v>0.17383007482613</v>
      </c>
    </row>
    <row r="1420" customFormat="false" ht="17.15" hidden="false" customHeight="false" outlineLevel="0" collapsed="false">
      <c r="A1420" s="3" t="s">
        <v>640</v>
      </c>
      <c r="B1420" s="0" t="s">
        <v>44</v>
      </c>
      <c r="C1420" s="20" t="n">
        <f aca="false">C1403/C1398</f>
        <v>0.195190527350447</v>
      </c>
      <c r="D1420" s="20" t="n">
        <f aca="false">D1403/D1398</f>
        <v>0.285230933480641</v>
      </c>
      <c r="E1420" s="20" t="n">
        <f aca="false">E1403/E1398</f>
        <v>0.223720330706817</v>
      </c>
      <c r="F1420" s="20" t="n">
        <f aca="false">F1403/F1398</f>
        <v>0.179524533656466</v>
      </c>
      <c r="G1420" s="20" t="n">
        <f aca="false">G1403/G1398</f>
        <v>0.145953301022037</v>
      </c>
      <c r="H1420" s="26" t="n">
        <f aca="false">$G1420+($G1405*(1+tp_g)^(life/2)-$G1420)*1/3</f>
        <v>0.136939332200635</v>
      </c>
      <c r="I1420" s="26" t="n">
        <f aca="false">$G1420+($G1405*(1+tp_g)^(life/2)-$G1420)*2/3</f>
        <v>0.127925363379233</v>
      </c>
      <c r="J1420" s="26" t="n">
        <f aca="false">$G1420+($G1405*(1+tp_g)^(life/2)-$G1420)*3/3</f>
        <v>0.118911394557831</v>
      </c>
      <c r="K1420" s="7" t="s">
        <v>641</v>
      </c>
    </row>
    <row r="1421" customFormat="false" ht="15" hidden="false" customHeight="false" outlineLevel="0" collapsed="false">
      <c r="A1421" s="3" t="s">
        <v>642</v>
      </c>
      <c r="B1421" s="0" t="s">
        <v>302</v>
      </c>
      <c r="E1421" s="21" t="n">
        <f aca="false">E1415+E1404-E1403</f>
        <v>12.8291344226877</v>
      </c>
      <c r="F1421" s="21" t="n">
        <f aca="false">F1415+F1404-F1403</f>
        <v>26.1540681220625</v>
      </c>
      <c r="G1421" s="21" t="n">
        <f aca="false">G1415+G1404-G1403</f>
        <v>37.31977762287</v>
      </c>
      <c r="H1421" s="30" t="n">
        <f aca="false">H1415+H1404-H1403</f>
        <v>44.7127026584011</v>
      </c>
      <c r="I1421" s="30" t="n">
        <f aca="false">I1415+I1404-I1403</f>
        <v>52.3817061917981</v>
      </c>
      <c r="J1421" s="30" t="n">
        <f aca="false">J1415+J1404-J1403</f>
        <v>60.0673032240261</v>
      </c>
      <c r="K1421" s="3" t="s">
        <v>643</v>
      </c>
    </row>
    <row r="1422" customFormat="false" ht="15" hidden="false" customHeight="false" outlineLevel="0" collapsed="false">
      <c r="A1422" s="3" t="s">
        <v>644</v>
      </c>
      <c r="B1422" s="0" t="s">
        <v>386</v>
      </c>
      <c r="E1422" s="18" t="n">
        <f aca="false">E1421/E1416</f>
        <v>7.82264294066326</v>
      </c>
      <c r="F1422" s="18" t="n">
        <f aca="false">F1421/F1416</f>
        <v>15.9476025134528</v>
      </c>
      <c r="G1422" s="18" t="n">
        <f aca="false">G1421/G1416</f>
        <v>22.7559619651646</v>
      </c>
      <c r="H1422" s="28" t="n">
        <f aca="false">H1421/H1416</f>
        <v>27.2638430843909</v>
      </c>
      <c r="I1422" s="28" t="n">
        <f aca="false">I1421/I1416</f>
        <v>31.9400647510964</v>
      </c>
      <c r="J1422" s="28" t="n">
        <f aca="false">J1421/J1416</f>
        <v>36.6264044048939</v>
      </c>
    </row>
    <row r="1425" customFormat="false" ht="17.15" hidden="false" customHeight="false" outlineLevel="0" collapsed="false">
      <c r="A1425" s="1" t="s">
        <v>969</v>
      </c>
    </row>
    <row r="1426" customFormat="false" ht="17.15" hidden="false" customHeight="false" outlineLevel="0" collapsed="false">
      <c r="A1426" s="4" t="s">
        <v>21</v>
      </c>
      <c r="B1426" s="4" t="s">
        <v>22</v>
      </c>
      <c r="C1426" s="13" t="s">
        <v>477</v>
      </c>
      <c r="D1426" s="13" t="s">
        <v>562</v>
      </c>
      <c r="E1426" s="13" t="s">
        <v>563</v>
      </c>
      <c r="F1426" s="13" t="s">
        <v>564</v>
      </c>
      <c r="G1426" s="13" t="s">
        <v>565</v>
      </c>
      <c r="H1426" s="13" t="s">
        <v>566</v>
      </c>
      <c r="I1426" s="13" t="s">
        <v>567</v>
      </c>
      <c r="J1426" s="13" t="s">
        <v>568</v>
      </c>
      <c r="K1426" s="4" t="s">
        <v>533</v>
      </c>
    </row>
    <row r="1427" customFormat="false" ht="17.15" hidden="false" customHeight="false" outlineLevel="0" collapsed="false">
      <c r="A1427" s="5" t="s">
        <v>586</v>
      </c>
    </row>
    <row r="1428" customFormat="false" ht="17.15" hidden="false" customHeight="false" outlineLevel="0" collapsed="false">
      <c r="A1428" s="0" t="s">
        <v>587</v>
      </c>
      <c r="B1428" s="3" t="s">
        <v>32</v>
      </c>
      <c r="D1428" s="21" t="n">
        <f aca="false">(u_bw_26+u_rb_26+u_ru_26+u_hp_26)*1</f>
        <v>7.6</v>
      </c>
      <c r="E1428" s="21" t="n">
        <f aca="false">(u_bw_27+u_rb_27+u_ru_27+u_hp_27)*1*1</f>
        <v>9.7</v>
      </c>
      <c r="F1428" s="21" t="n">
        <f aca="false">(u_bw_28+u_rb_28+u_ru_28+u_hp_28)*um28_A*1</f>
        <v>9.5</v>
      </c>
      <c r="G1428" s="21" t="n">
        <f aca="false">(u_bw_28*(1+g29_bw)+u_rb_28*(1+g29_rb)+u_ru_28*(1+g29_ru)+u_hp_28*(1+g29_hp))*um29_A*1</f>
        <v>10.6</v>
      </c>
      <c r="K1428" s="7" t="s">
        <v>588</v>
      </c>
    </row>
    <row r="1429" customFormat="false" ht="17.15" hidden="false" customHeight="false" outlineLevel="0" collapsed="false">
      <c r="A1429" s="3" t="s">
        <v>589</v>
      </c>
      <c r="B1429" s="3" t="s">
        <v>32</v>
      </c>
      <c r="D1429" s="21" t="n">
        <f aca="false">(u_amd_26+u_tpu_26+u_trn_26+u_oth_26)*1</f>
        <v>7.6</v>
      </c>
      <c r="E1429" s="21" t="n">
        <f aca="false">(u_amd_27+u_tpu_27+u_trn_27+u_oth_27)*1*1</f>
        <v>14</v>
      </c>
      <c r="F1429" s="21" t="n">
        <f aca="false">(u_amd_28+u_tpu_28+u_trn_28+u_oth_28)*um28_A*1</f>
        <v>17</v>
      </c>
      <c r="G1429" s="21" t="n">
        <f aca="false">(u_amd_28*(1+g29_amd)+u_tpu_28*(1+g29_tpu)+u_trn_28*(1+g29_trn)+u_oth_28*(1+g29_oth))*um29_A*1</f>
        <v>19.55</v>
      </c>
      <c r="K1429" s="7" t="s">
        <v>590</v>
      </c>
    </row>
    <row r="1430" customFormat="false" ht="17.15" hidden="false" customHeight="false" outlineLevel="0" collapsed="false">
      <c r="A1430" s="3" t="s">
        <v>591</v>
      </c>
      <c r="B1430" s="0" t="s">
        <v>144</v>
      </c>
      <c r="D1430" s="19" t="n">
        <f aca="false">1</f>
        <v>1</v>
      </c>
      <c r="E1430" s="19" t="n">
        <f aca="false">D1430*(1+g_asp)</f>
        <v>1.18</v>
      </c>
      <c r="F1430" s="19" t="n">
        <f aca="false">E1430*(1+g_asp)</f>
        <v>1.3924</v>
      </c>
      <c r="G1430" s="19" t="n">
        <f aca="false">F1430*(1+g_asp)</f>
        <v>1.643032</v>
      </c>
      <c r="K1430" s="7" t="s">
        <v>592</v>
      </c>
    </row>
    <row r="1431" customFormat="false" ht="17.15" hidden="false" customHeight="false" outlineLevel="0" collapsed="false">
      <c r="A1431" s="0" t="s">
        <v>593</v>
      </c>
      <c r="B1431" s="0" t="s">
        <v>144</v>
      </c>
      <c r="D1431" s="18" t="n">
        <f aca="false">1</f>
        <v>1</v>
      </c>
      <c r="E1431" s="18" t="n">
        <f aca="false">ibpp_27</f>
        <v>1</v>
      </c>
      <c r="F1431" s="18" t="n">
        <f aca="false">ibpp_28</f>
        <v>0.95</v>
      </c>
      <c r="G1431" s="18" t="n">
        <f aca="false">ibpp_29</f>
        <v>0.9</v>
      </c>
      <c r="K1431" s="7" t="s">
        <v>594</v>
      </c>
    </row>
    <row r="1432" customFormat="false" ht="17.15" hidden="false" customHeight="false" outlineLevel="0" collapsed="false">
      <c r="A1432" s="3" t="s">
        <v>595</v>
      </c>
      <c r="B1432" s="0" t="s">
        <v>144</v>
      </c>
      <c r="D1432" s="18" t="n">
        <f aca="false">1</f>
        <v>1</v>
      </c>
      <c r="E1432" s="18" t="n">
        <f aca="false">1+carry</f>
        <v>1.05</v>
      </c>
      <c r="F1432" s="18" t="n">
        <f aca="false">1+carry</f>
        <v>1.05</v>
      </c>
      <c r="G1432" s="18" t="n">
        <f aca="false">1+carry</f>
        <v>1.05</v>
      </c>
      <c r="K1432" s="7" t="s">
        <v>596</v>
      </c>
    </row>
    <row r="1433" customFormat="false" ht="17.15" hidden="false" customHeight="false" outlineLevel="0" collapsed="false">
      <c r="A1433" s="3" t="s">
        <v>597</v>
      </c>
      <c r="B1433" s="0" t="s">
        <v>598</v>
      </c>
      <c r="D1433" s="23" t="n">
        <f aca="false">v26*D1430*D1431</f>
        <v>215.308596</v>
      </c>
      <c r="E1433" s="23" t="n">
        <f aca="false">v26*E1430*E1431</f>
        <v>254.06414328</v>
      </c>
      <c r="F1433" s="23" t="n">
        <f aca="false">v26*F1430*F1431</f>
        <v>284.80590461688</v>
      </c>
      <c r="G1433" s="23" t="n">
        <f aca="false">v26*G1430*G1431</f>
        <v>318.383021792765</v>
      </c>
      <c r="K1433" s="7" t="s">
        <v>599</v>
      </c>
    </row>
    <row r="1434" customFormat="false" ht="17.15" hidden="false" customHeight="false" outlineLevel="0" collapsed="false">
      <c r="A1434" s="3" t="s">
        <v>600</v>
      </c>
      <c r="B1434" s="0" t="s">
        <v>44</v>
      </c>
      <c r="D1434" s="20" t="n">
        <f aca="false">sh_nv_26</f>
        <v>0.25</v>
      </c>
      <c r="E1434" s="20" t="n">
        <f aca="false">sh_nv_27</f>
        <v>0.27</v>
      </c>
      <c r="F1434" s="20" t="n">
        <f aca="false">sh_nv_28</f>
        <v>0.29</v>
      </c>
      <c r="G1434" s="20" t="n">
        <f aca="false">sh_nv_29</f>
        <v>0.3</v>
      </c>
    </row>
    <row r="1435" customFormat="false" ht="17.15" hidden="false" customHeight="false" outlineLevel="0" collapsed="false">
      <c r="A1435" s="3" t="s">
        <v>601</v>
      </c>
      <c r="B1435" s="0" t="s">
        <v>44</v>
      </c>
      <c r="D1435" s="20" t="n">
        <f aca="false">sh_ot_26</f>
        <v>0.3</v>
      </c>
      <c r="E1435" s="20" t="n">
        <f aca="false">sh_ot_27</f>
        <v>0.31</v>
      </c>
      <c r="F1435" s="20" t="n">
        <f aca="false">sh_ot_28</f>
        <v>0.32</v>
      </c>
      <c r="G1435" s="20" t="n">
        <f aca="false">sh_ot_29</f>
        <v>0.33</v>
      </c>
    </row>
    <row r="1436" customFormat="false" ht="17.15" hidden="false" customHeight="false" outlineLevel="0" collapsed="false">
      <c r="A1436" s="3" t="s">
        <v>602</v>
      </c>
      <c r="B1436" s="0" t="s">
        <v>552</v>
      </c>
      <c r="D1436" s="22" t="n">
        <f aca="false">(D1428*D1433*D1434+D1429*D1433*v_ot*D1435)*D1432</f>
        <v>801.809211504</v>
      </c>
      <c r="E1436" s="22" t="n">
        <f aca="false">(E1428*E1433*E1434+E1429*E1433*v_ot*E1435)*E1432</f>
        <v>1624.8799315544</v>
      </c>
      <c r="F1436" s="22" t="n">
        <f aca="false">(F1428*F1433*F1434+F1429*F1433*v_ot*F1435)*F1432</f>
        <v>2125.32134231777</v>
      </c>
      <c r="G1436" s="22" t="n">
        <f aca="false">(G1428*G1433*G1434+G1429*G1433*v_ot*G1435)*G1432</f>
        <v>2788.4812844467</v>
      </c>
    </row>
    <row r="1437" customFormat="false" ht="15" hidden="false" customHeight="false" outlineLevel="0" collapsed="false">
      <c r="A1437" s="3" t="s">
        <v>603</v>
      </c>
      <c r="B1437" s="0" t="s">
        <v>302</v>
      </c>
      <c r="D1437" s="21" t="n">
        <f aca="false">D1436*fx/1000</f>
        <v>26.05879937388</v>
      </c>
      <c r="E1437" s="21" t="n">
        <f aca="false">E1436*fx/1000</f>
        <v>52.8085977755181</v>
      </c>
      <c r="F1437" s="21" t="n">
        <f aca="false">F1436*fx/1000</f>
        <v>69.0729436253277</v>
      </c>
      <c r="G1437" s="21" t="n">
        <f aca="false">G1436*fx/1000</f>
        <v>90.6256417445177</v>
      </c>
    </row>
    <row r="1438" customFormat="false" ht="17.15" hidden="false" customHeight="false" outlineLevel="0" collapsed="false">
      <c r="A1438" s="5" t="s">
        <v>604</v>
      </c>
    </row>
    <row r="1439" customFormat="false" ht="17.15" hidden="false" customHeight="false" outlineLevel="0" collapsed="false">
      <c r="A1439" s="0" t="s">
        <v>605</v>
      </c>
      <c r="B1439" s="0" t="s">
        <v>302</v>
      </c>
      <c r="D1439" s="21" t="n">
        <f aca="false">a26_abf*ai_abf</f>
        <v>74.83672875</v>
      </c>
      <c r="K1439" s="3" t="s">
        <v>606</v>
      </c>
    </row>
    <row r="1440" customFormat="false" ht="17.15" hidden="false" customHeight="false" outlineLevel="0" collapsed="false">
      <c r="A1440" s="3" t="s">
        <v>607</v>
      </c>
      <c r="B1440" s="0" t="s">
        <v>302</v>
      </c>
      <c r="D1440" s="21" t="n">
        <f aca="false">D1439-D1437</f>
        <v>48.77792937612</v>
      </c>
      <c r="E1440" s="21" t="n">
        <f aca="false">$D1440*(itc_27/itc_26)^el_o*1*1*E1431*E1432</f>
        <v>72.4686721045733</v>
      </c>
      <c r="F1440" s="21" t="n">
        <f aca="false">$D1440*(itc_28/itc_26)^el_o*um28_A*1*F1431*F1432</f>
        <v>77.5118128697435</v>
      </c>
      <c r="G1440" s="21" t="n">
        <f aca="false">$D1440*(itc_29/itc_26)^el_o*um29_A*1*G1431*G1432</f>
        <v>78.3752247962621</v>
      </c>
      <c r="K1440" s="7" t="s">
        <v>608</v>
      </c>
    </row>
    <row r="1441" customFormat="false" ht="17.15" hidden="false" customHeight="false" outlineLevel="0" collapsed="false">
      <c r="A1441" s="3" t="s">
        <v>609</v>
      </c>
      <c r="B1441" s="0" t="s">
        <v>302</v>
      </c>
      <c r="D1441" s="21" t="n">
        <f aca="false">a26_abf-D1439</f>
        <v>24.94557625</v>
      </c>
      <c r="E1441" s="21" t="n">
        <f aca="false">D1441*(1+g_nai)</f>
        <v>25.6939435375</v>
      </c>
      <c r="F1441" s="21" t="n">
        <f aca="false">E1441*(1+g_nai)</f>
        <v>26.464761843625</v>
      </c>
      <c r="G1441" s="21" t="n">
        <f aca="false">F1441*(1+g_nai)</f>
        <v>27.2587046989338</v>
      </c>
    </row>
    <row r="1442" customFormat="false" ht="17.15" hidden="false" customHeight="false" outlineLevel="0" collapsed="false">
      <c r="A1442" s="0" t="s">
        <v>610</v>
      </c>
      <c r="B1442" s="0" t="s">
        <v>302</v>
      </c>
      <c r="D1442" s="21" t="n">
        <f aca="false">D1437+D1440+D1441</f>
        <v>99.782305</v>
      </c>
      <c r="E1442" s="21" t="n">
        <f aca="false">E1437+E1440+E1441</f>
        <v>150.971213417591</v>
      </c>
      <c r="F1442" s="21" t="n">
        <f aca="false">F1437+F1440+F1441</f>
        <v>173.049518338696</v>
      </c>
      <c r="G1442" s="21" t="n">
        <f aca="false">G1437+G1440+G1441</f>
        <v>196.259571239714</v>
      </c>
    </row>
    <row r="1443" customFormat="false" ht="17.15" hidden="false" customHeight="false" outlineLevel="0" collapsed="false">
      <c r="A1443" s="0" t="s">
        <v>611</v>
      </c>
      <c r="B1443" s="0" t="s">
        <v>302</v>
      </c>
      <c r="D1443" s="21" t="n">
        <f aca="false">a26_abf</f>
        <v>99.782305</v>
      </c>
      <c r="E1443" s="21" t="n">
        <f aca="false">$D1442*cap_27*(1+g_mix)^1*E1431*E1432</f>
        <v>148.513488204375</v>
      </c>
      <c r="F1443" s="21" t="n">
        <f aca="false">$D1442*cap_28*(1+g_mix)^2*F1431*F1432</f>
        <v>186.549442683384</v>
      </c>
      <c r="G1443" s="21" t="n">
        <f aca="false">$D1442*cap_29*(1+g_mix)^3*G1431*G1432</f>
        <v>218.314827660431</v>
      </c>
      <c r="K1443" s="7" t="s">
        <v>612</v>
      </c>
    </row>
    <row r="1444" customFormat="false" ht="17.15" hidden="false" customHeight="false" outlineLevel="0" collapsed="false">
      <c r="A1444" s="0" t="s">
        <v>613</v>
      </c>
      <c r="B1444" s="0" t="s">
        <v>302</v>
      </c>
      <c r="D1444" s="21" t="n">
        <f aca="false">a26_abf</f>
        <v>99.782305</v>
      </c>
      <c r="E1444" s="21" t="n">
        <f aca="false">MIN(E1442,E1443)</f>
        <v>148.513488204375</v>
      </c>
      <c r="F1444" s="21" t="n">
        <f aca="false">MIN(F1442,F1443)</f>
        <v>173.049518338696</v>
      </c>
      <c r="G1444" s="21" t="n">
        <f aca="false">MIN(G1442,G1443)</f>
        <v>196.259571239714</v>
      </c>
    </row>
    <row r="1445" customFormat="false" ht="17.15" hidden="false" customHeight="false" outlineLevel="0" collapsed="false">
      <c r="A1445" s="3" t="s">
        <v>614</v>
      </c>
      <c r="B1445" s="0" t="s">
        <v>44</v>
      </c>
      <c r="D1445" s="20" t="n">
        <f aca="false">D1444/D1442</f>
        <v>1</v>
      </c>
      <c r="E1445" s="20" t="n">
        <f aca="false">E1444/E1442</f>
        <v>0.983720570580444</v>
      </c>
      <c r="F1445" s="20" t="n">
        <f aca="false">F1444/F1442</f>
        <v>1</v>
      </c>
      <c r="G1445" s="20" t="n">
        <f aca="false">G1444/G1442</f>
        <v>1</v>
      </c>
    </row>
    <row r="1446" customFormat="false" ht="17.15" hidden="false" customHeight="false" outlineLevel="0" collapsed="false">
      <c r="A1446" s="0" t="s">
        <v>615</v>
      </c>
      <c r="B1446" s="0" t="s">
        <v>302</v>
      </c>
      <c r="D1446" s="21" t="n">
        <f aca="false">(D1437+D1440)*D1445</f>
        <v>74.83672875</v>
      </c>
      <c r="E1446" s="21" t="n">
        <f aca="false">(E1437+E1440)*E1445</f>
        <v>123.237827407204</v>
      </c>
      <c r="F1446" s="21" t="n">
        <f aca="false">(F1437+F1440)*F1445</f>
        <v>146.584756495071</v>
      </c>
      <c r="G1446" s="21" t="n">
        <f aca="false">(G1437+G1440)*G1445</f>
        <v>169.00086654078</v>
      </c>
    </row>
    <row r="1447" customFormat="false" ht="17.15" hidden="false" customHeight="false" outlineLevel="0" collapsed="false">
      <c r="A1447" s="3" t="s">
        <v>616</v>
      </c>
      <c r="B1447" s="0" t="s">
        <v>44</v>
      </c>
      <c r="D1447" s="20" t="n">
        <f aca="false">D1437/(D1437+D1440)</f>
        <v>0.348208691228771</v>
      </c>
      <c r="E1447" s="20" t="n">
        <f aca="false">E1437/(E1437+E1440)</f>
        <v>0.421533753298293</v>
      </c>
      <c r="F1447" s="20" t="n">
        <f aca="false">F1437/(F1437+F1440)</f>
        <v>0.471215051802813</v>
      </c>
      <c r="G1447" s="20" t="n">
        <f aca="false">G1437/(G1437+G1440)</f>
        <v>0.536243651287136</v>
      </c>
    </row>
    <row r="1448" customFormat="false" ht="17.15" hidden="false" customHeight="false" outlineLevel="0" collapsed="false">
      <c r="A1448" s="5" t="s">
        <v>617</v>
      </c>
    </row>
    <row r="1449" customFormat="false" ht="17.15" hidden="false" customHeight="false" outlineLevel="0" collapsed="false">
      <c r="A1449" s="0" t="s">
        <v>519</v>
      </c>
      <c r="B1449" s="0" t="s">
        <v>302</v>
      </c>
      <c r="D1449" s="21" t="n">
        <f aca="false">a26_bt</f>
        <v>16.944165</v>
      </c>
      <c r="E1449" s="21" t="n">
        <f aca="false">D1449*(1+g_bt)</f>
        <v>17.79137325</v>
      </c>
      <c r="F1449" s="21" t="n">
        <f aca="false">E1449*(1+g_bt)</f>
        <v>18.6809419125</v>
      </c>
      <c r="G1449" s="21" t="n">
        <f aca="false">F1449*(1+g_bt)</f>
        <v>19.614989008125</v>
      </c>
    </row>
    <row r="1450" customFormat="false" ht="17.15" hidden="false" customHeight="false" outlineLevel="0" collapsed="false">
      <c r="A1450" s="0" t="s">
        <v>618</v>
      </c>
      <c r="B1450" s="0" t="s">
        <v>302</v>
      </c>
      <c r="D1450" s="21" t="n">
        <f aca="false">a26_pcb*ai_pcb</f>
        <v>37.93610275</v>
      </c>
      <c r="E1450" s="21" t="n">
        <f aca="false">D1450*(1+g_pai_27)</f>
        <v>45.5233233</v>
      </c>
      <c r="F1450" s="21" t="n">
        <f aca="false">D1450*(1+g_pai_27)*(1+g_pai_28)*um28_A</f>
        <v>52.351821795</v>
      </c>
      <c r="G1450" s="21" t="n">
        <f aca="false">D1450*(1+g_pai_27)*(1+g_pai_28)*(1+g_pai_29)*um29_A</f>
        <v>57.5870039745</v>
      </c>
      <c r="K1450" s="3" t="s">
        <v>619</v>
      </c>
    </row>
    <row r="1451" customFormat="false" ht="17.15" hidden="false" customHeight="false" outlineLevel="0" collapsed="false">
      <c r="A1451" s="3" t="s">
        <v>620</v>
      </c>
      <c r="B1451" s="0" t="s">
        <v>302</v>
      </c>
      <c r="D1451" s="21" t="n">
        <f aca="false">a26_pcb*(1-ai_pcb)</f>
        <v>20.42713225</v>
      </c>
      <c r="E1451" s="21" t="n">
        <f aca="false">D1451*(1+g_pcbn)</f>
        <v>20.835674895</v>
      </c>
      <c r="F1451" s="21" t="n">
        <f aca="false">E1451*(1+g_pcbn)</f>
        <v>21.2523883929</v>
      </c>
      <c r="G1451" s="21" t="n">
        <f aca="false">F1451*(1+g_pcbn)</f>
        <v>21.677436160758</v>
      </c>
    </row>
    <row r="1452" customFormat="false" ht="15" hidden="false" customHeight="false" outlineLevel="0" collapsed="false">
      <c r="A1452" s="3" t="s">
        <v>521</v>
      </c>
      <c r="B1452" s="0" t="s">
        <v>302</v>
      </c>
      <c r="D1452" s="21" t="n">
        <f aca="false">a26_fpc</f>
        <v>13.178795</v>
      </c>
      <c r="E1452" s="21" t="n">
        <f aca="false">D1452*(1+g_fpc)</f>
        <v>13.178795</v>
      </c>
      <c r="F1452" s="21" t="n">
        <f aca="false">E1452*(1+g_fpc)</f>
        <v>13.178795</v>
      </c>
      <c r="G1452" s="21" t="n">
        <f aca="false">F1452*(1+g_fpc)</f>
        <v>13.178795</v>
      </c>
    </row>
    <row r="1453" customFormat="false" ht="17.15" hidden="false" customHeight="false" outlineLevel="0" collapsed="false">
      <c r="A1453" s="3" t="s">
        <v>484</v>
      </c>
      <c r="B1453" s="0" t="s">
        <v>302</v>
      </c>
      <c r="C1453" s="23" t="n">
        <f aca="false">a25_rev</f>
        <v>131.241</v>
      </c>
      <c r="D1453" s="23" t="n">
        <f aca="false">D1444+D1449+D1450+D1451+D1452</f>
        <v>188.2685</v>
      </c>
      <c r="E1453" s="23" t="n">
        <f aca="false">E1444+E1449+E1450+E1451+E1452</f>
        <v>245.842654649375</v>
      </c>
      <c r="F1453" s="23" t="n">
        <f aca="false">F1444+F1449+F1450+F1451+F1452</f>
        <v>278.513465439096</v>
      </c>
      <c r="G1453" s="23" t="n">
        <f aca="false">G1444+G1449+G1450+G1451+G1452</f>
        <v>308.317795383097</v>
      </c>
      <c r="H1453" s="25" t="n">
        <f aca="false">G1453*(1+H1454)</f>
        <v>336.479988575722</v>
      </c>
      <c r="I1453" s="25" t="n">
        <f aca="false">H1453*(1+I1454)</f>
        <v>361.941672550702</v>
      </c>
      <c r="J1453" s="25" t="n">
        <f aca="false">I1453*(1+J1454)</f>
        <v>383.658172903744</v>
      </c>
      <c r="K1453" s="7" t="s">
        <v>621</v>
      </c>
    </row>
    <row r="1454" customFormat="false" ht="15" hidden="false" customHeight="false" outlineLevel="0" collapsed="false">
      <c r="A1454" s="3" t="s">
        <v>622</v>
      </c>
      <c r="B1454" s="0" t="s">
        <v>44</v>
      </c>
      <c r="D1454" s="20" t="n">
        <f aca="false">D1453/C1453-1</f>
        <v>0.434525034097576</v>
      </c>
      <c r="E1454" s="20" t="n">
        <f aca="false">E1453/D1453-1</f>
        <v>0.30580875</v>
      </c>
      <c r="F1454" s="20" t="n">
        <f aca="false">F1453/E1453-1</f>
        <v>0.132893174442478</v>
      </c>
      <c r="G1454" s="20" t="n">
        <f aca="false">G1453/F1453-1</f>
        <v>0.107012168682803</v>
      </c>
      <c r="H1454" s="26" t="n">
        <f aca="false">$G1454+(fade_gA-$G1454)*1/3</f>
        <v>0.091341445788535</v>
      </c>
      <c r="I1454" s="26" t="n">
        <f aca="false">$G1454+(fade_gA-$G1454)*2/3</f>
        <v>0.0756707228942675</v>
      </c>
      <c r="J1454" s="26" t="n">
        <f aca="false">$G1454+(fade_gA-$G1454)*3/3</f>
        <v>0.06</v>
      </c>
    </row>
    <row r="1455" customFormat="false" ht="17.15" hidden="false" customHeight="false" outlineLevel="0" collapsed="false">
      <c r="A1455" s="0" t="s">
        <v>623</v>
      </c>
      <c r="B1455" s="0" t="s">
        <v>44</v>
      </c>
      <c r="D1455" s="20" t="n">
        <f aca="false">D1444/D1453</f>
        <v>0.53</v>
      </c>
      <c r="E1455" s="20" t="n">
        <f aca="false">E1444/E1453</f>
        <v>0.604099758100105</v>
      </c>
      <c r="F1455" s="20" t="n">
        <f aca="false">F1444/F1453</f>
        <v>0.62133268158461</v>
      </c>
      <c r="G1455" s="20" t="n">
        <f aca="false">G1444/G1453</f>
        <v>0.636549606213464</v>
      </c>
    </row>
    <row r="1456" customFormat="false" ht="17.15" hidden="false" customHeight="false" outlineLevel="0" collapsed="false">
      <c r="A1456" s="0" t="s">
        <v>624</v>
      </c>
      <c r="B1456" s="0" t="s">
        <v>44</v>
      </c>
      <c r="D1456" s="20" t="n">
        <f aca="false">(D1446+D1450)/D1453</f>
        <v>0.599</v>
      </c>
      <c r="E1456" s="20" t="n">
        <f aca="false">(E1446+E1450)/E1453</f>
        <v>0.68646000812143</v>
      </c>
      <c r="F1456" s="20" t="n">
        <f aca="false">(F1446+F1450)/F1453</f>
        <v>0.714279928894761</v>
      </c>
      <c r="G1456" s="20" t="n">
        <f aca="false">(G1446+G1450)/G1453</f>
        <v>0.734916614961312</v>
      </c>
      <c r="K1456" s="3" t="s">
        <v>625</v>
      </c>
    </row>
    <row r="1457" customFormat="false" ht="17.15" hidden="false" customHeight="false" outlineLevel="0" collapsed="false">
      <c r="A1457" s="5" t="s">
        <v>626</v>
      </c>
    </row>
    <row r="1458" customFormat="false" ht="15" hidden="false" customHeight="false" outlineLevel="0" collapsed="false">
      <c r="A1458" s="3" t="s">
        <v>627</v>
      </c>
      <c r="B1458" s="0" t="s">
        <v>302</v>
      </c>
      <c r="C1458" s="23" t="n">
        <f aca="false">a25_cx</f>
        <v>25.617</v>
      </c>
      <c r="D1458" s="23" t="n">
        <f aca="false">capex26</f>
        <v>53.7</v>
      </c>
      <c r="E1458" s="23" t="n">
        <f aca="false">cx27_A</f>
        <v>55</v>
      </c>
      <c r="F1458" s="23" t="n">
        <f aca="false">cx28_A</f>
        <v>50</v>
      </c>
      <c r="G1458" s="23" t="n">
        <f aca="false">cx29_A</f>
        <v>45</v>
      </c>
      <c r="H1458" s="25" t="n">
        <f aca="false">H1453*H1475</f>
        <v>46.0773449344368</v>
      </c>
      <c r="I1458" s="25" t="n">
        <f aca="false">I1453*I1475</f>
        <v>46.301519983136</v>
      </c>
      <c r="J1458" s="25" t="n">
        <f aca="false">J1453*J1475</f>
        <v>45.6213283734937</v>
      </c>
    </row>
    <row r="1459" customFormat="false" ht="17.15" hidden="false" customHeight="false" outlineLevel="0" collapsed="false">
      <c r="A1459" s="3" t="s">
        <v>628</v>
      </c>
      <c r="B1459" s="0" t="s">
        <v>302</v>
      </c>
      <c r="C1459" s="23" t="n">
        <f aca="false">a25_da</f>
        <v>18.8</v>
      </c>
      <c r="D1459" s="23" t="n">
        <f aca="false">da26</f>
        <v>20.8</v>
      </c>
      <c r="E1459" s="23" t="n">
        <f aca="false">D1459*(1-1/life)+D1458/life</f>
        <v>24.9125</v>
      </c>
      <c r="F1459" s="23" t="n">
        <f aca="false">E1459*(1-1/life)+E1458/life</f>
        <v>28.6734375</v>
      </c>
      <c r="G1459" s="23" t="n">
        <f aca="false">F1459*(1-1/life)+F1458/life</f>
        <v>31.3392578125</v>
      </c>
      <c r="H1459" s="25" t="n">
        <f aca="false">H1453*H1460</f>
        <v>34.2018309310334</v>
      </c>
      <c r="I1459" s="25" t="n">
        <f aca="false">I1453*I1460</f>
        <v>36.7899082018922</v>
      </c>
      <c r="J1459" s="25" t="n">
        <f aca="false">J1453*J1460</f>
        <v>38.9973026940057</v>
      </c>
      <c r="K1459" s="3" t="s">
        <v>629</v>
      </c>
    </row>
    <row r="1460" customFormat="false" ht="17.15" hidden="false" customHeight="false" outlineLevel="0" collapsed="false">
      <c r="A1460" s="3" t="s">
        <v>630</v>
      </c>
      <c r="B1460" s="0" t="s">
        <v>44</v>
      </c>
      <c r="C1460" s="20" t="n">
        <f aca="false">C1459/C1453</f>
        <v>0.143247917952469</v>
      </c>
      <c r="D1460" s="20" t="n">
        <f aca="false">D1459/D1453</f>
        <v>0.110480510547436</v>
      </c>
      <c r="E1460" s="20" t="n">
        <f aca="false">E1459/E1453</f>
        <v>0.101335140704247</v>
      </c>
      <c r="F1460" s="20" t="n">
        <f aca="false">F1459/F1453</f>
        <v>0.102951709910307</v>
      </c>
      <c r="G1460" s="20" t="n">
        <f aca="false">G1459/G1453</f>
        <v>0.101645958429223</v>
      </c>
      <c r="H1460" s="26" t="n">
        <f aca="false">$G1460</f>
        <v>0.101645958429223</v>
      </c>
      <c r="I1460" s="26" t="n">
        <f aca="false">$G1460</f>
        <v>0.101645958429223</v>
      </c>
      <c r="J1460" s="26" t="n">
        <f aca="false">$G1460</f>
        <v>0.101645958429223</v>
      </c>
    </row>
    <row r="1461" customFormat="false" ht="17.15" hidden="false" customHeight="false" outlineLevel="0" collapsed="false">
      <c r="A1461" s="3" t="s">
        <v>631</v>
      </c>
      <c r="B1461" s="0" t="s">
        <v>302</v>
      </c>
      <c r="E1461" s="21" t="n">
        <f aca="false">E1446*(1-1/(E1431*E1432))</f>
        <v>5.86846797177161</v>
      </c>
      <c r="F1461" s="21" t="n">
        <f aca="false">F1446*(1-1/(F1431*F1432))</f>
        <v>-0.367380342092935</v>
      </c>
      <c r="G1461" s="21" t="n">
        <f aca="false">G1446*(1-1/(G1431*G1432))</f>
        <v>-9.83602926956918</v>
      </c>
      <c r="K1461" s="7" t="s">
        <v>632</v>
      </c>
    </row>
    <row r="1462" customFormat="false" ht="17.15" hidden="false" customHeight="false" outlineLevel="0" collapsed="false">
      <c r="A1462" s="3" t="s">
        <v>633</v>
      </c>
      <c r="B1462" s="0" t="s">
        <v>302</v>
      </c>
      <c r="C1462" s="21" t="n">
        <f aca="false">a25_gp</f>
        <v>18.292</v>
      </c>
      <c r="D1462" s="21" t="n">
        <f aca="false">a26_gp</f>
        <v>47.3329657</v>
      </c>
      <c r="E1462" s="21" t="n">
        <f aca="false">$D1462+ft_abf*(E1444-E1461-$D1444)+ft_oth*((E1453-E1444)-($D1453-$D1444))+E1461-(E1459-$D1459)</f>
        <v>72.7310341493233</v>
      </c>
      <c r="F1462" s="21" t="n">
        <f aca="false">$D1462+ft_abf*(F1444-F1461-$D1444)+ft_oth*((F1453-F1444)-($D1453-$D1444))+F1461-(F1459-$D1459)</f>
        <v>80.1538827234016</v>
      </c>
      <c r="G1462" s="21" t="n">
        <f aca="false">$D1462+ft_abf*(G1444-G1461-$D1444)+ft_oth*((G1453-G1444)-($D1453-$D1444))+G1461-(G1459-$D1459)</f>
        <v>86.0073336584179</v>
      </c>
      <c r="K1462" s="3" t="s">
        <v>634</v>
      </c>
    </row>
    <row r="1463" customFormat="false" ht="15" hidden="false" customHeight="false" outlineLevel="0" collapsed="false">
      <c r="A1463" s="3" t="s">
        <v>491</v>
      </c>
      <c r="B1463" s="0" t="s">
        <v>44</v>
      </c>
      <c r="C1463" s="16" t="n">
        <f aca="false">C1462/C1453</f>
        <v>0.139377176339711</v>
      </c>
      <c r="D1463" s="16" t="n">
        <f aca="false">D1462/D1453</f>
        <v>0.251412029627899</v>
      </c>
      <c r="E1463" s="16" t="n">
        <f aca="false">E1462/E1453</f>
        <v>0.295843836591553</v>
      </c>
      <c r="F1463" s="16" t="n">
        <f aca="false">F1462/F1453</f>
        <v>0.287791768333475</v>
      </c>
      <c r="G1463" s="16" t="n">
        <f aca="false">G1462/G1453</f>
        <v>0.278956761323331</v>
      </c>
    </row>
    <row r="1464" customFormat="false" ht="15" hidden="false" customHeight="false" outlineLevel="0" collapsed="false">
      <c r="A1464" s="3" t="s">
        <v>493</v>
      </c>
      <c r="B1464" s="0" t="s">
        <v>302</v>
      </c>
      <c r="C1464" s="21" t="n">
        <f aca="false">a25_opx</f>
        <v>11.618</v>
      </c>
      <c r="D1464" s="21" t="n">
        <f aca="false">a26_opx</f>
        <v>16.6539532</v>
      </c>
      <c r="E1464" s="21" t="n">
        <f aca="false">D1464*(1+phi*E1454)</f>
        <v>19.7097079663903</v>
      </c>
      <c r="F1464" s="21" t="n">
        <f aca="false">E1464*(1+phi*F1454)</f>
        <v>21.281279361783</v>
      </c>
      <c r="G1464" s="21" t="n">
        <f aca="false">F1464*(1+phi*G1454)</f>
        <v>22.6476928758924</v>
      </c>
    </row>
    <row r="1465" customFormat="false" ht="15" hidden="false" customHeight="false" outlineLevel="0" collapsed="false">
      <c r="A1465" s="3" t="s">
        <v>496</v>
      </c>
      <c r="B1465" s="0" t="s">
        <v>302</v>
      </c>
      <c r="C1465" s="21" t="n">
        <f aca="false">C1462-C1464</f>
        <v>6.674</v>
      </c>
      <c r="D1465" s="21" t="n">
        <f aca="false">D1462-D1464</f>
        <v>30.6790125</v>
      </c>
      <c r="E1465" s="21" t="n">
        <f aca="false">E1462-E1464</f>
        <v>53.021326182933</v>
      </c>
      <c r="F1465" s="21" t="n">
        <f aca="false">F1462-F1464</f>
        <v>58.8726033616186</v>
      </c>
      <c r="G1465" s="21" t="n">
        <f aca="false">G1462-G1464</f>
        <v>63.3596407825256</v>
      </c>
    </row>
    <row r="1466" customFormat="false" ht="15" hidden="false" customHeight="false" outlineLevel="0" collapsed="false">
      <c r="A1466" s="3" t="s">
        <v>575</v>
      </c>
      <c r="B1466" s="0" t="s">
        <v>44</v>
      </c>
      <c r="C1466" s="16" t="n">
        <f aca="false">C1465/C1453</f>
        <v>0.0508530108731265</v>
      </c>
      <c r="D1466" s="16" t="n">
        <f aca="false">D1465/D1453</f>
        <v>0.162953507888999</v>
      </c>
      <c r="E1466" s="16" t="n">
        <f aca="false">E1465/E1453</f>
        <v>0.215671793239269</v>
      </c>
      <c r="F1466" s="16" t="n">
        <f aca="false">F1465/F1453</f>
        <v>0.211381533272734</v>
      </c>
      <c r="G1466" s="16" t="n">
        <f aca="false">G1465/G1453</f>
        <v>0.205501082750669</v>
      </c>
    </row>
    <row r="1467" customFormat="false" ht="17.15" hidden="false" customHeight="false" outlineLevel="0" collapsed="false">
      <c r="A1467" s="3" t="s">
        <v>635</v>
      </c>
      <c r="B1467" s="0" t="s">
        <v>302</v>
      </c>
      <c r="C1467" s="21" t="n">
        <f aca="false">a25_nonop</f>
        <v>-0.00100000000000033</v>
      </c>
      <c r="D1467" s="21" t="n">
        <f aca="false">a26_nonop</f>
        <v>14.466</v>
      </c>
      <c r="E1467" s="21" t="n">
        <f aca="false">nonop27_lo</f>
        <v>0</v>
      </c>
      <c r="F1467" s="21" t="n">
        <f aca="false">nonop28_lo</f>
        <v>0</v>
      </c>
      <c r="G1467" s="21" t="n">
        <f aca="false">nonop29_lo</f>
        <v>0</v>
      </c>
      <c r="K1467" s="7" t="s">
        <v>636</v>
      </c>
    </row>
    <row r="1468" customFormat="false" ht="15" hidden="false" customHeight="false" outlineLevel="0" collapsed="false">
      <c r="A1468" s="3" t="s">
        <v>502</v>
      </c>
      <c r="B1468" s="0" t="s">
        <v>302</v>
      </c>
      <c r="C1468" s="21" t="n">
        <f aca="false">C1465+C1467</f>
        <v>6.673</v>
      </c>
      <c r="D1468" s="21" t="n">
        <f aca="false">D1465+D1467</f>
        <v>45.1450125</v>
      </c>
      <c r="E1468" s="21" t="n">
        <f aca="false">E1465+E1467</f>
        <v>53.021326182933</v>
      </c>
      <c r="F1468" s="21" t="n">
        <f aca="false">F1465+F1467</f>
        <v>58.8726033616186</v>
      </c>
      <c r="G1468" s="21" t="n">
        <f aca="false">G1465+G1467</f>
        <v>63.3596407825256</v>
      </c>
    </row>
    <row r="1469" customFormat="false" ht="15" hidden="false" customHeight="false" outlineLevel="0" collapsed="false">
      <c r="A1469" s="3" t="s">
        <v>506</v>
      </c>
      <c r="B1469" s="0" t="s">
        <v>302</v>
      </c>
      <c r="E1469" s="21" t="n">
        <f aca="false">E1468*tax</f>
        <v>9.54383871292794</v>
      </c>
      <c r="F1469" s="21" t="n">
        <f aca="false">F1468*tax</f>
        <v>10.5970686050914</v>
      </c>
      <c r="G1469" s="21" t="n">
        <f aca="false">G1468*tax</f>
        <v>11.4047353408546</v>
      </c>
    </row>
    <row r="1470" customFormat="false" ht="15" hidden="false" customHeight="false" outlineLevel="0" collapsed="false">
      <c r="A1470" s="3" t="s">
        <v>504</v>
      </c>
      <c r="B1470" s="0" t="s">
        <v>302</v>
      </c>
      <c r="C1470" s="21" t="n">
        <f aca="false">a25_ni</f>
        <v>6.673</v>
      </c>
      <c r="D1470" s="21" t="n">
        <f aca="false">a26_ni</f>
        <v>37.23923025</v>
      </c>
      <c r="E1470" s="21" t="n">
        <f aca="false">E1468-E1469</f>
        <v>43.4774874700051</v>
      </c>
      <c r="F1470" s="21" t="n">
        <f aca="false">F1468-F1469</f>
        <v>48.2755347565273</v>
      </c>
      <c r="G1470" s="21" t="n">
        <f aca="false">G1468-G1469</f>
        <v>51.954905441671</v>
      </c>
      <c r="H1470" s="30" t="n">
        <f aca="false">H1453*H1474</f>
        <v>57.2971416108842</v>
      </c>
      <c r="I1470" s="30" t="n">
        <f aca="false">I1453*I1474</f>
        <v>62.274602879269</v>
      </c>
      <c r="J1470" s="30" t="n">
        <f aca="false">J1453*J1474</f>
        <v>66.691328903514</v>
      </c>
    </row>
    <row r="1471" customFormat="false" ht="15" hidden="false" customHeight="false" outlineLevel="0" collapsed="false">
      <c r="A1471" s="3" t="s">
        <v>637</v>
      </c>
      <c r="B1471" s="3" t="s">
        <v>380</v>
      </c>
      <c r="C1471" s="29" t="n">
        <f aca="false">a25_sh</f>
        <v>1.52351598173516</v>
      </c>
      <c r="D1471" s="29" t="n">
        <f aca="false">a26_sh</f>
        <v>1.59236316568047</v>
      </c>
      <c r="E1471" s="29" t="n">
        <f aca="false">a26_shend*(1+sh_g)</f>
        <v>1.64</v>
      </c>
      <c r="F1471" s="29" t="n">
        <f aca="false">E1471*(1+sh_g)</f>
        <v>1.64</v>
      </c>
      <c r="G1471" s="29" t="n">
        <f aca="false">F1471*(1+sh_g)</f>
        <v>1.64</v>
      </c>
      <c r="H1471" s="31" t="n">
        <f aca="false">G1471*(1+sh_g)</f>
        <v>1.64</v>
      </c>
      <c r="I1471" s="31" t="n">
        <f aca="false">H1471*(1+sh_g)</f>
        <v>1.64</v>
      </c>
      <c r="J1471" s="31" t="n">
        <f aca="false">I1471*(1+sh_g)</f>
        <v>1.64</v>
      </c>
    </row>
    <row r="1472" customFormat="false" ht="17.15" hidden="false" customHeight="false" outlineLevel="0" collapsed="false">
      <c r="A1472" s="0" t="s">
        <v>509</v>
      </c>
      <c r="B1472" s="0" t="s">
        <v>386</v>
      </c>
      <c r="C1472" s="18" t="n">
        <f aca="false">C1470/C1471</f>
        <v>4.38</v>
      </c>
      <c r="D1472" s="18" t="n">
        <f aca="false">D1470/D1471</f>
        <v>23.3861414610695</v>
      </c>
      <c r="E1472" s="18" t="n">
        <f aca="false">E1470/E1471</f>
        <v>26.5106630914665</v>
      </c>
      <c r="F1472" s="18" t="n">
        <f aca="false">F1470/F1471</f>
        <v>29.4363016808093</v>
      </c>
      <c r="G1472" s="18" t="n">
        <f aca="false">G1470/G1471</f>
        <v>31.6798203912628</v>
      </c>
      <c r="H1472" s="28" t="n">
        <f aca="false">H1470/H1471</f>
        <v>34.9372814700514</v>
      </c>
      <c r="I1472" s="28" t="n">
        <f aca="false">I1470/I1471</f>
        <v>37.9723188288226</v>
      </c>
      <c r="J1472" s="28" t="n">
        <f aca="false">J1470/J1471</f>
        <v>40.6654444533622</v>
      </c>
    </row>
    <row r="1473" customFormat="false" ht="17.15" hidden="false" customHeight="false" outlineLevel="0" collapsed="false">
      <c r="A1473" s="0" t="s">
        <v>638</v>
      </c>
      <c r="B1473" s="0" t="s">
        <v>44</v>
      </c>
      <c r="D1473" s="20" t="n">
        <f aca="false">D1472/C1472-1</f>
        <v>4.33930170344053</v>
      </c>
      <c r="E1473" s="20" t="n">
        <f aca="false">E1472/D1472-1</f>
        <v>0.133605692738938</v>
      </c>
      <c r="F1473" s="20" t="n">
        <f aca="false">F1472/E1472-1</f>
        <v>0.110357050642183</v>
      </c>
      <c r="G1473" s="20" t="n">
        <f aca="false">G1472/F1472-1</f>
        <v>0.0762160523689739</v>
      </c>
      <c r="H1473" s="26" t="n">
        <f aca="false">H1472/G1472-1</f>
        <v>0.102824480649107</v>
      </c>
      <c r="I1473" s="26" t="n">
        <f aca="false">I1472/H1472-1</f>
        <v>0.0868710223310563</v>
      </c>
      <c r="J1473" s="26" t="n">
        <f aca="false">J1472/I1472-1</f>
        <v>0.0709233912387626</v>
      </c>
    </row>
    <row r="1474" customFormat="false" ht="17.15" hidden="false" customHeight="false" outlineLevel="0" collapsed="false">
      <c r="A1474" s="3" t="s">
        <v>639</v>
      </c>
      <c r="B1474" s="0" t="s">
        <v>44</v>
      </c>
      <c r="C1474" s="16" t="n">
        <f aca="false">C1470/C1453</f>
        <v>0.0508453913030227</v>
      </c>
      <c r="D1474" s="16" t="n">
        <f aca="false">D1470/D1453</f>
        <v>0.197798517808343</v>
      </c>
      <c r="E1474" s="16" t="n">
        <f aca="false">E1470/E1453</f>
        <v>0.176850870456201</v>
      </c>
      <c r="F1474" s="16" t="n">
        <f aca="false">F1470/F1453</f>
        <v>0.173332857283642</v>
      </c>
      <c r="G1474" s="16" t="n">
        <f aca="false">G1470/G1453</f>
        <v>0.168510887855549</v>
      </c>
      <c r="H1474" s="27" t="n">
        <f aca="false">$G1474+(fade_mA-$G1474)*1/3</f>
        <v>0.170283950179076</v>
      </c>
      <c r="I1474" s="27" t="n">
        <f aca="false">$G1474+(fade_mA-$G1474)*2/3</f>
        <v>0.172057012502603</v>
      </c>
      <c r="J1474" s="27" t="n">
        <f aca="false">$G1474+(fade_mA-$G1474)*3/3</f>
        <v>0.17383007482613</v>
      </c>
    </row>
    <row r="1475" customFormat="false" ht="17.15" hidden="false" customHeight="false" outlineLevel="0" collapsed="false">
      <c r="A1475" s="3" t="s">
        <v>640</v>
      </c>
      <c r="B1475" s="0" t="s">
        <v>44</v>
      </c>
      <c r="C1475" s="20" t="n">
        <f aca="false">C1458/C1453</f>
        <v>0.195190527350447</v>
      </c>
      <c r="D1475" s="20" t="n">
        <f aca="false">D1458/D1453</f>
        <v>0.285230933480641</v>
      </c>
      <c r="E1475" s="20" t="n">
        <f aca="false">E1458/E1453</f>
        <v>0.223720330706817</v>
      </c>
      <c r="F1475" s="20" t="n">
        <f aca="false">F1458/F1453</f>
        <v>0.179524533656466</v>
      </c>
      <c r="G1475" s="20" t="n">
        <f aca="false">G1458/G1453</f>
        <v>0.145953301022037</v>
      </c>
      <c r="H1475" s="26" t="n">
        <f aca="false">$G1475+($G1460*(1+tp_g)^(life/2)-$G1475)*1/3</f>
        <v>0.136939332200635</v>
      </c>
      <c r="I1475" s="26" t="n">
        <f aca="false">$G1475+($G1460*(1+tp_g)^(life/2)-$G1475)*2/3</f>
        <v>0.127925363379233</v>
      </c>
      <c r="J1475" s="26" t="n">
        <f aca="false">$G1475+($G1460*(1+tp_g)^(life/2)-$G1475)*3/3</f>
        <v>0.118911394557831</v>
      </c>
      <c r="K1475" s="7" t="s">
        <v>641</v>
      </c>
    </row>
    <row r="1476" customFormat="false" ht="15" hidden="false" customHeight="false" outlineLevel="0" collapsed="false">
      <c r="A1476" s="3" t="s">
        <v>642</v>
      </c>
      <c r="B1476" s="0" t="s">
        <v>302</v>
      </c>
      <c r="E1476" s="21" t="n">
        <f aca="false">E1470+E1459-E1458</f>
        <v>13.3899874700051</v>
      </c>
      <c r="F1476" s="21" t="n">
        <f aca="false">F1470+F1459-F1458</f>
        <v>26.9489722565273</v>
      </c>
      <c r="G1476" s="21" t="n">
        <f aca="false">G1470+G1459-G1458</f>
        <v>38.294163254171</v>
      </c>
      <c r="H1476" s="30" t="n">
        <f aca="false">H1470+H1459-H1458</f>
        <v>45.4216276074808</v>
      </c>
      <c r="I1476" s="30" t="n">
        <f aca="false">I1470+I1459-I1458</f>
        <v>52.7629910980253</v>
      </c>
      <c r="J1476" s="30" t="n">
        <f aca="false">J1470+J1459-J1458</f>
        <v>60.0673032240261</v>
      </c>
      <c r="K1476" s="3" t="s">
        <v>643</v>
      </c>
    </row>
    <row r="1477" customFormat="false" ht="15" hidden="false" customHeight="false" outlineLevel="0" collapsed="false">
      <c r="A1477" s="3" t="s">
        <v>644</v>
      </c>
      <c r="B1477" s="0" t="s">
        <v>386</v>
      </c>
      <c r="E1477" s="18" t="n">
        <f aca="false">E1476/E1471</f>
        <v>8.16462650610064</v>
      </c>
      <c r="F1477" s="18" t="n">
        <f aca="false">F1476/F1471</f>
        <v>16.4323001564191</v>
      </c>
      <c r="G1477" s="18" t="n">
        <f aca="false">G1476/G1471</f>
        <v>23.3500995452262</v>
      </c>
      <c r="H1477" s="28" t="n">
        <f aca="false">H1476/H1471</f>
        <v>27.6961143948054</v>
      </c>
      <c r="I1477" s="28" t="n">
        <f aca="false">I1476/I1471</f>
        <v>32.1725555475764</v>
      </c>
      <c r="J1477" s="28" t="n">
        <f aca="false">J1476/J1471</f>
        <v>36.6264044048939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970</v>
      </c>
    </row>
    <row r="2" customFormat="false" ht="17.15" hidden="false" customHeight="false" outlineLevel="0" collapsed="false">
      <c r="A2" s="3" t="s">
        <v>971</v>
      </c>
      <c r="B2" s="0" t="s">
        <v>972</v>
      </c>
    </row>
    <row r="3" customFormat="false" ht="17.15" hidden="false" customHeight="false" outlineLevel="0" collapsed="false">
      <c r="A3" s="3" t="s">
        <v>973</v>
      </c>
      <c r="B3" s="0" t="s">
        <v>974</v>
      </c>
    </row>
    <row r="4" customFormat="false" ht="17.15" hidden="false" customHeight="false" outlineLevel="0" collapsed="false">
      <c r="A4" s="3" t="s">
        <v>975</v>
      </c>
      <c r="B4" s="0" t="s">
        <v>976</v>
      </c>
    </row>
    <row r="5" customFormat="false" ht="17.15" hidden="false" customHeight="false" outlineLevel="0" collapsed="false">
      <c r="A5" s="3" t="s">
        <v>977</v>
      </c>
      <c r="B5" s="0" t="s">
        <v>978</v>
      </c>
    </row>
    <row r="6" customFormat="false" ht="17.15" hidden="false" customHeight="false" outlineLevel="0" collapsed="false">
      <c r="A6" s="3" t="s">
        <v>979</v>
      </c>
      <c r="B6" s="0" t="s">
        <v>980</v>
      </c>
    </row>
    <row r="7" customFormat="false" ht="17.15" hidden="false" customHeight="false" outlineLevel="0" collapsed="false">
      <c r="A7" s="3" t="s">
        <v>981</v>
      </c>
      <c r="B7" s="0" t="s">
        <v>982</v>
      </c>
    </row>
    <row r="8" customFormat="false" ht="17.15" hidden="false" customHeight="false" outlineLevel="0" collapsed="false">
      <c r="A8" s="3" t="s">
        <v>983</v>
      </c>
      <c r="B8" s="0" t="s">
        <v>984</v>
      </c>
    </row>
    <row r="9" customFormat="false" ht="17.15" hidden="false" customHeight="false" outlineLevel="0" collapsed="false">
      <c r="A9" s="3" t="s">
        <v>985</v>
      </c>
      <c r="B9" s="0" t="s">
        <v>986</v>
      </c>
    </row>
    <row r="10" customFormat="false" ht="17.15" hidden="false" customHeight="false" outlineLevel="0" collapsed="false">
      <c r="A10" s="3" t="s">
        <v>987</v>
      </c>
      <c r="B10" s="0" t="s">
        <v>988</v>
      </c>
    </row>
    <row r="11" customFormat="false" ht="17.15" hidden="false" customHeight="false" outlineLevel="0" collapsed="false">
      <c r="A11" s="3" t="s">
        <v>989</v>
      </c>
      <c r="B11" s="0" t="s">
        <v>990</v>
      </c>
    </row>
    <row r="12" customFormat="false" ht="17.15" hidden="false" customHeight="false" outlineLevel="0" collapsed="false">
      <c r="A12" s="3" t="s">
        <v>991</v>
      </c>
      <c r="B12" s="0" t="s">
        <v>992</v>
      </c>
    </row>
    <row r="13" customFormat="false" ht="17.15" hidden="false" customHeight="false" outlineLevel="0" collapsed="false">
      <c r="A13" s="3" t="s">
        <v>993</v>
      </c>
      <c r="B13" s="0" t="s">
        <v>994</v>
      </c>
    </row>
    <row r="14" customFormat="false" ht="17.15" hidden="false" customHeight="false" outlineLevel="0" collapsed="false">
      <c r="A14" s="3" t="s">
        <v>995</v>
      </c>
      <c r="B14" s="0" t="s">
        <v>996</v>
      </c>
    </row>
    <row r="15" customFormat="false" ht="17.15" hidden="false" customHeight="false" outlineLevel="0" collapsed="false">
      <c r="A15" s="3" t="s">
        <v>997</v>
      </c>
      <c r="B15" s="0" t="s">
        <v>998</v>
      </c>
    </row>
    <row r="16" customFormat="false" ht="17.15" hidden="false" customHeight="false" outlineLevel="0" collapsed="false">
      <c r="A16" s="3" t="s">
        <v>999</v>
      </c>
      <c r="B16" s="0" t="s">
        <v>1000</v>
      </c>
    </row>
    <row r="17" customFormat="false" ht="17.15" hidden="false" customHeight="false" outlineLevel="0" collapsed="false">
      <c r="A17" s="3" t="s">
        <v>1001</v>
      </c>
      <c r="B17" s="0" t="s">
        <v>1002</v>
      </c>
    </row>
    <row r="18" customFormat="false" ht="17.15" hidden="false" customHeight="false" outlineLevel="0" collapsed="false">
      <c r="A18" s="3" t="s">
        <v>1003</v>
      </c>
      <c r="B18" s="0" t="s">
        <v>1004</v>
      </c>
    </row>
    <row r="19" customFormat="false" ht="17.15" hidden="false" customHeight="false" outlineLevel="0" collapsed="false">
      <c r="A19" s="3" t="s">
        <v>1005</v>
      </c>
      <c r="B19" s="0" t="s">
        <v>1006</v>
      </c>
    </row>
    <row r="20" customFormat="false" ht="17.15" hidden="false" customHeight="false" outlineLevel="0" collapsed="false">
      <c r="A20" s="3" t="s">
        <v>1007</v>
      </c>
      <c r="B20" s="0" t="s">
        <v>1008</v>
      </c>
    </row>
    <row r="21" customFormat="false" ht="17.15" hidden="false" customHeight="false" outlineLevel="0" collapsed="false">
      <c r="A21" s="3" t="s">
        <v>1009</v>
      </c>
      <c r="B21" s="0" t="s">
        <v>1010</v>
      </c>
    </row>
    <row r="22" customFormat="false" ht="17.15" hidden="false" customHeight="false" outlineLevel="0" collapsed="false">
      <c r="A22" s="3" t="s">
        <v>1011</v>
      </c>
      <c r="B22" s="3" t="s">
        <v>1012</v>
      </c>
    </row>
    <row r="23" customFormat="false" ht="15" hidden="false" customHeight="false" outlineLevel="0" collapsed="false">
      <c r="A23" s="0" t="s">
        <v>1013</v>
      </c>
      <c r="B23" s="3" t="s">
        <v>1014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2026-10-26T13:47:33Z</dcterms:created>
  <dc:creator>openpyxl</dc:creator>
  <dc:description/>
  <dc:language>en-US</dc:language>
  <cp:lastModifiedBy/>
  <dcterms:modified xsi:type="dcterms:W3CDTF">2026-10-26T13:47:33Z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