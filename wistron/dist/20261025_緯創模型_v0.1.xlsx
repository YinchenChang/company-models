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ni" vbProcedure="false">Q!$B$22</definedName>
    <definedName function="false" hidden="false" name="a25_eps" vbProcedure="false">Q!$B$24</definedName>
    <definedName function="false" hidden="false" name="a25_gp" vbProcedure="false">Q!$B$5</definedName>
    <definedName function="false" hidden="false" name="a25_nci" vbProcedure="false">Q!$B$19</definedName>
    <definedName function="false" hidden="false" name="a25_ni" vbProcedure="false">Q!$B$20</definedName>
    <definedName function="false" hidden="false" name="a25_oi" vbProcedure="false">Q!$B$7</definedName>
    <definedName function="false" hidden="false" name="a25_rev" vbProcedure="false">Q!$B$4</definedName>
    <definedName function="false" hidden="false" name="a25_sgp" vbProcedure="false">Q!$B$14</definedName>
    <definedName function="false" hidden="false" name="a25_sh" vbProcedure="false">Q!$B$23</definedName>
    <definedName function="false" hidden="false" name="a25_sni" vbProcedure="false">Q!$B$21</definedName>
    <definedName function="false" hidden="false" name="a25_soi" vbProcedure="false">Q!$B$15</definedName>
    <definedName function="false" hidden="false" name="a25_sopx" vbProcedure="false">Q!$B$16</definedName>
    <definedName function="false" hidden="false" name="a25_srev" vbProcedure="false">Q!$B$13</definedName>
    <definedName function="false" hidden="false" name="a25_wgp" vbProcedure="false">Q!$B$11</definedName>
    <definedName function="false" hidden="false" name="a25_wni" vbProcedure="false">Q!$B$17</definedName>
    <definedName function="false" hidden="false" name="a25_woi" vbProcedure="false">Q!$B$12</definedName>
    <definedName function="false" hidden="false" name="a25_wrev" vbProcedure="false">Q!$B$10</definedName>
    <definedName function="false" hidden="false" name="a26_ais" vbProcedure="false">Q!$F$30</definedName>
    <definedName function="false" hidden="false" name="a26_brd" vbProcedure="false">Q!$F$27</definedName>
    <definedName function="false" hidden="false" name="a26_cni" vbProcedure="false">Q!$F$22</definedName>
    <definedName function="false" hidden="false" name="a26_eps" vbProcedure="false">Q!$F$24</definedName>
    <definedName function="false" hidden="false" name="a26_gen" vbProcedure="false">Q!$F$28</definedName>
    <definedName function="false" hidden="false" name="a26_gp" vbProcedure="false">Q!$F$5</definedName>
    <definedName function="false" hidden="false" name="a26_nci" vbProcedure="false">Q!$F$19</definedName>
    <definedName function="false" hidden="false" name="a26_ni" vbProcedure="false">Q!$F$20</definedName>
    <definedName function="false" hidden="false" name="a26_oi" vbProcedure="false">Q!$F$7</definedName>
    <definedName function="false" hidden="false" name="a26_pc" vbProcedure="false">Q!$F$29</definedName>
    <definedName function="false" hidden="false" name="a26_rev" vbProcedure="false">Q!$F$4</definedName>
    <definedName function="false" hidden="false" name="a26_sgp" vbProcedure="false">Q!$F$14</definedName>
    <definedName function="false" hidden="false" name="a26_sh" vbProcedure="false">Q!$F$23</definedName>
    <definedName function="false" hidden="false" name="a26_sni" vbProcedure="false">Q!$F$21</definedName>
    <definedName function="false" hidden="false" name="a26_soi" vbProcedure="false">Q!$F$15</definedName>
    <definedName function="false" hidden="false" name="a26_sopx" vbProcedure="false">Q!$F$16</definedName>
    <definedName function="false" hidden="false" name="a26_srev" vbProcedure="false">Q!$F$13</definedName>
    <definedName function="false" hidden="false" name="a26_wai" vbProcedure="false">Q!$F$31</definedName>
    <definedName function="false" hidden="false" name="a26_wgp" vbProcedure="false">Q!$F$11</definedName>
    <definedName function="false" hidden="false" name="a26_wna" vbProcedure="false">Q!$F$32</definedName>
    <definedName function="false" hidden="false" name="a26_wni" vbProcedure="false">Q!$F$17</definedName>
    <definedName function="false" hidden="false" name="a26_woi" vbProcedure="false">Q!$F$12</definedName>
    <definedName function="false" hidden="false" name="a26_wrev" vbProcedure="false">Q!$F$10</definedName>
    <definedName function="false" hidden="false" name="brd_26" vbProcedure="false">In!$E$41</definedName>
    <definedName function="false" hidden="false" name="brd_26_hi" vbProcedure="false">In!$F$41</definedName>
    <definedName function="false" hidden="false" name="brd_26_lo" vbProcedure="false">In!$D$41</definedName>
    <definedName function="false" hidden="false" name="brel_27" vbProcedure="false">In!$E$46</definedName>
    <definedName function="false" hidden="false" name="brel_27_hi" vbProcedure="false">In!$F$46</definedName>
    <definedName function="false" hidden="false" name="brel_27_lo" vbProcedure="false">In!$D$46</definedName>
    <definedName function="false" hidden="false" name="brel_28" vbProcedure="false">In!$E$47</definedName>
    <definedName function="false" hidden="false" name="brel_28_hi" vbProcedure="false">In!$F$47</definedName>
    <definedName function="false" hidden="false" name="brel_28_lo" vbProcedure="false">In!$D$47</definedName>
    <definedName function="false" hidden="false" name="brel_29" vbProcedure="false">In!$E$48</definedName>
    <definedName function="false" hidden="false" name="brel_29_hi" vbProcedure="false">In!$F$48</definedName>
    <definedName function="false" hidden="false" name="brel_29_lo" vbProcedure="false">In!$D$48</definedName>
    <definedName function="false" hidden="false" name="bsh_26" vbProcedure="false">In!$E$42</definedName>
    <definedName function="false" hidden="false" name="bsh_26_hi" vbProcedure="false">In!$F$42</definedName>
    <definedName function="false" hidden="false" name="bsh_26_lo" vbProcedure="false">In!$D$42</definedName>
    <definedName function="false" hidden="false" name="bv_27" vbProcedure="false">In!$E$43</definedName>
    <definedName function="false" hidden="false" name="bv_27_hi" vbProcedure="false">In!$F$43</definedName>
    <definedName function="false" hidden="false" name="bv_27_lo" vbProcedure="false">In!$D$43</definedName>
    <definedName function="false" hidden="false" name="bv_28" vbProcedure="false">In!$E$44</definedName>
    <definedName function="false" hidden="false" name="bv_28_hi" vbProcedure="false">In!$F$44</definedName>
    <definedName function="false" hidden="false" name="bv_28_lo" vbProcedure="false">In!$D$44</definedName>
    <definedName function="false" hidden="false" name="bv_29" vbProcedure="false">In!$E$45</definedName>
    <definedName function="false" hidden="false" name="bv_29_hi" vbProcedure="false">In!$F$45</definedName>
    <definedName function="false" hidden="false" name="bv_29_lo" vbProcedure="false">In!$D$45</definedName>
    <definedName function="false" hidden="false" name="b_eps27" vbProcedure="false">In!$E$94</definedName>
    <definedName function="false" hidden="false" name="b_eps27h" vbProcedure="false">In!$E$95</definedName>
    <definedName function="false" hidden="false" name="b_eps27h_hi" vbProcedure="false">In!$F$95</definedName>
    <definedName function="false" hidden="false" name="b_eps27h_lo" vbProcedure="false">In!$D$95</definedName>
    <definedName function="false" hidden="false" name="cons_eps26" vbProcedure="false">In!$E$93</definedName>
    <definedName function="false" hidden="false" name="cons_eps26_hi" vbProcedure="false">In!$F$93</definedName>
    <definedName function="false" hidden="false" name="cons_eps26_lo" vbProcedure="false">In!$D$93</definedName>
    <definedName function="false" hidden="false" name="cons_feps" vbProcedure="false">In!$E$107</definedName>
    <definedName function="false" hidden="false" name="cons_rev26" vbProcedure="false">In!$E$92</definedName>
    <definedName function="false" hidden="false" name="cons_rev26_hi" vbProcedure="false">In!$F$92</definedName>
    <definedName function="false" hidden="false" name="cons_rev26_lo" vbProcedure="false">In!$D$92</definedName>
    <definedName function="false" hidden="false" name="cons_tp" vbProcedure="false">In!$E$108</definedName>
    <definedName function="false" hidden="false" name="cons_tp_hi" vbProcedure="false">In!$F$108</definedName>
    <definedName function="false" hidden="false" name="cons_tp_lo" vbProcedure="false">In!$D$108</definedName>
    <definedName function="false" hidden="false" name="cs_27" vbProcedure="false">In!$E$30</definedName>
    <definedName function="false" hidden="false" name="cs_27_hi" vbProcedure="false">In!$F$30</definedName>
    <definedName function="false" hidden="false" name="cs_27_lo" vbProcedure="false">In!$D$30</definedName>
    <definedName function="false" hidden="false" name="cs_28" vbProcedure="false">In!$E$31</definedName>
    <definedName function="false" hidden="false" name="cs_28_hi" vbProcedure="false">In!$F$31</definedName>
    <definedName function="false" hidden="false" name="cs_28_lo" vbProcedure="false">In!$D$31</definedName>
    <definedName function="false" hidden="false" name="cs_29" vbProcedure="false">In!$E$32</definedName>
    <definedName function="false" hidden="false" name="cs_29_hi" vbProcedure="false">In!$F$32</definedName>
    <definedName function="false" hidden="false" name="cs_29_lo" vbProcedure="false">In!$D$32</definedName>
    <definedName function="false" hidden="false" name="d_ai" vbProcedure="false">In!$E$63</definedName>
    <definedName function="false" hidden="false" name="d_ai_hi" vbProcedure="false">In!$F$63</definedName>
    <definedName function="false" hidden="false" name="d_ai_lo" vbProcedure="false">In!$D$63</definedName>
    <definedName function="false" hidden="false" name="d_brd" vbProcedure="false">In!$E$64</definedName>
    <definedName function="false" hidden="false" name="d_brd_hi" vbProcedure="false">In!$F$64</definedName>
    <definedName function="false" hidden="false" name="d_brd_lo" vbProcedure="false">In!$D$64</definedName>
    <definedName function="false" hidden="false" name="d_gen" vbProcedure="false">In!$E$65</definedName>
    <definedName function="false" hidden="false" name="d_gen_hi" vbProcedure="false">In!$F$65</definedName>
    <definedName function="false" hidden="false" name="d_gen_lo" vbProcedure="false">In!$D$65</definedName>
    <definedName function="false" hidden="false" name="fade_gA" vbProcedure="false">In!$E$118</definedName>
    <definedName function="false" hidden="false" name="fade_gB" vbProcedure="false">In!$E$119</definedName>
    <definedName function="false" hidden="false" name="fade_gC" vbProcedure="false">In!$E$120</definedName>
    <definedName function="false" hidden="false" name="fade_mA" vbProcedure="false">In!$E$121</definedName>
    <definedName function="false" hidden="false" name="fade_mB" vbProcedure="false">In!$E$122</definedName>
    <definedName function="false" hidden="false" name="fade_mC" vbProcedure="false">In!$E$123</definedName>
    <definedName function="false" hidden="false" name="fpe" vbProcedure="false">In!$E$106</definedName>
    <definedName function="false" hidden="false" name="fx" vbProcedure="false">In!$E$24</definedName>
    <definedName function="false" hidden="false" name="fx_hi" vbProcedure="false">In!$F$24</definedName>
    <definedName function="false" hidden="false" name="fx_lo" vbProcedure="false">In!$D$24</definedName>
    <definedName function="false" hidden="false" name="gen_26" vbProcedure="false">In!$E$51</definedName>
    <definedName function="false" hidden="false" name="gen_26_hi" vbProcedure="false">In!$F$51</definedName>
    <definedName function="false" hidden="false" name="gen_26_lo" vbProcedure="false">In!$D$51</definedName>
    <definedName function="false" hidden="false" name="gu_26" vbProcedure="false">In!$E$20</definedName>
    <definedName function="false" hidden="false" name="gu_27" vbProcedure="false">In!$E$21</definedName>
    <definedName function="false" hidden="false" name="gu_28" vbProcedure="false">In!$E$22</definedName>
    <definedName function="false" hidden="false" name="gu_29" vbProcedure="false">In!$E$23</definedName>
    <definedName function="false" hidden="false" name="g_gen27" vbProcedure="false">In!$E$53</definedName>
    <definedName function="false" hidden="false" name="g_gen27_hi" vbProcedure="false">In!$F$53</definedName>
    <definedName function="false" hidden="false" name="g_gen27_lo" vbProcedure="false">In!$D$53</definedName>
    <definedName function="false" hidden="false" name="g_gen28" vbProcedure="false">In!$E$54</definedName>
    <definedName function="false" hidden="false" name="g_gen28_hi" vbProcedure="false">In!$F$54</definedName>
    <definedName function="false" hidden="false" name="g_gen28_lo" vbProcedure="false">In!$D$54</definedName>
    <definedName function="false" hidden="false" name="g_gen29" vbProcedure="false">In!$E$55</definedName>
    <definedName function="false" hidden="false" name="g_gen29_hi" vbProcedure="false">In!$F$55</definedName>
    <definedName function="false" hidden="false" name="g_gen29_lo" vbProcedure="false">In!$D$55</definedName>
    <definedName function="false" hidden="false" name="g_pc27" vbProcedure="false">In!$E$56</definedName>
    <definedName function="false" hidden="false" name="g_pc27_hi" vbProcedure="false">In!$F$56</definedName>
    <definedName function="false" hidden="false" name="g_pc27_lo" vbProcedure="false">In!$D$56</definedName>
    <definedName function="false" hidden="false" name="g_pc28" vbProcedure="false">In!$E$57</definedName>
    <definedName function="false" hidden="false" name="g_pc28_hi" vbProcedure="false">In!$F$57</definedName>
    <definedName function="false" hidden="false" name="g_pc28_lo" vbProcedure="false">In!$D$57</definedName>
    <definedName function="false" hidden="false" name="g_pc29" vbProcedure="false">In!$E$58</definedName>
    <definedName function="false" hidden="false" name="g_pc29_hi" vbProcedure="false">In!$F$58</definedName>
    <definedName function="false" hidden="false" name="g_pc29_lo" vbProcedure="false">In!$D$58</definedName>
    <definedName function="false" hidden="false" name="g_wn27" vbProcedure="false">In!$E$59</definedName>
    <definedName function="false" hidden="false" name="g_wn27_hi" vbProcedure="false">In!$F$59</definedName>
    <definedName function="false" hidden="false" name="g_wn27_lo" vbProcedure="false">In!$D$59</definedName>
    <definedName function="false" hidden="false" name="g_wn28" vbProcedure="false">In!$E$60</definedName>
    <definedName function="false" hidden="false" name="g_wn28_hi" vbProcedure="false">In!$F$60</definedName>
    <definedName function="false" hidden="false" name="g_wn28_lo" vbProcedure="false">In!$D$60</definedName>
    <definedName function="false" hidden="false" name="g_wn29" vbProcedure="false">In!$E$61</definedName>
    <definedName function="false" hidden="false" name="g_wn29_hi" vbProcedure="false">In!$F$61</definedName>
    <definedName function="false" hidden="false" name="g_wn29_lo" vbProcedure="false">In!$D$61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In!$E$33</definedName>
    <definedName function="false" hidden="false" name="keep_hi" vbProcedure="false">In!$F$33</definedName>
    <definedName function="false" hidden="false" name="keep_lo" vbProcedure="false">In!$D$33</definedName>
    <definedName function="false" hidden="false" name="kw_ni27" vbProcedure="false">In!$E$102</definedName>
    <definedName function="false" hidden="false" name="kw_rev26" vbProcedure="false">In!$E$100</definedName>
    <definedName function="false" hidden="false" name="kw_rev27" vbProcedure="false">In!$E$101</definedName>
    <definedName function="false" hidden="false" name="k_eps26" vbProcedure="false">In!$E$96</definedName>
    <definedName function="false" hidden="false" name="k_eps27" vbProcedure="false">In!$E$97</definedName>
    <definedName function="false" hidden="false" name="k_racks" vbProcedure="false">In!$E$98</definedName>
    <definedName function="false" hidden="false" name="mf" vbProcedure="false">In!$E$90</definedName>
    <definedName function="false" hidden="false" name="mf_hi" vbProcedure="false">In!$F$90</definedName>
    <definedName function="false" hidden="false" name="mf_lo" vbProcedure="false">In!$D$90</definedName>
    <definedName function="false" hidden="false" name="nim_5y" vbProcedure="false">In!$E$109</definedName>
    <definedName function="false" hidden="false" name="nsv_26" vbProcedure="false">In!$E$50</definedName>
    <definedName function="false" hidden="false" name="nsv_26_hi" vbProcedure="false">In!$F$50</definedName>
    <definedName function="false" hidden="false" name="nsv_26_lo" vbProcedure="false">In!$D$50</definedName>
    <definedName function="false" hidden="false" name="odm_gb" vbProcedure="false">In!$E$26</definedName>
    <definedName function="false" hidden="false" name="odm_gb_hi" vbProcedure="false">In!$F$26</definedName>
    <definedName function="false" hidden="false" name="odm_gb_lo" vbProcedure="false">In!$D$26</definedName>
    <definedName function="false" hidden="false" name="odm_vr" vbProcedure="false">In!$E$27</definedName>
    <definedName function="false" hidden="false" name="odm_vr_hi" vbProcedure="false">In!$F$27</definedName>
    <definedName function="false" hidden="false" name="odm_vr_lo" vbProcedure="false">In!$D$27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In!$E$105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In!$E$104</definedName>
    <definedName function="false" hidden="false" name="q3_rev" vbProcedure="false">In!$E$71</definedName>
    <definedName function="false" hidden="false" name="q3_wrev" vbProcedure="false">In!$E$73</definedName>
    <definedName function="false" hidden="false" name="q4g" vbProcedure="false">In!$E$72</definedName>
    <definedName function="false" hidden="false" name="q4gw" vbProcedure="false">In!$E$74</definedName>
    <definedName function="false" hidden="false" name="q4gw_hi" vbProcedure="false">In!$F$74</definedName>
    <definedName function="false" hidden="false" name="q4gw_lo" vbProcedure="false">In!$D$74</definedName>
    <definedName function="false" hidden="false" name="q4g_hi" vbProcedure="false">In!$F$72</definedName>
    <definedName function="false" hidden="false" name="q4g_lo" vbProcedure="false">In!$D$72</definedName>
    <definedName function="false" hidden="false" name="q_sgm" vbProcedure="false">In!$E$78</definedName>
    <definedName function="false" hidden="false" name="q_sgm_hi" vbProcedure="false">In!$F$78</definedName>
    <definedName function="false" hidden="false" name="q_sgm_lo" vbProcedure="false">In!$D$78</definedName>
    <definedName function="false" hidden="false" name="q_sh3" vbProcedure="false">In!$E$83</definedName>
    <definedName function="false" hidden="false" name="q_sh4" vbProcedure="false">In!$E$84</definedName>
    <definedName function="false" hidden="false" name="q_snio" vbProcedure="false">In!$E$80</definedName>
    <definedName function="false" hidden="false" name="q_snio_hi" vbProcedure="false">In!$F$80</definedName>
    <definedName function="false" hidden="false" name="q_snio_lo" vbProcedure="false">In!$D$80</definedName>
    <definedName function="false" hidden="false" name="q_sopx" vbProcedure="false">In!$E$79</definedName>
    <definedName function="false" hidden="false" name="q_sopx_hi" vbProcedure="false">In!$F$79</definedName>
    <definedName function="false" hidden="false" name="q_sopx_lo" vbProcedure="false">In!$D$79</definedName>
    <definedName function="false" hidden="false" name="q_wgm" vbProcedure="false">In!$E$75</definedName>
    <definedName function="false" hidden="false" name="q_wgm_hi" vbProcedure="false">In!$F$75</definedName>
    <definedName function="false" hidden="false" name="q_wgm_lo" vbProcedure="false">In!$D$75</definedName>
    <definedName function="false" hidden="false" name="q_wnio" vbProcedure="false">In!$E$77</definedName>
    <definedName function="false" hidden="false" name="q_wnio_hi" vbProcedure="false">In!$F$77</definedName>
    <definedName function="false" hidden="false" name="q_wnio_lo" vbProcedure="false">In!$D$77</definedName>
    <definedName function="false" hidden="false" name="q_wopm" vbProcedure="false">In!$E$76</definedName>
    <definedName function="false" hidden="false" name="q_wopm_hi" vbProcedure="false">In!$F$76</definedName>
    <definedName function="false" hidden="false" name="q_wopm_lo" vbProcedure="false">In!$D$76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k_sh" vbProcedure="false">In!$E$99</definedName>
    <definedName function="false" hidden="false" name="sh_g" vbProcedure="false">In!$E$89</definedName>
    <definedName function="false" hidden="false" name="sh_g_hi" vbProcedure="false">In!$F$89</definedName>
    <definedName function="false" hidden="false" name="sh_g_lo" vbProcedure="false">In!$D$89</definedName>
    <definedName function="false" hidden="false" name="snio" vbProcedure="false">In!$E$88</definedName>
    <definedName function="false" hidden="false" name="snio_hi" vbProcedure="false">In!$F$88</definedName>
    <definedName function="false" hidden="false" name="snio_lo" vbProcedure="false">In!$D$88</definedName>
    <definedName function="false" hidden="false" name="stake" vbProcedure="false">In!$E$81</definedName>
    <definedName function="false" hidden="false" name="stake25" vbProcedure="false">In!$E$82</definedName>
    <definedName function="false" hidden="false" name="stake25_hi" vbProcedure="false">In!$F$82</definedName>
    <definedName function="false" hidden="false" name="stake25_lo" vbProcedure="false">In!$D$82</definedName>
    <definedName function="false" hidden="false" name="stake_hi" vbProcedure="false">In!$F$81</definedName>
    <definedName function="false" hidden="false" name="stake_lo" vbProcedure="false">In!$D$81</definedName>
    <definedName function="false" hidden="false" name="tp_g" vbProcedure="false">In!$E$115</definedName>
    <definedName function="false" hidden="false" name="tp_r" vbProcedure="false">In!$E$114</definedName>
    <definedName function="false" hidden="false" name="tp_roe" vbProcedure="false">In!$E$116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In!$E$117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pg_28" vbProcedure="false">In!$E$28</definedName>
    <definedName function="false" hidden="false" name="vpg_28_hi" vbProcedure="false">In!$F$28</definedName>
    <definedName function="false" hidden="false" name="vpg_28_lo" vbProcedure="false">In!$D$28</definedName>
    <definedName function="false" hidden="false" name="vpg_29" vbProcedure="false">In!$E$29</definedName>
    <definedName function="false" hidden="false" name="vpg_29_hi" vbProcedure="false">In!$F$29</definedName>
    <definedName function="false" hidden="false" name="vpg_29_lo" vbProcedure="false">In!$D$29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In!$E$66</definedName>
    <definedName function="false" hidden="false" name="vrd_hi" vbProcedure="false">In!$F$66</definedName>
    <definedName function="false" hidden="false" name="vrd_lo" vbProcedure="false">In!$D$66</definedName>
    <definedName function="false" hidden="false" name="wai_26" vbProcedure="false">In!$E$52</definedName>
    <definedName function="false" hidden="false" name="wai_26_hi" vbProcedure="false">In!$F$52</definedName>
    <definedName function="false" hidden="false" name="wai_26_lo" vbProcedure="false">In!$D$52</definedName>
    <definedName function="false" hidden="false" name="wgm" vbProcedure="false">In!$E$67</definedName>
    <definedName function="false" hidden="false" name="wgm_hi" vbProcedure="false">In!$F$67</definedName>
    <definedName function="false" hidden="false" name="wgm_lo" vbProcedure="false">In!$D$67</definedName>
    <definedName function="false" hidden="false" name="wnio" vbProcedure="false">In!$E$69</definedName>
    <definedName function="false" hidden="false" name="wnio_hi" vbProcedure="false">In!$F$69</definedName>
    <definedName function="false" hidden="false" name="wnio_lo" vbProcedure="false">In!$D$69</definedName>
    <definedName function="false" hidden="false" name="wopm" vbProcedure="false">In!$E$68</definedName>
    <definedName function="false" hidden="false" name="wopm_hi" vbProcedure="false">In!$F$68</definedName>
    <definedName function="false" hidden="false" name="wopm_lo" vbProcedure="false">In!$D$68</definedName>
    <definedName function="false" hidden="false" name="wrel_27" vbProcedure="false">In!$E$37</definedName>
    <definedName function="false" hidden="false" name="wrel_27_hi" vbProcedure="false">In!$F$37</definedName>
    <definedName function="false" hidden="false" name="wrel_27_lo" vbProcedure="false">In!$D$37</definedName>
    <definedName function="false" hidden="false" name="wrel_28" vbProcedure="false">In!$E$38</definedName>
    <definedName function="false" hidden="false" name="wrel_28_hi" vbProcedure="false">In!$F$38</definedName>
    <definedName function="false" hidden="false" name="wrel_28_lo" vbProcedure="false">In!$D$38</definedName>
    <definedName function="false" hidden="false" name="wrel_29" vbProcedure="false">In!$E$39</definedName>
    <definedName function="false" hidden="false" name="wrel_29_hi" vbProcedure="false">In!$F$39</definedName>
    <definedName function="false" hidden="false" name="wrel_29_lo" vbProcedure="false">In!$D$39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<sst xmlns="http://schemas.openxmlformats.org/spreadsheetml/2006/main" count="4357" uniqueCount="946">
  <si>
    <r>
      <rPr>
        <b val="true"/>
        <sz val="11"/>
        <rFont val="Noto Sans CJK SC"/>
        <family val="2"/>
      </rPr>
      <t xml:space="preserve">緯創資通（</t>
    </r>
    <r>
      <rPr>
        <b val="true"/>
        <sz val="11"/>
        <rFont val="Cambria"/>
        <family val="0"/>
        <charset val="1"/>
      </rPr>
      <t xml:space="preserve">3231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</si>
  <si>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（初版）。伺服器組裝次產業第三家（廣達、鴻海之後）；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每櫃價格、客供比例讀廣達模型（規則第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條）。另加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基板驅動（讀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成品顆數），並把子公司緯穎拆開以區分合併與歸母口徑。</t>
    </r>
  </si>
  <si>
    <r>
      <rPr>
        <sz val="11"/>
        <rFont val="Noto Sans CJK SC"/>
        <family val="2"/>
      </rPr>
      <t xml:space="preserve">模型命題：緯創的合併營收＝本體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系統（部署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每櫃價格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客供））＋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基板與運算板（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份額）＋一般伺服器與非伺服器＋子公司緯穎（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機架為主）。緯穎占合併營收約三分之一、營益率約為本體的三倍，但緯創只持有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，合併淨利約四成歸少數股東；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看歸屬母公司淨利＝本體淨利＋</t>
    </r>
    <r>
      <rPr>
        <sz val="11"/>
        <rFont val="Cambria"/>
        <family val="0"/>
        <charset val="1"/>
      </rPr>
      <t xml:space="preserve">37.68% × </t>
    </r>
    <r>
      <rPr>
        <sz val="11"/>
        <rFont val="Noto Sans CJK SC"/>
        <family val="2"/>
      </rPr>
      <t xml:space="preserve">緯穎淨利。</t>
    </r>
  </si>
  <si>
    <r>
      <rPr>
        <sz val="11"/>
        <rFont val="Noto Sans CJK SC"/>
        <family val="2"/>
      </rPr>
      <t xml:space="preserve">核心問題：本體約 </t>
    </r>
    <r>
      <rPr>
        <sz val="11"/>
        <rFont val="Cambria"/>
        <family val="0"/>
        <charset val="1"/>
      </rPr>
      <t xml:space="preserve">2% </t>
    </r>
    <r>
      <rPr>
        <sz val="11"/>
        <rFont val="Noto Sans CJK SC"/>
        <family val="2"/>
      </rPr>
      <t xml:space="preserve">的營益率能不能隨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系統與基板放量撐住，以及緯穎的成長有多少真正流到緯創股東；約 </t>
    </r>
    <r>
      <rPr>
        <sz val="11"/>
        <rFont val="Cambria"/>
        <family val="0"/>
        <charset val="1"/>
      </rPr>
      <t xml:space="preserve">9–10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</si>
  <si>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，不平移。金額：十億新台幣；整櫃價格與市場以美元計、以匯率換算。口徑：營收、毛利、營業利益為合併（含緯穎）；淨利與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為歸屬母公司。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財報與法說約 </t>
    </r>
    <r>
      <rPr>
        <sz val="11"/>
        <rFont val="Cambria"/>
        <family val="0"/>
        <charset val="1"/>
      </rPr>
      <t xml:space="preserve">2026-11-10</t>
    </r>
    <r>
      <rPr>
        <sz val="11"/>
        <rFont val="Noto Sans CJK SC"/>
        <family val="2"/>
      </rPr>
      <t xml:space="preserve">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</si>
  <si>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</si>
  <si>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本體有效份額（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以本體營收殘差校準）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客供比例，廣達模型）。</t>
    </r>
  </si>
  <si>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緯創基板份額（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伺服器零組件超過千億」校準，之後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）。緯穎：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＝組裝市場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占比略高於五成校準）；非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以成長率推。</t>
    </r>
  </si>
  <si>
    <r>
      <rPr>
        <sz val="11"/>
        <rFont val="Noto Sans CJK SC"/>
        <family val="2"/>
      </rPr>
      <t xml:space="preserve">損益：本體毛利＝各部門營收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毛利率（非伺服器毛利率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系統、基板、一般伺服器加減差距，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，本體淨利＝本體營業利益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淨利係數；緯穎營業利益＝營收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營益率、淨利＝營業利益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係數。合併淨利＝本體＋緯穎；非控制權益＝（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持股）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緯穎淨利；歸屬母公司淨利＝合併淨利 − 非控制權益。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</si>
  <si>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實績（公司與緯穎）＋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營收實績（兩家月營收）＋假設（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季增、利潤率）。不用券商數字（只在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</si>
  <si>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目標價（廣達、鴻海、英業達、緯穎、美超微前瞻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＝不如預期（即顆數情境）。本版未做先驗，無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</si>
  <si>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</si>
  <si>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</si>
  <si>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基板、一般伺服器的金額公司都沒有揭露，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系統是殘差，基板取單一券商說法；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緯穎持股只有單一近期來源（凱基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）拆分，非控制權益金額未找到；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集團內交易（緯創與緯穎互供）假設為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客供比例、份額相對值、基板份額與每顆金額是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營業利益係數涵蓋；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2017–2025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Goodinfo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2021–25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stockanalysis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缺；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11-10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</si>
  <si>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</si>
  <si>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未使用。公司原文＝緯創、緯穎法說（經鉅亨、優分析、富果摘要）與月營收公告；公司展望為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</si>
  <si>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</si>
  <si>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</si>
  <si>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</si>
  <si>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</si>
  <si>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</si>
  <si>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</si>
  <si>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</si>
  <si>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</si>
  <si>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</si>
  <si>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部署規模與加速器顆數（讀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</si>
  <si>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</si>
  <si>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</si>
  <si>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</si>
  <si>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</si>
  <si>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</si>
  <si>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</si>
  <si>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</si>
  <si>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</si>
  <si>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</si>
  <si>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</si>
  <si>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</si>
  <si>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</si>
  <si>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</si>
  <si>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</si>
  <si>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</si>
  <si>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</si>
  <si>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</si>
  <si>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</si>
  <si>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</si>
  <si>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</si>
  <si>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</si>
  <si>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世代占比（混合用；廣達模型）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</si>
  <si>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</si>
  <si>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</si>
  <si>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）；緯創：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已開始出貨（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，優分析）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</si>
  <si>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</si>
  <si>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</si>
  <si>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</si>
  <si>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</si>
  <si>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</si>
  <si>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</si>
  <si>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</si>
  <si>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</si>
  <si>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</si>
  <si>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</si>
  <si>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</si>
  <si>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</si>
  <si>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＝明顯下修（與台積電、廣達、鴻海模型相同）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</si>
  <si>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</si>
  <si>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</si>
  <si>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</si>
  <si>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</si>
  <si>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</si>
  <si>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</si>
  <si>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</si>
  <si>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</si>
  <si>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</si>
  <si>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</si>
  <si>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</si>
  <si>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</si>
  <si>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</si>
  <si>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</si>
  <si>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</si>
  <si>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gu_26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</si>
  <si>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</si>
  <si>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</si>
  <si>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成長））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</si>
  <si>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）與運算板（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）只對應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不計</t>
    </r>
  </si>
  <si>
    <t xml:space="preserve">gu_27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</si>
  <si>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</si>
  <si>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</si>
  <si>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</si>
  <si>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</si>
  <si>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</si>
  <si>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</si>
  <si>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美元；廣達模型）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</si>
  <si>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</si>
  <si>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</si>
  <si>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</si>
  <si>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組裝價格與客供（讀廣達模型，唯讀）、緯創本體與緯穎的份額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</si>
  <si>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</si>
  <si>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</si>
  <si>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</si>
  <si>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</si>
  <si>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</si>
  <si>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</si>
  <si>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</si>
  <si>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</si>
  <si>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</si>
  <si>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</si>
  <si>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</si>
  <si>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</si>
  <si>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</si>
  <si>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</si>
  <si>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</si>
  <si>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</si>
  <si>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</si>
  <si>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</si>
  <si>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r>
      <rPr>
        <sz val="11"/>
        <color theme="1"/>
        <rFont val="Noto Sans CJK SC"/>
        <family val="2"/>
      </rPr>
      <t xml:space="preserve">緯創：與新客戶議定較好的價格條件，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新計價下營益率維持合理（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法說，鉅亨）；客供比例的量化：未找到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</si>
  <si>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</si>
  <si>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</si>
  <si>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</si>
  <si>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</si>
  <si>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</si>
  <si>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</si>
  <si>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keep</t>
  </si>
  <si>
    <t xml:space="preserve">客供部分保留的毛利比例（相對買賣模式；廣達模型）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</si>
  <si>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In!D34:F34</t>
    </r>
  </si>
  <si>
    <t xml:space="preserve">同廣達模型</t>
  </si>
  <si>
    <t xml:space="preserve">rel_27</t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</si>
  <si>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</si>
  <si>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</si>
  <si>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</si>
  <si>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t xml:space="preserve">rel_28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</si>
  <si>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</si>
  <si>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同上；鴻海、廣達同時擴產（廣達模型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、鴻海模型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</si>
  <si>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</si>
  <si>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</si>
  <si>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</si>
  <si>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wrel_27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</si>
  <si>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</si>
  <si>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伺服器約九成為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平台開始出貨（公司）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</si>
  <si>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+74%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</si>
  <si>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wrel_28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</si>
  <si>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</si>
  <si>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顆數占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成品的比重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上升）</t>
    </r>
  </si>
  <si>
    <t xml:space="preserve">wrel_29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</si>
  <si>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</si>
  <si>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GPU </t>
    </r>
    <r>
      <rPr>
        <b val="true"/>
        <sz val="11"/>
        <rFont val="Noto Sans CJK SC"/>
        <family val="2"/>
      </rPr>
      <t xml:space="preserve">基板與運算板（緯創本體：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以券商「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伺服器零組件超過千億」校準）</t>
    </r>
  </si>
  <si>
    <t xml:space="preserve">brd_26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</si>
  <si>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基板與運算板營收（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伺服器零組件）</t>
    </r>
  </si>
  <si>
    <t xml:space="preserve">NT$B</t>
  </si>
  <si>
    <t xml:space="preserve">Interested-party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</si>
  <si>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伺服器零組件營收超過 </t>
    </r>
    <r>
      <rPr>
        <sz val="11"/>
        <color theme="1"/>
        <rFont val="Calibri"/>
        <family val="2"/>
        <charset val="1"/>
      </rPr>
      <t xml:space="preserve">NT$1,000 </t>
    </r>
    <r>
      <rPr>
        <sz val="11"/>
        <color theme="1"/>
        <rFont val="Noto Sans CJK SC"/>
        <family val="2"/>
      </rPr>
      <t xml:space="preserve">億，由運算板（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）帶動（凱基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</si>
  <si>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公司：零組件（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）出貨量逐季增加（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法說，鉅亨）；金額公司未揭露：未找到</t>
    </r>
  </si>
  <si>
    <t xml:space="preserve">bsh_26</t>
  </si>
  <si>
    <r>
      <rPr>
        <sz val="11"/>
        <color theme="1"/>
        <rFont val="Noto Sans CJK SC"/>
        <family val="2"/>
      </rPr>
      <t xml:space="preserve">緯創占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基板的份額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（只用於換算每顆金額）</t>
    </r>
  </si>
  <si>
    <r>
      <rPr>
        <sz val="11"/>
        <color theme="1"/>
        <rFont val="Noto Sans CJK SC"/>
        <family val="2"/>
      </rPr>
      <t xml:space="preserve">緯創為 </t>
    </r>
    <r>
      <rPr>
        <sz val="11"/>
        <color theme="1"/>
        <rFont val="Calibri"/>
        <family val="2"/>
        <charset val="1"/>
      </rPr>
      <t xml:space="preserve">NVIDIA HGX </t>
    </r>
    <r>
      <rPr>
        <sz val="11"/>
        <color theme="1"/>
        <rFont val="Noto Sans CJK SC"/>
        <family val="2"/>
      </rPr>
      <t xml:space="preserve">基板與運算板主要供應商（多家媒體）；份額量化：未找到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</si>
  <si>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固定，份額只影響每顆金額的顯示</t>
    </r>
  </si>
  <si>
    <t xml:space="preserve">bv_27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</si>
  <si>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</si>
  <si>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每顆功耗、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I/O </t>
    </r>
    <r>
      <rPr>
        <sz val="11"/>
        <color theme="1"/>
        <rFont val="Noto Sans CJK SC"/>
        <family val="2"/>
      </rPr>
      <t xml:space="preserve">增加，基板層數與面積上升（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</si>
  <si>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每顆基板金額：未找到</t>
  </si>
  <si>
    <t xml:space="preserve">bv_28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</si>
  <si>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</si>
  <si>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bv_29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</si>
  <si>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</si>
  <si>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brel_27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</si>
  <si>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</si>
  <si>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需求帶動零組件營收；</t>
    </r>
    <r>
      <rPr>
        <sz val="11"/>
        <color theme="1"/>
        <rFont val="Calibri"/>
        <family val="2"/>
        <charset val="1"/>
      </rPr>
      <t xml:space="preserve">NVIDIA LPU </t>
    </r>
    <r>
      <rPr>
        <sz val="11"/>
        <color theme="1"/>
        <rFont val="Noto Sans CJK SC"/>
        <family val="2"/>
      </rPr>
      <t xml:space="preserve">基板專案（凱基）</t>
    </r>
  </si>
  <si>
    <t xml:space="preserve">第二供應商（鴻海、廣達）分食：未找到量化</t>
  </si>
  <si>
    <t xml:space="preserve">brel_28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</si>
  <si>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</si>
  <si>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brel_29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</si>
  <si>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</si>
  <si>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</t>
    </r>
  </si>
  <si>
    <t xml:space="preserve">nsv_26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</si>
  <si>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年非伺服器（筆電、桌機、顯示器等）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</si>
  <si>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伺服器占營收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</si>
  <si>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PC </t>
    </r>
    <r>
      <rPr>
        <sz val="11"/>
        <color theme="1"/>
        <rFont val="Noto Sans CJK SC"/>
        <family val="2"/>
      </rPr>
      <t xml:space="preserve">出貨約減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提前拉貨），營收降幅較小（公司）</t>
    </r>
  </si>
  <si>
    <t xml:space="preserve">gen_26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</si>
  <si>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緯創本體一般伺服器與交換器營收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</si>
  <si>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：交換器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營收成長十倍以上至 </t>
    </r>
    <r>
      <rPr>
        <sz val="11"/>
        <color theme="1"/>
        <rFont val="Calibri"/>
        <family val="2"/>
        <charset val="1"/>
      </rPr>
      <t xml:space="preserve">NT$160–180 </t>
    </r>
    <r>
      <rPr>
        <sz val="11"/>
        <color theme="1"/>
        <rFont val="Noto Sans CJK SC"/>
        <family val="2"/>
      </rPr>
      <t xml:space="preserve">億；一般伺服器需求優於預期（凱基）</t>
    </r>
  </si>
  <si>
    <r>
      <rPr>
        <sz val="11"/>
        <color theme="1"/>
        <rFont val="Noto Sans CJK SC"/>
        <family val="2"/>
      </rPr>
      <t xml:space="preserve">本體一般伺服器金額：未找到；本體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系統＝本體營收 − 基板 − 一般伺服器 − 非伺服器（殘差）</t>
    </r>
  </si>
  <si>
    <t xml:space="preserve">wai_26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</si>
  <si>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</si>
  <si>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</si>
  <si>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緯穎營收季增約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（月營收），新平台放量，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比重可能較高</t>
    </r>
  </si>
  <si>
    <t xml:space="preserve">g_gen27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</si>
  <si>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</si>
  <si>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法說（鉅亨）：交換器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年新客戶、持續成長（公司）</t>
    </r>
  </si>
  <si>
    <t xml:space="preserve">g_gen28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</si>
  <si>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</si>
  <si>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g_gen29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</si>
  <si>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</si>
  <si>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</si>
  <si>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非伺服器（筆電等）年增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</si>
  <si>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法說（鉅亨）：記憶體漲價主要影響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與手機（公司）</t>
    </r>
  </si>
  <si>
    <t xml:space="preserve">g_pc28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</si>
  <si>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</si>
  <si>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</si>
  <si>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</si>
  <si>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g_wn27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</si>
  <si>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</si>
  <si>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一般伺服器出貨 </t>
    </r>
    <r>
      <rPr>
        <sz val="11"/>
        <color theme="1"/>
        <rFont val="Calibri"/>
        <family val="2"/>
        <charset val="1"/>
      </rPr>
      <t xml:space="preserve">+20–30%</t>
    </r>
    <r>
      <rPr>
        <sz val="11"/>
        <color theme="1"/>
        <rFont val="Noto Sans CJK SC"/>
        <family val="2"/>
      </rPr>
      <t xml:space="preserve">（緯穎）</t>
    </r>
  </si>
  <si>
    <t xml:space="preserve">g_wn28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</si>
  <si>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</si>
  <si>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g_wn29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</si>
  <si>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</si>
  <si>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毛利率與緯穎利潤率</t>
    </r>
  </si>
  <si>
    <t xml:space="preserve">d_ai</t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</si>
  <si>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系統毛利率（毛額基礎）減非伺服器毛利率</t>
    </r>
  </si>
  <si>
    <t xml:space="preserve">pt</t>
  </si>
  <si>
    <r>
      <rPr>
        <sz val="11"/>
        <color theme="1"/>
        <rFont val="Noto Sans CJK SC"/>
        <family val="2"/>
      </rPr>
      <t xml:space="preserve">本體毛利率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（合併 − 緯穎推得）；整櫃含轉手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，毛利率低</t>
    </r>
  </si>
  <si>
    <t xml:space="preserve">部門別毛利率未揭露：未找到</t>
  </si>
  <si>
    <t xml:space="preserve">d_brd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</si>
  <si>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基板毛利率減非伺服器毛利率</t>
    </r>
  </si>
  <si>
    <r>
      <rPr>
        <sz val="11"/>
        <color theme="1"/>
        <rFont val="Noto Sans CJK SC"/>
        <family val="2"/>
      </rPr>
      <t xml:space="preserve">基板多為客供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金額），加工價值占比較高（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</si>
  <si>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</si>
  <si>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d_gen</t>
  </si>
  <si>
    <t xml:space="preserve">一般伺服器與交換器毛利率減非伺服器毛利率</t>
  </si>
  <si>
    <r>
      <rPr>
        <sz val="11"/>
        <color theme="1"/>
        <rFont val="Noto Sans CJK SC"/>
        <family val="2"/>
      </rPr>
      <t xml:space="preserve">交換器與一般伺服器不含轉手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</si>
  <si>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</si>
  <si>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</si>
  <si>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與鴻海模型同值；廣達模型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</si>
  <si>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公司：營益率可望逐季、逐年改善（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法說）——為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，本版不採上修</t>
    </r>
  </si>
  <si>
    <t xml:space="preserve">wgm</t>
  </si>
  <si>
    <r>
      <rPr>
        <sz val="11"/>
        <color theme="1"/>
        <rFont val="Noto Sans CJK SC"/>
        <family val="2"/>
      </rPr>
      <t xml:space="preserve">緯穎毛利率（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</si>
  <si>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FY2025 8.3%</t>
    </r>
    <r>
      <rPr>
        <sz val="11"/>
        <color theme="1"/>
        <rFont val="Noto Sans CJK SC"/>
        <family val="2"/>
      </rPr>
      <t xml:space="preserve">；緯穎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</si>
  <si>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只影響合併毛利率顯示；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用營益率 </t>
    </r>
    <r>
      <rPr>
        <sz val="11"/>
        <color theme="1"/>
        <rFont val="Calibri"/>
        <family val="2"/>
        <charset val="1"/>
      </rPr>
      <t xml:space="preserve">wopm</t>
    </r>
  </si>
  <si>
    <t xml:space="preserve">wopm</t>
  </si>
  <si>
    <r>
      <rPr>
        <sz val="11"/>
        <color theme="1"/>
        <rFont val="Noto Sans CJK SC"/>
        <family val="2"/>
      </rPr>
      <t xml:space="preserve">緯穎營業利益率（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</si>
  <si>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</si>
  <si>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：凱基隱含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4.4%</t>
    </r>
    <r>
      <rPr>
        <sz val="11"/>
        <color theme="1"/>
        <rFont val="Noto Sans CJK SC"/>
        <family val="2"/>
      </rPr>
      <t xml:space="preserve">（＝營益率約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）</t>
    </r>
  </si>
  <si>
    <t xml:space="preserve">wnio</t>
  </si>
  <si>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</si>
  <si>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51.118 ÷ 63.918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29.084 ÷ 37.66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（緯穎）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</si>
  <si>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營收實績（月營收）＋假設）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</si>
  <si>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</si>
  <si>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合併營收（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</si>
  <si>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</si>
  <si>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3,082.19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4,600.65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3,808.06 </t>
    </r>
    <r>
      <rPr>
        <sz val="11"/>
        <color theme="1"/>
        <rFont val="Noto Sans CJK SC"/>
        <family val="2"/>
      </rPr>
      <t xml:space="preserve">億（公司月營收）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</si>
  <si>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2.89 </t>
    </r>
    <r>
      <rPr>
        <sz val="11"/>
        <color theme="1"/>
        <rFont val="Noto Sans CJK SC"/>
        <family val="2"/>
      </rPr>
      <t xml:space="preserve">兆（年增 </t>
    </r>
    <r>
      <rPr>
        <sz val="11"/>
        <color theme="1"/>
        <rFont val="Calibri"/>
        <family val="2"/>
        <charset val="1"/>
      </rPr>
      <t xml:space="preserve">97%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</si>
  <si>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</si>
  <si>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</si>
  <si>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</si>
  <si>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伺服器逐季成長、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為今年高峰；筆電季減（公司）</t>
    </r>
  </si>
  <si>
    <t xml:space="preserve">q3_wrev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</si>
  <si>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緯穎營收（前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</si>
  <si>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億（緯穎月營收）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</si>
  <si>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</si>
  <si>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q4gw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</si>
  <si>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緯穎營收季增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</si>
  <si>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億高於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月均約 </t>
    </r>
    <r>
      <rPr>
        <sz val="11"/>
        <color theme="1"/>
        <rFont val="Calibri"/>
        <family val="2"/>
        <charset val="1"/>
      </rPr>
      <t xml:space="preserve">1,449 </t>
    </r>
    <r>
      <rPr>
        <sz val="11"/>
        <color theme="1"/>
        <rFont val="Noto Sans CJK SC"/>
        <family val="2"/>
      </rPr>
      <t xml:space="preserve">億（緯穎月營收）</t>
    </r>
  </si>
  <si>
    <t xml:space="preserve">q_wgm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</si>
  <si>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緯穎毛利率</t>
    </r>
  </si>
  <si>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</si>
  <si>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t xml:space="preserve">q_wopm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</si>
  <si>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緯穎營業利益率</t>
    </r>
  </si>
  <si>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</si>
  <si>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新平台放量初期利潤率較低（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</si>
  <si>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q_wnio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</si>
  <si>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</si>
  <si>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0.77</t>
    </r>
    <r>
      <rPr>
        <sz val="11"/>
        <color theme="1"/>
        <rFont val="Noto Sans CJK SC"/>
        <family val="2"/>
      </rPr>
      <t xml:space="preserve">（緯穎）</t>
    </r>
  </si>
  <si>
    <t xml:space="preserve">q_sgm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</si>
  <si>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緯創本體毛利率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</si>
  <si>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3.91%</t>
    </r>
    <r>
      <rPr>
        <sz val="11"/>
        <color theme="1"/>
        <rFont val="Noto Sans CJK SC"/>
        <family val="2"/>
      </rPr>
      <t xml:space="preserve">（合併 − 緯穎推得）</t>
    </r>
  </si>
  <si>
    <r>
      <rPr>
        <sz val="11"/>
        <color theme="1"/>
        <rFont val="Noto Sans CJK SC"/>
        <family val="2"/>
      </rPr>
      <t xml:space="preserve">公司：營益率可望逐季改善（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</si>
  <si>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q_sopx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</si>
  <si>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</si>
  <si>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  <r>
      <rPr>
        <sz val="11"/>
        <color theme="1"/>
        <rFont val="Noto Sans CJK SC"/>
        <family val="2"/>
      </rPr>
      <t xml:space="preserve">（本體毛利 − 本體營業利益）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</si>
  <si>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</si>
  <si>
    <t xml:space="preserve">q_snio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</si>
  <si>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本體營業利益（含業外、稅、其他少數股權）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</si>
  <si>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匯損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億，凱基）、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</si>
  <si>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業外與稅前利益：未找到（公開摘要未列）</t>
  </si>
  <si>
    <t xml:space="preserve">stake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</si>
  <si>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</si>
  <si>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：緯創持有緯穎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</si>
  <si>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年緯穎現金增資最多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萬股（富果）</t>
    </r>
  </si>
  <si>
    <t xml:space="preserve">stake25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</si>
  <si>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拆分用）</t>
    </r>
  </si>
  <si>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37.68% </t>
    </r>
    <r>
      <rPr>
        <sz val="11"/>
        <color theme="1"/>
        <rFont val="Noto Sans CJK SC"/>
        <family val="2"/>
      </rPr>
      <t xml:space="preserve">之間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</si>
  <si>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本體淨利的拆分</t>
    </r>
  </si>
  <si>
    <t xml:space="preserve">q_sh3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</si>
  <si>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9-10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億股）</t>
    </r>
  </si>
  <si>
    <t xml:space="preserve">十億股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</si>
  <si>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新聞：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億股、每股約 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、募資約 </t>
    </r>
    <r>
      <rPr>
        <sz val="11"/>
        <color theme="1"/>
        <rFont val="Calibri"/>
        <family val="2"/>
        <charset val="1"/>
      </rPr>
      <t xml:space="preserve">NT$460 </t>
    </r>
    <r>
      <rPr>
        <sz val="11"/>
        <color theme="1"/>
        <rFont val="Noto Sans CJK SC"/>
        <family val="2"/>
      </rPr>
      <t xml:space="preserve">億、稀釋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日發行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</si>
  <si>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報價頁：發行前流通股數 </t>
    </r>
    <r>
      <rPr>
        <sz val="11"/>
        <color theme="1"/>
        <rFont val="Calibri"/>
        <family val="2"/>
        <charset val="1"/>
      </rPr>
      <t xml:space="preserve">3.18B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</si>
  <si>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</si>
  <si>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起股數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</si>
  <si>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</si>
  <si>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</si>
  <si>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緯創本體營業費用成長對本體營收成長的彈性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</si>
  <si>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</si>
  <si>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3.3%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</si>
  <si>
    <t xml:space="preserve">opx_adj</t>
  </si>
  <si>
    <r>
      <rPr>
        <sz val="11"/>
        <color theme="1"/>
        <rFont val="Noto Sans CJK SC"/>
        <family val="2"/>
      </rPr>
      <t xml:space="preserve">本體營業費用額外占本體營收比（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</si>
  <si>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</si>
  <si>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±10% </t>
    </r>
    <r>
      <rPr>
        <sz val="11"/>
        <color theme="1"/>
        <rFont val="Noto Sans CJK SC"/>
        <family val="2"/>
      </rPr>
      <t xml:space="preserve">本體營業利益</t>
    </r>
  </si>
  <si>
    <t xml:space="preserve">snio</t>
  </si>
  <si>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</si>
  <si>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q_snio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</si>
  <si>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</si>
  <si>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</si>
  <si>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3.43B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</si>
  <si>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</si>
  <si>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</si>
  <si>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</si>
  <si>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</si>
  <si>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</si>
  <si>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</si>
  <si>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</si>
  <si>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兆（區間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</si>
  <si>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</si>
  <si>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</si>
  <si>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</si>
  <si>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17.09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</si>
  <si>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：美系外資與本土投顧 </t>
    </r>
    <r>
      <rPr>
        <sz val="11"/>
        <color theme="1"/>
        <rFont val="Calibri"/>
        <family val="2"/>
        <charset val="1"/>
      </rPr>
      <t xml:space="preserve">16.67–17.65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</si>
  <si>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</si>
  <si>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（下限說法）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</si>
  <si>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：法人報告估 </t>
    </r>
    <r>
      <rPr>
        <sz val="11"/>
        <color theme="1"/>
        <rFont val="Calibri"/>
        <family val="2"/>
        <charset val="1"/>
      </rPr>
      <t xml:space="preserve">2027 EPS </t>
    </r>
    <r>
      <rPr>
        <sz val="11"/>
        <color theme="1"/>
        <rFont val="Noto Sans CJK SC"/>
        <family val="2"/>
      </rPr>
      <t xml:space="preserve">可望超過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元（未具名）</t>
    </r>
  </si>
  <si>
    <r>
      <rPr>
        <sz val="11"/>
        <color theme="1"/>
        <rFont val="Noto Sans CJK SC"/>
        <family val="2"/>
      </rPr>
      <t xml:space="preserve">較樂觀說法 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（同文，未具名）</t>
    </r>
  </si>
  <si>
    <t xml:space="preserve">b_eps27h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</si>
  <si>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（樂觀說法中點）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</si>
  <si>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（未具名）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</si>
  <si>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（付費）：未找到</t>
    </r>
  </si>
  <si>
    <t xml:space="preserve">k_eps26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</si>
  <si>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</si>
  <si>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</si>
  <si>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</si>
  <si>
    <t xml:space="preserve">k_eps27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</si>
  <si>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</si>
  <si>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t xml:space="preserve">k_racks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</si>
  <si>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出貨櫃數</t>
    </r>
  </si>
  <si>
    <t xml:space="preserve">千櫃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</si>
  <si>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）營收倍增以上，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</si>
  <si>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3.9–4.0 </t>
    </r>
    <r>
      <rPr>
        <sz val="11"/>
        <color theme="1"/>
        <rFont val="Noto Sans CJK SC"/>
        <family val="2"/>
      </rPr>
      <t xml:space="preserve">千櫃、</t>
    </r>
    <r>
      <rPr>
        <sz val="11"/>
        <color theme="1"/>
        <rFont val="Calibri"/>
        <family val="2"/>
        <charset val="1"/>
      </rPr>
      <t xml:space="preserve">2Q26F 4.0–4.2 </t>
    </r>
    <r>
      <rPr>
        <sz val="11"/>
        <color theme="1"/>
        <rFont val="Noto Sans CJK SC"/>
        <family val="2"/>
      </rPr>
      <t xml:space="preserve">千櫃（凱基）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</si>
  <si>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</si>
  <si>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</si>
  <si>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</si>
  <si>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</si>
  <si>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kw_rev26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</si>
  <si>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</si>
  <si>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</si>
  <si>
    <t xml:space="preserve">kw_rev27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</si>
  <si>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</si>
  <si>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t xml:space="preserve">kw_ni27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</si>
  <si>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</si>
  <si>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</si>
  <si>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</si>
  <si>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</si>
  <si>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財報狗個股頁：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2.56%</t>
    </r>
    <r>
      <rPr>
        <sz val="11"/>
        <color theme="1"/>
        <rFont val="Noto Sans CJK SC"/>
        <family val="2"/>
      </rPr>
      <t xml:space="preserve">）（財報狗）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</si>
  <si>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10-14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頁面同 </t>
    </r>
    <r>
      <rPr>
        <sz val="11"/>
        <color theme="1"/>
        <rFont val="Calibri"/>
        <family val="2"/>
        <charset val="1"/>
      </rPr>
      <t xml:space="preserve">190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</si>
  <si>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</si>
  <si>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</si>
  <si>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財報狗個股頁：近四季 </t>
    </r>
    <r>
      <rPr>
        <sz val="11"/>
        <color theme="1"/>
        <rFont val="Calibri"/>
        <family val="2"/>
        <charset val="1"/>
      </rPr>
      <t xml:space="preserve">EPS 12.59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</si>
  <si>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14.93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</si>
  <si>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</si>
  <si>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</si>
  <si>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擷取）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</si>
  <si>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</si>
  <si>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</si>
  <si>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9.93</t>
    </r>
    <r>
      <rPr>
        <sz val="11"/>
        <color theme="1"/>
        <rFont val="Noto Sans CJK SC"/>
        <family val="2"/>
      </rPr>
      <t xml:space="preserve">、價格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</si>
  <si>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</si>
  <si>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</si>
  <si>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</si>
  <si>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</si>
  <si>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；旺得富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240–243</t>
    </r>
  </si>
  <si>
    <t xml:space="preserve">nim_5y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</si>
  <si>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合併營收；只作參考）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</si>
  <si>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</si>
  <si>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）：未找到；收斂法改用最後一年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（工作單規則）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</si>
  <si>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</si>
  <si>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</si>
  <si>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</si>
  <si>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</si>
  <si>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</si>
  <si>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</si>
  <si>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</si>
  <si>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</si>
  <si>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</si>
  <si>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</si>
  <si>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</si>
  <si>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</si>
  <si>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</si>
  <si>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</si>
  <si>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</si>
  <si>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</si>
  <si>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</si>
  <si>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</si>
  <si>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</si>
  <si>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14.77%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</si>
  <si>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同（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</si>
  <si>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</si>
  <si>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</si>
  <si>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</si>
  <si>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</si>
  <si>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</si>
  <si>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</si>
  <si>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</si>
  <si>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</si>
  <si>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</si>
  <si>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</si>
  <si>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</si>
  <si>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</si>
  <si>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</si>
  <si>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</si>
  <si>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</si>
  <si>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與「十年平均替代值」的中點＝</t>
    </r>
    <r>
      <rPr>
        <sz val="11"/>
        <color theme="1"/>
        <rFont val="Calibri"/>
        <family val="2"/>
        <charset val="1"/>
      </rPr>
      <t xml:space="preserve">FY2029 × 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</si>
  <si>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</si>
  <si>
    <r>
      <rPr>
        <sz val="11"/>
        <color theme="1"/>
        <rFont val="Noto Sans CJK SC"/>
        <family val="2"/>
      </rPr>
      <t xml:space="preserve">近五年平均 </t>
    </r>
    <r>
      <rPr>
        <sz val="11"/>
        <color theme="1"/>
        <rFont val="Calibri"/>
        <family val="2"/>
        <charset val="1"/>
      </rPr>
      <t xml:space="preserve">nim_5y </t>
    </r>
    <r>
      <rPr>
        <sz val="11"/>
        <color theme="1"/>
        <rFont val="Noto Sans CJK SC"/>
        <family val="2"/>
      </rPr>
      <t xml:space="preserve">只作參考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</si>
  <si>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</si>
  <si>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淨利率收斂目標（十年平均未找到：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</si>
  <si>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工作單規則：找不到十年平均用最後一年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</si>
  <si>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</si>
  <si>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為新台幣；股數為十億股）。藍字＝輸入；黑字＝公式。合併＝緯創本體＋緯穎；本體＝合併 − 緯穎（含其他子公司，集團內交易未扣除）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</si>
  <si>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營收實績（緯創、緯穎月營收）＋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假設（緯穎毛利率與營益率、本體毛利率與費用率、淨利係數；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＋季增））。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毛利率、營益率由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與季增百分點推得。歸屬母公司淨利＝本體淨利＋持股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緯穎淨利；非控制權益＝（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緯穎淨利（其他子公司的少數股權併入本體係數）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</si>
  <si>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</si>
  <si>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</si>
  <si>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</si>
  <si>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</si>
  <si>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</si>
  <si>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</si>
  <si>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合併營收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</si>
  <si>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</si>
  <si>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財報頁、優分析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：鉅亨、優分析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</si>
  <si>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2,186.523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2Q26 8,954.43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（公司）</t>
    </r>
  </si>
  <si>
    <t xml:space="preserve">合併毛利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</si>
  <si>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</si>
  <si>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5.56%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0.45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</si>
  <si>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合併毛利率</t>
  </si>
  <si>
    <t xml:space="preserve">合併營業利益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</si>
  <si>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</si>
  <si>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3.74%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0.29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</si>
  <si>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合併營業利益率</t>
  </si>
  <si>
    <t xml:space="preserve">合併營業費用</t>
  </si>
  <si>
    <t xml:space="preserve">毛利 − 營業利益</t>
  </si>
  <si>
    <t xml:space="preserve">緯穎營收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</si>
  <si>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</si>
  <si>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緯穎：富果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法說、優分析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財報、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月營收</t>
    </r>
  </si>
  <si>
    <r>
      <rPr>
        <sz val="11"/>
        <color theme="1"/>
        <rFont val="Calibri"/>
        <family val="2"/>
        <charset val="1"/>
      </rPr>
      <t xml:space="preserve">FY2025 9,506.63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</si>
  <si>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緯穎毛利</t>
  </si>
  <si>
    <r>
      <rPr>
        <sz val="11"/>
        <color theme="1"/>
        <rFont val="Calibri"/>
        <family val="2"/>
        <charset val="1"/>
      </rPr>
      <t xml:space="preserve">FY2025 784.54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</si>
  <si>
    <t xml:space="preserve">緯穎營業利益</t>
  </si>
  <si>
    <r>
      <rPr>
        <sz val="11"/>
        <color theme="1"/>
        <rFont val="Calibri"/>
        <family val="2"/>
        <charset val="1"/>
      </rPr>
      <t xml:space="preserve">FY2025 639.18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</si>
  <si>
    <t xml:space="preserve">緯創本體營收（合併 − 緯穎）</t>
  </si>
  <si>
    <r>
      <rPr>
        <sz val="11"/>
        <color theme="1"/>
        <rFont val="Noto Sans CJK SC"/>
        <family val="2"/>
      </rPr>
      <t xml:space="preserve">集團內交易：未找到（假設為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</si>
  <si>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緯創本體毛利</t>
  </si>
  <si>
    <t xml:space="preserve">緯創本體營業利益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</si>
  <si>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、緯穎 </t>
    </r>
    <r>
      <rPr>
        <sz val="11"/>
        <color theme="1"/>
        <rFont val="Calibri"/>
        <family val="2"/>
        <charset val="1"/>
      </rPr>
      <t xml:space="preserve">6.3%</t>
    </r>
  </si>
  <si>
    <t xml:space="preserve">緯創本體營業費用</t>
  </si>
  <si>
    <t xml:space="preserve">緯穎淨利</t>
  </si>
  <si>
    <r>
      <rPr>
        <sz val="11"/>
        <color theme="1"/>
        <rFont val="Calibri"/>
        <family val="2"/>
        <charset val="1"/>
      </rPr>
      <t xml:space="preserve">FY2025 511.18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1H26 290.84 </t>
    </r>
    <r>
      <rPr>
        <sz val="11"/>
        <color theme="1"/>
        <rFont val="Noto Sans CJK SC"/>
        <family val="2"/>
      </rPr>
      <t xml:space="preserve">億（緯穎）</t>
    </r>
  </si>
  <si>
    <t xml:space="preserve">緯創持有緯穎比例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</si>
  <si>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</si>
  <si>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</si>
  <si>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</si>
  <si>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非控制權益（≈（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</si>
  <si>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其他子公司的少數股權併入本體係數</t>
  </si>
  <si>
    <t xml:space="preserve">公司揭露的非控制權益金額：未找到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</si>
  <si>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</si>
  <si>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</si>
  <si>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274.08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96.31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2Q26 148.27 </t>
    </r>
    <r>
      <rPr>
        <sz val="11"/>
        <color theme="1"/>
        <rFont val="Noto Sans CJK SC"/>
        <family val="2"/>
      </rPr>
      <t xml:space="preserve">億（公司稅後純益）</t>
    </r>
  </si>
  <si>
    <r>
      <rPr>
        <sz val="11"/>
        <color theme="1"/>
        <rFont val="Noto Sans CJK SC"/>
        <family val="2"/>
      </rPr>
      <t xml:space="preserve">緯創本體淨利（歸屬母公司淨利 − 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</si>
  <si>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合併淨利（含非控制權益）</t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</si>
  <si>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</si>
  <si>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</si>
  <si>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</si>
  <si>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</si>
  <si>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</si>
  <si>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4.72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</si>
  <si>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營收拆分（緯創本體與緯穎；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拆分未找到）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</si>
  <si>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</si>
  <si>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伺服器零組件超過千億</t>
    </r>
  </si>
  <si>
    <t xml:space="preserve">緯創本體：一般伺服器與交換器</t>
  </si>
  <si>
    <t xml:space="preserve">緯創本體：非伺服器（筆電、桌機、顯示器等）</t>
  </si>
  <si>
    <r>
      <rPr>
        <sz val="11"/>
        <color theme="1"/>
        <rFont val="Noto Sans CJK SC"/>
        <family val="2"/>
      </rPr>
      <t xml:space="preserve">凱基：伺服器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</si>
  <si>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；殘差）</t>
    </r>
  </si>
  <si>
    <t xml:space="preserve">本體營收 − 基板 − 一般伺服器 − 非伺服器</t>
  </si>
  <si>
    <t xml:space="preserve">公司未揭露：未找到</t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</si>
  <si>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</si>
  <si>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Noto Sans CJK SC"/>
        <family val="2"/>
      </rPr>
      <t xml:space="preserve">緯穎：略高於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</si>
  <si>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緯穎：非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</si>
  <si>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</si>
  <si>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</si>
  <si>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</si>
  <si>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</si>
  <si>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本體營業費用年增</t>
    </r>
  </si>
  <si>
    <r>
      <rPr>
        <sz val="11"/>
        <color theme="1"/>
        <rFont val="Noto Sans CJK SC"/>
        <family val="2"/>
      </rPr>
      <t xml:space="preserve">本體營業費用彈性（費用年增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</si>
  <si>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</si>
  <si>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</si>
  <si>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7.78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</si>
  <si>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緯穎營業利益（緯穎占比的倒數）</t>
    </r>
  </si>
  <si>
    <r>
      <rPr>
        <sz val="11"/>
        <color theme="1"/>
        <rFont val="Noto Sans CJK SC"/>
        <family val="2"/>
      </rPr>
      <t xml:space="preserve">隱含本體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系統出貨櫃數（千櫃；</t>
    </r>
    <r>
      <rPr>
        <sz val="11"/>
        <color theme="1"/>
        <rFont val="Calibri"/>
        <family val="2"/>
        <charset val="1"/>
      </rPr>
      <t xml:space="preserve">FY2026 ODM </t>
    </r>
    <r>
      <rPr>
        <sz val="11"/>
        <color theme="1"/>
        <rFont val="Noto Sans CJK SC"/>
        <family val="2"/>
      </rPr>
      <t xml:space="preserve">混合價格）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</si>
  <si>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伺服器組裝市場（與廣達模型同口徑）、緯創本體與緯穎份額、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</si>
  <si>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</si>
  <si>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</si>
  <si>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</si>
  <si>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</si>
  <si>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</si>
  <si>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</si>
  <si>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</si>
  <si>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</si>
  <si>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</si>
  <si>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價值相同；廣達模型口徑）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</si>
  <si>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</si>
  <si>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以本體營收殘差校準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</si>
  <si>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</si>
  <si>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</si>
  <si>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緯創合併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系統份額（本體＋緯穎）</t>
    </r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</si>
  <si>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</si>
  <si>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</si>
  <si>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鴻海有效份額（鴻海模型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</si>
  <si>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foxconn/dist/20261025_</t>
    </r>
    <r>
      <rPr>
        <sz val="11"/>
        <color theme="1"/>
        <rFont val="Noto Sans CJK SC"/>
        <family val="2"/>
      </rPr>
      <t xml:space="preserve">鴻海模型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</si>
  <si>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鴻海＋廣達＋緯創（含緯穎）合計有效份額</t>
  </si>
  <si>
    <r>
      <rPr>
        <sz val="11"/>
        <color theme="1"/>
        <rFont val="Noto Sans CJK SC"/>
        <family val="2"/>
      </rPr>
      <t xml:space="preserve">其餘為英業達、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</si>
  <si>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</si>
  <si>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t xml:space="preserve">扣除客供</t>
  </si>
  <si>
    <r>
      <rPr>
        <sz val="11"/>
        <color theme="1"/>
        <rFont val="Noto Sans CJK SC"/>
        <family val="2"/>
      </rPr>
      <t xml:space="preserve">隱含本體出貨櫃數（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</si>
  <si>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</si>
  <si>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</si>
  <si>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</si>
  <si>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</si>
  <si>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</si>
  <si>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</si>
  <si>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</si>
  <si>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</si>
  <si>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</si>
  <si>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Noto Sans CJK SC"/>
        <family val="2"/>
      </rPr>
      <t xml:space="preserve">讀法：有效份額為金額口徑（分母為全部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與其他組裝廠），低於櫃數份額。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基板只對應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顆數；基板份額與每顆金額是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金額取券商說法。緯穎以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機架為主，所以份額跟著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部署走。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</si>
  <si>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緯創損益（十億新台幣；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新台幣）。營收、毛利、營業利益為合併（含緯穎）；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用歸屬母公司淨利。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</si>
  <si>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</si>
  <si>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</si>
  <si>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</si>
  <si>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</si>
  <si>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</si>
  <si>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</si>
  <si>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</si>
  <si>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</si>
  <si>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</si>
  <si>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</si>
  <si>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</si>
  <si>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</si>
  <si>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  GPU </t>
    </r>
    <r>
      <rPr>
        <sz val="11"/>
        <color theme="1"/>
        <rFont val="Noto Sans CJK SC"/>
        <family val="2"/>
      </rPr>
      <t xml:space="preserve">基板與運算板</t>
    </r>
  </si>
  <si>
    <t xml:space="preserve">  緯穎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</si>
  <si>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</si>
  <si>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</si>
  <si>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</si>
  <si>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</si>
  <si>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</si>
  <si>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三情境：合併營收差（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</si>
  <si>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</si>
  <si>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：本體毛利差（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</si>
  <si>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</si>
  <si>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</si>
  <si>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</si>
  <si>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</si>
  <si>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</si>
  <si>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</si>
  <si>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</si>
  <si>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</si>
  <si>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</si>
  <si>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</si>
  <si>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系統（</t>
    </r>
    <r>
      <rPr>
        <b val="true"/>
        <sz val="11"/>
        <rFont val="Cambria"/>
        <family val="0"/>
        <charset val="1"/>
      </rPr>
      <t xml:space="preserve">L10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L11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</si>
  <si>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</si>
  <si>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：分子為本體營收殘差；分母含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機架與其他組裝廠，所以低於櫃數份額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</si>
  <si>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</si>
  <si>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</si>
  <si>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</si>
  <si>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</si>
  <si>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</si>
  <si>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</si>
  <si>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基板與運算板（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</si>
  <si>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，含情境係數）</t>
    </r>
  </si>
  <si>
    <t xml:space="preserve">緯創基板份額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</si>
  <si>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基板金額（緯創營收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</si>
  <si>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每顆金額指數 </t>
    </r>
    <r>
      <rPr>
        <sz val="11"/>
        <color theme="1"/>
        <rFont val="Calibri"/>
        <family val="2"/>
        <charset val="1"/>
      </rPr>
      <t xml:space="preserve">bv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</si>
  <si>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其他事業與合計</t>
    </r>
  </si>
  <si>
    <t xml:space="preserve">本體一般伺服器與交換器</t>
  </si>
  <si>
    <t xml:space="preserve">本體非伺服器（筆電、桌機、顯示器等）</t>
  </si>
  <si>
    <t xml:space="preserve">緯創本體營收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</si>
  <si>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</si>
  <si>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：緯穎營收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市場（緯穎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</si>
  <si>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</si>
  <si>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</si>
  <si>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</si>
  <si>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系統＋基板＋緯穎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</si>
  <si>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</si>
  <si>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隱含本體出貨櫃數（毛額價值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</si>
  <si>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</si>
  <si>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緯創本體損益</t>
    </r>
  </si>
  <si>
    <r>
      <rPr>
        <sz val="11"/>
        <color theme="1"/>
        <rFont val="Noto Sans CJK SC"/>
        <family val="2"/>
      </rPr>
      <t xml:space="preserve">非伺服器毛利率（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校準，其他部門＝此值＋差距）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</si>
  <si>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本體毛利等於錨點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</si>
  <si>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 ＝ 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</si>
  <si>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t xml:space="preserve">本體毛利</t>
  </si>
  <si>
    <t xml:space="preserve">本體毛利率</t>
  </si>
  <si>
    <t xml:space="preserve">本體營業費用成長（基準路徑）</t>
  </si>
  <si>
    <t xml:space="preserve">本體營業費用</t>
  </si>
  <si>
    <t xml:space="preserve">本體營業利益</t>
  </si>
  <si>
    <t xml:space="preserve">本體營業利益率</t>
  </si>
  <si>
    <t xml:space="preserve">本體淨利（歸屬緯創，不含緯穎持股收益）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</si>
  <si>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緯穎（合併子公司）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</si>
  <si>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合併與歸屬母公司</t>
    </r>
  </si>
  <si>
    <r>
      <rPr>
        <sz val="11"/>
        <color theme="1"/>
        <rFont val="Noto Sans CJK SC"/>
        <family val="2"/>
      </rPr>
      <t xml:space="preserve">非控制權益（（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</si>
  <si>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r>
      <rPr>
        <sz val="11"/>
        <color theme="1"/>
        <rFont val="Noto Sans CJK SC"/>
        <family val="2"/>
      </rPr>
      <t xml:space="preserve">緯穎對歸屬母公司淨利的貢獻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</si>
  <si>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</si>
  <si>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3.43B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</si>
  <si>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</si>
  <si>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</si>
  <si>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</si>
  <si>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</si>
  <si>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為歸屬母公司）。結論用「現價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</si>
  <si>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循環位置：緯創不是設備股，不套設備市場見頂年；以本模型營收最高的會計年度為見頂年（比照廣達、鴻海、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</si>
  <si>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</si>
  <si>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</si>
  <si>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</si>
  <si>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</si>
  <si>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</si>
  <si>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</si>
  <si>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頁各情境（歸屬母公司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</si>
  <si>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</si>
  <si>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</si>
  <si>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</si>
  <si>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</si>
  <si>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</si>
  <si>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</si>
  <si>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</si>
  <si>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</si>
  <si>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</si>
  <si>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</si>
  <si>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</si>
  <si>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</si>
  <si>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</si>
  <si>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</si>
  <si>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</si>
  <si>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</si>
  <si>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</si>
  <si>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</si>
  <si>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</si>
  <si>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</si>
  <si>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</si>
  <si>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</si>
  <si>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</si>
  <si>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</si>
  <si>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</si>
  <si>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</si>
  <si>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</si>
  <si>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</si>
  <si>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</si>
  <si>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</si>
  <si>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；緯創子公司）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</si>
  <si>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</si>
  <si>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</si>
  <si>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美超微（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）</t>
    </r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</si>
  <si>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</si>
  <si>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</si>
  <si>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</si>
  <si>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同業：廣達、鴻海、英業達、緯穎、美超微（券商常用比較組；不含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</si>
  <si>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</si>
  <si>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</si>
  <si>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</si>
  <si>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</si>
  <si>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</si>
  <si>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</si>
  <si>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</si>
  <si>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</si>
  <si>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</si>
  <si>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</si>
  <si>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</si>
  <si>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</si>
  <si>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</si>
  <si>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</si>
  <si>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</si>
  <si>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</si>
  <si>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</si>
  <si>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</si>
  <si>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</si>
  <si>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</si>
  <si>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缺）的分位（低於十年最小值記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</si>
  <si>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</si>
  <si>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：股東現金流＝歸屬母公司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明確期＋永續；組裝廠資本支出相對淨利不高，未改用淨利＋折舊－資本支出。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高於法人說法，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：廣達、鴻海、英業達、緯穎、美超微前瞻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股）；英業達價格日期為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月、緯穎為子公司，同業倍數低（伺服器組裝的低利潤率）。情境對應：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</si>
  <si>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</si>
  <si>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</si>
  <si>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</si>
  <si>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</si>
  <si>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</si>
  <si>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</si>
  <si>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</si>
  <si>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</si>
  <si>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</si>
  <si>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</si>
  <si>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</si>
  <si>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</si>
  <si>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</si>
  <si>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</si>
  <si>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</si>
  <si>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</si>
  <si>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</si>
  <si>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</si>
  <si>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</si>
  <si>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</si>
  <si>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</si>
  <si>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</si>
  <si>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</si>
  <si>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</si>
  <si>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</si>
  <si>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</si>
  <si>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</si>
  <si>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</si>
  <si>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</si>
  <si>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</si>
  <si>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</si>
  <si>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</si>
  <si>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</si>
  <si>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</si>
  <si>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兩來源皆未找到）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</si>
  <si>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</si>
  <si>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</si>
  <si>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</si>
  <si>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</si>
  <si>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</si>
  <si>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</si>
  <si>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</si>
  <si>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</si>
  <si>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</si>
  <si>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</si>
  <si>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</si>
  <si>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</si>
  <si>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</si>
  <si>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</si>
  <si>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</si>
  <si>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</si>
  <si>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年緯創以筆電代工為主（約 </t>
    </r>
    <r>
      <rPr>
        <sz val="11"/>
        <color theme="1"/>
        <rFont val="Calibri"/>
        <family val="2"/>
        <charset val="1"/>
      </rPr>
      <t xml:space="preserve">7–16x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</t>
    </r>
    <r>
      <rPr>
        <sz val="11"/>
        <color theme="1"/>
        <rFont val="Calibri"/>
        <family val="2"/>
        <charset val="1"/>
      </rPr>
      <t xml:space="preserve">17–24x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</si>
  <si>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</si>
  <si>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</si>
  <si>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</si>
  <si>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</si>
  <si>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</si>
  <si>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</si>
  <si>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</si>
  <si>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</si>
  <si>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</si>
  <si>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</si>
  <si>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</si>
  <si>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</si>
  <si>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</si>
  <si>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</si>
  <si>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</si>
  <si>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</si>
  <si>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</si>
  <si>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</si>
  <si>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</si>
  <si>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</si>
  <si>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</si>
  <si>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</si>
  <si>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</si>
  <si>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</si>
  <si>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</si>
  <si>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</si>
  <si>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</si>
  <si>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共識、券商估計與櫃數調查。只作事後對照，不為對上數字而調參數。券商多未具名或單一來源；共識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</si>
  <si>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</si>
  <si>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</si>
  <si>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</si>
  <si>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</si>
  <si>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</si>
  <si>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</si>
  <si>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</si>
  <si>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</si>
  <si>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</si>
  <si>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</si>
  <si>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09-16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</si>
  <si>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</si>
  <si>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營收創高後，共識可能上修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</si>
  <si>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</si>
  <si>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</si>
  <si>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法人下限說法（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元以上）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</si>
  <si>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法人樂觀說法中點（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</si>
  <si>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</si>
  <si>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財報前，偏舊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</si>
  <si>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</si>
  <si>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緯穎（子公司）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凱基緯穎報告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</si>
  <si>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</si>
  <si>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</si>
  <si>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緯穎月營收大增，高於凱基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</si>
  <si>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</si>
  <si>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</si>
  <si>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緯穎對歸屬母公司淨利的貢獻比重（模型）</t>
    </r>
  </si>
  <si>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37.68% ×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</si>
  <si>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櫃數與份額（機制檢查）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</si>
  <si>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隱含本體出貨櫃數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萬櫃（千櫃）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</si>
  <si>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系統營收為殘差；凱基口徑（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）不明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</si>
  <si>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</si>
  <si>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</si>
  <si>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</si>
  <si>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月調查年化櫃數（</t>
    </r>
    <r>
      <rPr>
        <sz val="11"/>
        <color theme="1"/>
        <rFont val="Calibri"/>
        <family val="2"/>
        <charset val="1"/>
      </rPr>
      <t xml:space="preserve">2,300–2,400 × 12</t>
    </r>
    <r>
      <rPr>
        <sz val="11"/>
        <color theme="1"/>
        <rFont val="Noto Sans CJK SC"/>
        <family val="2"/>
      </rPr>
      <t xml:space="preserve">；千櫃）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隱含本體櫃數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</si>
  <si>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</si>
  <si>
    <t xml:space="preserve">調查可能含緯穎或運算托盤口徑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</si>
  <si>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凱基「超過千億」（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</si>
  <si>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</si>
  <si>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本體一般伺服器與交換器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凱基交換器 </t>
    </r>
    <r>
      <rPr>
        <sz val="11"/>
        <color theme="1"/>
        <rFont val="Calibri"/>
        <family val="2"/>
        <charset val="1"/>
      </rPr>
      <t xml:space="preserve">160–180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</si>
  <si>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本模型含一般伺服器（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</si>
  <si>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合併與歸母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</si>
  <si>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合併淨利</t>
    </r>
  </si>
  <si>
    <t xml:space="preserve">合併淨利約四成歸緯穎的少數股東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</si>
  <si>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</si>
  <si>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</si>
  <si>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</si>
  <si>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</si>
  <si>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</si>
  <si>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恆等於錨點，份額與本體毛利率在每個案例內依錨點重算）：對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合併營收、合併毛利率與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</si>
  <si>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</si>
  <si>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</si>
  <si>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</si>
  <si>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</si>
  <si>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</si>
  <si>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</si>
  <si>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</si>
  <si>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</si>
  <si>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</si>
  <si>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</si>
  <si>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</si>
  <si>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</si>
  <si>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</si>
  <si>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</si>
  <si>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</si>
  <si>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本體份額流失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</si>
  <si>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</si>
  <si>
    <t xml:space="preserve">本體份額上升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</si>
  <si>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1.15</t>
    </r>
  </si>
  <si>
    <t xml:space="preserve">緯穎份額流失</t>
  </si>
  <si>
    <t xml:space="preserve">緯穎份額上升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</si>
  <si>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</si>
  <si>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</si>
  <si>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</si>
  <si>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</si>
  <si>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</si>
  <si>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</si>
  <si>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</si>
  <si>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</si>
  <si>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基板份額 低</t>
  </si>
  <si>
    <r>
      <rPr>
        <sz val="11"/>
        <color theme="1"/>
        <rFont val="Calibri"/>
        <family val="2"/>
        <charset val="1"/>
      </rPr>
      <t xml:space="preserve">2027 0.8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</si>
  <si>
    <t xml:space="preserve">基板每顆金額 高</t>
  </si>
  <si>
    <r>
      <rPr>
        <sz val="11"/>
        <color theme="1"/>
        <rFont val="Calibri"/>
        <family val="2"/>
        <charset val="1"/>
      </rPr>
      <t xml:space="preserve">2027 1.4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1.5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</si>
  <si>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</si>
  <si>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基準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</si>
  <si>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5.5%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</si>
  <si>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6.5%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</si>
  <si>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7.5%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</si>
  <si>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0.45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</si>
  <si>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0.56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</si>
  <si>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</si>
  <si>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緯穎持股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</si>
  <si>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</si>
  <si>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</si>
  <si>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</si>
  <si>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</si>
  <si>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</si>
  <si>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</si>
  <si>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</si>
  <si>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起。緯穎持股比例只影響歸屬母公司淨利（合併營收與毛利率不變）；客供案例同時改變營收與毛利率，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</si>
  <si>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</si>
  <si>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</si>
  <si>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</si>
  <si>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</si>
  <si>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</si>
  <si>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</si>
  <si>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</si>
  <si>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</si>
  <si>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</si>
  <si>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</si>
  <si>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</si>
  <si>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</si>
  <si>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</si>
  <si>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</si>
  <si>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</si>
  <si>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</si>
  <si>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</si>
  <si>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</si>
  <si>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</si>
  <si>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</si>
  <si>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</si>
  <si>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</si>
  <si>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</si>
  <si>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</si>
  <si>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</si>
  <si>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</si>
  <si>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</si>
  <si>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案例區塊：基板每顆金額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</si>
  <si>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</si>
  <si>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</si>
  <si>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7.5%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</si>
  <si>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0.45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</si>
  <si>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</si>
  <si>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案例區塊：緯穎持股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</si>
  <si>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</si>
  <si>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</si>
  <si>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伺服器展望、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GDR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</si>
  <si>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https://news.cnyes.com/news/id/6559382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</si>
  <si>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 </t>
    </r>
    <r>
      <rPr>
        <sz val="11"/>
        <color theme="1"/>
        <rFont val="Calibri"/>
        <family val="2"/>
        <charset val="1"/>
      </rPr>
      <t xml:space="preserve">244.58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7.78</t>
    </r>
    <r>
      <rPr>
        <sz val="11"/>
        <color theme="1"/>
        <rFont val="Noto Sans CJK SC"/>
        <family val="2"/>
      </rPr>
      <t xml:space="preserve">；資本支出）</t>
    </r>
  </si>
  <si>
    <t xml:space="preserve">https://uanalyze.com.tw/articles/5392152784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</si>
  <si>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兆、毛利率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274.08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9.04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</si>
  <si>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https://uanalyze.com.tw/articles/6054848921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</si>
  <si>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7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</si>
  <si>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https://finance.technews.tw/2026/08/07/wistron-3231-202607-financial-report/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</si>
  <si>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8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</si>
  <si>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https://finance.technews.tw/2026/09/09/wistron-3231-202608-financial-report/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</si>
  <si>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</si>
  <si>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https://finance.technews.tw/2026/10/08/wistron-3231-202609-financial-report/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</si>
  <si>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</si>
  <si>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https://uanalyze.com.tw/articles/5406456758</t>
  </si>
  <si>
    <r>
      <rPr>
        <sz val="11"/>
        <color theme="1"/>
        <rFont val="Noto Sans CJK SC"/>
        <family val="2"/>
      </rPr>
      <t xml:space="preserve">緯穎（摘要）：富果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營收、毛利、營業利益、淨利、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展望）</t>
    </r>
  </si>
  <si>
    <t xml:space="preserve">https://blog.fugle.tw/post/earnings-call-6669-2026-02-26-2</t>
  </si>
  <si>
    <r>
      <rPr>
        <sz val="11"/>
        <color theme="1"/>
        <rFont val="Noto Sans CJK SC"/>
        <family val="2"/>
      </rPr>
      <t xml:space="preserve">緯穎（摘要）：優分析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</si>
  <si>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</si>
  <si>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緯穎：月營收公告（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</si>
  <si>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</si>
  <si>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券商：凱基緯創報告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、伺服器占比、零組件、櫃數、交換器）</t>
    </r>
  </si>
  <si>
    <t xml:space="preserve">https://www.kgi.com.hk/zh-cn/-/media/files/kgishk/research-reports/tw-reports/wistron_3231-tt_08052026e.pdf</t>
  </si>
  <si>
    <r>
      <rPr>
        <sz val="11"/>
        <color theme="1"/>
        <rFont val="Noto Sans CJK SC"/>
        <family val="2"/>
      </rPr>
      <t xml:space="preserve">券商：凱基緯穎報告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2025A–2027F</t>
    </r>
    <r>
      <rPr>
        <sz val="11"/>
        <color theme="1"/>
        <rFont val="Noto Sans CJK SC"/>
        <family val="2"/>
      </rPr>
      <t xml:space="preserve">、緯創持股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</si>
  <si>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</si>
  <si>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（緯創持有緯穎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</si>
  <si>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https://www.cmoney.tw/notes/note-detail.aspx?nid=851483</t>
  </si>
  <si>
    <r>
      <rPr>
        <sz val="11"/>
        <color theme="1"/>
        <rFont val="Noto Sans CJK SC"/>
        <family val="2"/>
      </rPr>
      <t xml:space="preserve">媒體：財報狗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新聞（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億股、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）</t>
    </r>
  </si>
  <si>
    <t xml:space="preserve">https://statementdog.com/news/17618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</si>
  <si>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</si>
  <si>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</si>
  <si>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、目標價）</t>
    </r>
  </si>
  <si>
    <t xml:space="preserve">https://wantrich.chinatimes.com/news/20260810900002-420101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</si>
  <si>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</si>
  <si>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https://www.ctee.com.tw/news/20260805700302-430203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</si>
  <si>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</si>
  <si>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https://statementdog.com/analysis/3231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</si>
  <si>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報價頁（前瞻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、股數）</t>
    </r>
  </si>
  <si>
    <t xml:space="preserve">https://stockanalysis.com/quote/tpe/3231/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</si>
  <si>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</si>
  <si>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https://stockanalysis.com/quote/tpe/3231/forecast/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</si>
  <si>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</si>
  <si>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https://stockanalysis.com/quote/tpe/3231/financials/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</si>
  <si>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</si>
  <si>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https://stockanalysis.com/quote/tpe/3231/financials/ratios/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</si>
  <si>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</si>
  <si>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https://goodinfo.tw/tw/StockBzPerformance.asp?STOCK_ID=3231&amp;RPT_CAT=M_YEAR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</si>
  <si>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（廣達、鴻海、英業達、緯穎、美超微各報價頁）</t>
    </r>
  </si>
  <si>
    <r>
      <rPr>
        <sz val="11"/>
        <color theme="1"/>
        <rFont val="Calibri"/>
        <family val="2"/>
        <charset val="1"/>
      </rPr>
      <t xml:space="preserve">https://stockanalysis.com/quote/tpe/2382/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https://stockanalysis.com/quote/tpe/2317/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https://stockanalysis.com/quote/tpe/2356/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https://stockanalysis.com/quote/tpe/6669/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https://stockanalysis.com/stocks/smci/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</si>
  <si>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</si>
  <si>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foxconn/dist/20261025_</t>
    </r>
    <r>
      <rPr>
        <sz val="11"/>
        <color theme="1"/>
        <rFont val="Noto Sans CJK SC"/>
        <family val="2"/>
      </rPr>
      <t xml:space="preserve">鴻海模型</t>
    </r>
    <r>
      <rPr>
        <sz val="11"/>
        <color theme="1"/>
        <rFont val="Calibri"/>
        <family val="2"/>
        <charset val="1"/>
      </rPr>
      <t xml:space="preserve">_v0.2.xlsx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</si>
  <si>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）；緯創本體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基板、一般伺服器的金額（公司未揭露）；非控制權益金額；業外與稅前利益；客供比例的量化；</t>
    </r>
    <r>
      <rPr>
        <sz val="11"/>
        <color theme="1"/>
        <rFont val="Calibri"/>
        <family val="2"/>
        <charset val="1"/>
      </rPr>
      <t xml:space="preserve">2016 EPS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</si>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</sst>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%"/>
    <numFmt numFmtId="170" formatCode="#,##0.0"/>
    <numFmt numFmtId="171" formatCode="0.0"/>
    <numFmt numFmtId="172" formatCode="#,##0"/>
    <numFmt numFmtId="173" formatCode="#,##0.00"/>
    <numFmt numFmtId="174" formatCode="0.0000"/>
    <numFmt numFmtId="175" formatCode="0.000"/>
    <numFmt numFmtId="176" formatCode="@"/>
    <numFmt numFmtId="17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4" t="s">
        <v>15</v>
      </c>
    </row>
    <row r="3" customFormat="false" ht="17.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 customFormat="false" ht="17.15" hidden="false" customHeight="false" outlineLevel="0" collapsed="false">
      <c r="A4" s="6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0" t="s">
        <v>28</v>
      </c>
      <c r="E5" s="7" t="n">
        <v>781.872916666667</v>
      </c>
      <c r="G5" s="8" t="s">
        <v>29</v>
      </c>
      <c r="H5" s="8" t="s">
        <v>30</v>
      </c>
      <c r="I5" s="4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0" t="s">
        <v>28</v>
      </c>
      <c r="E6" s="7" t="n">
        <v>1565.35</v>
      </c>
      <c r="G6" s="8" t="s">
        <v>29</v>
      </c>
      <c r="H6" s="8" t="s">
        <v>30</v>
      </c>
      <c r="I6" s="4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28</v>
      </c>
      <c r="E7" s="7" t="n">
        <v>1984.26388888889</v>
      </c>
      <c r="G7" s="8" t="s">
        <v>29</v>
      </c>
      <c r="H7" s="8" t="s">
        <v>30</v>
      </c>
      <c r="I7" s="4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28</v>
      </c>
      <c r="E8" s="7" t="n">
        <v>2260.39027777778</v>
      </c>
      <c r="G8" s="8" t="s">
        <v>29</v>
      </c>
      <c r="H8" s="8" t="s">
        <v>30</v>
      </c>
      <c r="I8" s="4" t="s">
        <v>34</v>
      </c>
    </row>
    <row r="9" customFormat="false" ht="17.15" hidden="false" customHeight="false" outlineLevel="0" collapsed="false">
      <c r="A9" s="0" t="s">
        <v>39</v>
      </c>
      <c r="B9" s="4" t="s">
        <v>40</v>
      </c>
      <c r="C9" s="0" t="s">
        <v>28</v>
      </c>
      <c r="E9" s="7" t="n">
        <v>32.237224</v>
      </c>
      <c r="G9" s="8" t="s">
        <v>29</v>
      </c>
      <c r="H9" s="8" t="s">
        <v>41</v>
      </c>
      <c r="I9" s="8" t="s">
        <v>42</v>
      </c>
    </row>
    <row r="10" customFormat="false" ht="17.15" hidden="false" customHeight="false" outlineLevel="0" collapsed="false">
      <c r="A10" s="0" t="s">
        <v>43</v>
      </c>
      <c r="B10" s="4" t="s">
        <v>44</v>
      </c>
      <c r="C10" s="0" t="s">
        <v>28</v>
      </c>
      <c r="E10" s="7" t="n">
        <v>37.586352</v>
      </c>
      <c r="G10" s="8" t="s">
        <v>29</v>
      </c>
      <c r="H10" s="8" t="s">
        <v>41</v>
      </c>
      <c r="I10" s="4" t="s">
        <v>45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0" t="s">
        <v>48</v>
      </c>
      <c r="D11" s="7" t="n">
        <v>0.15</v>
      </c>
      <c r="E11" s="7" t="n">
        <v>0.22</v>
      </c>
      <c r="F11" s="7" t="n">
        <v>0.3</v>
      </c>
      <c r="G11" s="8" t="s">
        <v>29</v>
      </c>
      <c r="H11" s="8" t="s">
        <v>49</v>
      </c>
      <c r="I11" s="4" t="s">
        <v>50</v>
      </c>
    </row>
    <row r="12" customFormat="false" ht="17.15" hidden="false" customHeight="false" outlineLevel="0" collapsed="false">
      <c r="A12" s="0" t="s">
        <v>51</v>
      </c>
      <c r="B12" s="4" t="s">
        <v>52</v>
      </c>
      <c r="C12" s="4" t="s">
        <v>53</v>
      </c>
      <c r="E12" s="7" t="n">
        <v>6764</v>
      </c>
      <c r="G12" s="8" t="s">
        <v>29</v>
      </c>
      <c r="H12" s="8" t="s">
        <v>54</v>
      </c>
      <c r="I12" s="8" t="s">
        <v>55</v>
      </c>
    </row>
    <row r="13" customFormat="false" ht="17.15" hidden="false" customHeight="false" outlineLevel="0" collapsed="false">
      <c r="A13" s="0" t="s">
        <v>56</v>
      </c>
      <c r="B13" s="4" t="s">
        <v>57</v>
      </c>
      <c r="C13" s="4" t="s">
        <v>53</v>
      </c>
      <c r="E13" s="7" t="n">
        <v>4052</v>
      </c>
      <c r="G13" s="8" t="s">
        <v>29</v>
      </c>
      <c r="H13" s="8" t="s">
        <v>54</v>
      </c>
      <c r="I13" s="4" t="s">
        <v>34</v>
      </c>
    </row>
    <row r="14" customFormat="false" ht="17.15" hidden="false" customHeight="false" outlineLevel="0" collapsed="false">
      <c r="A14" s="0" t="s">
        <v>58</v>
      </c>
      <c r="B14" s="4" t="s">
        <v>59</v>
      </c>
      <c r="C14" s="0" t="s">
        <v>60</v>
      </c>
      <c r="E14" s="7" t="n">
        <v>1</v>
      </c>
      <c r="G14" s="8" t="s">
        <v>61</v>
      </c>
      <c r="H14" s="8" t="s">
        <v>62</v>
      </c>
      <c r="I14" s="8" t="s">
        <v>63</v>
      </c>
    </row>
    <row r="15" customFormat="false" ht="17.15" hidden="false" customHeight="false" outlineLevel="0" collapsed="false">
      <c r="A15" s="0" t="s">
        <v>64</v>
      </c>
      <c r="B15" s="4" t="s">
        <v>65</v>
      </c>
      <c r="C15" s="0" t="s">
        <v>60</v>
      </c>
      <c r="E15" s="7" t="n">
        <v>1</v>
      </c>
      <c r="G15" s="8" t="s">
        <v>61</v>
      </c>
      <c r="H15" s="8" t="s">
        <v>66</v>
      </c>
      <c r="I15" s="4" t="s">
        <v>34</v>
      </c>
    </row>
    <row r="16" customFormat="false" ht="17.15" hidden="false" customHeight="false" outlineLevel="0" collapsed="false">
      <c r="A16" s="0" t="s">
        <v>67</v>
      </c>
      <c r="B16" s="4" t="s">
        <v>68</v>
      </c>
      <c r="C16" s="0" t="s">
        <v>60</v>
      </c>
      <c r="E16" s="7" t="n">
        <v>0.8</v>
      </c>
      <c r="G16" s="8" t="s">
        <v>61</v>
      </c>
      <c r="H16" s="8" t="s">
        <v>69</v>
      </c>
      <c r="I16" s="8" t="s">
        <v>63</v>
      </c>
    </row>
    <row r="17" customFormat="false" ht="17.15" hidden="false" customHeight="false" outlineLevel="0" collapsed="false">
      <c r="A17" s="0" t="s">
        <v>70</v>
      </c>
      <c r="B17" s="4" t="s">
        <v>71</v>
      </c>
      <c r="C17" s="0" t="s">
        <v>60</v>
      </c>
      <c r="E17" s="7" t="n">
        <v>0.85</v>
      </c>
      <c r="G17" s="8" t="s">
        <v>61</v>
      </c>
      <c r="H17" s="8" t="s">
        <v>72</v>
      </c>
      <c r="I17" s="4" t="s">
        <v>34</v>
      </c>
    </row>
    <row r="18" customFormat="false" ht="17.15" hidden="false" customHeight="false" outlineLevel="0" collapsed="false">
      <c r="A18" s="0" t="s">
        <v>73</v>
      </c>
      <c r="B18" s="4" t="s">
        <v>74</v>
      </c>
      <c r="C18" s="0" t="s">
        <v>60</v>
      </c>
      <c r="E18" s="7" t="n">
        <v>0.6</v>
      </c>
      <c r="G18" s="8" t="s">
        <v>61</v>
      </c>
      <c r="H18" s="8" t="s">
        <v>75</v>
      </c>
      <c r="I18" s="8" t="s">
        <v>63</v>
      </c>
    </row>
    <row r="19" customFormat="false" ht="17.15" hidden="false" customHeight="false" outlineLevel="0" collapsed="false">
      <c r="A19" s="0" t="s">
        <v>76</v>
      </c>
      <c r="B19" s="4" t="s">
        <v>77</v>
      </c>
      <c r="C19" s="0" t="s">
        <v>60</v>
      </c>
      <c r="E19" s="7" t="n">
        <v>0.6</v>
      </c>
      <c r="G19" s="8" t="s">
        <v>61</v>
      </c>
      <c r="H19" s="8" t="s">
        <v>78</v>
      </c>
      <c r="I19" s="4" t="s">
        <v>34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4" t="s">
        <v>81</v>
      </c>
      <c r="E20" s="7" t="n">
        <v>8.35</v>
      </c>
      <c r="G20" s="8" t="s">
        <v>29</v>
      </c>
      <c r="H20" s="8" t="s">
        <v>82</v>
      </c>
      <c r="I20" s="8" t="s">
        <v>83</v>
      </c>
    </row>
    <row r="21" customFormat="false" ht="17.15" hidden="false" customHeight="false" outlineLevel="0" collapsed="false">
      <c r="A21" s="0" t="s">
        <v>84</v>
      </c>
      <c r="B21" s="0" t="s">
        <v>85</v>
      </c>
      <c r="C21" s="4" t="s">
        <v>81</v>
      </c>
      <c r="E21" s="7" t="n">
        <v>11.2</v>
      </c>
      <c r="G21" s="8" t="s">
        <v>29</v>
      </c>
      <c r="H21" s="4" t="s">
        <v>34</v>
      </c>
      <c r="I21" s="4" t="s">
        <v>34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4" t="s">
        <v>81</v>
      </c>
      <c r="E22" s="7" t="n">
        <v>11.5</v>
      </c>
      <c r="G22" s="8" t="s">
        <v>29</v>
      </c>
      <c r="H22" s="4" t="s">
        <v>34</v>
      </c>
      <c r="I22" s="4" t="s">
        <v>34</v>
      </c>
    </row>
    <row r="23" customFormat="false" ht="17.15" hidden="false" customHeight="false" outlineLevel="0" collapsed="false">
      <c r="A23" s="0" t="s">
        <v>88</v>
      </c>
      <c r="B23" s="0" t="s">
        <v>89</v>
      </c>
      <c r="C23" s="4" t="s">
        <v>81</v>
      </c>
      <c r="E23" s="7" t="n">
        <v>12.9</v>
      </c>
      <c r="G23" s="8" t="s">
        <v>29</v>
      </c>
      <c r="H23" s="4" t="s">
        <v>34</v>
      </c>
      <c r="I23" s="4" t="s">
        <v>34</v>
      </c>
    </row>
    <row r="24" customFormat="false" ht="17.15" hidden="false" customHeight="false" outlineLevel="0" collapsed="false">
      <c r="A24" s="0" t="s">
        <v>90</v>
      </c>
      <c r="B24" s="4" t="s">
        <v>91</v>
      </c>
      <c r="C24" s="0" t="s">
        <v>92</v>
      </c>
      <c r="D24" s="7" t="n">
        <v>30.5</v>
      </c>
      <c r="E24" s="7" t="n">
        <v>32</v>
      </c>
      <c r="F24" s="7" t="n">
        <v>33</v>
      </c>
      <c r="G24" s="8" t="s">
        <v>29</v>
      </c>
      <c r="H24" s="8" t="s">
        <v>93</v>
      </c>
      <c r="I24" s="4" t="s">
        <v>94</v>
      </c>
    </row>
    <row r="25" customFormat="false" ht="17.15" hidden="false" customHeight="false" outlineLevel="0" collapsed="false">
      <c r="A25" s="6" t="s">
        <v>95</v>
      </c>
    </row>
    <row r="26" customFormat="false" ht="17.15" hidden="false" customHeight="false" outlineLevel="0" collapsed="false">
      <c r="A26" s="0" t="s">
        <v>96</v>
      </c>
      <c r="B26" s="0" t="s">
        <v>97</v>
      </c>
      <c r="C26" s="0" t="s">
        <v>98</v>
      </c>
      <c r="D26" s="7" t="n">
        <v>3.6</v>
      </c>
      <c r="E26" s="7" t="n">
        <v>4</v>
      </c>
      <c r="F26" s="7" t="n">
        <v>4.3</v>
      </c>
      <c r="G26" s="8" t="s">
        <v>29</v>
      </c>
      <c r="H26" s="8" t="s">
        <v>99</v>
      </c>
      <c r="I26" s="4" t="s">
        <v>100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0" t="s">
        <v>98</v>
      </c>
      <c r="D27" s="7" t="n">
        <v>6.5</v>
      </c>
      <c r="E27" s="7" t="n">
        <v>6.75</v>
      </c>
      <c r="F27" s="7" t="n">
        <v>7</v>
      </c>
      <c r="G27" s="8" t="s">
        <v>29</v>
      </c>
      <c r="H27" s="8" t="s">
        <v>103</v>
      </c>
      <c r="I27" s="4" t="s">
        <v>34</v>
      </c>
    </row>
    <row r="28" customFormat="false" ht="17.15" hidden="false" customHeight="false" outlineLevel="0" collapsed="false">
      <c r="A28" s="0" t="s">
        <v>104</v>
      </c>
      <c r="B28" s="4" t="s">
        <v>105</v>
      </c>
      <c r="C28" s="0" t="s">
        <v>60</v>
      </c>
      <c r="D28" s="7" t="n">
        <v>0.85</v>
      </c>
      <c r="E28" s="7" t="n">
        <v>1</v>
      </c>
      <c r="F28" s="7" t="n">
        <v>1.2</v>
      </c>
      <c r="G28" s="8" t="s">
        <v>61</v>
      </c>
      <c r="H28" s="8" t="s">
        <v>106</v>
      </c>
      <c r="I28" s="4" t="s">
        <v>107</v>
      </c>
    </row>
    <row r="29" customFormat="false" ht="17.15" hidden="false" customHeight="false" outlineLevel="0" collapsed="false">
      <c r="A29" s="0" t="s">
        <v>108</v>
      </c>
      <c r="B29" s="4" t="s">
        <v>109</v>
      </c>
      <c r="C29" s="0" t="s">
        <v>60</v>
      </c>
      <c r="D29" s="7" t="n">
        <v>0.85</v>
      </c>
      <c r="E29" s="7" t="n">
        <v>1</v>
      </c>
      <c r="F29" s="7" t="n">
        <v>1.2</v>
      </c>
      <c r="G29" s="8" t="s">
        <v>61</v>
      </c>
      <c r="H29" s="8" t="s">
        <v>110</v>
      </c>
      <c r="I29" s="4" t="s">
        <v>34</v>
      </c>
    </row>
    <row r="30" customFormat="false" ht="17.15" hidden="false" customHeight="false" outlineLevel="0" collapsed="false">
      <c r="A30" s="0" t="s">
        <v>111</v>
      </c>
      <c r="B30" s="4" t="s">
        <v>112</v>
      </c>
      <c r="C30" s="0" t="s">
        <v>48</v>
      </c>
      <c r="D30" s="7" t="n">
        <v>0</v>
      </c>
      <c r="E30" s="7" t="n">
        <v>0.1</v>
      </c>
      <c r="F30" s="7" t="n">
        <v>0.25</v>
      </c>
      <c r="G30" s="8" t="s">
        <v>61</v>
      </c>
      <c r="H30" s="8" t="s">
        <v>113</v>
      </c>
      <c r="I30" s="4" t="s">
        <v>114</v>
      </c>
    </row>
    <row r="31" customFormat="false" ht="17.15" hidden="false" customHeight="false" outlineLevel="0" collapsed="false">
      <c r="A31" s="0" t="s">
        <v>115</v>
      </c>
      <c r="B31" s="4" t="s">
        <v>116</v>
      </c>
      <c r="C31" s="0" t="s">
        <v>48</v>
      </c>
      <c r="D31" s="7" t="n">
        <v>0</v>
      </c>
      <c r="E31" s="7" t="n">
        <v>0.2</v>
      </c>
      <c r="F31" s="7" t="n">
        <v>0.4</v>
      </c>
      <c r="G31" s="8" t="s">
        <v>61</v>
      </c>
      <c r="H31" s="8" t="s">
        <v>117</v>
      </c>
      <c r="I31" s="4" t="s">
        <v>34</v>
      </c>
    </row>
    <row r="32" customFormat="false" ht="17.15" hidden="false" customHeight="false" outlineLevel="0" collapsed="false">
      <c r="A32" s="0" t="s">
        <v>118</v>
      </c>
      <c r="B32" s="4" t="s">
        <v>119</v>
      </c>
      <c r="C32" s="0" t="s">
        <v>48</v>
      </c>
      <c r="D32" s="7" t="n">
        <v>0</v>
      </c>
      <c r="E32" s="7" t="n">
        <v>0.25</v>
      </c>
      <c r="F32" s="7" t="n">
        <v>0.5</v>
      </c>
      <c r="G32" s="8" t="s">
        <v>61</v>
      </c>
      <c r="H32" s="8" t="s">
        <v>120</v>
      </c>
      <c r="I32" s="4" t="s">
        <v>34</v>
      </c>
    </row>
    <row r="33" customFormat="false" ht="17.15" hidden="false" customHeight="false" outlineLevel="0" collapsed="false">
      <c r="A33" s="0" t="s">
        <v>121</v>
      </c>
      <c r="B33" s="4" t="s">
        <v>122</v>
      </c>
      <c r="C33" s="0" t="s">
        <v>60</v>
      </c>
      <c r="D33" s="7" t="n">
        <v>0.7</v>
      </c>
      <c r="E33" s="7" t="n">
        <v>0.9</v>
      </c>
      <c r="F33" s="7" t="n">
        <v>1</v>
      </c>
      <c r="G33" s="8" t="s">
        <v>61</v>
      </c>
      <c r="H33" s="8" t="s">
        <v>123</v>
      </c>
      <c r="I33" s="4" t="s">
        <v>124</v>
      </c>
    </row>
    <row r="34" customFormat="false" ht="17.15" hidden="false" customHeight="false" outlineLevel="0" collapsed="false">
      <c r="A34" s="0" t="s">
        <v>125</v>
      </c>
      <c r="B34" s="4" t="s">
        <v>126</v>
      </c>
      <c r="C34" s="0" t="s">
        <v>60</v>
      </c>
      <c r="D34" s="7" t="n">
        <v>0.85</v>
      </c>
      <c r="E34" s="7" t="n">
        <v>1</v>
      </c>
      <c r="F34" s="7" t="n">
        <v>1.15</v>
      </c>
      <c r="G34" s="8" t="s">
        <v>61</v>
      </c>
      <c r="H34" s="4" t="s">
        <v>127</v>
      </c>
      <c r="I34" s="4" t="s">
        <v>128</v>
      </c>
    </row>
    <row r="35" customFormat="false" ht="17.15" hidden="false" customHeight="false" outlineLevel="0" collapsed="false">
      <c r="A35" s="0" t="s">
        <v>129</v>
      </c>
      <c r="B35" s="4" t="s">
        <v>130</v>
      </c>
      <c r="C35" s="0" t="s">
        <v>60</v>
      </c>
      <c r="D35" s="7" t="n">
        <v>0.75</v>
      </c>
      <c r="E35" s="7" t="n">
        <v>0.95</v>
      </c>
      <c r="F35" s="7" t="n">
        <v>1.15</v>
      </c>
      <c r="G35" s="8" t="s">
        <v>61</v>
      </c>
      <c r="H35" s="4" t="s">
        <v>131</v>
      </c>
      <c r="I35" s="8" t="s">
        <v>132</v>
      </c>
    </row>
    <row r="36" customFormat="false" ht="17.15" hidden="false" customHeight="false" outlineLevel="0" collapsed="false">
      <c r="A36" s="0" t="s">
        <v>133</v>
      </c>
      <c r="B36" s="4" t="s">
        <v>134</v>
      </c>
      <c r="C36" s="0" t="s">
        <v>60</v>
      </c>
      <c r="D36" s="7" t="n">
        <v>0.7</v>
      </c>
      <c r="E36" s="7" t="n">
        <v>0.9</v>
      </c>
      <c r="F36" s="7" t="n">
        <v>1.15</v>
      </c>
      <c r="G36" s="8" t="s">
        <v>61</v>
      </c>
      <c r="H36" s="4" t="s">
        <v>34</v>
      </c>
      <c r="I36" s="8" t="s">
        <v>132</v>
      </c>
    </row>
    <row r="37" customFormat="false" ht="17.15" hidden="false" customHeight="false" outlineLevel="0" collapsed="false">
      <c r="A37" s="0" t="s">
        <v>135</v>
      </c>
      <c r="B37" s="4" t="s">
        <v>136</v>
      </c>
      <c r="C37" s="0" t="s">
        <v>60</v>
      </c>
      <c r="D37" s="7" t="n">
        <v>0.85</v>
      </c>
      <c r="E37" s="7" t="n">
        <v>1</v>
      </c>
      <c r="F37" s="7" t="n">
        <v>1.2</v>
      </c>
      <c r="G37" s="8" t="s">
        <v>61</v>
      </c>
      <c r="H37" s="4" t="s">
        <v>137</v>
      </c>
      <c r="I37" s="4" t="s">
        <v>138</v>
      </c>
    </row>
    <row r="38" customFormat="false" ht="17.15" hidden="false" customHeight="false" outlineLevel="0" collapsed="false">
      <c r="A38" s="0" t="s">
        <v>139</v>
      </c>
      <c r="B38" s="4" t="s">
        <v>140</v>
      </c>
      <c r="C38" s="0" t="s">
        <v>60</v>
      </c>
      <c r="D38" s="7" t="n">
        <v>0.75</v>
      </c>
      <c r="E38" s="7" t="n">
        <v>1</v>
      </c>
      <c r="F38" s="7" t="n">
        <v>1.2</v>
      </c>
      <c r="G38" s="8" t="s">
        <v>61</v>
      </c>
      <c r="H38" s="4" t="s">
        <v>141</v>
      </c>
      <c r="I38" s="8" t="s">
        <v>132</v>
      </c>
    </row>
    <row r="39" customFormat="false" ht="17.15" hidden="false" customHeight="false" outlineLevel="0" collapsed="false">
      <c r="A39" s="0" t="s">
        <v>142</v>
      </c>
      <c r="B39" s="4" t="s">
        <v>143</v>
      </c>
      <c r="C39" s="0" t="s">
        <v>60</v>
      </c>
      <c r="D39" s="7" t="n">
        <v>0.7</v>
      </c>
      <c r="E39" s="7" t="n">
        <v>0.95</v>
      </c>
      <c r="F39" s="7" t="n">
        <v>1.2</v>
      </c>
      <c r="G39" s="8" t="s">
        <v>61</v>
      </c>
      <c r="H39" s="4" t="s">
        <v>34</v>
      </c>
      <c r="I39" s="8" t="s">
        <v>132</v>
      </c>
    </row>
    <row r="40" customFormat="false" ht="17.15" hidden="false" customHeight="false" outlineLevel="0" collapsed="false">
      <c r="A40" s="6" t="s">
        <v>144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147</v>
      </c>
      <c r="D41" s="7" t="n">
        <v>100</v>
      </c>
      <c r="E41" s="7" t="n">
        <v>110</v>
      </c>
      <c r="F41" s="7" t="n">
        <v>140</v>
      </c>
      <c r="G41" s="8" t="s">
        <v>148</v>
      </c>
      <c r="H41" s="4" t="s">
        <v>149</v>
      </c>
      <c r="I41" s="4" t="s">
        <v>150</v>
      </c>
    </row>
    <row r="42" customFormat="false" ht="17.15" hidden="false" customHeight="false" outlineLevel="0" collapsed="false">
      <c r="A42" s="0" t="s">
        <v>151</v>
      </c>
      <c r="B42" s="4" t="s">
        <v>152</v>
      </c>
      <c r="C42" s="0" t="s">
        <v>48</v>
      </c>
      <c r="D42" s="7" t="n">
        <v>0.35</v>
      </c>
      <c r="E42" s="7" t="n">
        <v>0.5</v>
      </c>
      <c r="F42" s="7" t="n">
        <v>0.7</v>
      </c>
      <c r="G42" s="8" t="s">
        <v>61</v>
      </c>
      <c r="H42" s="4" t="s">
        <v>153</v>
      </c>
      <c r="I42" s="8" t="s">
        <v>154</v>
      </c>
    </row>
    <row r="43" customFormat="false" ht="17.15" hidden="false" customHeight="false" outlineLevel="0" collapsed="false">
      <c r="A43" s="0" t="s">
        <v>155</v>
      </c>
      <c r="B43" s="4" t="s">
        <v>156</v>
      </c>
      <c r="C43" s="0" t="s">
        <v>60</v>
      </c>
      <c r="D43" s="7" t="n">
        <v>1</v>
      </c>
      <c r="E43" s="7" t="n">
        <v>1.15</v>
      </c>
      <c r="F43" s="7" t="n">
        <v>1.4</v>
      </c>
      <c r="G43" s="8" t="s">
        <v>61</v>
      </c>
      <c r="H43" s="8" t="s">
        <v>157</v>
      </c>
      <c r="I43" s="4" t="s">
        <v>158</v>
      </c>
    </row>
    <row r="44" customFormat="false" ht="17.15" hidden="false" customHeight="false" outlineLevel="0" collapsed="false">
      <c r="A44" s="0" t="s">
        <v>159</v>
      </c>
      <c r="B44" s="4" t="s">
        <v>160</v>
      </c>
      <c r="C44" s="0" t="s">
        <v>60</v>
      </c>
      <c r="D44" s="7" t="n">
        <v>1</v>
      </c>
      <c r="E44" s="7" t="n">
        <v>1.2</v>
      </c>
      <c r="F44" s="7" t="n">
        <v>1.5</v>
      </c>
      <c r="G44" s="8" t="s">
        <v>61</v>
      </c>
      <c r="H44" s="4" t="s">
        <v>34</v>
      </c>
      <c r="I44" s="8" t="s">
        <v>132</v>
      </c>
    </row>
    <row r="45" customFormat="false" ht="17.15" hidden="false" customHeight="false" outlineLevel="0" collapsed="false">
      <c r="A45" s="0" t="s">
        <v>161</v>
      </c>
      <c r="B45" s="4" t="s">
        <v>162</v>
      </c>
      <c r="C45" s="0" t="s">
        <v>60</v>
      </c>
      <c r="D45" s="7" t="n">
        <v>1</v>
      </c>
      <c r="E45" s="7" t="n">
        <v>1.2</v>
      </c>
      <c r="F45" s="7" t="n">
        <v>1.5</v>
      </c>
      <c r="G45" s="8" t="s">
        <v>61</v>
      </c>
      <c r="H45" s="4" t="s">
        <v>34</v>
      </c>
      <c r="I45" s="8" t="s">
        <v>132</v>
      </c>
    </row>
    <row r="46" customFormat="false" ht="17.15" hidden="false" customHeight="false" outlineLevel="0" collapsed="false">
      <c r="A46" s="0" t="s">
        <v>163</v>
      </c>
      <c r="B46" s="0" t="s">
        <v>164</v>
      </c>
      <c r="C46" s="0" t="s">
        <v>60</v>
      </c>
      <c r="D46" s="7" t="n">
        <v>0.8</v>
      </c>
      <c r="E46" s="7" t="n">
        <v>1</v>
      </c>
      <c r="F46" s="7" t="n">
        <v>1.1</v>
      </c>
      <c r="G46" s="8" t="s">
        <v>61</v>
      </c>
      <c r="H46" s="4" t="s">
        <v>165</v>
      </c>
      <c r="I46" s="4" t="s">
        <v>166</v>
      </c>
    </row>
    <row r="47" customFormat="false" ht="17.15" hidden="false" customHeight="false" outlineLevel="0" collapsed="false">
      <c r="A47" s="0" t="s">
        <v>167</v>
      </c>
      <c r="B47" s="0" t="s">
        <v>168</v>
      </c>
      <c r="C47" s="0" t="s">
        <v>60</v>
      </c>
      <c r="D47" s="7" t="n">
        <v>0.7</v>
      </c>
      <c r="E47" s="7" t="n">
        <v>0.95</v>
      </c>
      <c r="F47" s="7" t="n">
        <v>1.1</v>
      </c>
      <c r="G47" s="8" t="s">
        <v>61</v>
      </c>
      <c r="H47" s="4" t="s">
        <v>34</v>
      </c>
      <c r="I47" s="8" t="s">
        <v>132</v>
      </c>
    </row>
    <row r="48" customFormat="false" ht="17.15" hidden="false" customHeight="false" outlineLevel="0" collapsed="false">
      <c r="A48" s="0" t="s">
        <v>169</v>
      </c>
      <c r="B48" s="0" t="s">
        <v>170</v>
      </c>
      <c r="C48" s="0" t="s">
        <v>60</v>
      </c>
      <c r="D48" s="7" t="n">
        <v>0.65</v>
      </c>
      <c r="E48" s="7" t="n">
        <v>0.9</v>
      </c>
      <c r="F48" s="7" t="n">
        <v>1.1</v>
      </c>
      <c r="G48" s="8" t="s">
        <v>61</v>
      </c>
      <c r="H48" s="4" t="s">
        <v>34</v>
      </c>
      <c r="I48" s="8" t="s">
        <v>132</v>
      </c>
    </row>
    <row r="49" customFormat="false" ht="17.15" hidden="false" customHeight="false" outlineLevel="0" collapsed="false">
      <c r="A49" s="6" t="s">
        <v>171</v>
      </c>
    </row>
    <row r="50" customFormat="false" ht="17.15" hidden="false" customHeight="false" outlineLevel="0" collapsed="false">
      <c r="A50" s="0" t="s">
        <v>172</v>
      </c>
      <c r="B50" s="0" t="s">
        <v>173</v>
      </c>
      <c r="C50" s="0" t="s">
        <v>48</v>
      </c>
      <c r="D50" s="7" t="n">
        <v>0.13</v>
      </c>
      <c r="E50" s="7" t="n">
        <v>0.15</v>
      </c>
      <c r="F50" s="7" t="n">
        <v>0.18</v>
      </c>
      <c r="G50" s="8" t="s">
        <v>148</v>
      </c>
      <c r="H50" s="4" t="s">
        <v>174</v>
      </c>
      <c r="I50" s="4" t="s">
        <v>175</v>
      </c>
    </row>
    <row r="51" customFormat="false" ht="17.15" hidden="false" customHeight="false" outlineLevel="0" collapsed="false">
      <c r="A51" s="0" t="s">
        <v>176</v>
      </c>
      <c r="B51" s="0" t="s">
        <v>177</v>
      </c>
      <c r="C51" s="0" t="s">
        <v>147</v>
      </c>
      <c r="D51" s="7" t="n">
        <v>80</v>
      </c>
      <c r="E51" s="7" t="n">
        <v>150</v>
      </c>
      <c r="F51" s="7" t="n">
        <v>250</v>
      </c>
      <c r="G51" s="8" t="s">
        <v>61</v>
      </c>
      <c r="H51" s="4" t="s">
        <v>178</v>
      </c>
      <c r="I51" s="4" t="s">
        <v>179</v>
      </c>
    </row>
    <row r="52" customFormat="false" ht="17.15" hidden="false" customHeight="false" outlineLevel="0" collapsed="false">
      <c r="A52" s="0" t="s">
        <v>180</v>
      </c>
      <c r="B52" s="0" t="s">
        <v>181</v>
      </c>
      <c r="C52" s="0" t="s">
        <v>48</v>
      </c>
      <c r="D52" s="7" t="n">
        <v>0.5</v>
      </c>
      <c r="E52" s="7" t="n">
        <v>0.55</v>
      </c>
      <c r="F52" s="7" t="n">
        <v>0.65</v>
      </c>
      <c r="G52" s="8" t="s">
        <v>148</v>
      </c>
      <c r="H52" s="4" t="s">
        <v>182</v>
      </c>
      <c r="I52" s="8" t="s">
        <v>183</v>
      </c>
    </row>
    <row r="53" customFormat="false" ht="17.15" hidden="false" customHeight="false" outlineLevel="0" collapsed="false">
      <c r="A53" s="0" t="s">
        <v>184</v>
      </c>
      <c r="B53" s="4" t="s">
        <v>185</v>
      </c>
      <c r="C53" s="0" t="s">
        <v>48</v>
      </c>
      <c r="D53" s="7" t="n">
        <v>0</v>
      </c>
      <c r="E53" s="7" t="n">
        <v>0.2</v>
      </c>
      <c r="F53" s="7" t="n">
        <v>0.4</v>
      </c>
      <c r="G53" s="8" t="s">
        <v>61</v>
      </c>
      <c r="H53" s="4" t="s">
        <v>186</v>
      </c>
      <c r="I53" s="8" t="s">
        <v>132</v>
      </c>
    </row>
    <row r="54" customFormat="false" ht="17.15" hidden="false" customHeight="false" outlineLevel="0" collapsed="false">
      <c r="A54" s="0" t="s">
        <v>187</v>
      </c>
      <c r="B54" s="4" t="s">
        <v>188</v>
      </c>
      <c r="C54" s="0" t="s">
        <v>48</v>
      </c>
      <c r="D54" s="7" t="n">
        <v>-0.05</v>
      </c>
      <c r="E54" s="7" t="n">
        <v>0.1</v>
      </c>
      <c r="F54" s="7" t="n">
        <v>0.25</v>
      </c>
      <c r="G54" s="8" t="s">
        <v>61</v>
      </c>
      <c r="H54" s="4" t="s">
        <v>34</v>
      </c>
      <c r="I54" s="8" t="s">
        <v>132</v>
      </c>
    </row>
    <row r="55" customFormat="false" ht="17.15" hidden="false" customHeight="false" outlineLevel="0" collapsed="false">
      <c r="A55" s="0" t="s">
        <v>189</v>
      </c>
      <c r="B55" s="4" t="s">
        <v>190</v>
      </c>
      <c r="C55" s="0" t="s">
        <v>48</v>
      </c>
      <c r="D55" s="7" t="n">
        <v>-0.05</v>
      </c>
      <c r="E55" s="7" t="n">
        <v>0.08</v>
      </c>
      <c r="F55" s="7" t="n">
        <v>0.2</v>
      </c>
      <c r="G55" s="8" t="s">
        <v>61</v>
      </c>
      <c r="H55" s="4" t="s">
        <v>34</v>
      </c>
      <c r="I55" s="8" t="s">
        <v>132</v>
      </c>
    </row>
    <row r="56" customFormat="false" ht="17.15" hidden="false" customHeight="false" outlineLevel="0" collapsed="false">
      <c r="A56" s="0" t="s">
        <v>191</v>
      </c>
      <c r="B56" s="4" t="s">
        <v>192</v>
      </c>
      <c r="C56" s="0" t="s">
        <v>48</v>
      </c>
      <c r="D56" s="7" t="n">
        <v>-0.15</v>
      </c>
      <c r="E56" s="7" t="n">
        <v>-0.03</v>
      </c>
      <c r="F56" s="7" t="n">
        <v>0.05</v>
      </c>
      <c r="G56" s="8" t="s">
        <v>61</v>
      </c>
      <c r="H56" s="4" t="s">
        <v>193</v>
      </c>
      <c r="I56" s="8" t="s">
        <v>132</v>
      </c>
    </row>
    <row r="57" customFormat="false" ht="17.15" hidden="false" customHeight="false" outlineLevel="0" collapsed="false">
      <c r="A57" s="0" t="s">
        <v>194</v>
      </c>
      <c r="B57" s="4" t="s">
        <v>195</v>
      </c>
      <c r="C57" s="0" t="s">
        <v>48</v>
      </c>
      <c r="D57" s="7" t="n">
        <v>-0.1</v>
      </c>
      <c r="E57" s="7" t="n">
        <v>0</v>
      </c>
      <c r="F57" s="7" t="n">
        <v>0.05</v>
      </c>
      <c r="G57" s="8" t="s">
        <v>61</v>
      </c>
      <c r="H57" s="4" t="s">
        <v>34</v>
      </c>
      <c r="I57" s="8" t="s">
        <v>132</v>
      </c>
    </row>
    <row r="58" customFormat="false" ht="17.15" hidden="false" customHeight="false" outlineLevel="0" collapsed="false">
      <c r="A58" s="0" t="s">
        <v>196</v>
      </c>
      <c r="B58" s="4" t="s">
        <v>197</v>
      </c>
      <c r="C58" s="0" t="s">
        <v>48</v>
      </c>
      <c r="D58" s="7" t="n">
        <v>-0.1</v>
      </c>
      <c r="E58" s="7" t="n">
        <v>0</v>
      </c>
      <c r="F58" s="7" t="n">
        <v>0.05</v>
      </c>
      <c r="G58" s="8" t="s">
        <v>61</v>
      </c>
      <c r="H58" s="4" t="s">
        <v>34</v>
      </c>
      <c r="I58" s="8" t="s">
        <v>132</v>
      </c>
    </row>
    <row r="59" customFormat="false" ht="17.15" hidden="false" customHeight="false" outlineLevel="0" collapsed="false">
      <c r="A59" s="0" t="s">
        <v>198</v>
      </c>
      <c r="B59" s="4" t="s">
        <v>199</v>
      </c>
      <c r="C59" s="0" t="s">
        <v>48</v>
      </c>
      <c r="D59" s="7" t="n">
        <v>0</v>
      </c>
      <c r="E59" s="7" t="n">
        <v>0.1</v>
      </c>
      <c r="F59" s="7" t="n">
        <v>0.25</v>
      </c>
      <c r="G59" s="8" t="s">
        <v>61</v>
      </c>
      <c r="H59" s="4" t="s">
        <v>200</v>
      </c>
      <c r="I59" s="8" t="s">
        <v>132</v>
      </c>
    </row>
    <row r="60" customFormat="false" ht="17.15" hidden="false" customHeight="false" outlineLevel="0" collapsed="false">
      <c r="A60" s="0" t="s">
        <v>201</v>
      </c>
      <c r="B60" s="4" t="s">
        <v>202</v>
      </c>
      <c r="C60" s="0" t="s">
        <v>48</v>
      </c>
      <c r="D60" s="7" t="n">
        <v>-0.05</v>
      </c>
      <c r="E60" s="7" t="n">
        <v>0.06</v>
      </c>
      <c r="F60" s="7" t="n">
        <v>0.2</v>
      </c>
      <c r="G60" s="8" t="s">
        <v>61</v>
      </c>
      <c r="H60" s="4" t="s">
        <v>34</v>
      </c>
      <c r="I60" s="8" t="s">
        <v>132</v>
      </c>
    </row>
    <row r="61" customFormat="false" ht="17.15" hidden="false" customHeight="false" outlineLevel="0" collapsed="false">
      <c r="A61" s="0" t="s">
        <v>203</v>
      </c>
      <c r="B61" s="4" t="s">
        <v>204</v>
      </c>
      <c r="C61" s="0" t="s">
        <v>48</v>
      </c>
      <c r="D61" s="7" t="n">
        <v>-0.05</v>
      </c>
      <c r="E61" s="7" t="n">
        <v>0.05</v>
      </c>
      <c r="F61" s="7" t="n">
        <v>0.15</v>
      </c>
      <c r="G61" s="8" t="s">
        <v>61</v>
      </c>
      <c r="H61" s="4" t="s">
        <v>34</v>
      </c>
      <c r="I61" s="8" t="s">
        <v>132</v>
      </c>
    </row>
    <row r="62" customFormat="false" ht="17.15" hidden="false" customHeight="false" outlineLevel="0" collapsed="false">
      <c r="A62" s="6" t="s">
        <v>205</v>
      </c>
    </row>
    <row r="63" customFormat="false" ht="17.15" hidden="false" customHeight="false" outlineLevel="0" collapsed="false">
      <c r="A63" s="0" t="s">
        <v>206</v>
      </c>
      <c r="B63" s="4" t="s">
        <v>207</v>
      </c>
      <c r="C63" s="0" t="s">
        <v>208</v>
      </c>
      <c r="D63" s="7" t="n">
        <v>-0.02</v>
      </c>
      <c r="E63" s="7" t="n">
        <v>-0.01</v>
      </c>
      <c r="F63" s="7" t="n">
        <v>0</v>
      </c>
      <c r="G63" s="8" t="s">
        <v>61</v>
      </c>
      <c r="H63" s="4" t="s">
        <v>209</v>
      </c>
      <c r="I63" s="4" t="s">
        <v>210</v>
      </c>
    </row>
    <row r="64" customFormat="false" ht="17.15" hidden="false" customHeight="false" outlineLevel="0" collapsed="false">
      <c r="A64" s="0" t="s">
        <v>211</v>
      </c>
      <c r="B64" s="0" t="s">
        <v>212</v>
      </c>
      <c r="C64" s="0" t="s">
        <v>208</v>
      </c>
      <c r="D64" s="7" t="n">
        <v>0.01</v>
      </c>
      <c r="E64" s="7" t="n">
        <v>0.03</v>
      </c>
      <c r="F64" s="7" t="n">
        <v>0.05</v>
      </c>
      <c r="G64" s="8" t="s">
        <v>61</v>
      </c>
      <c r="H64" s="4" t="s">
        <v>213</v>
      </c>
      <c r="I64" s="4" t="s">
        <v>214</v>
      </c>
    </row>
    <row r="65" customFormat="false" ht="17.15" hidden="false" customHeight="false" outlineLevel="0" collapsed="false">
      <c r="A65" s="0" t="s">
        <v>215</v>
      </c>
      <c r="B65" s="4" t="s">
        <v>216</v>
      </c>
      <c r="C65" s="0" t="s">
        <v>208</v>
      </c>
      <c r="D65" s="7" t="n">
        <v>0</v>
      </c>
      <c r="E65" s="7" t="n">
        <v>0.015</v>
      </c>
      <c r="F65" s="7" t="n">
        <v>0.03</v>
      </c>
      <c r="G65" s="8" t="s">
        <v>61</v>
      </c>
      <c r="H65" s="4" t="s">
        <v>217</v>
      </c>
      <c r="I65" s="4" t="s">
        <v>214</v>
      </c>
    </row>
    <row r="66" customFormat="false" ht="17.15" hidden="false" customHeight="false" outlineLevel="0" collapsed="false">
      <c r="A66" s="0" t="s">
        <v>218</v>
      </c>
      <c r="B66" s="0" t="s">
        <v>219</v>
      </c>
      <c r="C66" s="0" t="s">
        <v>208</v>
      </c>
      <c r="D66" s="7" t="n">
        <v>-0.005</v>
      </c>
      <c r="E66" s="7" t="n">
        <v>-0.002</v>
      </c>
      <c r="F66" s="7" t="n">
        <v>0</v>
      </c>
      <c r="G66" s="8" t="s">
        <v>61</v>
      </c>
      <c r="H66" s="4" t="s">
        <v>220</v>
      </c>
      <c r="I66" s="4" t="s">
        <v>221</v>
      </c>
    </row>
    <row r="67" customFormat="false" ht="17.15" hidden="false" customHeight="false" outlineLevel="0" collapsed="false">
      <c r="A67" s="0" t="s">
        <v>222</v>
      </c>
      <c r="B67" s="4" t="s">
        <v>223</v>
      </c>
      <c r="C67" s="0" t="s">
        <v>48</v>
      </c>
      <c r="D67" s="7" t="n">
        <v>0.075</v>
      </c>
      <c r="E67" s="7" t="n">
        <v>0.085</v>
      </c>
      <c r="F67" s="7" t="n">
        <v>0.095</v>
      </c>
      <c r="G67" s="8" t="s">
        <v>148</v>
      </c>
      <c r="H67" s="4" t="s">
        <v>224</v>
      </c>
      <c r="I67" s="4" t="s">
        <v>225</v>
      </c>
    </row>
    <row r="68" customFormat="false" ht="17.15" hidden="false" customHeight="false" outlineLevel="0" collapsed="false">
      <c r="A68" s="0" t="s">
        <v>226</v>
      </c>
      <c r="B68" s="4" t="s">
        <v>227</v>
      </c>
      <c r="C68" s="0" t="s">
        <v>48</v>
      </c>
      <c r="D68" s="7" t="n">
        <v>0.055</v>
      </c>
      <c r="E68" s="7" t="n">
        <v>0.065</v>
      </c>
      <c r="F68" s="7" t="n">
        <v>0.075</v>
      </c>
      <c r="G68" s="8" t="s">
        <v>61</v>
      </c>
      <c r="H68" s="8" t="s">
        <v>228</v>
      </c>
      <c r="I68" s="4" t="s">
        <v>229</v>
      </c>
    </row>
    <row r="69" customFormat="false" ht="17.15" hidden="false" customHeight="false" outlineLevel="0" collapsed="false">
      <c r="A69" s="0" t="s">
        <v>230</v>
      </c>
      <c r="B69" s="4" t="s">
        <v>231</v>
      </c>
      <c r="C69" s="0" t="s">
        <v>48</v>
      </c>
      <c r="D69" s="7" t="n">
        <v>0.74</v>
      </c>
      <c r="E69" s="7" t="n">
        <v>0.78</v>
      </c>
      <c r="F69" s="7" t="n">
        <v>0.82</v>
      </c>
      <c r="G69" s="8" t="s">
        <v>29</v>
      </c>
      <c r="H69" s="8" t="s">
        <v>232</v>
      </c>
      <c r="I69" s="8" t="s">
        <v>132</v>
      </c>
    </row>
    <row r="70" customFormat="false" ht="17.15" hidden="false" customHeight="false" outlineLevel="0" collapsed="false">
      <c r="A70" s="6" t="s">
        <v>233</v>
      </c>
    </row>
    <row r="71" customFormat="false" ht="17.15" hidden="false" customHeight="false" outlineLevel="0" collapsed="false">
      <c r="A71" s="0" t="s">
        <v>234</v>
      </c>
      <c r="B71" s="0" t="s">
        <v>235</v>
      </c>
      <c r="C71" s="0" t="s">
        <v>147</v>
      </c>
      <c r="E71" s="0" t="n">
        <f aca="false">308.219+460.065+380.806</f>
        <v>1149.09</v>
      </c>
      <c r="G71" s="0" t="s">
        <v>236</v>
      </c>
      <c r="H71" s="0" t="s">
        <v>237</v>
      </c>
      <c r="I71" s="4" t="s">
        <v>238</v>
      </c>
    </row>
    <row r="72" customFormat="false" ht="17.15" hidden="false" customHeight="false" outlineLevel="0" collapsed="false">
      <c r="A72" s="0" t="s">
        <v>239</v>
      </c>
      <c r="B72" s="0" t="s">
        <v>240</v>
      </c>
      <c r="C72" s="0" t="s">
        <v>48</v>
      </c>
      <c r="D72" s="7" t="n">
        <v>-0.08</v>
      </c>
      <c r="E72" s="7" t="n">
        <v>0.05</v>
      </c>
      <c r="F72" s="7" t="n">
        <v>0.15</v>
      </c>
      <c r="G72" s="8" t="s">
        <v>148</v>
      </c>
      <c r="H72" s="8" t="s">
        <v>241</v>
      </c>
      <c r="I72" s="4" t="s">
        <v>242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0" t="s">
        <v>147</v>
      </c>
      <c r="E73" s="0" t="n">
        <f aca="false">989.278-554.66</f>
        <v>434.618</v>
      </c>
      <c r="G73" s="0" t="s">
        <v>236</v>
      </c>
      <c r="H73" s="0" t="s">
        <v>245</v>
      </c>
      <c r="I73" s="4" t="s">
        <v>246</v>
      </c>
    </row>
    <row r="74" customFormat="false" ht="17.15" hidden="false" customHeight="false" outlineLevel="0" collapsed="false">
      <c r="A74" s="0" t="s">
        <v>247</v>
      </c>
      <c r="B74" s="0" t="s">
        <v>248</v>
      </c>
      <c r="C74" s="0" t="s">
        <v>48</v>
      </c>
      <c r="D74" s="7" t="n">
        <v>-0.1</v>
      </c>
      <c r="E74" s="7" t="n">
        <v>0.05</v>
      </c>
      <c r="F74" s="7" t="n">
        <v>0.15</v>
      </c>
      <c r="G74" s="8" t="s">
        <v>61</v>
      </c>
      <c r="H74" s="8" t="s">
        <v>249</v>
      </c>
      <c r="I74" s="8" t="s">
        <v>132</v>
      </c>
    </row>
    <row r="75" customFormat="false" ht="17.15" hidden="false" customHeight="false" outlineLevel="0" collapsed="false">
      <c r="A75" s="0" t="s">
        <v>250</v>
      </c>
      <c r="B75" s="0" t="s">
        <v>251</v>
      </c>
      <c r="C75" s="0" t="s">
        <v>48</v>
      </c>
      <c r="D75" s="7" t="n">
        <v>0.08</v>
      </c>
      <c r="E75" s="7" t="n">
        <v>0.088</v>
      </c>
      <c r="F75" s="7" t="n">
        <v>0.095</v>
      </c>
      <c r="G75" s="8" t="s">
        <v>148</v>
      </c>
      <c r="H75" s="8" t="s">
        <v>252</v>
      </c>
      <c r="I75" s="8" t="s">
        <v>132</v>
      </c>
    </row>
    <row r="76" customFormat="false" ht="17.15" hidden="false" customHeight="false" outlineLevel="0" collapsed="false">
      <c r="A76" s="0" t="s">
        <v>253</v>
      </c>
      <c r="B76" s="0" t="s">
        <v>254</v>
      </c>
      <c r="C76" s="0" t="s">
        <v>48</v>
      </c>
      <c r="D76" s="7" t="n">
        <v>0.06</v>
      </c>
      <c r="E76" s="7" t="n">
        <v>0.068</v>
      </c>
      <c r="F76" s="7" t="n">
        <v>0.075</v>
      </c>
      <c r="G76" s="8" t="s">
        <v>148</v>
      </c>
      <c r="H76" s="8" t="s">
        <v>255</v>
      </c>
      <c r="I76" s="4" t="s">
        <v>256</v>
      </c>
    </row>
    <row r="77" customFormat="false" ht="17.15" hidden="false" customHeight="false" outlineLevel="0" collapsed="false">
      <c r="A77" s="0" t="s">
        <v>257</v>
      </c>
      <c r="B77" s="0" t="s">
        <v>258</v>
      </c>
      <c r="C77" s="0" t="s">
        <v>48</v>
      </c>
      <c r="D77" s="7" t="n">
        <v>0.74</v>
      </c>
      <c r="E77" s="7" t="n">
        <v>0.77</v>
      </c>
      <c r="F77" s="7" t="n">
        <v>0.8</v>
      </c>
      <c r="G77" s="8" t="s">
        <v>29</v>
      </c>
      <c r="H77" s="8" t="s">
        <v>259</v>
      </c>
      <c r="I77" s="8" t="s">
        <v>132</v>
      </c>
    </row>
    <row r="78" customFormat="false" ht="17.15" hidden="false" customHeight="false" outlineLevel="0" collapsed="false">
      <c r="A78" s="0" t="s">
        <v>260</v>
      </c>
      <c r="B78" s="0" t="s">
        <v>261</v>
      </c>
      <c r="C78" s="0" t="s">
        <v>48</v>
      </c>
      <c r="D78" s="7" t="n">
        <v>0.036</v>
      </c>
      <c r="E78" s="7" t="n">
        <v>0.039</v>
      </c>
      <c r="F78" s="7" t="n">
        <v>0.042</v>
      </c>
      <c r="G78" s="8" t="s">
        <v>29</v>
      </c>
      <c r="H78" s="8" t="s">
        <v>262</v>
      </c>
      <c r="I78" s="4" t="s">
        <v>263</v>
      </c>
    </row>
    <row r="79" customFormat="false" ht="17.15" hidden="false" customHeight="false" outlineLevel="0" collapsed="false">
      <c r="A79" s="0" t="s">
        <v>264</v>
      </c>
      <c r="B79" s="0" t="s">
        <v>265</v>
      </c>
      <c r="C79" s="0" t="s">
        <v>48</v>
      </c>
      <c r="D79" s="7" t="n">
        <v>0.016</v>
      </c>
      <c r="E79" s="7" t="n">
        <v>0.0175</v>
      </c>
      <c r="F79" s="7" t="n">
        <v>0.019</v>
      </c>
      <c r="G79" s="8" t="s">
        <v>29</v>
      </c>
      <c r="H79" s="8" t="s">
        <v>266</v>
      </c>
      <c r="I79" s="4" t="s">
        <v>267</v>
      </c>
    </row>
    <row r="80" customFormat="false" ht="17.15" hidden="false" customHeight="false" outlineLevel="0" collapsed="false">
      <c r="A80" s="0" t="s">
        <v>268</v>
      </c>
      <c r="B80" s="0" t="s">
        <v>269</v>
      </c>
      <c r="C80" s="0" t="s">
        <v>48</v>
      </c>
      <c r="D80" s="7" t="n">
        <v>0.45</v>
      </c>
      <c r="E80" s="7" t="n">
        <v>0.56</v>
      </c>
      <c r="F80" s="7" t="n">
        <v>0.65</v>
      </c>
      <c r="G80" s="8" t="s">
        <v>29</v>
      </c>
      <c r="H80" s="8" t="s">
        <v>270</v>
      </c>
      <c r="I80" s="4" t="s">
        <v>271</v>
      </c>
    </row>
    <row r="81" customFormat="false" ht="17.15" hidden="false" customHeight="false" outlineLevel="0" collapsed="false">
      <c r="A81" s="0" t="s">
        <v>272</v>
      </c>
      <c r="B81" s="4" t="s">
        <v>273</v>
      </c>
      <c r="C81" s="0" t="s">
        <v>48</v>
      </c>
      <c r="D81" s="7" t="n">
        <v>0.35</v>
      </c>
      <c r="E81" s="7" t="n">
        <v>0.3768</v>
      </c>
      <c r="F81" s="7" t="n">
        <v>0.43</v>
      </c>
      <c r="G81" s="8" t="s">
        <v>148</v>
      </c>
      <c r="H81" s="4" t="s">
        <v>274</v>
      </c>
      <c r="I81" s="8" t="s">
        <v>275</v>
      </c>
    </row>
    <row r="82" customFormat="false" ht="17.15" hidden="false" customHeight="false" outlineLevel="0" collapsed="false">
      <c r="A82" s="0" t="s">
        <v>276</v>
      </c>
      <c r="B82" s="4" t="s">
        <v>277</v>
      </c>
      <c r="C82" s="0" t="s">
        <v>48</v>
      </c>
      <c r="D82" s="7" t="n">
        <v>0.3768</v>
      </c>
      <c r="E82" s="7" t="n">
        <v>0.4</v>
      </c>
      <c r="F82" s="7" t="n">
        <v>0.4266</v>
      </c>
      <c r="G82" s="8" t="s">
        <v>61</v>
      </c>
      <c r="H82" s="4" t="s">
        <v>278</v>
      </c>
      <c r="I82" s="4" t="s">
        <v>279</v>
      </c>
    </row>
    <row r="83" customFormat="false" ht="17.15" hidden="false" customHeight="false" outlineLevel="0" collapsed="false">
      <c r="A83" s="0" t="s">
        <v>280</v>
      </c>
      <c r="B83" s="0" t="s">
        <v>281</v>
      </c>
      <c r="C83" s="4" t="s">
        <v>282</v>
      </c>
      <c r="E83" s="0" t="n">
        <f aca="false">3.18+0.25*21/92</f>
        <v>3.2370652173913</v>
      </c>
      <c r="G83" s="0" t="s">
        <v>29</v>
      </c>
      <c r="H83" s="4" t="s">
        <v>283</v>
      </c>
      <c r="I83" s="0" t="s">
        <v>284</v>
      </c>
    </row>
    <row r="84" customFormat="false" ht="17.15" hidden="false" customHeight="false" outlineLevel="0" collapsed="false">
      <c r="A84" s="0" t="s">
        <v>285</v>
      </c>
      <c r="B84" s="0" t="s">
        <v>286</v>
      </c>
      <c r="C84" s="4" t="s">
        <v>282</v>
      </c>
      <c r="E84" s="0" t="n">
        <f aca="false">3.18+0.25</f>
        <v>3.43</v>
      </c>
      <c r="G84" s="0" t="s">
        <v>29</v>
      </c>
      <c r="H84" s="4" t="s">
        <v>34</v>
      </c>
      <c r="I84" s="0" t="s">
        <v>132</v>
      </c>
    </row>
    <row r="85" customFormat="false" ht="17.15" hidden="false" customHeight="false" outlineLevel="0" collapsed="false">
      <c r="A85" s="6" t="s">
        <v>287</v>
      </c>
    </row>
    <row r="86" customFormat="false" ht="17.15" hidden="false" customHeight="false" outlineLevel="0" collapsed="false">
      <c r="A86" s="0" t="s">
        <v>288</v>
      </c>
      <c r="B86" s="4" t="s">
        <v>289</v>
      </c>
      <c r="C86" s="0" t="s">
        <v>60</v>
      </c>
      <c r="D86" s="7" t="n">
        <v>0.15</v>
      </c>
      <c r="E86" s="7" t="n">
        <v>0.3</v>
      </c>
      <c r="F86" s="7" t="n">
        <v>0.6</v>
      </c>
      <c r="G86" s="8" t="s">
        <v>29</v>
      </c>
      <c r="H86" s="8" t="s">
        <v>290</v>
      </c>
      <c r="I86" s="4" t="s">
        <v>291</v>
      </c>
    </row>
    <row r="87" customFormat="false" ht="17.15" hidden="false" customHeight="false" outlineLevel="0" collapsed="false">
      <c r="A87" s="0" t="s">
        <v>292</v>
      </c>
      <c r="B87" s="4" t="s">
        <v>293</v>
      </c>
      <c r="C87" s="0" t="s">
        <v>208</v>
      </c>
      <c r="D87" s="7" t="n">
        <v>-0.002</v>
      </c>
      <c r="E87" s="7" t="n">
        <v>0</v>
      </c>
      <c r="F87" s="7" t="n">
        <v>0.002</v>
      </c>
      <c r="G87" s="8" t="s">
        <v>61</v>
      </c>
      <c r="H87" s="4" t="s">
        <v>294</v>
      </c>
      <c r="I87" s="4" t="s">
        <v>295</v>
      </c>
    </row>
    <row r="88" customFormat="false" ht="17.15" hidden="false" customHeight="false" outlineLevel="0" collapsed="false">
      <c r="A88" s="0" t="s">
        <v>296</v>
      </c>
      <c r="B88" s="4" t="s">
        <v>297</v>
      </c>
      <c r="C88" s="0" t="s">
        <v>48</v>
      </c>
      <c r="D88" s="7" t="n">
        <v>0.45</v>
      </c>
      <c r="E88" s="7" t="n">
        <v>0.56</v>
      </c>
      <c r="F88" s="7" t="n">
        <v>0.65</v>
      </c>
      <c r="G88" s="8" t="s">
        <v>29</v>
      </c>
      <c r="H88" s="4" t="s">
        <v>298</v>
      </c>
      <c r="I88" s="8" t="s">
        <v>132</v>
      </c>
    </row>
    <row r="89" customFormat="false" ht="17.15" hidden="false" customHeight="false" outlineLevel="0" collapsed="false">
      <c r="A89" s="0" t="s">
        <v>299</v>
      </c>
      <c r="B89" s="4" t="s">
        <v>300</v>
      </c>
      <c r="C89" s="0" t="s">
        <v>48</v>
      </c>
      <c r="D89" s="7" t="n">
        <v>0</v>
      </c>
      <c r="E89" s="7" t="n">
        <v>0</v>
      </c>
      <c r="F89" s="7" t="n">
        <v>0.01</v>
      </c>
      <c r="G89" s="8" t="s">
        <v>61</v>
      </c>
      <c r="H89" s="8" t="s">
        <v>301</v>
      </c>
      <c r="I89" s="8" t="s">
        <v>132</v>
      </c>
    </row>
    <row r="90" customFormat="false" ht="17.15" hidden="false" customHeight="false" outlineLevel="0" collapsed="false">
      <c r="A90" s="0" t="s">
        <v>302</v>
      </c>
      <c r="B90" s="0" t="s">
        <v>303</v>
      </c>
      <c r="C90" s="0" t="s">
        <v>60</v>
      </c>
      <c r="D90" s="7" t="n">
        <v>0.8</v>
      </c>
      <c r="E90" s="7" t="n">
        <v>1</v>
      </c>
      <c r="F90" s="7" t="n">
        <v>1.2</v>
      </c>
      <c r="G90" s="8" t="s">
        <v>61</v>
      </c>
      <c r="H90" s="4" t="s">
        <v>304</v>
      </c>
      <c r="I90" s="8" t="s">
        <v>305</v>
      </c>
    </row>
    <row r="91" customFormat="false" ht="17.15" hidden="false" customHeight="false" outlineLevel="0" collapsed="false">
      <c r="A91" s="6" t="s">
        <v>306</v>
      </c>
    </row>
    <row r="92" customFormat="false" ht="17.15" hidden="false" customHeight="false" outlineLevel="0" collapsed="false">
      <c r="A92" s="0" t="s">
        <v>307</v>
      </c>
      <c r="B92" s="4" t="s">
        <v>308</v>
      </c>
      <c r="C92" s="0" t="s">
        <v>147</v>
      </c>
      <c r="D92" s="7" t="n">
        <v>4000</v>
      </c>
      <c r="E92" s="7" t="n">
        <v>4100</v>
      </c>
      <c r="F92" s="7" t="n">
        <v>4200</v>
      </c>
      <c r="G92" s="8" t="s">
        <v>148</v>
      </c>
      <c r="H92" s="8" t="s">
        <v>309</v>
      </c>
      <c r="I92" s="8" t="s">
        <v>132</v>
      </c>
    </row>
    <row r="93" customFormat="false" ht="17.15" hidden="false" customHeight="false" outlineLevel="0" collapsed="false">
      <c r="A93" s="0" t="s">
        <v>310</v>
      </c>
      <c r="B93" s="4" t="s">
        <v>311</v>
      </c>
      <c r="C93" s="0" t="s">
        <v>312</v>
      </c>
      <c r="D93" s="7" t="n">
        <v>16.14</v>
      </c>
      <c r="E93" s="7" t="n">
        <v>17.09</v>
      </c>
      <c r="F93" s="7" t="n">
        <v>18.14</v>
      </c>
      <c r="G93" s="8" t="s">
        <v>148</v>
      </c>
      <c r="H93" s="8" t="s">
        <v>313</v>
      </c>
      <c r="I93" s="4" t="s">
        <v>314</v>
      </c>
    </row>
    <row r="94" customFormat="false" ht="17.15" hidden="false" customHeight="false" outlineLevel="0" collapsed="false">
      <c r="A94" s="0" t="s">
        <v>315</v>
      </c>
      <c r="B94" s="4" t="s">
        <v>316</v>
      </c>
      <c r="C94" s="0" t="s">
        <v>312</v>
      </c>
      <c r="E94" s="7" t="n">
        <v>20</v>
      </c>
      <c r="G94" s="8" t="s">
        <v>148</v>
      </c>
      <c r="H94" s="4" t="s">
        <v>317</v>
      </c>
      <c r="I94" s="4" t="s">
        <v>318</v>
      </c>
    </row>
    <row r="95" customFormat="false" ht="17.15" hidden="false" customHeight="false" outlineLevel="0" collapsed="false">
      <c r="A95" s="0" t="s">
        <v>319</v>
      </c>
      <c r="B95" s="4" t="s">
        <v>320</v>
      </c>
      <c r="C95" s="0" t="s">
        <v>312</v>
      </c>
      <c r="D95" s="7" t="n">
        <v>23.3</v>
      </c>
      <c r="E95" s="7" t="n">
        <v>24.85</v>
      </c>
      <c r="F95" s="7" t="n">
        <v>26.4</v>
      </c>
      <c r="G95" s="8" t="s">
        <v>148</v>
      </c>
      <c r="H95" s="4" t="s">
        <v>321</v>
      </c>
      <c r="I95" s="4" t="s">
        <v>322</v>
      </c>
    </row>
    <row r="96" customFormat="false" ht="17.15" hidden="false" customHeight="false" outlineLevel="0" collapsed="false">
      <c r="A96" s="0" t="s">
        <v>323</v>
      </c>
      <c r="B96" s="4" t="s">
        <v>324</v>
      </c>
      <c r="C96" s="0" t="s">
        <v>312</v>
      </c>
      <c r="E96" s="7" t="n">
        <v>13.96</v>
      </c>
      <c r="G96" s="8" t="s">
        <v>148</v>
      </c>
      <c r="H96" s="4" t="s">
        <v>325</v>
      </c>
      <c r="I96" s="4" t="s">
        <v>326</v>
      </c>
    </row>
    <row r="97" customFormat="false" ht="17.15" hidden="false" customHeight="false" outlineLevel="0" collapsed="false">
      <c r="A97" s="0" t="s">
        <v>327</v>
      </c>
      <c r="B97" s="4" t="s">
        <v>328</v>
      </c>
      <c r="C97" s="0" t="s">
        <v>312</v>
      </c>
      <c r="E97" s="7" t="n">
        <v>18.29</v>
      </c>
      <c r="G97" s="8" t="s">
        <v>148</v>
      </c>
      <c r="H97" s="4" t="s">
        <v>325</v>
      </c>
      <c r="I97" s="8" t="s">
        <v>132</v>
      </c>
    </row>
    <row r="98" customFormat="false" ht="17.15" hidden="false" customHeight="false" outlineLevel="0" collapsed="false">
      <c r="A98" s="0" t="s">
        <v>329</v>
      </c>
      <c r="B98" s="4" t="s">
        <v>330</v>
      </c>
      <c r="C98" s="4" t="s">
        <v>331</v>
      </c>
      <c r="E98" s="7" t="n">
        <v>15</v>
      </c>
      <c r="G98" s="8" t="s">
        <v>148</v>
      </c>
      <c r="H98" s="4" t="s">
        <v>332</v>
      </c>
      <c r="I98" s="8" t="s">
        <v>333</v>
      </c>
    </row>
    <row r="99" customFormat="false" ht="17.15" hidden="false" customHeight="false" outlineLevel="0" collapsed="false">
      <c r="A99" s="0" t="s">
        <v>334</v>
      </c>
      <c r="B99" s="4" t="s">
        <v>335</v>
      </c>
      <c r="C99" s="0" t="s">
        <v>48</v>
      </c>
      <c r="E99" s="0" t="n">
        <f aca="false">2350/(2600+2525+2350)</f>
        <v>0.31438127090301</v>
      </c>
      <c r="G99" s="0" t="s">
        <v>148</v>
      </c>
      <c r="H99" s="4" t="s">
        <v>336</v>
      </c>
      <c r="I99" s="4" t="s">
        <v>337</v>
      </c>
    </row>
    <row r="100" customFormat="false" ht="17.15" hidden="false" customHeight="false" outlineLevel="0" collapsed="false">
      <c r="A100" s="0" t="s">
        <v>338</v>
      </c>
      <c r="B100" s="4" t="s">
        <v>339</v>
      </c>
      <c r="C100" s="0" t="s">
        <v>147</v>
      </c>
      <c r="E100" s="7" t="n">
        <v>1361.998</v>
      </c>
      <c r="G100" s="8" t="s">
        <v>148</v>
      </c>
      <c r="H100" s="4" t="s">
        <v>340</v>
      </c>
      <c r="I100" s="8" t="s">
        <v>132</v>
      </c>
    </row>
    <row r="101" customFormat="false" ht="17.15" hidden="false" customHeight="false" outlineLevel="0" collapsed="false">
      <c r="A101" s="0" t="s">
        <v>341</v>
      </c>
      <c r="B101" s="4" t="s">
        <v>342</v>
      </c>
      <c r="C101" s="0" t="s">
        <v>147</v>
      </c>
      <c r="E101" s="7" t="n">
        <v>2368.079</v>
      </c>
      <c r="G101" s="8" t="s">
        <v>148</v>
      </c>
      <c r="H101" s="4" t="s">
        <v>340</v>
      </c>
      <c r="I101" s="8" t="s">
        <v>132</v>
      </c>
    </row>
    <row r="102" customFormat="false" ht="17.15" hidden="false" customHeight="false" outlineLevel="0" collapsed="false">
      <c r="A102" s="0" t="s">
        <v>343</v>
      </c>
      <c r="B102" s="4" t="s">
        <v>344</v>
      </c>
      <c r="C102" s="0" t="s">
        <v>147</v>
      </c>
      <c r="E102" s="7" t="n">
        <v>105.263</v>
      </c>
      <c r="G102" s="8" t="s">
        <v>148</v>
      </c>
      <c r="H102" s="4" t="s">
        <v>340</v>
      </c>
      <c r="I102" s="8" t="s">
        <v>132</v>
      </c>
    </row>
    <row r="103" customFormat="false" ht="17.15" hidden="false" customHeight="false" outlineLevel="0" collapsed="false">
      <c r="A103" s="6" t="s">
        <v>345</v>
      </c>
    </row>
    <row r="104" customFormat="false" ht="17.15" hidden="false" customHeight="false" outlineLevel="0" collapsed="false">
      <c r="A104" s="0" t="s">
        <v>346</v>
      </c>
      <c r="B104" s="4" t="s">
        <v>347</v>
      </c>
      <c r="C104" s="0" t="s">
        <v>312</v>
      </c>
      <c r="E104" s="7" t="n">
        <v>190</v>
      </c>
      <c r="G104" s="8" t="s">
        <v>148</v>
      </c>
      <c r="H104" s="4" t="s">
        <v>348</v>
      </c>
      <c r="I104" s="4" t="s">
        <v>349</v>
      </c>
    </row>
    <row r="105" customFormat="false" ht="17.15" hidden="false" customHeight="false" outlineLevel="0" collapsed="false">
      <c r="A105" s="0" t="s">
        <v>350</v>
      </c>
      <c r="B105" s="4" t="s">
        <v>351</v>
      </c>
      <c r="C105" s="0" t="s">
        <v>60</v>
      </c>
      <c r="E105" s="7" t="n">
        <v>15.09</v>
      </c>
      <c r="G105" s="8" t="s">
        <v>148</v>
      </c>
      <c r="H105" s="4" t="s">
        <v>352</v>
      </c>
      <c r="I105" s="8" t="s">
        <v>353</v>
      </c>
    </row>
    <row r="106" customFormat="false" ht="17.15" hidden="false" customHeight="false" outlineLevel="0" collapsed="false">
      <c r="A106" s="0" t="s">
        <v>354</v>
      </c>
      <c r="B106" s="4" t="s">
        <v>355</v>
      </c>
      <c r="C106" s="0" t="s">
        <v>60</v>
      </c>
      <c r="E106" s="7" t="n">
        <v>9.93</v>
      </c>
      <c r="G106" s="8" t="s">
        <v>148</v>
      </c>
      <c r="H106" s="8" t="s">
        <v>356</v>
      </c>
      <c r="I106" s="8" t="s">
        <v>132</v>
      </c>
    </row>
    <row r="107" customFormat="false" ht="17.15" hidden="false" customHeight="false" outlineLevel="0" collapsed="false">
      <c r="A107" s="0" t="s">
        <v>357</v>
      </c>
      <c r="B107" s="4" t="s">
        <v>358</v>
      </c>
      <c r="C107" s="0" t="s">
        <v>312</v>
      </c>
      <c r="E107" s="0" t="n">
        <f aca="false">185.5/fpe</f>
        <v>18.6807653575025</v>
      </c>
      <c r="G107" s="0" t="s">
        <v>29</v>
      </c>
      <c r="H107" s="0" t="s">
        <v>359</v>
      </c>
      <c r="I107" s="4" t="s">
        <v>360</v>
      </c>
    </row>
    <row r="108" customFormat="false" ht="17.15" hidden="false" customHeight="false" outlineLevel="0" collapsed="false">
      <c r="A108" s="0" t="s">
        <v>361</v>
      </c>
      <c r="B108" s="4" t="s">
        <v>362</v>
      </c>
      <c r="C108" s="0" t="s">
        <v>312</v>
      </c>
      <c r="D108" s="7" t="n">
        <v>165</v>
      </c>
      <c r="E108" s="7" t="n">
        <v>268.71</v>
      </c>
      <c r="F108" s="7" t="n">
        <v>400</v>
      </c>
      <c r="G108" s="8" t="s">
        <v>148</v>
      </c>
      <c r="H108" s="8" t="s">
        <v>363</v>
      </c>
      <c r="I108" s="4" t="s">
        <v>364</v>
      </c>
    </row>
    <row r="109" customFormat="false" ht="17.15" hidden="false" customHeight="false" outlineLevel="0" collapsed="false">
      <c r="A109" s="0" t="s">
        <v>365</v>
      </c>
      <c r="B109" s="4" t="s">
        <v>366</v>
      </c>
      <c r="C109" s="0" t="s">
        <v>48</v>
      </c>
      <c r="E109" s="0" t="n">
        <f aca="false">AVERAGE(10.468/862.083,11.162/984.619,11.472/867.057,17.446/1049.256,27.408/2186.523)</f>
        <v>0.0131744000852347</v>
      </c>
      <c r="G109" s="0" t="s">
        <v>29</v>
      </c>
      <c r="H109" s="0" t="s">
        <v>367</v>
      </c>
      <c r="I109" s="4" t="s">
        <v>368</v>
      </c>
    </row>
    <row r="110" customFormat="false" ht="17.15" hidden="false" customHeight="false" outlineLevel="0" collapsed="false">
      <c r="A110" s="6" t="s">
        <v>369</v>
      </c>
    </row>
    <row r="111" customFormat="false" ht="17.15" hidden="false" customHeight="false" outlineLevel="0" collapsed="false">
      <c r="A111" s="9" t="s">
        <v>370</v>
      </c>
      <c r="B111" s="10" t="s">
        <v>371</v>
      </c>
      <c r="C111" s="9" t="s">
        <v>48</v>
      </c>
      <c r="D111" s="9"/>
      <c r="E111" s="11" t="n">
        <v>0.3</v>
      </c>
      <c r="F111" s="9"/>
      <c r="G111" s="9" t="s">
        <v>61</v>
      </c>
      <c r="H111" s="9" t="s">
        <v>372</v>
      </c>
      <c r="I111" s="10" t="s">
        <v>373</v>
      </c>
    </row>
    <row r="112" customFormat="false" ht="17.15" hidden="false" customHeight="false" outlineLevel="0" collapsed="false">
      <c r="A112" s="9" t="s">
        <v>374</v>
      </c>
      <c r="B112" s="10" t="s">
        <v>375</v>
      </c>
      <c r="C112" s="9" t="s">
        <v>48</v>
      </c>
      <c r="D112" s="9"/>
      <c r="E112" s="11" t="n">
        <v>0.5</v>
      </c>
      <c r="F112" s="9"/>
      <c r="G112" s="9" t="s">
        <v>61</v>
      </c>
      <c r="H112" s="9" t="s">
        <v>372</v>
      </c>
      <c r="I112" s="10" t="s">
        <v>373</v>
      </c>
    </row>
    <row r="113" customFormat="false" ht="17.15" hidden="false" customHeight="false" outlineLevel="0" collapsed="false">
      <c r="A113" s="9" t="s">
        <v>376</v>
      </c>
      <c r="B113" s="10" t="s">
        <v>377</v>
      </c>
      <c r="C113" s="9" t="s">
        <v>48</v>
      </c>
      <c r="D113" s="9"/>
      <c r="E113" s="11" t="n">
        <v>0.2</v>
      </c>
      <c r="F113" s="9"/>
      <c r="G113" s="9" t="s">
        <v>61</v>
      </c>
      <c r="H113" s="9" t="s">
        <v>372</v>
      </c>
      <c r="I113" s="10" t="s">
        <v>373</v>
      </c>
    </row>
    <row r="114" customFormat="false" ht="17.15" hidden="false" customHeight="false" outlineLevel="0" collapsed="false">
      <c r="A114" s="9" t="s">
        <v>378</v>
      </c>
      <c r="B114" s="10" t="s">
        <v>379</v>
      </c>
      <c r="C114" s="9" t="s">
        <v>48</v>
      </c>
      <c r="D114" s="9"/>
      <c r="E114" s="11" t="n">
        <v>0.1</v>
      </c>
      <c r="F114" s="9"/>
      <c r="G114" s="9" t="s">
        <v>61</v>
      </c>
      <c r="H114" s="9" t="s">
        <v>380</v>
      </c>
      <c r="I114" s="9" t="s">
        <v>381</v>
      </c>
    </row>
    <row r="115" customFormat="false" ht="17.15" hidden="false" customHeight="false" outlineLevel="0" collapsed="false">
      <c r="A115" s="9" t="s">
        <v>382</v>
      </c>
      <c r="B115" s="10" t="s">
        <v>383</v>
      </c>
      <c r="C115" s="9" t="s">
        <v>48</v>
      </c>
      <c r="D115" s="9"/>
      <c r="E115" s="11" t="n">
        <v>0.04</v>
      </c>
      <c r="F115" s="9"/>
      <c r="G115" s="9" t="s">
        <v>61</v>
      </c>
      <c r="H115" s="9" t="s">
        <v>384</v>
      </c>
      <c r="I115" s="9" t="s">
        <v>385</v>
      </c>
    </row>
    <row r="116" customFormat="false" ht="17.15" hidden="false" customHeight="false" outlineLevel="0" collapsed="false">
      <c r="A116" s="9" t="s">
        <v>386</v>
      </c>
      <c r="B116" s="9" t="s">
        <v>387</v>
      </c>
      <c r="C116" s="9" t="s">
        <v>48</v>
      </c>
      <c r="D116" s="9"/>
      <c r="E116" s="9" t="n">
        <f aca="false">AVERAGE(0.1477,0.1942,0.2626)</f>
        <v>0.2015</v>
      </c>
      <c r="F116" s="9"/>
      <c r="G116" s="9" t="s">
        <v>29</v>
      </c>
      <c r="H116" s="9" t="s">
        <v>388</v>
      </c>
      <c r="I116" s="9" t="s">
        <v>389</v>
      </c>
    </row>
    <row r="117" customFormat="false" ht="17.15" hidden="false" customHeight="false" outlineLevel="0" collapsed="false">
      <c r="A117" s="9" t="s">
        <v>390</v>
      </c>
      <c r="B117" s="10" t="s">
        <v>391</v>
      </c>
      <c r="C117" s="9" t="s">
        <v>48</v>
      </c>
      <c r="D117" s="9"/>
      <c r="E117" s="11" t="n">
        <v>0.5</v>
      </c>
      <c r="F117" s="9"/>
      <c r="G117" s="9" t="s">
        <v>61</v>
      </c>
      <c r="H117" s="9" t="s">
        <v>392</v>
      </c>
      <c r="I117" s="9" t="s">
        <v>132</v>
      </c>
    </row>
    <row r="118" customFormat="false" ht="17.15" hidden="false" customHeight="false" outlineLevel="0" collapsed="false">
      <c r="A118" s="9" t="s">
        <v>393</v>
      </c>
      <c r="B118" s="10" t="s">
        <v>394</v>
      </c>
      <c r="C118" s="9" t="s">
        <v>48</v>
      </c>
      <c r="D118" s="9"/>
      <c r="E118" s="9" t="n">
        <f aca="false">tp_g+0.02</f>
        <v>0.06</v>
      </c>
      <c r="F118" s="9"/>
      <c r="G118" s="9" t="s">
        <v>61</v>
      </c>
      <c r="H118" s="10" t="s">
        <v>395</v>
      </c>
      <c r="I118" s="9" t="s">
        <v>396</v>
      </c>
    </row>
    <row r="119" customFormat="false" ht="17.15" hidden="false" customHeight="false" outlineLevel="0" collapsed="false">
      <c r="A119" s="9" t="s">
        <v>397</v>
      </c>
      <c r="B119" s="10" t="s">
        <v>398</v>
      </c>
      <c r="C119" s="9" t="s">
        <v>48</v>
      </c>
      <c r="D119" s="9"/>
      <c r="E119" s="9" t="n">
        <f aca="false">tp_g</f>
        <v>0.04</v>
      </c>
      <c r="F119" s="9"/>
      <c r="G119" s="9" t="s">
        <v>61</v>
      </c>
      <c r="H119" s="10" t="s">
        <v>34</v>
      </c>
      <c r="I119" s="9" t="s">
        <v>132</v>
      </c>
    </row>
    <row r="120" customFormat="false" ht="17.15" hidden="false" customHeight="false" outlineLevel="0" collapsed="false">
      <c r="A120" s="9" t="s">
        <v>399</v>
      </c>
      <c r="B120" s="10" t="s">
        <v>400</v>
      </c>
      <c r="C120" s="9" t="s">
        <v>48</v>
      </c>
      <c r="D120" s="9"/>
      <c r="E120" s="9" t="n">
        <f aca="false">tp_g-0.02</f>
        <v>0.02</v>
      </c>
      <c r="F120" s="9"/>
      <c r="G120" s="9" t="s">
        <v>61</v>
      </c>
      <c r="H120" s="10" t="s">
        <v>34</v>
      </c>
      <c r="I120" s="9" t="s">
        <v>132</v>
      </c>
    </row>
    <row r="121" customFormat="false" ht="17.15" hidden="false" customHeight="false" outlineLevel="0" collapsed="false">
      <c r="A121" s="9" t="s">
        <v>401</v>
      </c>
      <c r="B121" s="10" t="s">
        <v>402</v>
      </c>
      <c r="C121" s="9" t="s">
        <v>48</v>
      </c>
      <c r="D121" s="9"/>
      <c r="E121" s="12" t="n">
        <f aca="false">PL!G14</f>
        <v>0.0179310156618042</v>
      </c>
      <c r="F121" s="9"/>
      <c r="G121" s="9" t="s">
        <v>29</v>
      </c>
      <c r="H121" s="9" t="s">
        <v>403</v>
      </c>
      <c r="I121" s="9" t="s">
        <v>132</v>
      </c>
    </row>
    <row r="122" customFormat="false" ht="17.15" hidden="false" customHeight="false" outlineLevel="0" collapsed="false">
      <c r="A122" s="9" t="s">
        <v>404</v>
      </c>
      <c r="B122" s="10" t="s">
        <v>405</v>
      </c>
      <c r="C122" s="9" t="s">
        <v>48</v>
      </c>
      <c r="D122" s="9"/>
      <c r="E122" s="13" t="n">
        <f aca="false">PL!G28*0.9</f>
        <v>0.0156519209592294</v>
      </c>
      <c r="F122" s="9"/>
      <c r="G122" s="9" t="s">
        <v>61</v>
      </c>
      <c r="H122" s="10" t="s">
        <v>406</v>
      </c>
      <c r="I122" s="10" t="s">
        <v>407</v>
      </c>
    </row>
    <row r="123" customFormat="false" ht="17.15" hidden="false" customHeight="false" outlineLevel="0" collapsed="false">
      <c r="A123" s="9" t="s">
        <v>408</v>
      </c>
      <c r="B123" s="10" t="s">
        <v>409</v>
      </c>
      <c r="C123" s="9" t="s">
        <v>48</v>
      </c>
      <c r="D123" s="9"/>
      <c r="E123" s="13" t="n">
        <f aca="false">PL!G42*0.8</f>
        <v>0.0129224011412806</v>
      </c>
      <c r="F123" s="9"/>
      <c r="G123" s="9" t="s">
        <v>61</v>
      </c>
      <c r="H123" s="10" t="s">
        <v>410</v>
      </c>
      <c r="I123" s="9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8"/>
    <col collapsed="false" customWidth="true" hidden="false" outlineLevel="0" max="8" min="8" style="0" width="6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412</v>
      </c>
    </row>
    <row r="2" customFormat="false" ht="17.15" hidden="false" customHeight="false" outlineLevel="0" collapsed="false">
      <c r="A2" s="0" t="s">
        <v>413</v>
      </c>
    </row>
    <row r="3" customFormat="false" ht="17.15" hidden="false" customHeight="false" outlineLevel="0" collapsed="false">
      <c r="A3" s="5" t="s">
        <v>17</v>
      </c>
      <c r="B3" s="14" t="s">
        <v>414</v>
      </c>
      <c r="C3" s="14" t="s">
        <v>415</v>
      </c>
      <c r="D3" s="14" t="s">
        <v>416</v>
      </c>
      <c r="E3" s="14" t="s">
        <v>417</v>
      </c>
      <c r="F3" s="14" t="s">
        <v>418</v>
      </c>
      <c r="G3" s="5" t="s">
        <v>22</v>
      </c>
      <c r="H3" s="5" t="s">
        <v>419</v>
      </c>
      <c r="I3" s="5" t="s">
        <v>24</v>
      </c>
    </row>
    <row r="4" customFormat="false" ht="17.15" hidden="false" customHeight="false" outlineLevel="0" collapsed="false">
      <c r="A4" s="4" t="s">
        <v>420</v>
      </c>
      <c r="B4" s="15" t="n">
        <v>2186.523</v>
      </c>
      <c r="C4" s="16" t="n">
        <f aca="false">895.443/(1+0.0581)+895.443</f>
        <v>1741.71745421038</v>
      </c>
      <c r="D4" s="16" t="n">
        <f aca="false">q3_rev</f>
        <v>1149.09</v>
      </c>
      <c r="E4" s="16" t="n">
        <f aca="false">D4*(1+q4g)</f>
        <v>1206.5445</v>
      </c>
      <c r="F4" s="16" t="n">
        <f aca="false">SUM(C4:E4)</f>
        <v>4097.35195421038</v>
      </c>
      <c r="G4" s="8" t="s">
        <v>421</v>
      </c>
      <c r="H4" s="8" t="s">
        <v>422</v>
      </c>
      <c r="I4" s="8" t="s">
        <v>423</v>
      </c>
    </row>
    <row r="5" customFormat="false" ht="17.15" hidden="false" customHeight="false" outlineLevel="0" collapsed="false">
      <c r="A5" s="4" t="s">
        <v>424</v>
      </c>
      <c r="B5" s="15" t="n">
        <v>133.983</v>
      </c>
      <c r="C5" s="16" t="n">
        <f aca="false">895.443/(1+0.0581)*(0.0556-0.0045)+895.443*0.0556</f>
        <v>93.0312554101503</v>
      </c>
      <c r="D5" s="16" t="n">
        <f aca="false">D10*q_wgm+D13*q_sgm</f>
        <v>66.110792</v>
      </c>
      <c r="E5" s="16" t="n">
        <f aca="false">E10*q_wgm+E13*q_sgm</f>
        <v>69.4163316</v>
      </c>
      <c r="F5" s="16" t="n">
        <f aca="false">SUM(C5:E5)</f>
        <v>228.55837901015</v>
      </c>
      <c r="G5" s="8" t="s">
        <v>425</v>
      </c>
      <c r="H5" s="8" t="s">
        <v>422</v>
      </c>
      <c r="I5" s="8" t="s">
        <v>426</v>
      </c>
    </row>
    <row r="6" customFormat="false" ht="15" hidden="false" customHeight="false" outlineLevel="0" collapsed="false">
      <c r="A6" s="4" t="s">
        <v>427</v>
      </c>
      <c r="B6" s="17" t="n">
        <f aca="false">B5/B4</f>
        <v>0.0612767393711386</v>
      </c>
      <c r="C6" s="17" t="n">
        <f aca="false">C5/C4</f>
        <v>0.0534135173218017</v>
      </c>
      <c r="D6" s="17" t="n">
        <f aca="false">D5/D4</f>
        <v>0.0575331714661167</v>
      </c>
      <c r="E6" s="17" t="n">
        <f aca="false">E5/E4</f>
        <v>0.0575331714661167</v>
      </c>
      <c r="F6" s="17" t="n">
        <f aca="false">F5/F4</f>
        <v>0.055781973714825</v>
      </c>
      <c r="G6" s="8" t="s">
        <v>29</v>
      </c>
      <c r="H6" s="8" t="s">
        <v>132</v>
      </c>
      <c r="I6" s="8" t="s">
        <v>132</v>
      </c>
    </row>
    <row r="7" customFormat="false" ht="17.15" hidden="false" customHeight="false" outlineLevel="0" collapsed="false">
      <c r="A7" s="4" t="s">
        <v>428</v>
      </c>
      <c r="B7" s="15" t="n">
        <v>78.553</v>
      </c>
      <c r="C7" s="16" t="n">
        <f aca="false">895.443/(1+0.0581)*(0.0374-0.0029)+895.443*0.0374</f>
        <v>62.686036870258</v>
      </c>
      <c r="D7" s="16" t="n">
        <f aca="false">D12+D15</f>
        <v>44.915172</v>
      </c>
      <c r="E7" s="16" t="n">
        <f aca="false">E12+E15</f>
        <v>47.1609306</v>
      </c>
      <c r="F7" s="16" t="n">
        <f aca="false">SUM(C7:E7)</f>
        <v>154.762139470258</v>
      </c>
      <c r="G7" s="8" t="s">
        <v>429</v>
      </c>
      <c r="H7" s="8" t="s">
        <v>422</v>
      </c>
      <c r="I7" s="8" t="s">
        <v>430</v>
      </c>
    </row>
    <row r="8" customFormat="false" ht="15" hidden="false" customHeight="false" outlineLevel="0" collapsed="false">
      <c r="A8" s="4" t="s">
        <v>431</v>
      </c>
      <c r="B8" s="17" t="n">
        <f aca="false">B7/B4</f>
        <v>0.0359259884300325</v>
      </c>
      <c r="C8" s="17" t="n">
        <f aca="false">C7/C4</f>
        <v>0.0359909333851611</v>
      </c>
      <c r="D8" s="17" t="n">
        <f aca="false">D7/D4</f>
        <v>0.0390876014933556</v>
      </c>
      <c r="E8" s="17" t="n">
        <f aca="false">E7/E4</f>
        <v>0.0390876014933556</v>
      </c>
      <c r="F8" s="17" t="n">
        <f aca="false">F7/F4</f>
        <v>0.0377712584126992</v>
      </c>
      <c r="G8" s="8" t="s">
        <v>29</v>
      </c>
      <c r="H8" s="8" t="s">
        <v>132</v>
      </c>
      <c r="I8" s="8" t="s">
        <v>132</v>
      </c>
    </row>
    <row r="9" customFormat="false" ht="15" hidden="false" customHeight="false" outlineLevel="0" collapsed="false">
      <c r="A9" s="4" t="s">
        <v>432</v>
      </c>
      <c r="B9" s="16" t="n">
        <f aca="false">B5-B7</f>
        <v>55.43</v>
      </c>
      <c r="C9" s="16" t="n">
        <f aca="false">C5-C7</f>
        <v>30.3452185398923</v>
      </c>
      <c r="D9" s="16" t="n">
        <f aca="false">D5-D7</f>
        <v>21.19562</v>
      </c>
      <c r="E9" s="16" t="n">
        <f aca="false">E5-E7</f>
        <v>22.255401</v>
      </c>
      <c r="F9" s="16" t="n">
        <f aca="false">SUM(C9:E9)</f>
        <v>73.7962395398922</v>
      </c>
      <c r="G9" s="8" t="s">
        <v>29</v>
      </c>
      <c r="H9" s="4" t="s">
        <v>433</v>
      </c>
      <c r="I9" s="8" t="s">
        <v>132</v>
      </c>
    </row>
    <row r="10" customFormat="false" ht="17.15" hidden="false" customHeight="false" outlineLevel="0" collapsed="false">
      <c r="A10" s="4" t="s">
        <v>434</v>
      </c>
      <c r="B10" s="15" t="n">
        <v>950.663</v>
      </c>
      <c r="C10" s="15" t="n">
        <v>554.66</v>
      </c>
      <c r="D10" s="16" t="n">
        <f aca="false">q3_wrev</f>
        <v>434.618</v>
      </c>
      <c r="E10" s="16" t="n">
        <f aca="false">D10*(1+q4gw)</f>
        <v>456.3489</v>
      </c>
      <c r="F10" s="16" t="n">
        <f aca="false">SUM(C10:E10)</f>
        <v>1445.6269</v>
      </c>
      <c r="G10" s="8" t="s">
        <v>435</v>
      </c>
      <c r="H10" s="4" t="s">
        <v>436</v>
      </c>
      <c r="I10" s="8" t="s">
        <v>437</v>
      </c>
    </row>
    <row r="11" customFormat="false" ht="17.15" hidden="false" customHeight="false" outlineLevel="0" collapsed="false">
      <c r="A11" s="4" t="s">
        <v>438</v>
      </c>
      <c r="B11" s="15" t="n">
        <v>78.454</v>
      </c>
      <c r="C11" s="16" t="n">
        <f aca="false">554.66*0.0841</f>
        <v>46.646906</v>
      </c>
      <c r="D11" s="16" t="n">
        <f aca="false">D10*q_wgm</f>
        <v>38.246384</v>
      </c>
      <c r="E11" s="16" t="n">
        <f aca="false">E10*q_wgm</f>
        <v>40.1587032</v>
      </c>
      <c r="F11" s="16" t="n">
        <f aca="false">SUM(C11:E11)</f>
        <v>125.0519932</v>
      </c>
      <c r="G11" s="8" t="s">
        <v>429</v>
      </c>
      <c r="H11" s="4" t="s">
        <v>436</v>
      </c>
      <c r="I11" s="8" t="s">
        <v>439</v>
      </c>
    </row>
    <row r="12" customFormat="false" ht="17.15" hidden="false" customHeight="false" outlineLevel="0" collapsed="false">
      <c r="A12" s="4" t="s">
        <v>440</v>
      </c>
      <c r="B12" s="15" t="n">
        <v>63.918</v>
      </c>
      <c r="C12" s="16" t="n">
        <f aca="false">554.66*0.0679</f>
        <v>37.661414</v>
      </c>
      <c r="D12" s="16" t="n">
        <f aca="false">D10*q_wopm</f>
        <v>29.554024</v>
      </c>
      <c r="E12" s="16" t="n">
        <f aca="false">E10*q_wopm</f>
        <v>31.0317252</v>
      </c>
      <c r="F12" s="16" t="n">
        <f aca="false">SUM(C12:E12)</f>
        <v>98.2471632</v>
      </c>
      <c r="G12" s="8" t="s">
        <v>429</v>
      </c>
      <c r="H12" s="4" t="s">
        <v>436</v>
      </c>
      <c r="I12" s="8" t="s">
        <v>441</v>
      </c>
    </row>
    <row r="13" customFormat="false" ht="17.15" hidden="false" customHeight="false" outlineLevel="0" collapsed="false">
      <c r="A13" s="4" t="s">
        <v>442</v>
      </c>
      <c r="B13" s="16" t="n">
        <f aca="false">B4-B10</f>
        <v>1235.86</v>
      </c>
      <c r="C13" s="16" t="n">
        <f aca="false">C4-C10</f>
        <v>1187.05745421038</v>
      </c>
      <c r="D13" s="16" t="n">
        <f aca="false">D4-D10</f>
        <v>714.472</v>
      </c>
      <c r="E13" s="16" t="n">
        <f aca="false">E4-E10</f>
        <v>750.1956</v>
      </c>
      <c r="F13" s="16" t="n">
        <f aca="false">SUM(C13:E13)</f>
        <v>2651.72505421038</v>
      </c>
      <c r="G13" s="8" t="s">
        <v>29</v>
      </c>
      <c r="H13" s="8" t="s">
        <v>132</v>
      </c>
      <c r="I13" s="4" t="s">
        <v>443</v>
      </c>
    </row>
    <row r="14" customFormat="false" ht="15" hidden="false" customHeight="false" outlineLevel="0" collapsed="false">
      <c r="A14" s="4" t="s">
        <v>444</v>
      </c>
      <c r="B14" s="16" t="n">
        <f aca="false">B5-B11</f>
        <v>55.529</v>
      </c>
      <c r="C14" s="16" t="n">
        <f aca="false">C5-C11</f>
        <v>46.3843494101503</v>
      </c>
      <c r="D14" s="16" t="n">
        <f aca="false">D5-D11</f>
        <v>27.864408</v>
      </c>
      <c r="E14" s="16" t="n">
        <f aca="false">E5-E11</f>
        <v>29.2576284</v>
      </c>
      <c r="F14" s="16" t="n">
        <f aca="false">SUM(C14:E14)</f>
        <v>103.50638581015</v>
      </c>
      <c r="G14" s="8" t="s">
        <v>29</v>
      </c>
      <c r="H14" s="8" t="s">
        <v>132</v>
      </c>
      <c r="I14" s="8" t="s">
        <v>132</v>
      </c>
    </row>
    <row r="15" customFormat="false" ht="17.15" hidden="false" customHeight="false" outlineLevel="0" collapsed="false">
      <c r="A15" s="4" t="s">
        <v>445</v>
      </c>
      <c r="B15" s="16" t="n">
        <f aca="false">B7-B12</f>
        <v>14.635</v>
      </c>
      <c r="C15" s="16" t="n">
        <f aca="false">C7-C12</f>
        <v>25.024622870258</v>
      </c>
      <c r="D15" s="16" t="n">
        <f aca="false">D14-D13*q_sopx</f>
        <v>15.361148</v>
      </c>
      <c r="E15" s="16" t="n">
        <f aca="false">E14-E13*q_sopx</f>
        <v>16.1292054</v>
      </c>
      <c r="F15" s="16" t="n">
        <f aca="false">SUM(C15:E15)</f>
        <v>56.514976270258</v>
      </c>
      <c r="G15" s="8" t="s">
        <v>29</v>
      </c>
      <c r="H15" s="8" t="s">
        <v>132</v>
      </c>
      <c r="I15" s="4" t="s">
        <v>446</v>
      </c>
    </row>
    <row r="16" customFormat="false" ht="15" hidden="false" customHeight="false" outlineLevel="0" collapsed="false">
      <c r="A16" s="4" t="s">
        <v>447</v>
      </c>
      <c r="B16" s="16" t="n">
        <f aca="false">B14-B15</f>
        <v>40.894</v>
      </c>
      <c r="C16" s="16" t="n">
        <f aca="false">C14-C15</f>
        <v>21.3597265398923</v>
      </c>
      <c r="D16" s="16" t="n">
        <f aca="false">D14-D15</f>
        <v>12.50326</v>
      </c>
      <c r="E16" s="16" t="n">
        <f aca="false">E14-E15</f>
        <v>13.128423</v>
      </c>
      <c r="F16" s="16" t="n">
        <f aca="false">SUM(C16:E16)</f>
        <v>46.9914095398923</v>
      </c>
      <c r="G16" s="8" t="s">
        <v>29</v>
      </c>
      <c r="H16" s="8" t="s">
        <v>132</v>
      </c>
      <c r="I16" s="8" t="s">
        <v>132</v>
      </c>
    </row>
    <row r="17" customFormat="false" ht="17.15" hidden="false" customHeight="false" outlineLevel="0" collapsed="false">
      <c r="A17" s="4" t="s">
        <v>448</v>
      </c>
      <c r="B17" s="15" t="n">
        <v>51.118</v>
      </c>
      <c r="C17" s="15" t="n">
        <v>29.084</v>
      </c>
      <c r="D17" s="16" t="n">
        <f aca="false">D12*q_wnio</f>
        <v>22.75659848</v>
      </c>
      <c r="E17" s="16" t="n">
        <f aca="false">E12*q_wnio</f>
        <v>23.894428404</v>
      </c>
      <c r="F17" s="16" t="n">
        <f aca="false">SUM(C17:E17)</f>
        <v>75.735026884</v>
      </c>
      <c r="G17" s="8" t="s">
        <v>429</v>
      </c>
      <c r="H17" s="4" t="s">
        <v>436</v>
      </c>
      <c r="I17" s="8" t="s">
        <v>449</v>
      </c>
    </row>
    <row r="18" customFormat="false" ht="17.15" hidden="false" customHeight="false" outlineLevel="0" collapsed="false">
      <c r="A18" s="4" t="s">
        <v>450</v>
      </c>
      <c r="B18" s="17" t="n">
        <f aca="false">stake25</f>
        <v>0.4</v>
      </c>
      <c r="C18" s="17" t="n">
        <f aca="false">stake</f>
        <v>0.3768</v>
      </c>
      <c r="D18" s="17" t="n">
        <f aca="false">stake</f>
        <v>0.3768</v>
      </c>
      <c r="E18" s="17" t="n">
        <f aca="false">stake</f>
        <v>0.3768</v>
      </c>
      <c r="F18" s="17" t="n">
        <f aca="false">stake</f>
        <v>0.3768</v>
      </c>
      <c r="G18" s="8" t="s">
        <v>451</v>
      </c>
      <c r="H18" s="4" t="s">
        <v>452</v>
      </c>
      <c r="I18" s="8" t="s">
        <v>453</v>
      </c>
    </row>
    <row r="19" customFormat="false" ht="17.15" hidden="false" customHeight="false" outlineLevel="0" collapsed="false">
      <c r="A19" s="4" t="s">
        <v>454</v>
      </c>
      <c r="B19" s="16" t="n">
        <f aca="false">(1-B18)*B17</f>
        <v>30.6708</v>
      </c>
      <c r="C19" s="16" t="n">
        <f aca="false">(1-C18)*C17</f>
        <v>18.1251488</v>
      </c>
      <c r="D19" s="16" t="n">
        <f aca="false">(1-D18)*D17</f>
        <v>14.181912172736</v>
      </c>
      <c r="E19" s="16" t="n">
        <f aca="false">(1-E18)*E17</f>
        <v>14.8910077813728</v>
      </c>
      <c r="F19" s="16" t="n">
        <f aca="false">SUM(C19:E19)</f>
        <v>47.1980687541088</v>
      </c>
      <c r="G19" s="8" t="s">
        <v>29</v>
      </c>
      <c r="H19" s="4" t="s">
        <v>455</v>
      </c>
      <c r="I19" s="4" t="s">
        <v>456</v>
      </c>
    </row>
    <row r="20" customFormat="false" ht="17.15" hidden="false" customHeight="false" outlineLevel="0" collapsed="false">
      <c r="A20" s="4" t="s">
        <v>457</v>
      </c>
      <c r="B20" s="15" t="n">
        <v>27.408</v>
      </c>
      <c r="C20" s="16" t="n">
        <f aca="false">9.631+14.827</f>
        <v>24.458</v>
      </c>
      <c r="D20" s="16" t="n">
        <f aca="false">D21+D18*D17</f>
        <v>17.176929187264</v>
      </c>
      <c r="E20" s="16" t="n">
        <f aca="false">E21+E18*E17</f>
        <v>18.0357756466272</v>
      </c>
      <c r="F20" s="16" t="n">
        <f aca="false">SUM(C20:E20)</f>
        <v>59.6707048338912</v>
      </c>
      <c r="G20" s="8" t="s">
        <v>458</v>
      </c>
      <c r="H20" s="8" t="s">
        <v>422</v>
      </c>
      <c r="I20" s="8" t="s">
        <v>459</v>
      </c>
    </row>
    <row r="21" customFormat="false" ht="17.15" hidden="false" customHeight="false" outlineLevel="0" collapsed="false">
      <c r="A21" s="4" t="s">
        <v>460</v>
      </c>
      <c r="B21" s="16" t="n">
        <f aca="false">B20-B18*B17</f>
        <v>6.9608</v>
      </c>
      <c r="C21" s="16" t="n">
        <f aca="false">C20-C18*C17</f>
        <v>13.4991488</v>
      </c>
      <c r="D21" s="16" t="n">
        <f aca="false">D15*q_snio</f>
        <v>8.60224288</v>
      </c>
      <c r="E21" s="16" t="n">
        <f aca="false">E15*q_snio</f>
        <v>9.032355024</v>
      </c>
      <c r="F21" s="16" t="n">
        <f aca="false">SUM(C21:E21)</f>
        <v>31.133746704</v>
      </c>
      <c r="G21" s="8" t="s">
        <v>29</v>
      </c>
      <c r="H21" s="8" t="s">
        <v>132</v>
      </c>
      <c r="I21" s="8" t="s">
        <v>132</v>
      </c>
    </row>
    <row r="22" customFormat="false" ht="15" hidden="false" customHeight="false" outlineLevel="0" collapsed="false">
      <c r="A22" s="4" t="s">
        <v>461</v>
      </c>
      <c r="B22" s="16" t="n">
        <f aca="false">B20+B19</f>
        <v>58.0788</v>
      </c>
      <c r="C22" s="16" t="n">
        <f aca="false">C20+C19</f>
        <v>42.5831488</v>
      </c>
      <c r="D22" s="16" t="n">
        <f aca="false">D20+D19</f>
        <v>31.35884136</v>
      </c>
      <c r="E22" s="16" t="n">
        <f aca="false">E20+E19</f>
        <v>32.926783428</v>
      </c>
      <c r="F22" s="16" t="n">
        <f aca="false">SUM(C22:E22)</f>
        <v>106.868773588</v>
      </c>
      <c r="G22" s="8" t="s">
        <v>29</v>
      </c>
      <c r="H22" s="8" t="s">
        <v>132</v>
      </c>
      <c r="I22" s="8" t="s">
        <v>132</v>
      </c>
    </row>
    <row r="23" customFormat="false" ht="17.15" hidden="false" customHeight="false" outlineLevel="0" collapsed="false">
      <c r="A23" s="4" t="s">
        <v>462</v>
      </c>
      <c r="B23" s="16" t="n">
        <f aca="false">27.408/9.04</f>
        <v>3.03185840707965</v>
      </c>
      <c r="C23" s="16" t="n">
        <f aca="false">24.458/7.78</f>
        <v>3.14370179948586</v>
      </c>
      <c r="D23" s="16" t="n">
        <f aca="false">q_sh3</f>
        <v>3.2370652173913</v>
      </c>
      <c r="E23" s="16" t="n">
        <f aca="false">q_sh4</f>
        <v>3.43</v>
      </c>
      <c r="F23" s="16" t="n">
        <f aca="false">(2*C23+D23+E23)/4</f>
        <v>3.23861720409076</v>
      </c>
      <c r="G23" s="8" t="s">
        <v>29</v>
      </c>
      <c r="H23" s="8" t="s">
        <v>422</v>
      </c>
      <c r="I23" s="4" t="s">
        <v>463</v>
      </c>
    </row>
    <row r="24" customFormat="false" ht="17.15" hidden="false" customHeight="false" outlineLevel="0" collapsed="false">
      <c r="A24" s="0" t="s">
        <v>464</v>
      </c>
      <c r="B24" s="18" t="n">
        <f aca="false">B20/B23</f>
        <v>9.04</v>
      </c>
      <c r="C24" s="18" t="n">
        <f aca="false">C20/C23</f>
        <v>7.78</v>
      </c>
      <c r="D24" s="18" t="n">
        <f aca="false">D20/D23</f>
        <v>5.30632781044387</v>
      </c>
      <c r="E24" s="18" t="n">
        <f aca="false">E20/E23</f>
        <v>5.25824362875429</v>
      </c>
      <c r="F24" s="18" t="n">
        <f aca="false">F20/F23</f>
        <v>18.4247476850676</v>
      </c>
      <c r="G24" s="8" t="s">
        <v>29</v>
      </c>
      <c r="H24" s="4" t="s">
        <v>465</v>
      </c>
      <c r="I24" s="8" t="s">
        <v>132</v>
      </c>
    </row>
    <row r="25" customFormat="false" ht="17.15" hidden="false" customHeight="false" outlineLevel="0" collapsed="false">
      <c r="A25" s="4" t="s">
        <v>466</v>
      </c>
      <c r="B25" s="19" t="n">
        <v>9.04</v>
      </c>
      <c r="C25" s="19" t="n">
        <v>7.78</v>
      </c>
      <c r="G25" s="8" t="s">
        <v>236</v>
      </c>
      <c r="H25" s="8" t="s">
        <v>422</v>
      </c>
      <c r="I25" s="8" t="s">
        <v>467</v>
      </c>
    </row>
    <row r="26" customFormat="false" ht="17.15" hidden="false" customHeight="false" outlineLevel="0" collapsed="false">
      <c r="A26" s="6" t="s">
        <v>468</v>
      </c>
    </row>
    <row r="27" customFormat="false" ht="17.15" hidden="false" customHeight="false" outlineLevel="0" collapsed="false">
      <c r="A27" s="4" t="s">
        <v>469</v>
      </c>
      <c r="F27" s="16" t="n">
        <f aca="false">brd_26</f>
        <v>110</v>
      </c>
      <c r="G27" s="8" t="s">
        <v>148</v>
      </c>
      <c r="H27" s="4" t="s">
        <v>470</v>
      </c>
      <c r="I27" s="8" t="s">
        <v>132</v>
      </c>
    </row>
    <row r="28" customFormat="false" ht="15" hidden="false" customHeight="false" outlineLevel="0" collapsed="false">
      <c r="A28" s="4" t="s">
        <v>471</v>
      </c>
      <c r="F28" s="16" t="n">
        <f aca="false">gen_26</f>
        <v>150</v>
      </c>
      <c r="G28" s="8" t="s">
        <v>61</v>
      </c>
      <c r="H28" s="8" t="s">
        <v>132</v>
      </c>
      <c r="I28" s="8" t="s">
        <v>132</v>
      </c>
    </row>
    <row r="29" customFormat="false" ht="17.15" hidden="false" customHeight="false" outlineLevel="0" collapsed="false">
      <c r="A29" s="4" t="s">
        <v>472</v>
      </c>
      <c r="F29" s="16" t="n">
        <f aca="false">F4*nsv_26</f>
        <v>614.602793131557</v>
      </c>
      <c r="G29" s="8" t="s">
        <v>148</v>
      </c>
      <c r="H29" s="4" t="s">
        <v>473</v>
      </c>
      <c r="I29" s="8" t="s">
        <v>132</v>
      </c>
    </row>
    <row r="30" customFormat="false" ht="17.15" hidden="false" customHeight="false" outlineLevel="0" collapsed="false">
      <c r="A30" s="4" t="s">
        <v>474</v>
      </c>
      <c r="F30" s="16" t="n">
        <f aca="false">F13-F27-F28-F29</f>
        <v>1777.12226107882</v>
      </c>
      <c r="G30" s="8" t="s">
        <v>29</v>
      </c>
      <c r="H30" s="4" t="s">
        <v>475</v>
      </c>
      <c r="I30" s="4" t="s">
        <v>476</v>
      </c>
    </row>
    <row r="31" customFormat="false" ht="17.15" hidden="false" customHeight="false" outlineLevel="0" collapsed="false">
      <c r="A31" s="4" t="s">
        <v>477</v>
      </c>
      <c r="F31" s="16" t="n">
        <f aca="false">F10*wai_26</f>
        <v>795.094795</v>
      </c>
      <c r="G31" s="8" t="s">
        <v>148</v>
      </c>
      <c r="H31" s="4" t="s">
        <v>478</v>
      </c>
      <c r="I31" s="8" t="s">
        <v>132</v>
      </c>
    </row>
    <row r="32" customFormat="false" ht="17.15" hidden="false" customHeight="false" outlineLevel="0" collapsed="false">
      <c r="A32" s="4" t="s">
        <v>479</v>
      </c>
      <c r="F32" s="16" t="n">
        <f aca="false">F10-F31</f>
        <v>650.532105</v>
      </c>
      <c r="G32" s="8" t="s">
        <v>29</v>
      </c>
      <c r="H32" s="8" t="s">
        <v>132</v>
      </c>
      <c r="I32" s="8" t="s">
        <v>132</v>
      </c>
    </row>
    <row r="34" customFormat="false" ht="17.15" hidden="false" customHeight="false" outlineLevel="0" collapsed="false">
      <c r="A34" s="6" t="s">
        <v>480</v>
      </c>
    </row>
    <row r="35" customFormat="false" ht="17.15" hidden="false" customHeight="false" outlineLevel="0" collapsed="false">
      <c r="A35" s="0" t="s">
        <v>481</v>
      </c>
      <c r="B35" s="20" t="n">
        <f aca="false">F4/B4-1</f>
        <v>0.873912121761526</v>
      </c>
    </row>
    <row r="36" customFormat="false" ht="17.15" hidden="false" customHeight="false" outlineLevel="0" collapsed="false">
      <c r="A36" s="0" t="s">
        <v>482</v>
      </c>
      <c r="B36" s="20" t="n">
        <f aca="false">F10/B10-1</f>
        <v>0.520651271796631</v>
      </c>
    </row>
    <row r="37" customFormat="false" ht="17.15" hidden="false" customHeight="false" outlineLevel="0" collapsed="false">
      <c r="A37" s="0" t="s">
        <v>483</v>
      </c>
      <c r="B37" s="20" t="n">
        <f aca="false">F13/B13-1</f>
        <v>1.1456516548884</v>
      </c>
    </row>
    <row r="38" customFormat="false" ht="17.15" hidden="false" customHeight="false" outlineLevel="0" collapsed="false">
      <c r="A38" s="0" t="s">
        <v>484</v>
      </c>
      <c r="B38" s="20" t="n">
        <f aca="false">F16/B16-1</f>
        <v>0.149102791115866</v>
      </c>
    </row>
    <row r="39" customFormat="false" ht="17.15" hidden="false" customHeight="false" outlineLevel="0" collapsed="false">
      <c r="A39" s="4" t="s">
        <v>485</v>
      </c>
      <c r="B39" s="18" t="n">
        <f aca="false">B38/B37</f>
        <v>0.130146707753319</v>
      </c>
    </row>
    <row r="40" customFormat="false" ht="17.15" hidden="false" customHeight="false" outlineLevel="0" collapsed="false">
      <c r="A40" s="0" t="s">
        <v>486</v>
      </c>
      <c r="B40" s="20" t="n">
        <f aca="false">F4/cons_rev26-1</f>
        <v>-0.000645864826737341</v>
      </c>
    </row>
    <row r="41" customFormat="false" ht="17.15" hidden="false" customHeight="false" outlineLevel="0" collapsed="false">
      <c r="A41" s="0" t="s">
        <v>487</v>
      </c>
      <c r="B41" s="20" t="n">
        <f aca="false">F24/cons_eps26-1</f>
        <v>0.0781010933333868</v>
      </c>
    </row>
    <row r="42" customFormat="false" ht="17.15" hidden="false" customHeight="false" outlineLevel="0" collapsed="false">
      <c r="A42" s="0" t="s">
        <v>488</v>
      </c>
      <c r="B42" s="18" t="n">
        <f aca="false">C24-C25</f>
        <v>0</v>
      </c>
    </row>
    <row r="43" customFormat="false" ht="17.15" hidden="false" customHeight="false" outlineLevel="0" collapsed="false">
      <c r="A43" s="0" t="s">
        <v>489</v>
      </c>
      <c r="B43" s="18" t="n">
        <f aca="false">F7/F12</f>
        <v>1.57523265231803</v>
      </c>
    </row>
    <row r="44" customFormat="false" ht="17.15" hidden="false" customHeight="false" outlineLevel="0" collapsed="false">
      <c r="A44" s="4" t="s">
        <v>490</v>
      </c>
      <c r="B44" s="21" t="n">
        <f aca="false">F30/fx/(odm_gb*(1-vr26)+odm_vr*vr26)</f>
        <v>12.0597330420658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491</v>
      </c>
    </row>
    <row r="3" customFormat="false" ht="15" hidden="false" customHeight="false" outlineLevel="0" collapsed="false">
      <c r="A3" s="5" t="s">
        <v>17</v>
      </c>
      <c r="B3" s="5" t="s">
        <v>18</v>
      </c>
      <c r="C3" s="14" t="s">
        <v>492</v>
      </c>
      <c r="D3" s="14" t="s">
        <v>493</v>
      </c>
      <c r="E3" s="14" t="s">
        <v>494</v>
      </c>
      <c r="F3" s="14" t="s">
        <v>495</v>
      </c>
      <c r="G3" s="5" t="s">
        <v>496</v>
      </c>
    </row>
    <row r="4" customFormat="false" ht="17.15" hidden="false" customHeight="false" outlineLevel="0" collapsed="false">
      <c r="A4" s="4" t="s">
        <v>497</v>
      </c>
      <c r="B4" s="0" t="s">
        <v>498</v>
      </c>
      <c r="C4" s="22" t="n">
        <f aca="false">PL!D65</f>
        <v>23.3995380420639</v>
      </c>
      <c r="D4" s="22" t="n">
        <f aca="false">PL!E65</f>
        <v>41.6467658260637</v>
      </c>
      <c r="E4" s="22" t="n">
        <f aca="false">PL!F65</f>
        <v>52.792138191248</v>
      </c>
      <c r="F4" s="22" t="n">
        <f aca="false">PL!G65</f>
        <v>60.1385917361116</v>
      </c>
      <c r="G4" s="8" t="s">
        <v>499</v>
      </c>
    </row>
    <row r="5" customFormat="false" ht="17.15" hidden="false" customHeight="false" outlineLevel="0" collapsed="false">
      <c r="A5" s="0" t="s">
        <v>500</v>
      </c>
      <c r="B5" s="0" t="s">
        <v>28</v>
      </c>
      <c r="C5" s="21" t="n">
        <f aca="false">PL!D67</f>
        <v>634.616531285011</v>
      </c>
      <c r="D5" s="21" t="n">
        <f aca="false">PL!E67</f>
        <v>1139.08069210867</v>
      </c>
      <c r="E5" s="21" t="n">
        <f aca="false">PL!F67</f>
        <v>1443.91777166882</v>
      </c>
      <c r="F5" s="21" t="n">
        <f aca="false">PL!G67</f>
        <v>1644.85062257439</v>
      </c>
      <c r="G5" s="4" t="s">
        <v>501</v>
      </c>
    </row>
    <row r="6" customFormat="false" ht="17.15" hidden="false" customHeight="false" outlineLevel="0" collapsed="false">
      <c r="A6" s="4" t="s">
        <v>502</v>
      </c>
      <c r="B6" s="0" t="s">
        <v>48</v>
      </c>
      <c r="C6" s="20" t="n">
        <f aca="false">PL!D72</f>
        <v>0.0875096501918446</v>
      </c>
      <c r="D6" s="20" t="n">
        <f aca="false">PL!E72</f>
        <v>0.0875096501918446</v>
      </c>
      <c r="E6" s="20" t="n">
        <f aca="false">PL!F72</f>
        <v>0.0831341676822524</v>
      </c>
      <c r="F6" s="20" t="n">
        <f aca="false">PL!G72</f>
        <v>0.0787586851726601</v>
      </c>
      <c r="G6" s="8" t="s">
        <v>503</v>
      </c>
    </row>
    <row r="7" customFormat="false" ht="17.15" hidden="false" customHeight="false" outlineLevel="0" collapsed="false">
      <c r="A7" s="4" t="s">
        <v>504</v>
      </c>
      <c r="B7" s="0" t="s">
        <v>48</v>
      </c>
      <c r="C7" s="20" t="n">
        <f aca="false">PL!D86</f>
        <v>0.0391523244650416</v>
      </c>
      <c r="D7" s="20" t="n">
        <f aca="false">PL!E86</f>
        <v>0.0391523244650416</v>
      </c>
      <c r="E7" s="20" t="n">
        <f aca="false">PL!F86</f>
        <v>0.0391523244650416</v>
      </c>
      <c r="F7" s="20" t="n">
        <f aca="false">PL!G86</f>
        <v>0.0371947082417896</v>
      </c>
      <c r="G7" s="4" t="s">
        <v>505</v>
      </c>
    </row>
    <row r="8" customFormat="false" ht="17.15" hidden="false" customHeight="false" outlineLevel="0" collapsed="false">
      <c r="A8" s="4" t="s">
        <v>506</v>
      </c>
      <c r="B8" s="0" t="s">
        <v>48</v>
      </c>
      <c r="C8" s="20" t="n">
        <f aca="false">C6+C7</f>
        <v>0.126661974656886</v>
      </c>
      <c r="D8" s="20" t="n">
        <f aca="false">D6+D7</f>
        <v>0.126661974656886</v>
      </c>
      <c r="E8" s="20" t="n">
        <f aca="false">E6+E7</f>
        <v>0.122286492147294</v>
      </c>
      <c r="F8" s="20" t="n">
        <f aca="false">F6+F7</f>
        <v>0.11595339341445</v>
      </c>
    </row>
    <row r="9" customFormat="false" ht="17.15" hidden="false" customHeight="false" outlineLevel="0" collapsed="false">
      <c r="A9" s="4" t="s">
        <v>507</v>
      </c>
      <c r="B9" s="0" t="s">
        <v>48</v>
      </c>
      <c r="C9" s="23" t="n">
        <v>0.133896123975753</v>
      </c>
      <c r="D9" s="23" t="n">
        <v>0.133896123975753</v>
      </c>
      <c r="E9" s="23" t="n">
        <v>0.127201317776965</v>
      </c>
      <c r="F9" s="23" t="n">
        <v>0.120506511578177</v>
      </c>
      <c r="G9" s="4" t="s">
        <v>508</v>
      </c>
    </row>
    <row r="10" customFormat="false" ht="17.15" hidden="false" customHeight="false" outlineLevel="0" collapsed="false">
      <c r="A10" s="4" t="s">
        <v>509</v>
      </c>
      <c r="B10" s="0" t="s">
        <v>48</v>
      </c>
      <c r="C10" s="23" t="n">
        <v>0.174610057569922</v>
      </c>
      <c r="D10" s="23" t="n">
        <v>0.174610057569922</v>
      </c>
      <c r="E10" s="23" t="n">
        <v>0.174610057569922</v>
      </c>
      <c r="F10" s="23" t="n">
        <v>0.165879554691426</v>
      </c>
      <c r="G10" s="4" t="s">
        <v>510</v>
      </c>
    </row>
    <row r="11" customFormat="false" ht="17.15" hidden="false" customHeight="false" outlineLevel="0" collapsed="false">
      <c r="A11" s="4" t="s">
        <v>511</v>
      </c>
      <c r="B11" s="0" t="s">
        <v>48</v>
      </c>
      <c r="C11" s="20" t="n">
        <f aca="false">C8+C9+C10</f>
        <v>0.435168156202561</v>
      </c>
      <c r="D11" s="20" t="n">
        <f aca="false">D8+D9+D10</f>
        <v>0.435168156202561</v>
      </c>
      <c r="E11" s="20" t="n">
        <f aca="false">E8+E9+E10</f>
        <v>0.424097867494181</v>
      </c>
      <c r="F11" s="20" t="n">
        <f aca="false">F8+F9+F10</f>
        <v>0.402339459684053</v>
      </c>
      <c r="G11" s="4" t="s">
        <v>512</v>
      </c>
    </row>
    <row r="12" customFormat="false" ht="17.15" hidden="false" customHeight="false" outlineLevel="0" collapsed="false">
      <c r="A12" s="4" t="s">
        <v>513</v>
      </c>
      <c r="B12" s="0" t="s">
        <v>28</v>
      </c>
      <c r="C12" s="21" t="n">
        <f aca="false">PL!D75/fx</f>
        <v>55.5350706587131</v>
      </c>
      <c r="D12" s="21" t="n">
        <f aca="false">PL!E75/fx</f>
        <v>89.7124976160423</v>
      </c>
      <c r="E12" s="21" t="n">
        <f aca="false">PL!F75/fx</f>
        <v>96.0311217194401</v>
      </c>
      <c r="F12" s="21" t="n">
        <f aca="false">PL!G75/fx</f>
        <v>97.1597042545426</v>
      </c>
      <c r="G12" s="4" t="s">
        <v>514</v>
      </c>
    </row>
    <row r="13" customFormat="false" ht="17.15" hidden="false" customHeight="false" outlineLevel="0" collapsed="false">
      <c r="A13" s="4" t="s">
        <v>515</v>
      </c>
      <c r="B13" s="4" t="s">
        <v>331</v>
      </c>
      <c r="C13" s="21" t="n">
        <f aca="false">PL!D94</f>
        <v>12.0597330420658</v>
      </c>
      <c r="D13" s="21" t="n">
        <f aca="false">PL!E94</f>
        <v>14.7674893195131</v>
      </c>
      <c r="E13" s="21" t="n">
        <f aca="false">PL!F94</f>
        <v>17.7835410591556</v>
      </c>
      <c r="F13" s="21" t="n">
        <f aca="false">PL!G94</f>
        <v>19.1920403465763</v>
      </c>
      <c r="G13" s="4" t="s">
        <v>516</v>
      </c>
    </row>
    <row r="14" customFormat="false" ht="17.15" hidden="false" customHeight="false" outlineLevel="0" collapsed="false">
      <c r="A14" s="0" t="s">
        <v>517</v>
      </c>
      <c r="B14" s="4" t="s">
        <v>81</v>
      </c>
      <c r="C14" s="18" t="n">
        <f aca="false">PL!D77</f>
        <v>8.35</v>
      </c>
      <c r="D14" s="18" t="n">
        <f aca="false">PL!E77</f>
        <v>11.2</v>
      </c>
      <c r="E14" s="18" t="n">
        <f aca="false">PL!F77</f>
        <v>11.5</v>
      </c>
      <c r="F14" s="18" t="n">
        <f aca="false">PL!G77</f>
        <v>12.9</v>
      </c>
      <c r="G14" s="8" t="s">
        <v>518</v>
      </c>
    </row>
    <row r="15" customFormat="false" ht="17.15" hidden="false" customHeight="false" outlineLevel="0" collapsed="false">
      <c r="A15" s="4" t="s">
        <v>519</v>
      </c>
      <c r="B15" s="0" t="s">
        <v>520</v>
      </c>
      <c r="C15" s="24" t="n">
        <f aca="false">PL!D79</f>
        <v>823.353293413174</v>
      </c>
      <c r="D15" s="24" t="n">
        <f aca="false">PL!E79</f>
        <v>946.85628742515</v>
      </c>
      <c r="E15" s="24" t="n">
        <f aca="false">PL!F79</f>
        <v>988.023952095808</v>
      </c>
      <c r="F15" s="24" t="n">
        <f aca="false">PL!G79</f>
        <v>988.023952095808</v>
      </c>
      <c r="G15" s="8" t="s">
        <v>521</v>
      </c>
    </row>
    <row r="16" customFormat="false" ht="17.15" hidden="false" customHeight="false" outlineLevel="0" collapsed="false">
      <c r="A16" s="0" t="s">
        <v>522</v>
      </c>
      <c r="B16" s="0" t="s">
        <v>28</v>
      </c>
      <c r="C16" s="25" t="n">
        <f aca="false">PL!D80/fx</f>
        <v>3.4375</v>
      </c>
      <c r="D16" s="25" t="n">
        <f aca="false">PL!E80/fx</f>
        <v>5.30239520958084</v>
      </c>
      <c r="E16" s="25" t="n">
        <f aca="false">PL!F80/fx</f>
        <v>5.39708083832335</v>
      </c>
      <c r="F16" s="25" t="n">
        <f aca="false">PL!G80/fx</f>
        <v>5.73547904191617</v>
      </c>
      <c r="G16" s="4" t="s">
        <v>523</v>
      </c>
    </row>
    <row r="17" customFormat="false" ht="17.15" hidden="false" customHeight="false" outlineLevel="0" collapsed="false">
      <c r="A17" s="4" t="s">
        <v>524</v>
      </c>
      <c r="B17" s="0" t="s">
        <v>28</v>
      </c>
      <c r="C17" s="21" t="n">
        <f aca="false">PL!D87/fx</f>
        <v>24.84671234375</v>
      </c>
      <c r="D17" s="21" t="n">
        <f aca="false">PL!E87/fx</f>
        <v>44.5976568493027</v>
      </c>
      <c r="E17" s="21" t="n">
        <f aca="false">PL!F87/fx</f>
        <v>56.5327370972177</v>
      </c>
      <c r="F17" s="21" t="n">
        <f aca="false">PL!G87/fx</f>
        <v>61.1797390079802</v>
      </c>
    </row>
    <row r="19" customFormat="false" ht="17.15" hidden="false" customHeight="false" outlineLevel="0" collapsed="false">
      <c r="A19" s="1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526</v>
      </c>
    </row>
    <row r="2" customFormat="false" ht="17.15" hidden="false" customHeight="false" outlineLevel="0" collapsed="false">
      <c r="A2" s="4" t="s">
        <v>527</v>
      </c>
    </row>
    <row r="3" customFormat="false" ht="17.15" hidden="false" customHeight="false" outlineLevel="0" collapsed="false">
      <c r="A3" s="5" t="s">
        <v>528</v>
      </c>
      <c r="B3" s="5" t="s">
        <v>18</v>
      </c>
      <c r="C3" s="14" t="s">
        <v>414</v>
      </c>
      <c r="D3" s="14" t="s">
        <v>529</v>
      </c>
      <c r="E3" s="14" t="s">
        <v>530</v>
      </c>
      <c r="F3" s="14" t="s">
        <v>531</v>
      </c>
      <c r="G3" s="14" t="s">
        <v>532</v>
      </c>
      <c r="H3" s="14" t="s">
        <v>533</v>
      </c>
      <c r="I3" s="14" t="s">
        <v>534</v>
      </c>
      <c r="J3" s="14" t="s">
        <v>535</v>
      </c>
      <c r="K3" s="5" t="s">
        <v>496</v>
      </c>
    </row>
    <row r="4" customFormat="false" ht="17.15" hidden="false" customHeight="false" outlineLevel="0" collapsed="false">
      <c r="A4" s="1" t="s">
        <v>536</v>
      </c>
    </row>
    <row r="5" customFormat="false" ht="15" hidden="false" customHeight="false" outlineLevel="0" collapsed="false">
      <c r="A5" s="4" t="s">
        <v>420</v>
      </c>
      <c r="B5" s="0" t="s">
        <v>147</v>
      </c>
      <c r="C5" s="21" t="n">
        <f aca="false">C90</f>
        <v>2186.523</v>
      </c>
      <c r="D5" s="21" t="n">
        <f aca="false">D90</f>
        <v>4097.35195421038</v>
      </c>
      <c r="E5" s="21" t="n">
        <f aca="false">E90</f>
        <v>5959.35161443524</v>
      </c>
      <c r="F5" s="21" t="n">
        <f aca="false">F90</f>
        <v>6607.43521272701</v>
      </c>
      <c r="G5" s="21" t="n">
        <f aca="false">G90</f>
        <v>6856.84867923116</v>
      </c>
      <c r="H5" s="26" t="n">
        <f aca="false">H90</f>
        <v>7166.53776956726</v>
      </c>
      <c r="I5" s="26" t="n">
        <f aca="false">I90</f>
        <v>7543.37199085936</v>
      </c>
      <c r="J5" s="26" t="n">
        <f aca="false">J90</f>
        <v>7995.97431031092</v>
      </c>
    </row>
    <row r="6" customFormat="false" ht="15" hidden="false" customHeight="false" outlineLevel="0" collapsed="false">
      <c r="A6" s="4" t="s">
        <v>537</v>
      </c>
      <c r="B6" s="0" t="s">
        <v>48</v>
      </c>
      <c r="D6" s="20" t="n">
        <f aca="false">D91</f>
        <v>0.873912121761526</v>
      </c>
      <c r="E6" s="20" t="n">
        <f aca="false">E91</f>
        <v>0.454439765251677</v>
      </c>
      <c r="F6" s="20" t="n">
        <f aca="false">F91</f>
        <v>0.108750689709586</v>
      </c>
      <c r="G6" s="20" t="n">
        <f aca="false">G91</f>
        <v>0.0377473949383174</v>
      </c>
      <c r="H6" s="27" t="n">
        <f aca="false">H91</f>
        <v>0.0451649299588782</v>
      </c>
      <c r="I6" s="27" t="n">
        <f aca="false">I91</f>
        <v>0.0525824649794391</v>
      </c>
      <c r="J6" s="27" t="n">
        <f aca="false">J91</f>
        <v>0.06</v>
      </c>
    </row>
    <row r="7" customFormat="false" ht="17.15" hidden="false" customHeight="false" outlineLevel="0" collapsed="false">
      <c r="A7" s="4" t="s">
        <v>538</v>
      </c>
      <c r="B7" s="0" t="s">
        <v>147</v>
      </c>
      <c r="D7" s="21" t="n">
        <f aca="false">D75</f>
        <v>1777.12226107882</v>
      </c>
      <c r="E7" s="21" t="n">
        <f aca="false">E75</f>
        <v>2870.79992371336</v>
      </c>
      <c r="F7" s="21" t="n">
        <f aca="false">F75</f>
        <v>3072.99589502208</v>
      </c>
      <c r="G7" s="21" t="n">
        <f aca="false">G75</f>
        <v>3109.11053614536</v>
      </c>
    </row>
    <row r="8" customFormat="false" ht="17.15" hidden="false" customHeight="false" outlineLevel="0" collapsed="false">
      <c r="A8" s="0" t="s">
        <v>539</v>
      </c>
      <c r="B8" s="0" t="s">
        <v>147</v>
      </c>
      <c r="D8" s="21" t="n">
        <f aca="false">D80</f>
        <v>110</v>
      </c>
      <c r="E8" s="21" t="n">
        <f aca="false">E80</f>
        <v>169.676646706587</v>
      </c>
      <c r="F8" s="21" t="n">
        <f aca="false">F80</f>
        <v>172.706586826347</v>
      </c>
      <c r="G8" s="21" t="n">
        <f aca="false">G80</f>
        <v>183.535329341317</v>
      </c>
    </row>
    <row r="9" customFormat="false" ht="15" hidden="false" customHeight="false" outlineLevel="0" collapsed="false">
      <c r="A9" s="4" t="s">
        <v>540</v>
      </c>
      <c r="B9" s="0" t="s">
        <v>147</v>
      </c>
      <c r="C9" s="21" t="n">
        <f aca="false">C89</f>
        <v>950.663</v>
      </c>
      <c r="D9" s="21" t="n">
        <f aca="false">D89</f>
        <v>1445.6269</v>
      </c>
      <c r="E9" s="21" t="n">
        <f aca="false">E89</f>
        <v>2142.71033467769</v>
      </c>
      <c r="F9" s="21" t="n">
        <f aca="false">F89</f>
        <v>2567.56802154097</v>
      </c>
      <c r="G9" s="21" t="n">
        <f aca="false">G89</f>
        <v>2754.19810440687</v>
      </c>
    </row>
    <row r="10" customFormat="false" ht="15" hidden="false" customHeight="false" outlineLevel="0" collapsed="false">
      <c r="A10" s="4" t="s">
        <v>427</v>
      </c>
      <c r="B10" s="0" t="s">
        <v>48</v>
      </c>
      <c r="C10" s="17" t="n">
        <f aca="false">C112</f>
        <v>0.0612767393711386</v>
      </c>
      <c r="D10" s="17" t="n">
        <f aca="false">D112</f>
        <v>0.055781973714825</v>
      </c>
      <c r="E10" s="17" t="n">
        <f aca="false">E112</f>
        <v>0.0555634787363554</v>
      </c>
      <c r="F10" s="17" t="n">
        <f aca="false">F112</f>
        <v>0.058677272972678</v>
      </c>
      <c r="G10" s="17" t="n">
        <f aca="false">G112</f>
        <v>0.0603884604264006</v>
      </c>
    </row>
    <row r="11" customFormat="false" ht="15" hidden="false" customHeight="false" outlineLevel="0" collapsed="false">
      <c r="A11" s="4" t="s">
        <v>431</v>
      </c>
      <c r="B11" s="0" t="s">
        <v>48</v>
      </c>
      <c r="C11" s="17" t="n">
        <f aca="false">C114</f>
        <v>0.0359259884300325</v>
      </c>
      <c r="D11" s="17" t="n">
        <f aca="false">D114</f>
        <v>0.0377712584126992</v>
      </c>
      <c r="E11" s="17" t="n">
        <f aca="false">E114</f>
        <v>0.0394478521383432</v>
      </c>
      <c r="F11" s="17" t="n">
        <f aca="false">F114</f>
        <v>0.0427150994026621</v>
      </c>
      <c r="G11" s="17" t="n">
        <f aca="false">G114</f>
        <v>0.0444257424895017</v>
      </c>
    </row>
    <row r="12" customFormat="false" ht="15" hidden="false" customHeight="false" outlineLevel="0" collapsed="false">
      <c r="A12" s="4" t="s">
        <v>461</v>
      </c>
      <c r="B12" s="0" t="s">
        <v>147</v>
      </c>
      <c r="C12" s="21" t="n">
        <f aca="false">C115</f>
        <v>58.0788</v>
      </c>
      <c r="D12" s="21" t="n">
        <f aca="false">D115</f>
        <v>106.868773588</v>
      </c>
      <c r="E12" s="21" t="n">
        <f aca="false">E115</f>
        <v>162.287585728808</v>
      </c>
      <c r="F12" s="21" t="n">
        <f aca="false">F115</f>
        <v>194.769083776675</v>
      </c>
      <c r="G12" s="21" t="n">
        <f aca="false">G115</f>
        <v>209.9725653723</v>
      </c>
    </row>
    <row r="13" customFormat="false" ht="15" hidden="false" customHeight="false" outlineLevel="0" collapsed="false">
      <c r="A13" s="4" t="s">
        <v>457</v>
      </c>
      <c r="B13" s="0" t="s">
        <v>147</v>
      </c>
      <c r="C13" s="21" t="n">
        <f aca="false">C117</f>
        <v>27.408</v>
      </c>
      <c r="D13" s="21" t="n">
        <f aca="false">D117</f>
        <v>59.6707048338912</v>
      </c>
      <c r="E13" s="21" t="n">
        <f aca="false">E117</f>
        <v>94.5859957438517</v>
      </c>
      <c r="F13" s="21" t="n">
        <f aca="false">F117</f>
        <v>113.643588351741</v>
      </c>
      <c r="G13" s="21" t="n">
        <f aca="false">G117</f>
        <v>122.950261057916</v>
      </c>
      <c r="H13" s="26" t="n">
        <f aca="false">H117</f>
        <v>128.503300987022</v>
      </c>
      <c r="I13" s="26" t="n">
        <f aca="false">I117</f>
        <v>135.260321310915</v>
      </c>
      <c r="J13" s="26" t="n">
        <f aca="false">J117</f>
        <v>143.375940589569</v>
      </c>
    </row>
    <row r="14" customFormat="false" ht="15" hidden="false" customHeight="false" outlineLevel="0" collapsed="false">
      <c r="A14" s="4" t="s">
        <v>541</v>
      </c>
      <c r="B14" s="0" t="s">
        <v>48</v>
      </c>
      <c r="C14" s="17" t="n">
        <f aca="false">C122</f>
        <v>0.0125349699042727</v>
      </c>
      <c r="D14" s="17" t="n">
        <f aca="false">D122</f>
        <v>0.0145632363293992</v>
      </c>
      <c r="E14" s="17" t="n">
        <f aca="false">E122</f>
        <v>0.0158718602061905</v>
      </c>
      <c r="F14" s="17" t="n">
        <f aca="false">F122</f>
        <v>0.0171993496255317</v>
      </c>
      <c r="G14" s="17" t="n">
        <f aca="false">G122</f>
        <v>0.0179310156618042</v>
      </c>
      <c r="H14" s="28" t="n">
        <f aca="false">H122</f>
        <v>0.0179310156618042</v>
      </c>
      <c r="I14" s="28" t="n">
        <f aca="false">I122</f>
        <v>0.0179310156618042</v>
      </c>
      <c r="J14" s="28" t="n">
        <f aca="false">J122</f>
        <v>0.0179310156618042</v>
      </c>
    </row>
    <row r="15" customFormat="false" ht="15" hidden="false" customHeight="false" outlineLevel="0" collapsed="false">
      <c r="A15" s="0" t="s">
        <v>464</v>
      </c>
      <c r="B15" s="0" t="s">
        <v>312</v>
      </c>
      <c r="C15" s="18" t="n">
        <f aca="false">C120</f>
        <v>9.04</v>
      </c>
      <c r="D15" s="18" t="n">
        <f aca="false">D120</f>
        <v>18.4247476850676</v>
      </c>
      <c r="E15" s="18" t="n">
        <f aca="false">E120</f>
        <v>27.5760920536011</v>
      </c>
      <c r="F15" s="18" t="n">
        <f aca="false">F120</f>
        <v>33.1322415019653</v>
      </c>
      <c r="G15" s="18" t="n">
        <f aca="false">G120</f>
        <v>35.8455571597422</v>
      </c>
      <c r="H15" s="29" t="n">
        <f aca="false">H120</f>
        <v>37.4645192381989</v>
      </c>
      <c r="I15" s="29" t="n">
        <f aca="false">I120</f>
        <v>39.434496009013</v>
      </c>
      <c r="J15" s="29" t="n">
        <f aca="false">J120</f>
        <v>41.8005657695538</v>
      </c>
    </row>
    <row r="16" customFormat="false" ht="17.15" hidden="false" customHeight="false" outlineLevel="0" collapsed="false">
      <c r="A16" s="0" t="s">
        <v>542</v>
      </c>
      <c r="B16" s="0" t="s">
        <v>48</v>
      </c>
      <c r="D16" s="20" t="n">
        <f aca="false">D121</f>
        <v>1.03813580587031</v>
      </c>
      <c r="E16" s="20" t="n">
        <f aca="false">E121</f>
        <v>0.496687635833963</v>
      </c>
      <c r="F16" s="20" t="n">
        <f aca="false">F121</f>
        <v>0.201484294350501</v>
      </c>
      <c r="G16" s="20" t="n">
        <f aca="false">G121</f>
        <v>0.081893513229881</v>
      </c>
      <c r="H16" s="27" t="n">
        <f aca="false">H121</f>
        <v>0.0451649299588786</v>
      </c>
      <c r="I16" s="27" t="n">
        <f aca="false">I121</f>
        <v>0.0525824649794391</v>
      </c>
      <c r="J16" s="27" t="n">
        <f aca="false">J121</f>
        <v>0.0599999999999998</v>
      </c>
    </row>
    <row r="18" customFormat="false" ht="17.15" hidden="false" customHeight="false" outlineLevel="0" collapsed="false">
      <c r="A18" s="1" t="s">
        <v>543</v>
      </c>
    </row>
    <row r="19" customFormat="false" ht="15" hidden="false" customHeight="false" outlineLevel="0" collapsed="false">
      <c r="A19" s="4" t="s">
        <v>420</v>
      </c>
      <c r="B19" s="0" t="s">
        <v>147</v>
      </c>
      <c r="C19" s="21" t="n">
        <f aca="false">C155</f>
        <v>2186.523</v>
      </c>
      <c r="D19" s="21" t="n">
        <f aca="false">D155</f>
        <v>4097.35195421038</v>
      </c>
      <c r="E19" s="21" t="n">
        <f aca="false">E155</f>
        <v>5959.35161443524</v>
      </c>
      <c r="F19" s="21" t="n">
        <f aca="false">F155</f>
        <v>5596.48519893513</v>
      </c>
      <c r="G19" s="21" t="n">
        <f aca="false">G155</f>
        <v>6069.28905216985</v>
      </c>
      <c r="H19" s="26" t="n">
        <f aca="false">H155</f>
        <v>6492.04450802955</v>
      </c>
      <c r="I19" s="26" t="n">
        <f aca="false">I155</f>
        <v>6847.98661135219</v>
      </c>
      <c r="J19" s="26" t="n">
        <f aca="false">J155</f>
        <v>7121.90607580627</v>
      </c>
    </row>
    <row r="20" customFormat="false" ht="15" hidden="false" customHeight="false" outlineLevel="0" collapsed="false">
      <c r="A20" s="4" t="s">
        <v>537</v>
      </c>
      <c r="B20" s="0" t="s">
        <v>48</v>
      </c>
      <c r="D20" s="20" t="n">
        <f aca="false">D156</f>
        <v>0.873912121761526</v>
      </c>
      <c r="E20" s="20" t="n">
        <f aca="false">E156</f>
        <v>0.454439765251677</v>
      </c>
      <c r="F20" s="20" t="n">
        <f aca="false">F156</f>
        <v>-0.0608902509832018</v>
      </c>
      <c r="G20" s="20" t="n">
        <f aca="false">G156</f>
        <v>0.0844822842245141</v>
      </c>
      <c r="H20" s="27" t="n">
        <f aca="false">H156</f>
        <v>0.0696548561496761</v>
      </c>
      <c r="I20" s="27" t="n">
        <f aca="false">I156</f>
        <v>0.054827428074838</v>
      </c>
      <c r="J20" s="27" t="n">
        <f aca="false">J156</f>
        <v>0.04</v>
      </c>
    </row>
    <row r="21" customFormat="false" ht="17.15" hidden="false" customHeight="false" outlineLevel="0" collapsed="false">
      <c r="A21" s="4" t="s">
        <v>538</v>
      </c>
      <c r="B21" s="0" t="s">
        <v>147</v>
      </c>
      <c r="D21" s="21" t="n">
        <f aca="false">D140</f>
        <v>1777.12226107882</v>
      </c>
      <c r="E21" s="21" t="n">
        <f aca="false">E140</f>
        <v>2870.79992371336</v>
      </c>
      <c r="F21" s="21" t="n">
        <f aca="false">F140</f>
        <v>2458.39671601767</v>
      </c>
      <c r="G21" s="21" t="n">
        <f aca="false">G140</f>
        <v>2642.74395572356</v>
      </c>
    </row>
    <row r="22" customFormat="false" ht="17.15" hidden="false" customHeight="false" outlineLevel="0" collapsed="false">
      <c r="A22" s="0" t="s">
        <v>539</v>
      </c>
      <c r="B22" s="0" t="s">
        <v>147</v>
      </c>
      <c r="D22" s="21" t="n">
        <f aca="false">D145</f>
        <v>110</v>
      </c>
      <c r="E22" s="21" t="n">
        <f aca="false">E145</f>
        <v>169.676646706587</v>
      </c>
      <c r="F22" s="21" t="n">
        <f aca="false">F145</f>
        <v>138.165269461078</v>
      </c>
      <c r="G22" s="21" t="n">
        <f aca="false">G145</f>
        <v>156.00502994012</v>
      </c>
    </row>
    <row r="23" customFormat="false" ht="15" hidden="false" customHeight="false" outlineLevel="0" collapsed="false">
      <c r="A23" s="4" t="s">
        <v>540</v>
      </c>
      <c r="B23" s="0" t="s">
        <v>147</v>
      </c>
      <c r="C23" s="21" t="n">
        <f aca="false">C154</f>
        <v>950.663</v>
      </c>
      <c r="D23" s="21" t="n">
        <f aca="false">D154</f>
        <v>1445.6269</v>
      </c>
      <c r="E23" s="21" t="n">
        <f aca="false">E154</f>
        <v>2142.71033467769</v>
      </c>
      <c r="F23" s="21" t="n">
        <f aca="false">F154</f>
        <v>2205.75850411877</v>
      </c>
      <c r="G23" s="21" t="n">
        <f aca="false">G154</f>
        <v>2460.53535716856</v>
      </c>
    </row>
    <row r="24" customFormat="false" ht="15" hidden="false" customHeight="false" outlineLevel="0" collapsed="false">
      <c r="A24" s="4" t="s">
        <v>427</v>
      </c>
      <c r="B24" s="0" t="s">
        <v>48</v>
      </c>
      <c r="C24" s="17" t="n">
        <f aca="false">C177</f>
        <v>0.0612767393711386</v>
      </c>
      <c r="D24" s="17" t="n">
        <f aca="false">D177</f>
        <v>0.055781973714825</v>
      </c>
      <c r="E24" s="17" t="n">
        <f aca="false">E177</f>
        <v>0.0555634787363554</v>
      </c>
      <c r="F24" s="17" t="n">
        <f aca="false">F177</f>
        <v>0.0590702392477038</v>
      </c>
      <c r="G24" s="17" t="n">
        <f aca="false">G177</f>
        <v>0.0606169461911591</v>
      </c>
    </row>
    <row r="25" customFormat="false" ht="15" hidden="false" customHeight="false" outlineLevel="0" collapsed="false">
      <c r="A25" s="4" t="s">
        <v>431</v>
      </c>
      <c r="B25" s="0" t="s">
        <v>48</v>
      </c>
      <c r="C25" s="17" t="n">
        <f aca="false">C179</f>
        <v>0.0359259884300325</v>
      </c>
      <c r="D25" s="17" t="n">
        <f aca="false">D179</f>
        <v>0.0377712584126992</v>
      </c>
      <c r="E25" s="17" t="n">
        <f aca="false">E179</f>
        <v>0.0394478521383432</v>
      </c>
      <c r="F25" s="17" t="n">
        <f aca="false">F179</f>
        <v>0.0416843898592635</v>
      </c>
      <c r="G25" s="17" t="n">
        <f aca="false">G179</f>
        <v>0.0435768729726996</v>
      </c>
    </row>
    <row r="26" customFormat="false" ht="15" hidden="false" customHeight="false" outlineLevel="0" collapsed="false">
      <c r="A26" s="4" t="s">
        <v>461</v>
      </c>
      <c r="B26" s="0" t="s">
        <v>147</v>
      </c>
      <c r="C26" s="21" t="n">
        <f aca="false">C180</f>
        <v>58.0788</v>
      </c>
      <c r="D26" s="21" t="n">
        <f aca="false">D180</f>
        <v>106.868773588</v>
      </c>
      <c r="E26" s="21" t="n">
        <f aca="false">E180</f>
        <v>162.287585728808</v>
      </c>
      <c r="F26" s="21" t="n">
        <f aca="false">F180</f>
        <v>162.182546298344</v>
      </c>
      <c r="G26" s="21" t="n">
        <f aca="false">G180</f>
        <v>183.294812921672</v>
      </c>
    </row>
    <row r="27" customFormat="false" ht="15" hidden="false" customHeight="false" outlineLevel="0" collapsed="false">
      <c r="A27" s="4" t="s">
        <v>457</v>
      </c>
      <c r="B27" s="0" t="s">
        <v>147</v>
      </c>
      <c r="C27" s="21" t="n">
        <f aca="false">C182</f>
        <v>27.408</v>
      </c>
      <c r="D27" s="21" t="n">
        <f aca="false">D182</f>
        <v>59.6707048338912</v>
      </c>
      <c r="E27" s="21" t="n">
        <f aca="false">E182</f>
        <v>94.5859957438517</v>
      </c>
      <c r="F27" s="21" t="n">
        <f aca="false">F182</f>
        <v>92.4888712201663</v>
      </c>
      <c r="G27" s="21" t="n">
        <f aca="false">G182</f>
        <v>105.551147248088</v>
      </c>
      <c r="H27" s="26" t="n">
        <f aca="false">H182</f>
        <v>109.139853985217</v>
      </c>
      <c r="I27" s="26" t="n">
        <f aca="false">I182</f>
        <v>111.153928325218</v>
      </c>
      <c r="J27" s="26" t="n">
        <f aca="false">J182</f>
        <v>111.471510977576</v>
      </c>
    </row>
    <row r="28" customFormat="false" ht="15" hidden="false" customHeight="false" outlineLevel="0" collapsed="false">
      <c r="A28" s="4" t="s">
        <v>541</v>
      </c>
      <c r="B28" s="0" t="s">
        <v>48</v>
      </c>
      <c r="C28" s="17" t="n">
        <f aca="false">C187</f>
        <v>0.0125349699042727</v>
      </c>
      <c r="D28" s="17" t="n">
        <f aca="false">D187</f>
        <v>0.0145632363293992</v>
      </c>
      <c r="E28" s="17" t="n">
        <f aca="false">E187</f>
        <v>0.0158718602061905</v>
      </c>
      <c r="F28" s="17" t="n">
        <f aca="false">F187</f>
        <v>0.0165262424419106</v>
      </c>
      <c r="G28" s="17" t="n">
        <f aca="false">G187</f>
        <v>0.0173910232880327</v>
      </c>
      <c r="H28" s="28" t="n">
        <f aca="false">H187</f>
        <v>0.016811322511765</v>
      </c>
      <c r="I28" s="28" t="n">
        <f aca="false">I187</f>
        <v>0.0162316217354972</v>
      </c>
      <c r="J28" s="28" t="n">
        <f aca="false">J187</f>
        <v>0.0156519209592294</v>
      </c>
    </row>
    <row r="29" customFormat="false" ht="15" hidden="false" customHeight="false" outlineLevel="0" collapsed="false">
      <c r="A29" s="0" t="s">
        <v>464</v>
      </c>
      <c r="B29" s="0" t="s">
        <v>312</v>
      </c>
      <c r="C29" s="18" t="n">
        <f aca="false">C185</f>
        <v>9.04</v>
      </c>
      <c r="D29" s="18" t="n">
        <f aca="false">D185</f>
        <v>18.4247476850676</v>
      </c>
      <c r="E29" s="18" t="n">
        <f aca="false">E185</f>
        <v>27.5760920536011</v>
      </c>
      <c r="F29" s="18" t="n">
        <f aca="false">F185</f>
        <v>26.9646854869289</v>
      </c>
      <c r="G29" s="18" t="n">
        <f aca="false">G185</f>
        <v>30.7729292268478</v>
      </c>
      <c r="H29" s="29" t="n">
        <f aca="false">H185</f>
        <v>31.8191994125998</v>
      </c>
      <c r="I29" s="29" t="n">
        <f aca="false">I185</f>
        <v>32.4063930977312</v>
      </c>
      <c r="J29" s="29" t="n">
        <f aca="false">J185</f>
        <v>32.4989827922961</v>
      </c>
    </row>
    <row r="30" customFormat="false" ht="17.15" hidden="false" customHeight="false" outlineLevel="0" collapsed="false">
      <c r="A30" s="0" t="s">
        <v>542</v>
      </c>
      <c r="B30" s="0" t="s">
        <v>48</v>
      </c>
      <c r="D30" s="20" t="n">
        <f aca="false">D186</f>
        <v>1.03813580587031</v>
      </c>
      <c r="E30" s="20" t="n">
        <f aca="false">E186</f>
        <v>0.496687635833963</v>
      </c>
      <c r="F30" s="20" t="n">
        <f aca="false">F186</f>
        <v>-0.0221716175549359</v>
      </c>
      <c r="G30" s="20" t="n">
        <f aca="false">G186</f>
        <v>0.14123078653244</v>
      </c>
      <c r="H30" s="27" t="n">
        <f aca="false">H186</f>
        <v>0.0339996942780203</v>
      </c>
      <c r="I30" s="27" t="n">
        <f aca="false">I186</f>
        <v>0.0184540684860506</v>
      </c>
      <c r="J30" s="27" t="n">
        <f aca="false">J186</f>
        <v>0.00285714285714289</v>
      </c>
    </row>
    <row r="32" customFormat="false" ht="17.15" hidden="false" customHeight="false" outlineLevel="0" collapsed="false">
      <c r="A32" s="1" t="s">
        <v>544</v>
      </c>
    </row>
    <row r="33" customFormat="false" ht="15" hidden="false" customHeight="false" outlineLevel="0" collapsed="false">
      <c r="A33" s="4" t="s">
        <v>420</v>
      </c>
      <c r="B33" s="0" t="s">
        <v>147</v>
      </c>
      <c r="C33" s="21" t="n">
        <f aca="false">C220</f>
        <v>2186.523</v>
      </c>
      <c r="D33" s="21" t="n">
        <f aca="false">D220</f>
        <v>4097.35195421038</v>
      </c>
      <c r="E33" s="21" t="n">
        <f aca="false">E220</f>
        <v>5959.35161443524</v>
      </c>
      <c r="F33" s="21" t="n">
        <f aca="false">F220</f>
        <v>4585.53518514325</v>
      </c>
      <c r="G33" s="21" t="n">
        <f aca="false">G220</f>
        <v>4756.68967373434</v>
      </c>
      <c r="H33" s="26" t="n">
        <f aca="false">H220</f>
        <v>4906.76280957769</v>
      </c>
      <c r="I33" s="26" t="n">
        <f aca="false">I220</f>
        <v>5033.23440263453</v>
      </c>
      <c r="J33" s="26" t="n">
        <f aca="false">J220</f>
        <v>5133.89909068723</v>
      </c>
    </row>
    <row r="34" customFormat="false" ht="15" hidden="false" customHeight="false" outlineLevel="0" collapsed="false">
      <c r="A34" s="4" t="s">
        <v>537</v>
      </c>
      <c r="B34" s="0" t="s">
        <v>48</v>
      </c>
      <c r="D34" s="20" t="n">
        <f aca="false">D221</f>
        <v>0.873912121761526</v>
      </c>
      <c r="E34" s="20" t="n">
        <f aca="false">E221</f>
        <v>0.454439765251677</v>
      </c>
      <c r="F34" s="20" t="n">
        <f aca="false">F221</f>
        <v>-0.23053119167599</v>
      </c>
      <c r="G34" s="20" t="n">
        <f aca="false">G221</f>
        <v>0.0373248664944532</v>
      </c>
      <c r="H34" s="27" t="n">
        <f aca="false">H221</f>
        <v>0.0315499109963021</v>
      </c>
      <c r="I34" s="27" t="n">
        <f aca="false">I221</f>
        <v>0.0257749554981511</v>
      </c>
      <c r="J34" s="27" t="n">
        <f aca="false">J221</f>
        <v>0.02</v>
      </c>
    </row>
    <row r="35" customFormat="false" ht="17.15" hidden="false" customHeight="false" outlineLevel="0" collapsed="false">
      <c r="A35" s="4" t="s">
        <v>538</v>
      </c>
      <c r="B35" s="0" t="s">
        <v>147</v>
      </c>
      <c r="D35" s="21" t="n">
        <f aca="false">D205</f>
        <v>1777.12226107882</v>
      </c>
      <c r="E35" s="21" t="n">
        <f aca="false">E205</f>
        <v>2870.79992371336</v>
      </c>
      <c r="F35" s="21" t="n">
        <f aca="false">F205</f>
        <v>1843.79753701325</v>
      </c>
      <c r="G35" s="21" t="n">
        <f aca="false">G205</f>
        <v>1865.46632168722</v>
      </c>
    </row>
    <row r="36" customFormat="false" ht="17.15" hidden="false" customHeight="false" outlineLevel="0" collapsed="false">
      <c r="A36" s="0" t="s">
        <v>539</v>
      </c>
      <c r="B36" s="0" t="s">
        <v>147</v>
      </c>
      <c r="D36" s="21" t="n">
        <f aca="false">D210</f>
        <v>110</v>
      </c>
      <c r="E36" s="21" t="n">
        <f aca="false">E210</f>
        <v>169.676646706587</v>
      </c>
      <c r="F36" s="21" t="n">
        <f aca="false">F210</f>
        <v>103.623952095808</v>
      </c>
      <c r="G36" s="21" t="n">
        <f aca="false">G210</f>
        <v>110.12119760479</v>
      </c>
    </row>
    <row r="37" customFormat="false" ht="15" hidden="false" customHeight="false" outlineLevel="0" collapsed="false">
      <c r="A37" s="4" t="s">
        <v>540</v>
      </c>
      <c r="B37" s="0" t="s">
        <v>147</v>
      </c>
      <c r="C37" s="21" t="n">
        <f aca="false">C219</f>
        <v>950.663</v>
      </c>
      <c r="D37" s="21" t="n">
        <f aca="false">D219</f>
        <v>1445.6269</v>
      </c>
      <c r="E37" s="21" t="n">
        <f aca="false">E219</f>
        <v>2142.71033467769</v>
      </c>
      <c r="F37" s="21" t="n">
        <f aca="false">F219</f>
        <v>1843.94898669658</v>
      </c>
      <c r="G37" s="21" t="n">
        <f aca="false">G219</f>
        <v>1971.09744510472</v>
      </c>
    </row>
    <row r="38" customFormat="false" ht="15" hidden="false" customHeight="false" outlineLevel="0" collapsed="false">
      <c r="A38" s="4" t="s">
        <v>427</v>
      </c>
      <c r="B38" s="0" t="s">
        <v>48</v>
      </c>
      <c r="C38" s="17" t="n">
        <f aca="false">C242</f>
        <v>0.0612767393711386</v>
      </c>
      <c r="D38" s="17" t="n">
        <f aca="false">D242</f>
        <v>0.055781973714825</v>
      </c>
      <c r="E38" s="17" t="n">
        <f aca="false">E242</f>
        <v>0.0555634787363554</v>
      </c>
      <c r="F38" s="17" t="n">
        <f aca="false">F242</f>
        <v>0.0596364761422394</v>
      </c>
      <c r="G38" s="17" t="n">
        <f aca="false">G242</f>
        <v>0.0611658896868001</v>
      </c>
    </row>
    <row r="39" customFormat="false" ht="15" hidden="false" customHeight="false" outlineLevel="0" collapsed="false">
      <c r="A39" s="4" t="s">
        <v>431</v>
      </c>
      <c r="B39" s="0" t="s">
        <v>48</v>
      </c>
      <c r="C39" s="17" t="n">
        <f aca="false">C244</f>
        <v>0.0359259884300325</v>
      </c>
      <c r="D39" s="17" t="n">
        <f aca="false">D244</f>
        <v>0.0377712584126992</v>
      </c>
      <c r="E39" s="17" t="n">
        <f aca="false">E244</f>
        <v>0.0394478521383432</v>
      </c>
      <c r="F39" s="17" t="n">
        <f aca="false">F244</f>
        <v>0.0399957025381734</v>
      </c>
      <c r="G39" s="17" t="n">
        <f aca="false">G244</f>
        <v>0.0416433776009068</v>
      </c>
    </row>
    <row r="40" customFormat="false" ht="15" hidden="false" customHeight="false" outlineLevel="0" collapsed="false">
      <c r="A40" s="4" t="s">
        <v>461</v>
      </c>
      <c r="B40" s="0" t="s">
        <v>147</v>
      </c>
      <c r="C40" s="21" t="n">
        <f aca="false">C245</f>
        <v>58.0788</v>
      </c>
      <c r="D40" s="21" t="n">
        <f aca="false">D245</f>
        <v>106.868773588</v>
      </c>
      <c r="E40" s="21" t="n">
        <f aca="false">E245</f>
        <v>162.287585728808</v>
      </c>
      <c r="F40" s="21" t="n">
        <f aca="false">F245</f>
        <v>129.073423206019</v>
      </c>
      <c r="G40" s="21" t="n">
        <f aca="false">G245</f>
        <v>139.114083024643</v>
      </c>
    </row>
    <row r="41" customFormat="false" ht="15" hidden="false" customHeight="false" outlineLevel="0" collapsed="false">
      <c r="A41" s="4" t="s">
        <v>457</v>
      </c>
      <c r="B41" s="0" t="s">
        <v>147</v>
      </c>
      <c r="C41" s="21" t="n">
        <f aca="false">C247</f>
        <v>27.408</v>
      </c>
      <c r="D41" s="21" t="n">
        <f aca="false">D247</f>
        <v>59.6707048338912</v>
      </c>
      <c r="E41" s="21" t="n">
        <f aca="false">E247</f>
        <v>94.5859957438517</v>
      </c>
      <c r="F41" s="21" t="n">
        <f aca="false">F247</f>
        <v>70.8115684745968</v>
      </c>
      <c r="G41" s="21" t="n">
        <f aca="false">G247</f>
        <v>76.8348150857277</v>
      </c>
      <c r="H41" s="26" t="n">
        <f aca="false">H247</f>
        <v>73.9750168855598</v>
      </c>
      <c r="I41" s="26" t="n">
        <f aca="false">I247</f>
        <v>70.4615968213486</v>
      </c>
      <c r="J41" s="26" t="n">
        <f aca="false">J247</f>
        <v>66.342303468716</v>
      </c>
    </row>
    <row r="42" customFormat="false" ht="15" hidden="false" customHeight="false" outlineLevel="0" collapsed="false">
      <c r="A42" s="4" t="s">
        <v>541</v>
      </c>
      <c r="B42" s="0" t="s">
        <v>48</v>
      </c>
      <c r="C42" s="17" t="n">
        <f aca="false">C252</f>
        <v>0.0125349699042727</v>
      </c>
      <c r="D42" s="17" t="n">
        <f aca="false">D252</f>
        <v>0.0145632363293992</v>
      </c>
      <c r="E42" s="17" t="n">
        <f aca="false">E252</f>
        <v>0.0158718602061905</v>
      </c>
      <c r="F42" s="17" t="n">
        <f aca="false">F252</f>
        <v>0.0154423781773653</v>
      </c>
      <c r="G42" s="17" t="n">
        <f aca="false">G252</f>
        <v>0.0161530014266007</v>
      </c>
      <c r="H42" s="28" t="n">
        <f aca="false">H252</f>
        <v>0.0150761346648274</v>
      </c>
      <c r="I42" s="28" t="n">
        <f aca="false">I252</f>
        <v>0.013999267903054</v>
      </c>
      <c r="J42" s="28" t="n">
        <f aca="false">J252</f>
        <v>0.0129224011412806</v>
      </c>
    </row>
    <row r="43" customFormat="false" ht="15" hidden="false" customHeight="false" outlineLevel="0" collapsed="false">
      <c r="A43" s="0" t="s">
        <v>464</v>
      </c>
      <c r="B43" s="0" t="s">
        <v>312</v>
      </c>
      <c r="C43" s="18" t="n">
        <f aca="false">C250</f>
        <v>9.04</v>
      </c>
      <c r="D43" s="18" t="n">
        <f aca="false">D250</f>
        <v>18.4247476850676</v>
      </c>
      <c r="E43" s="18" t="n">
        <f aca="false">E250</f>
        <v>27.5760920536011</v>
      </c>
      <c r="F43" s="18" t="n">
        <f aca="false">F250</f>
        <v>20.6447721500282</v>
      </c>
      <c r="G43" s="18" t="n">
        <f aca="false">G250</f>
        <v>22.400820724702</v>
      </c>
      <c r="H43" s="29" t="n">
        <f aca="false">H250</f>
        <v>21.5670603164897</v>
      </c>
      <c r="I43" s="29" t="n">
        <f aca="false">I250</f>
        <v>20.5427395980608</v>
      </c>
      <c r="J43" s="29" t="n">
        <f aca="false">J250</f>
        <v>19.3417794369434</v>
      </c>
    </row>
    <row r="44" customFormat="false" ht="17.15" hidden="false" customHeight="false" outlineLevel="0" collapsed="false">
      <c r="A44" s="0" t="s">
        <v>542</v>
      </c>
      <c r="B44" s="0" t="s">
        <v>48</v>
      </c>
      <c r="D44" s="20" t="n">
        <f aca="false">D251</f>
        <v>1.03813580587031</v>
      </c>
      <c r="E44" s="20" t="n">
        <f aca="false">E251</f>
        <v>0.496687635833963</v>
      </c>
      <c r="F44" s="20" t="n">
        <f aca="false">F251</f>
        <v>-0.251352508183542</v>
      </c>
      <c r="G44" s="20" t="n">
        <f aca="false">G251</f>
        <v>0.0850602061341395</v>
      </c>
      <c r="H44" s="27" t="n">
        <f aca="false">H251</f>
        <v>-0.0372200830701178</v>
      </c>
      <c r="I44" s="27" t="n">
        <f aca="false">I251</f>
        <v>-0.0474946841802886</v>
      </c>
      <c r="J44" s="27" t="n">
        <f aca="false">J251</f>
        <v>-0.0584615384615383</v>
      </c>
    </row>
    <row r="46" customFormat="false" ht="17.15" hidden="false" customHeight="false" outlineLevel="0" collapsed="false">
      <c r="A46" s="1" t="s">
        <v>545</v>
      </c>
    </row>
    <row r="47" customFormat="false" ht="17.15" hidden="false" customHeight="false" outlineLevel="0" collapsed="false">
      <c r="A47" s="4" t="s">
        <v>546</v>
      </c>
      <c r="D47" s="30" t="n">
        <f aca="false">ABS(D90-a26_rev)+ABS(D155-a26_rev)+ABS(D220-a26_rev)</f>
        <v>0</v>
      </c>
    </row>
    <row r="48" customFormat="false" ht="17.15" hidden="false" customHeight="false" outlineLevel="0" collapsed="false">
      <c r="A48" s="4" t="s">
        <v>547</v>
      </c>
      <c r="D48" s="30" t="n">
        <f aca="false">ABS(D120-a26_eps)+ABS(D185-a26_eps)+ABS(D250-a26_eps)</f>
        <v>0</v>
      </c>
    </row>
    <row r="49" customFormat="false" ht="17.15" hidden="false" customHeight="false" outlineLevel="0" collapsed="false">
      <c r="A49" s="4" t="s">
        <v>548</v>
      </c>
      <c r="D49" s="30" t="n">
        <f aca="false">D96*D83+(D96+d_brd)*D80+(D96+d_gen)*D82+D97-a26_sgp</f>
        <v>0</v>
      </c>
    </row>
    <row r="60" customFormat="false" ht="17.15" hidden="false" customHeight="false" outlineLevel="0" collapsed="false">
      <c r="A60" s="1" t="s">
        <v>549</v>
      </c>
    </row>
    <row r="61" customFormat="false" ht="17.15" hidden="false" customHeight="false" outlineLevel="0" collapsed="false">
      <c r="A61" s="5" t="s">
        <v>17</v>
      </c>
      <c r="B61" s="5" t="s">
        <v>18</v>
      </c>
      <c r="C61" s="14" t="s">
        <v>414</v>
      </c>
      <c r="D61" s="14" t="s">
        <v>529</v>
      </c>
      <c r="E61" s="14" t="s">
        <v>530</v>
      </c>
      <c r="F61" s="14" t="s">
        <v>531</v>
      </c>
      <c r="G61" s="14" t="s">
        <v>532</v>
      </c>
      <c r="H61" s="14" t="s">
        <v>533</v>
      </c>
      <c r="I61" s="14" t="s">
        <v>534</v>
      </c>
      <c r="J61" s="14" t="s">
        <v>535</v>
      </c>
      <c r="K61" s="5" t="s">
        <v>496</v>
      </c>
    </row>
    <row r="62" customFormat="false" ht="17.15" hidden="false" customHeight="false" outlineLevel="0" collapsed="false">
      <c r="A62" s="6" t="s">
        <v>550</v>
      </c>
    </row>
    <row r="63" customFormat="false" ht="17.15" hidden="false" customHeight="false" outlineLevel="0" collapsed="false">
      <c r="A63" s="0" t="s">
        <v>551</v>
      </c>
      <c r="B63" s="0" t="s">
        <v>28</v>
      </c>
      <c r="D63" s="21" t="n">
        <f aca="false">itc_26*1</f>
        <v>781.872916666667</v>
      </c>
      <c r="E63" s="21" t="n">
        <f aca="false">itc_27*1*1</f>
        <v>1565.35</v>
      </c>
      <c r="F63" s="21" t="n">
        <f aca="false">itc_28*um28_A*1</f>
        <v>1984.26388888889</v>
      </c>
      <c r="G63" s="21" t="n">
        <f aca="false">itc_29*um29_A*1</f>
        <v>2260.39027777778</v>
      </c>
    </row>
    <row r="64" customFormat="false" ht="17.15" hidden="false" customHeight="false" outlineLevel="0" collapsed="false">
      <c r="A64" s="4" t="s">
        <v>552</v>
      </c>
      <c r="B64" s="0" t="s">
        <v>28</v>
      </c>
      <c r="D64" s="21" t="n">
        <f aca="false">itpg_gb*(1-vr26)+itpg_vr*vr26</f>
        <v>33.41403216</v>
      </c>
      <c r="E64" s="21" t="n">
        <f aca="false">itpg_vr</f>
        <v>37.586352</v>
      </c>
      <c r="F64" s="21" t="n">
        <f aca="false">itpg_vr</f>
        <v>37.586352</v>
      </c>
      <c r="G64" s="21" t="n">
        <f aca="false">itpg_vr</f>
        <v>37.586352</v>
      </c>
    </row>
    <row r="65" customFormat="false" ht="17.15" hidden="false" customHeight="false" outlineLevel="0" collapsed="false">
      <c r="A65" s="4" t="s">
        <v>553</v>
      </c>
      <c r="B65" s="0" t="s">
        <v>498</v>
      </c>
      <c r="D65" s="22" t="n">
        <f aca="false">D63/D64</f>
        <v>23.3995380420639</v>
      </c>
      <c r="E65" s="22" t="n">
        <f aca="false">E63/E64</f>
        <v>41.6467658260637</v>
      </c>
      <c r="F65" s="22" t="n">
        <f aca="false">F63/F64</f>
        <v>52.792138191248</v>
      </c>
      <c r="G65" s="22" t="n">
        <f aca="false">G63/G64</f>
        <v>60.1385917361116</v>
      </c>
    </row>
    <row r="66" customFormat="false" ht="17.15" hidden="false" customHeight="false" outlineLevel="0" collapsed="false">
      <c r="A66" s="4" t="s">
        <v>554</v>
      </c>
      <c r="B66" s="0" t="s">
        <v>555</v>
      </c>
      <c r="D66" s="18" t="n">
        <f aca="false">(racks_gb*odm_gb*(1-vr26)+racks_vr*odm_vr*vr26)/1000</f>
        <v>27.1209</v>
      </c>
      <c r="E66" s="18" t="n">
        <f aca="false">racks_vr*odm_vr/1000</f>
        <v>27.351</v>
      </c>
      <c r="F66" s="18" t="n">
        <f aca="false">$E66*vpg_28</f>
        <v>27.351</v>
      </c>
      <c r="G66" s="18" t="n">
        <f aca="false">$E66*vpg_29</f>
        <v>27.351</v>
      </c>
      <c r="K66" s="4" t="s">
        <v>556</v>
      </c>
    </row>
    <row r="67" customFormat="false" ht="17.15" hidden="false" customHeight="false" outlineLevel="0" collapsed="false">
      <c r="A67" s="0" t="s">
        <v>557</v>
      </c>
      <c r="B67" s="0" t="s">
        <v>28</v>
      </c>
      <c r="D67" s="21" t="n">
        <f aca="false">D65*D66</f>
        <v>634.616531285011</v>
      </c>
      <c r="E67" s="21" t="n">
        <f aca="false">E65*E66</f>
        <v>1139.08069210867</v>
      </c>
      <c r="F67" s="21" t="n">
        <f aca="false">F65*F66</f>
        <v>1443.91777166882</v>
      </c>
      <c r="G67" s="21" t="n">
        <f aca="false">G65*G66</f>
        <v>1644.85062257439</v>
      </c>
    </row>
    <row r="68" customFormat="false" ht="17.15" hidden="false" customHeight="false" outlineLevel="0" collapsed="false">
      <c r="A68" s="0" t="s">
        <v>558</v>
      </c>
      <c r="B68" s="0" t="s">
        <v>147</v>
      </c>
      <c r="D68" s="21" t="n">
        <f aca="false">D67*fx</f>
        <v>20307.7290011204</v>
      </c>
      <c r="E68" s="21" t="n">
        <f aca="false">E67*fx</f>
        <v>36450.5821474774</v>
      </c>
      <c r="F68" s="21" t="n">
        <f aca="false">F67*fx</f>
        <v>46205.3686934024</v>
      </c>
      <c r="G68" s="21" t="n">
        <f aca="false">G67*fx</f>
        <v>52635.2199223804</v>
      </c>
    </row>
    <row r="69" customFormat="false" ht="17.15" hidden="false" customHeight="false" outlineLevel="0" collapsed="false">
      <c r="A69" s="6" t="s">
        <v>559</v>
      </c>
    </row>
    <row r="70" customFormat="false" ht="17.15" hidden="false" customHeight="false" outlineLevel="0" collapsed="false">
      <c r="A70" s="4" t="s">
        <v>560</v>
      </c>
      <c r="B70" s="0" t="s">
        <v>48</v>
      </c>
      <c r="D70" s="20" t="n">
        <f aca="false">a26_ais/D68</f>
        <v>0.0875096501918446</v>
      </c>
      <c r="K70" s="8" t="s">
        <v>561</v>
      </c>
    </row>
    <row r="71" customFormat="false" ht="17.15" hidden="false" customHeight="false" outlineLevel="0" collapsed="false">
      <c r="A71" s="4" t="s">
        <v>562</v>
      </c>
      <c r="B71" s="0" t="s">
        <v>60</v>
      </c>
      <c r="D71" s="18" t="n">
        <f aca="false">1</f>
        <v>1</v>
      </c>
      <c r="E71" s="18" t="n">
        <f aca="false">rel_27</f>
        <v>1</v>
      </c>
      <c r="F71" s="18" t="n">
        <f aca="false">rel_28</f>
        <v>0.95</v>
      </c>
      <c r="G71" s="18" t="n">
        <f aca="false">rel_29</f>
        <v>0.9</v>
      </c>
    </row>
    <row r="72" customFormat="false" ht="17.15" hidden="false" customHeight="false" outlineLevel="0" collapsed="false">
      <c r="A72" s="4" t="s">
        <v>563</v>
      </c>
      <c r="B72" s="0" t="s">
        <v>48</v>
      </c>
      <c r="D72" s="20" t="n">
        <f aca="false">$D$70*D71</f>
        <v>0.0875096501918446</v>
      </c>
      <c r="E72" s="20" t="n">
        <f aca="false">$D$70*E71</f>
        <v>0.0875096501918446</v>
      </c>
      <c r="F72" s="20" t="n">
        <f aca="false">$D$70*F71</f>
        <v>0.0831341676822524</v>
      </c>
      <c r="G72" s="20" t="n">
        <f aca="false">$D$70*G71</f>
        <v>0.0787586851726601</v>
      </c>
    </row>
    <row r="73" customFormat="false" ht="17.15" hidden="false" customHeight="false" outlineLevel="0" collapsed="false">
      <c r="A73" s="4" t="s">
        <v>564</v>
      </c>
      <c r="B73" s="0" t="s">
        <v>147</v>
      </c>
      <c r="D73" s="21" t="n">
        <f aca="false">D68*D72</f>
        <v>1777.12226107882</v>
      </c>
      <c r="E73" s="21" t="n">
        <f aca="false">E68*E72</f>
        <v>3189.77769301484</v>
      </c>
      <c r="F73" s="21" t="n">
        <f aca="false">F68*F72</f>
        <v>3841.24486877761</v>
      </c>
      <c r="G73" s="21" t="n">
        <f aca="false">G68*G72</f>
        <v>4145.48071486049</v>
      </c>
    </row>
    <row r="74" customFormat="false" ht="17.15" hidden="false" customHeight="false" outlineLevel="0" collapsed="false">
      <c r="A74" s="4" t="s">
        <v>565</v>
      </c>
      <c r="B74" s="0" t="s">
        <v>48</v>
      </c>
      <c r="D74" s="20" t="n">
        <f aca="false">0</f>
        <v>0</v>
      </c>
      <c r="E74" s="20" t="n">
        <f aca="false">cs_27</f>
        <v>0.1</v>
      </c>
      <c r="F74" s="20" t="n">
        <f aca="false">cs_28</f>
        <v>0.2</v>
      </c>
      <c r="G74" s="20" t="n">
        <f aca="false">cs_29</f>
        <v>0.25</v>
      </c>
      <c r="K74" s="8" t="s">
        <v>566</v>
      </c>
    </row>
    <row r="75" customFormat="false" ht="17.15" hidden="false" customHeight="false" outlineLevel="0" collapsed="false">
      <c r="A75" s="4" t="s">
        <v>567</v>
      </c>
      <c r="B75" s="0" t="s">
        <v>147</v>
      </c>
      <c r="D75" s="21" t="n">
        <f aca="false">D73*(1-D74)</f>
        <v>1777.12226107882</v>
      </c>
      <c r="E75" s="21" t="n">
        <f aca="false">E73*(1-E74)</f>
        <v>2870.79992371336</v>
      </c>
      <c r="F75" s="21" t="n">
        <f aca="false">F73*(1-F74)</f>
        <v>3072.99589502208</v>
      </c>
      <c r="G75" s="21" t="n">
        <f aca="false">G73*(1-G74)</f>
        <v>3109.11053614536</v>
      </c>
    </row>
    <row r="76" customFormat="false" ht="17.15" hidden="false" customHeight="false" outlineLevel="0" collapsed="false">
      <c r="A76" s="6" t="s">
        <v>568</v>
      </c>
    </row>
    <row r="77" customFormat="false" ht="17.15" hidden="false" customHeight="false" outlineLevel="0" collapsed="false">
      <c r="A77" s="0" t="s">
        <v>569</v>
      </c>
      <c r="B77" s="4" t="s">
        <v>81</v>
      </c>
      <c r="D77" s="18" t="n">
        <f aca="false">gu_26*1</f>
        <v>8.35</v>
      </c>
      <c r="E77" s="18" t="n">
        <f aca="false">gu_27*1*1</f>
        <v>11.2</v>
      </c>
      <c r="F77" s="18" t="n">
        <f aca="false">gu_28*um28_A*1</f>
        <v>11.5</v>
      </c>
      <c r="G77" s="18" t="n">
        <f aca="false">gu_29*um29_A*1</f>
        <v>12.9</v>
      </c>
    </row>
    <row r="78" customFormat="false" ht="15" hidden="false" customHeight="false" outlineLevel="0" collapsed="false">
      <c r="A78" s="4" t="s">
        <v>570</v>
      </c>
      <c r="B78" s="0" t="s">
        <v>48</v>
      </c>
      <c r="D78" s="20" t="n">
        <f aca="false">bsh_26</f>
        <v>0.5</v>
      </c>
      <c r="E78" s="20" t="n">
        <f aca="false">bsh_26*brel_27</f>
        <v>0.5</v>
      </c>
      <c r="F78" s="20" t="n">
        <f aca="false">bsh_26*brel_28</f>
        <v>0.475</v>
      </c>
      <c r="G78" s="20" t="n">
        <f aca="false">bsh_26*brel_29</f>
        <v>0.45</v>
      </c>
    </row>
    <row r="79" customFormat="false" ht="17.15" hidden="false" customHeight="false" outlineLevel="0" collapsed="false">
      <c r="A79" s="4" t="s">
        <v>571</v>
      </c>
      <c r="B79" s="0" t="s">
        <v>520</v>
      </c>
      <c r="D79" s="24" t="n">
        <f aca="false">a26_brd/fx/D77/D78*1000</f>
        <v>823.353293413174</v>
      </c>
      <c r="E79" s="24" t="n">
        <f aca="false">$D79*bv_27</f>
        <v>946.85628742515</v>
      </c>
      <c r="F79" s="24" t="n">
        <f aca="false">$D79*bv_28</f>
        <v>988.023952095808</v>
      </c>
      <c r="G79" s="24" t="n">
        <f aca="false">$D79*bv_29</f>
        <v>988.023952095808</v>
      </c>
      <c r="K79" s="8" t="s">
        <v>572</v>
      </c>
    </row>
    <row r="80" customFormat="false" ht="17.15" hidden="false" customHeight="false" outlineLevel="0" collapsed="false">
      <c r="A80" s="0" t="s">
        <v>522</v>
      </c>
      <c r="B80" s="0" t="s">
        <v>147</v>
      </c>
      <c r="D80" s="21" t="n">
        <f aca="false">D77*D78*D79*fx/1000</f>
        <v>110</v>
      </c>
      <c r="E80" s="21" t="n">
        <f aca="false">E77*E78*E79*fx/1000</f>
        <v>169.676646706587</v>
      </c>
      <c r="F80" s="21" t="n">
        <f aca="false">F77*F78*F79*fx/1000</f>
        <v>172.706586826347</v>
      </c>
      <c r="G80" s="21" t="n">
        <f aca="false">G77*G78*G79*fx/1000</f>
        <v>183.535329341317</v>
      </c>
    </row>
    <row r="81" customFormat="false" ht="17.15" hidden="false" customHeight="false" outlineLevel="0" collapsed="false">
      <c r="A81" s="6" t="s">
        <v>573</v>
      </c>
    </row>
    <row r="82" customFormat="false" ht="15" hidden="false" customHeight="false" outlineLevel="0" collapsed="false">
      <c r="A82" s="4" t="s">
        <v>574</v>
      </c>
      <c r="B82" s="0" t="s">
        <v>147</v>
      </c>
      <c r="D82" s="21" t="n">
        <f aca="false">a26_gen</f>
        <v>150</v>
      </c>
      <c r="E82" s="21" t="n">
        <f aca="false">D82*(1+g_gen27)</f>
        <v>180</v>
      </c>
      <c r="F82" s="21" t="n">
        <f aca="false">E82*(1+g_gen28)</f>
        <v>198</v>
      </c>
      <c r="G82" s="21" t="n">
        <f aca="false">F82*(1+g_gen29)</f>
        <v>213.84</v>
      </c>
    </row>
    <row r="83" customFormat="false" ht="15" hidden="false" customHeight="false" outlineLevel="0" collapsed="false">
      <c r="A83" s="4" t="s">
        <v>575</v>
      </c>
      <c r="B83" s="0" t="s">
        <v>147</v>
      </c>
      <c r="D83" s="21" t="n">
        <f aca="false">a26_pc</f>
        <v>614.602793131557</v>
      </c>
      <c r="E83" s="21" t="n">
        <f aca="false">D83*(1+g_pc27)</f>
        <v>596.16470933761</v>
      </c>
      <c r="F83" s="21" t="n">
        <f aca="false">E83*(1+g_pc28)</f>
        <v>596.16470933761</v>
      </c>
      <c r="G83" s="21" t="n">
        <f aca="false">F83*(1+g_pc29)</f>
        <v>596.16470933761</v>
      </c>
    </row>
    <row r="84" customFormat="false" ht="15" hidden="false" customHeight="false" outlineLevel="0" collapsed="false">
      <c r="A84" s="4" t="s">
        <v>576</v>
      </c>
      <c r="B84" s="0" t="s">
        <v>147</v>
      </c>
      <c r="C84" s="21" t="n">
        <f aca="false">a25_srev</f>
        <v>1235.86</v>
      </c>
      <c r="D84" s="21" t="n">
        <f aca="false">D75+D80+D82+D83</f>
        <v>2651.72505421038</v>
      </c>
      <c r="E84" s="21" t="n">
        <f aca="false">E75+E80+E82+E83</f>
        <v>3816.64127975755</v>
      </c>
      <c r="F84" s="21" t="n">
        <f aca="false">F75+F80+F82+F83</f>
        <v>4039.86719118604</v>
      </c>
      <c r="G84" s="21" t="n">
        <f aca="false">G75+G80+G82+G83</f>
        <v>4102.65057482429</v>
      </c>
    </row>
    <row r="85" customFormat="false" ht="17.15" hidden="false" customHeight="false" outlineLevel="0" collapsed="false">
      <c r="A85" s="4" t="s">
        <v>577</v>
      </c>
      <c r="B85" s="0" t="s">
        <v>48</v>
      </c>
      <c r="D85" s="20" t="n">
        <f aca="false">a26_wai/D68</f>
        <v>0.0391523244650416</v>
      </c>
      <c r="K85" s="8" t="s">
        <v>578</v>
      </c>
    </row>
    <row r="86" customFormat="false" ht="17.15" hidden="false" customHeight="false" outlineLevel="0" collapsed="false">
      <c r="A86" s="4" t="s">
        <v>504</v>
      </c>
      <c r="B86" s="0" t="s">
        <v>48</v>
      </c>
      <c r="D86" s="20" t="n">
        <f aca="false">D85</f>
        <v>0.0391523244650416</v>
      </c>
      <c r="E86" s="20" t="n">
        <f aca="false">$D$85*wrel_27</f>
        <v>0.0391523244650416</v>
      </c>
      <c r="F86" s="20" t="n">
        <f aca="false">$D$85*wrel_28</f>
        <v>0.0391523244650416</v>
      </c>
      <c r="G86" s="20" t="n">
        <f aca="false">$D$85*wrel_29</f>
        <v>0.0371947082417896</v>
      </c>
    </row>
    <row r="87" customFormat="false" ht="17.15" hidden="false" customHeight="false" outlineLevel="0" collapsed="false">
      <c r="A87" s="4" t="s">
        <v>524</v>
      </c>
      <c r="B87" s="0" t="s">
        <v>147</v>
      </c>
      <c r="D87" s="21" t="n">
        <f aca="false">D68*D86</f>
        <v>795.094795</v>
      </c>
      <c r="E87" s="21" t="n">
        <f aca="false">E68*E86</f>
        <v>1427.12501917769</v>
      </c>
      <c r="F87" s="21" t="n">
        <f aca="false">F68*F86</f>
        <v>1809.04758711097</v>
      </c>
      <c r="G87" s="21" t="n">
        <f aca="false">G68*G86</f>
        <v>1957.75164825537</v>
      </c>
    </row>
    <row r="88" customFormat="false" ht="17.15" hidden="false" customHeight="false" outlineLevel="0" collapsed="false">
      <c r="A88" s="4" t="s">
        <v>579</v>
      </c>
      <c r="B88" s="0" t="s">
        <v>147</v>
      </c>
      <c r="D88" s="21" t="n">
        <f aca="false">a26_wna</f>
        <v>650.532105</v>
      </c>
      <c r="E88" s="21" t="n">
        <f aca="false">D88*(1+g_wn27)</f>
        <v>715.5853155</v>
      </c>
      <c r="F88" s="21" t="n">
        <f aca="false">E88*(1+g_wn28)</f>
        <v>758.52043443</v>
      </c>
      <c r="G88" s="21" t="n">
        <f aca="false">F88*(1+g_wn29)</f>
        <v>796.4464561515</v>
      </c>
    </row>
    <row r="89" customFormat="false" ht="15" hidden="false" customHeight="false" outlineLevel="0" collapsed="false">
      <c r="A89" s="4" t="s">
        <v>434</v>
      </c>
      <c r="B89" s="0" t="s">
        <v>147</v>
      </c>
      <c r="C89" s="21" t="n">
        <f aca="false">a25_wrev</f>
        <v>950.663</v>
      </c>
      <c r="D89" s="21" t="n">
        <f aca="false">D87+D88</f>
        <v>1445.6269</v>
      </c>
      <c r="E89" s="21" t="n">
        <f aca="false">E87+E88</f>
        <v>2142.71033467769</v>
      </c>
      <c r="F89" s="21" t="n">
        <f aca="false">F87+F88</f>
        <v>2567.56802154097</v>
      </c>
      <c r="G89" s="21" t="n">
        <f aca="false">G87+G88</f>
        <v>2754.19810440687</v>
      </c>
    </row>
    <row r="90" customFormat="false" ht="17.15" hidden="false" customHeight="false" outlineLevel="0" collapsed="false">
      <c r="A90" s="4" t="s">
        <v>420</v>
      </c>
      <c r="B90" s="0" t="s">
        <v>147</v>
      </c>
      <c r="C90" s="21" t="n">
        <f aca="false">C84+C89</f>
        <v>2186.523</v>
      </c>
      <c r="D90" s="21" t="n">
        <f aca="false">D84+D89</f>
        <v>4097.35195421038</v>
      </c>
      <c r="E90" s="21" t="n">
        <f aca="false">E84+E89</f>
        <v>5959.35161443524</v>
      </c>
      <c r="F90" s="21" t="n">
        <f aca="false">F84+F89</f>
        <v>6607.43521272701</v>
      </c>
      <c r="G90" s="21" t="n">
        <f aca="false">G84+G89</f>
        <v>6856.84867923116</v>
      </c>
      <c r="H90" s="26" t="n">
        <f aca="false">G90*(1+H91)</f>
        <v>7166.53776956726</v>
      </c>
      <c r="I90" s="26" t="n">
        <f aca="false">H90*(1+I91)</f>
        <v>7543.37199085936</v>
      </c>
      <c r="J90" s="26" t="n">
        <f aca="false">I90*(1+J91)</f>
        <v>7995.97431031092</v>
      </c>
      <c r="K90" s="8" t="s">
        <v>580</v>
      </c>
    </row>
    <row r="91" customFormat="false" ht="15" hidden="false" customHeight="false" outlineLevel="0" collapsed="false">
      <c r="A91" s="4" t="s">
        <v>581</v>
      </c>
      <c r="B91" s="0" t="s">
        <v>48</v>
      </c>
      <c r="D91" s="20" t="n">
        <f aca="false">D90/C90-1</f>
        <v>0.873912121761526</v>
      </c>
      <c r="E91" s="20" t="n">
        <f aca="false">E90/D90-1</f>
        <v>0.454439765251677</v>
      </c>
      <c r="F91" s="20" t="n">
        <f aca="false">F90/E90-1</f>
        <v>0.108750689709586</v>
      </c>
      <c r="G91" s="20" t="n">
        <f aca="false">G90/F90-1</f>
        <v>0.0377473949383174</v>
      </c>
      <c r="H91" s="27" t="n">
        <f aca="false">$G91+(fade_gA-$G91)*1/3</f>
        <v>0.0451649299588782</v>
      </c>
      <c r="I91" s="27" t="n">
        <f aca="false">$G91+(fade_gA-$G91)*2/3</f>
        <v>0.0525824649794391</v>
      </c>
      <c r="J91" s="27" t="n">
        <f aca="false">$G91+(fade_gA-$G91)*3/3</f>
        <v>0.06</v>
      </c>
    </row>
    <row r="92" customFormat="false" ht="17.15" hidden="false" customHeight="false" outlineLevel="0" collapsed="false">
      <c r="A92" s="0" t="s">
        <v>582</v>
      </c>
      <c r="B92" s="0" t="s">
        <v>48</v>
      </c>
      <c r="D92" s="20" t="n">
        <f aca="false">(D75+D80+D87)/D90</f>
        <v>0.6546220793463</v>
      </c>
      <c r="E92" s="20" t="n">
        <f aca="false">(E75+E80+E87)/E90</f>
        <v>0.749679139384196</v>
      </c>
      <c r="F92" s="20" t="n">
        <f aca="false">(F75+F80+F87)/F90</f>
        <v>0.76500940322852</v>
      </c>
      <c r="G92" s="20" t="n">
        <f aca="false">(G75+G80+G87)/G90</f>
        <v>0.765715820686707</v>
      </c>
    </row>
    <row r="93" customFormat="false" ht="17.15" hidden="false" customHeight="false" outlineLevel="0" collapsed="false">
      <c r="A93" s="4" t="s">
        <v>583</v>
      </c>
      <c r="B93" s="0" t="s">
        <v>48</v>
      </c>
      <c r="C93" s="20" t="n">
        <f aca="false">C89/C90</f>
        <v>0.434782986504144</v>
      </c>
      <c r="D93" s="20" t="n">
        <f aca="false">D89/D90</f>
        <v>0.352819800728736</v>
      </c>
      <c r="E93" s="20" t="n">
        <f aca="false">E89/E90</f>
        <v>0.359554272563384</v>
      </c>
      <c r="F93" s="20" t="n">
        <f aca="false">F89/F90</f>
        <v>0.388587695358012</v>
      </c>
      <c r="G93" s="20" t="n">
        <f aca="false">G89/G90</f>
        <v>0.40167112229691</v>
      </c>
    </row>
    <row r="94" customFormat="false" ht="17.15" hidden="false" customHeight="false" outlineLevel="0" collapsed="false">
      <c r="A94" s="4" t="s">
        <v>584</v>
      </c>
      <c r="B94" s="4" t="s">
        <v>331</v>
      </c>
      <c r="D94" s="21" t="n">
        <f aca="false">D73/fx/(odm_gb*(1-vr26)+odm_vr*vr26)</f>
        <v>12.0597330420658</v>
      </c>
      <c r="E94" s="21" t="n">
        <f aca="false">E73/fx/odm_vr</f>
        <v>14.7674893195131</v>
      </c>
      <c r="F94" s="21" t="n">
        <f aca="false">F73/fx/odm_vr</f>
        <v>17.7835410591556</v>
      </c>
      <c r="G94" s="21" t="n">
        <f aca="false">G73/fx/odm_vr</f>
        <v>19.1920403465763</v>
      </c>
      <c r="K94" s="4" t="s">
        <v>585</v>
      </c>
    </row>
    <row r="95" customFormat="false" ht="17.15" hidden="false" customHeight="false" outlineLevel="0" collapsed="false">
      <c r="A95" s="6" t="s">
        <v>586</v>
      </c>
    </row>
    <row r="96" customFormat="false" ht="17.15" hidden="false" customHeight="false" outlineLevel="0" collapsed="false">
      <c r="A96" s="4" t="s">
        <v>587</v>
      </c>
      <c r="B96" s="0" t="s">
        <v>48</v>
      </c>
      <c r="D96" s="17" t="n">
        <f aca="false">(a26_sgp-d_ai*D75-d_brd*D80-d_gen*D82)/D84</f>
        <v>0.0436423860147897</v>
      </c>
      <c r="K96" s="8" t="s">
        <v>588</v>
      </c>
    </row>
    <row r="97" customFormat="false" ht="17.15" hidden="false" customHeight="false" outlineLevel="0" collapsed="false">
      <c r="A97" s="4" t="s">
        <v>589</v>
      </c>
      <c r="B97" s="0" t="s">
        <v>147</v>
      </c>
      <c r="D97" s="25" t="n">
        <f aca="false">($D$96+d_ai)*D73*(1-D74*(1-keep))</f>
        <v>59.7866331026896</v>
      </c>
      <c r="E97" s="25" t="n">
        <f aca="false">($D$96+d_ai+vrd)*E73*(1-E74*(1-keep))</f>
        <v>99.9228552931035</v>
      </c>
      <c r="F97" s="25" t="n">
        <f aca="false">($D$96+d_ai+vrd)*F73*(1-F74*(1-keep))</f>
        <v>119.115229856887</v>
      </c>
      <c r="G97" s="25" t="n">
        <f aca="false">($D$96+d_ai+vrd)*G73*(1-G74*(1-keep))</f>
        <v>127.89357847157</v>
      </c>
    </row>
    <row r="98" customFormat="false" ht="15" hidden="false" customHeight="false" outlineLevel="0" collapsed="false">
      <c r="A98" s="4" t="s">
        <v>590</v>
      </c>
      <c r="B98" s="0" t="s">
        <v>147</v>
      </c>
      <c r="C98" s="21" t="n">
        <f aca="false">a25_sgp</f>
        <v>55.529</v>
      </c>
      <c r="D98" s="21" t="n">
        <f aca="false">a26_sgp</f>
        <v>103.50638581015</v>
      </c>
      <c r="E98" s="21" t="n">
        <f aca="false">$D$96*E83+($D$96+d_brd)*E80+($D$96+d_gen)*E82+E97</f>
        <v>148.991928263534</v>
      </c>
      <c r="F98" s="21" t="n">
        <f aca="false">$D$96*F83+($D$96+d_brd)*F80+($D$96+d_gen)*F82+F97</f>
        <v>169.462997795485</v>
      </c>
      <c r="G98" s="21" t="n">
        <f aca="false">$D$96*G83+($D$96+d_brd)*G80+($D$96+d_gen)*G82+G97</f>
        <v>179.967696240984</v>
      </c>
    </row>
    <row r="99" customFormat="false" ht="15" hidden="false" customHeight="false" outlineLevel="0" collapsed="false">
      <c r="A99" s="4" t="s">
        <v>591</v>
      </c>
      <c r="B99" s="0" t="s">
        <v>48</v>
      </c>
      <c r="C99" s="17" t="n">
        <f aca="false">C98/C84</f>
        <v>0.0449314647290146</v>
      </c>
      <c r="D99" s="17" t="n">
        <f aca="false">D98/D84</f>
        <v>0.0390336040479778</v>
      </c>
      <c r="E99" s="17" t="n">
        <f aca="false">E98/E84</f>
        <v>0.0390374461057547</v>
      </c>
      <c r="F99" s="17" t="n">
        <f aca="false">F98/F84</f>
        <v>0.0419476655483156</v>
      </c>
      <c r="G99" s="17" t="n">
        <f aca="false">G98/G84</f>
        <v>0.0438662013639053</v>
      </c>
    </row>
    <row r="100" customFormat="false" ht="15" hidden="false" customHeight="false" outlineLevel="0" collapsed="false">
      <c r="A100" s="4" t="s">
        <v>592</v>
      </c>
      <c r="B100" s="0" t="s">
        <v>48</v>
      </c>
      <c r="E100" s="20" t="n">
        <f aca="false">MAX(0,phi*(E84/D84-1))</f>
        <v>0.13179151703879</v>
      </c>
      <c r="F100" s="20" t="n">
        <f aca="false">MAX(0,phi*(F84/E84-1))</f>
        <v>0.0175462582202121</v>
      </c>
      <c r="G100" s="20" t="n">
        <f aca="false">MAX(0,phi*(G84/F84-1))</f>
        <v>0.00466228571388885</v>
      </c>
    </row>
    <row r="101" customFormat="false" ht="15" hidden="false" customHeight="false" outlineLevel="0" collapsed="false">
      <c r="A101" s="4" t="s">
        <v>593</v>
      </c>
      <c r="B101" s="0" t="s">
        <v>147</v>
      </c>
      <c r="C101" s="21" t="n">
        <f aca="false">a25_sopx</f>
        <v>40.894</v>
      </c>
      <c r="D101" s="21" t="n">
        <f aca="false">a26_sopx</f>
        <v>46.9914095398923</v>
      </c>
      <c r="E101" s="21" t="n">
        <f aca="false">D101*(1+E100)+0*E84</f>
        <v>53.1844786909457</v>
      </c>
      <c r="F101" s="21" t="n">
        <f aca="false">E101*(1+F100)+0*F84</f>
        <v>54.1176672873644</v>
      </c>
      <c r="G101" s="21" t="n">
        <f aca="false">F101*(1+G100)+0*G84</f>
        <v>54.3699793144273</v>
      </c>
    </row>
    <row r="102" customFormat="false" ht="15" hidden="false" customHeight="false" outlineLevel="0" collapsed="false">
      <c r="A102" s="4" t="s">
        <v>594</v>
      </c>
      <c r="B102" s="0" t="s">
        <v>147</v>
      </c>
      <c r="C102" s="21" t="n">
        <f aca="false">C98-C101</f>
        <v>14.635</v>
      </c>
      <c r="D102" s="21" t="n">
        <f aca="false">D98-D101</f>
        <v>56.514976270258</v>
      </c>
      <c r="E102" s="21" t="n">
        <f aca="false">E98-E101</f>
        <v>95.8074495725884</v>
      </c>
      <c r="F102" s="21" t="n">
        <f aca="false">F98-F101</f>
        <v>115.345330508121</v>
      </c>
      <c r="G102" s="21" t="n">
        <f aca="false">G98-G101</f>
        <v>125.597716926557</v>
      </c>
    </row>
    <row r="103" customFormat="false" ht="15" hidden="false" customHeight="false" outlineLevel="0" collapsed="false">
      <c r="A103" s="4" t="s">
        <v>595</v>
      </c>
      <c r="B103" s="0" t="s">
        <v>48</v>
      </c>
      <c r="C103" s="17" t="n">
        <f aca="false">C102/C84</f>
        <v>0.011841956208632</v>
      </c>
      <c r="D103" s="17" t="n">
        <f aca="false">D102/D84</f>
        <v>0.0213125324514788</v>
      </c>
      <c r="E103" s="17" t="n">
        <f aca="false">E102/E84</f>
        <v>0.0251025555062577</v>
      </c>
      <c r="F103" s="17" t="n">
        <f aca="false">F102/F84</f>
        <v>0.0285517629786878</v>
      </c>
      <c r="G103" s="17" t="n">
        <f aca="false">G102/G84</f>
        <v>0.0306137982350437</v>
      </c>
    </row>
    <row r="104" customFormat="false" ht="15" hidden="false" customHeight="false" outlineLevel="0" collapsed="false">
      <c r="A104" s="4" t="s">
        <v>596</v>
      </c>
      <c r="B104" s="0" t="s">
        <v>147</v>
      </c>
      <c r="C104" s="21" t="n">
        <f aca="false">a25_sni</f>
        <v>6.9608</v>
      </c>
      <c r="D104" s="21" t="n">
        <f aca="false">a26_sni</f>
        <v>31.133746704</v>
      </c>
      <c r="E104" s="21" t="n">
        <f aca="false">E102*snio</f>
        <v>53.6521717606495</v>
      </c>
      <c r="F104" s="21" t="n">
        <f aca="false">F102*snio</f>
        <v>64.5933850845477</v>
      </c>
      <c r="G104" s="21" t="n">
        <f aca="false">G102*snio</f>
        <v>70.3347214788719</v>
      </c>
    </row>
    <row r="105" customFormat="false" ht="17.15" hidden="false" customHeight="false" outlineLevel="0" collapsed="false">
      <c r="A105" s="6" t="s">
        <v>597</v>
      </c>
    </row>
    <row r="106" customFormat="false" ht="15" hidden="false" customHeight="false" outlineLevel="0" collapsed="false">
      <c r="A106" s="4" t="s">
        <v>438</v>
      </c>
      <c r="B106" s="0" t="s">
        <v>147</v>
      </c>
      <c r="C106" s="21" t="n">
        <f aca="false">a25_wgp</f>
        <v>78.454</v>
      </c>
      <c r="D106" s="21" t="n">
        <f aca="false">a26_wgp</f>
        <v>125.0519932</v>
      </c>
      <c r="E106" s="21" t="n">
        <f aca="false">E89*wgm</f>
        <v>182.130378447603</v>
      </c>
      <c r="F106" s="21" t="n">
        <f aca="false">F89*wgm</f>
        <v>218.243281830982</v>
      </c>
      <c r="G106" s="21" t="n">
        <f aca="false">G89*wgm</f>
        <v>234.106838874584</v>
      </c>
    </row>
    <row r="107" customFormat="false" ht="15" hidden="false" customHeight="false" outlineLevel="0" collapsed="false">
      <c r="A107" s="4" t="s">
        <v>440</v>
      </c>
      <c r="B107" s="0" t="s">
        <v>147</v>
      </c>
      <c r="C107" s="21" t="n">
        <f aca="false">a25_woi</f>
        <v>63.918</v>
      </c>
      <c r="D107" s="21" t="n">
        <f aca="false">a26_woi</f>
        <v>98.2471632</v>
      </c>
      <c r="E107" s="21" t="n">
        <f aca="false">E89*wopm</f>
        <v>139.27617175405</v>
      </c>
      <c r="F107" s="21" t="n">
        <f aca="false">F89*wopm</f>
        <v>166.891921400163</v>
      </c>
      <c r="G107" s="21" t="n">
        <f aca="false">G89*wopm</f>
        <v>179.022876786446</v>
      </c>
    </row>
    <row r="108" customFormat="false" ht="15" hidden="false" customHeight="false" outlineLevel="0" collapsed="false">
      <c r="A108" s="4" t="s">
        <v>448</v>
      </c>
      <c r="B108" s="0" t="s">
        <v>147</v>
      </c>
      <c r="C108" s="21" t="n">
        <f aca="false">a25_wni</f>
        <v>51.118</v>
      </c>
      <c r="D108" s="21" t="n">
        <f aca="false">a26_wni</f>
        <v>75.735026884</v>
      </c>
      <c r="E108" s="21" t="n">
        <f aca="false">E107*wnio</f>
        <v>108.635413968159</v>
      </c>
      <c r="F108" s="21" t="n">
        <f aca="false">F107*wnio</f>
        <v>130.175698692127</v>
      </c>
      <c r="G108" s="21" t="n">
        <f aca="false">G107*wnio</f>
        <v>139.637843893428</v>
      </c>
    </row>
    <row r="109" customFormat="false" ht="15" hidden="false" customHeight="false" outlineLevel="0" collapsed="false">
      <c r="A109" s="4" t="s">
        <v>450</v>
      </c>
      <c r="B109" s="0" t="s">
        <v>48</v>
      </c>
      <c r="C109" s="17" t="n">
        <f aca="false">stake25</f>
        <v>0.4</v>
      </c>
      <c r="D109" s="17" t="n">
        <f aca="false">stake</f>
        <v>0.3768</v>
      </c>
      <c r="E109" s="17" t="n">
        <f aca="false">stake</f>
        <v>0.3768</v>
      </c>
      <c r="F109" s="17" t="n">
        <f aca="false">stake</f>
        <v>0.3768</v>
      </c>
      <c r="G109" s="17" t="n">
        <f aca="false">stake</f>
        <v>0.3768</v>
      </c>
    </row>
    <row r="110" customFormat="false" ht="17.15" hidden="false" customHeight="false" outlineLevel="0" collapsed="false">
      <c r="A110" s="6" t="s">
        <v>598</v>
      </c>
    </row>
    <row r="111" customFormat="false" ht="15" hidden="false" customHeight="false" outlineLevel="0" collapsed="false">
      <c r="A111" s="4" t="s">
        <v>424</v>
      </c>
      <c r="B111" s="0" t="s">
        <v>147</v>
      </c>
      <c r="C111" s="21" t="n">
        <f aca="false">C98+C106</f>
        <v>133.983</v>
      </c>
      <c r="D111" s="21" t="n">
        <f aca="false">D98+D106</f>
        <v>228.55837901015</v>
      </c>
      <c r="E111" s="21" t="n">
        <f aca="false">E98+E106</f>
        <v>331.122306711138</v>
      </c>
      <c r="F111" s="21" t="n">
        <f aca="false">F98+F106</f>
        <v>387.706279626467</v>
      </c>
      <c r="G111" s="21" t="n">
        <f aca="false">G98+G106</f>
        <v>414.074535115568</v>
      </c>
    </row>
    <row r="112" customFormat="false" ht="15" hidden="false" customHeight="false" outlineLevel="0" collapsed="false">
      <c r="A112" s="4" t="s">
        <v>427</v>
      </c>
      <c r="B112" s="0" t="s">
        <v>48</v>
      </c>
      <c r="C112" s="17" t="n">
        <f aca="false">C111/C90</f>
        <v>0.0612767393711386</v>
      </c>
      <c r="D112" s="17" t="n">
        <f aca="false">D111/D90</f>
        <v>0.055781973714825</v>
      </c>
      <c r="E112" s="17" t="n">
        <f aca="false">E111/E90</f>
        <v>0.0555634787363554</v>
      </c>
      <c r="F112" s="17" t="n">
        <f aca="false">F111/F90</f>
        <v>0.058677272972678</v>
      </c>
      <c r="G112" s="17" t="n">
        <f aca="false">G111/G90</f>
        <v>0.0603884604264006</v>
      </c>
    </row>
    <row r="113" customFormat="false" ht="15" hidden="false" customHeight="false" outlineLevel="0" collapsed="false">
      <c r="A113" s="4" t="s">
        <v>428</v>
      </c>
      <c r="B113" s="0" t="s">
        <v>147</v>
      </c>
      <c r="C113" s="21" t="n">
        <f aca="false">C102+C107</f>
        <v>78.553</v>
      </c>
      <c r="D113" s="21" t="n">
        <f aca="false">D102+D107</f>
        <v>154.762139470258</v>
      </c>
      <c r="E113" s="21" t="n">
        <f aca="false">E102+E107</f>
        <v>235.083621326638</v>
      </c>
      <c r="F113" s="21" t="n">
        <f aca="false">F102+F107</f>
        <v>282.237251908284</v>
      </c>
      <c r="G113" s="21" t="n">
        <f aca="false">G102+G107</f>
        <v>304.620593713003</v>
      </c>
    </row>
    <row r="114" customFormat="false" ht="15" hidden="false" customHeight="false" outlineLevel="0" collapsed="false">
      <c r="A114" s="4" t="s">
        <v>431</v>
      </c>
      <c r="B114" s="0" t="s">
        <v>48</v>
      </c>
      <c r="C114" s="17" t="n">
        <f aca="false">C113/C90</f>
        <v>0.0359259884300325</v>
      </c>
      <c r="D114" s="17" t="n">
        <f aca="false">D113/D90</f>
        <v>0.0377712584126992</v>
      </c>
      <c r="E114" s="17" t="n">
        <f aca="false">E113/E90</f>
        <v>0.0394478521383432</v>
      </c>
      <c r="F114" s="17" t="n">
        <f aca="false">F113/F90</f>
        <v>0.0427150994026621</v>
      </c>
      <c r="G114" s="17" t="n">
        <f aca="false">G113/G90</f>
        <v>0.0444257424895017</v>
      </c>
    </row>
    <row r="115" customFormat="false" ht="15" hidden="false" customHeight="false" outlineLevel="0" collapsed="false">
      <c r="A115" s="4" t="s">
        <v>461</v>
      </c>
      <c r="B115" s="0" t="s">
        <v>147</v>
      </c>
      <c r="C115" s="21" t="n">
        <f aca="false">C104+C108</f>
        <v>58.0788</v>
      </c>
      <c r="D115" s="21" t="n">
        <f aca="false">D104+D108</f>
        <v>106.868773588</v>
      </c>
      <c r="E115" s="21" t="n">
        <f aca="false">E104+E108</f>
        <v>162.287585728808</v>
      </c>
      <c r="F115" s="21" t="n">
        <f aca="false">F104+F108</f>
        <v>194.769083776675</v>
      </c>
      <c r="G115" s="21" t="n">
        <f aca="false">G104+G108</f>
        <v>209.9725653723</v>
      </c>
    </row>
    <row r="116" customFormat="false" ht="17.15" hidden="false" customHeight="false" outlineLevel="0" collapsed="false">
      <c r="A116" s="4" t="s">
        <v>599</v>
      </c>
      <c r="B116" s="0" t="s">
        <v>147</v>
      </c>
      <c r="C116" s="21" t="n">
        <f aca="false">(1-C109)*C108</f>
        <v>30.6708</v>
      </c>
      <c r="D116" s="21" t="n">
        <f aca="false">(1-D109)*D108</f>
        <v>47.1980687541088</v>
      </c>
      <c r="E116" s="21" t="n">
        <f aca="false">(1-E109)*E108</f>
        <v>67.7015899849565</v>
      </c>
      <c r="F116" s="21" t="n">
        <f aca="false">(1-F109)*F108</f>
        <v>81.1254954249335</v>
      </c>
      <c r="G116" s="21" t="n">
        <f aca="false">(1-G109)*G108</f>
        <v>87.0223043143844</v>
      </c>
    </row>
    <row r="117" customFormat="false" ht="15" hidden="false" customHeight="false" outlineLevel="0" collapsed="false">
      <c r="A117" s="4" t="s">
        <v>457</v>
      </c>
      <c r="B117" s="0" t="s">
        <v>147</v>
      </c>
      <c r="C117" s="21" t="n">
        <f aca="false">C115-C116</f>
        <v>27.408</v>
      </c>
      <c r="D117" s="21" t="n">
        <f aca="false">D115-D116</f>
        <v>59.6707048338912</v>
      </c>
      <c r="E117" s="21" t="n">
        <f aca="false">E115-E116</f>
        <v>94.5859957438517</v>
      </c>
      <c r="F117" s="21" t="n">
        <f aca="false">F115-F116</f>
        <v>113.643588351741</v>
      </c>
      <c r="G117" s="21" t="n">
        <f aca="false">G115-G116</f>
        <v>122.950261057916</v>
      </c>
      <c r="H117" s="26" t="n">
        <f aca="false">H90*H122</f>
        <v>128.503300987022</v>
      </c>
      <c r="I117" s="26" t="n">
        <f aca="false">I90*I122</f>
        <v>135.260321310915</v>
      </c>
      <c r="J117" s="26" t="n">
        <f aca="false">J90*J122</f>
        <v>143.375940589569</v>
      </c>
    </row>
    <row r="118" customFormat="false" ht="17.15" hidden="false" customHeight="false" outlineLevel="0" collapsed="false">
      <c r="A118" s="4" t="s">
        <v>600</v>
      </c>
      <c r="B118" s="0" t="s">
        <v>48</v>
      </c>
      <c r="C118" s="20" t="n">
        <f aca="false">C109*C108/C117</f>
        <v>0.746030356100409</v>
      </c>
      <c r="D118" s="20" t="n">
        <f aca="false">D109*D108/D117</f>
        <v>0.478240674537551</v>
      </c>
      <c r="E118" s="20" t="n">
        <f aca="false">E109*E108/E117</f>
        <v>0.432768335960168</v>
      </c>
      <c r="F118" s="20" t="n">
        <f aca="false">F109*F108/F117</f>
        <v>0.431614347792125</v>
      </c>
      <c r="G118" s="20" t="n">
        <f aca="false">G109*G108/G117</f>
        <v>0.427941666217847</v>
      </c>
    </row>
    <row r="119" customFormat="false" ht="17.15" hidden="false" customHeight="false" outlineLevel="0" collapsed="false">
      <c r="A119" s="4" t="s">
        <v>601</v>
      </c>
      <c r="B119" s="4" t="s">
        <v>282</v>
      </c>
      <c r="C119" s="31" t="n">
        <f aca="false">a25_sh</f>
        <v>3.03185840707965</v>
      </c>
      <c r="D119" s="31" t="n">
        <f aca="false">a26_sh</f>
        <v>3.23861720409076</v>
      </c>
      <c r="E119" s="31" t="n">
        <f aca="false">q_sh4*(1+sh_g)</f>
        <v>3.43</v>
      </c>
      <c r="F119" s="31" t="n">
        <f aca="false">E119*(1+sh_g)</f>
        <v>3.43</v>
      </c>
      <c r="G119" s="31" t="n">
        <f aca="false">F119*(1+sh_g)</f>
        <v>3.43</v>
      </c>
      <c r="H119" s="32" t="n">
        <f aca="false">G119*(1+sh_g)</f>
        <v>3.43</v>
      </c>
      <c r="I119" s="32" t="n">
        <f aca="false">H119*(1+sh_g)</f>
        <v>3.43</v>
      </c>
      <c r="J119" s="32" t="n">
        <f aca="false">I119*(1+sh_g)</f>
        <v>3.43</v>
      </c>
      <c r="K119" s="8" t="s">
        <v>602</v>
      </c>
    </row>
    <row r="120" customFormat="false" ht="15" hidden="false" customHeight="false" outlineLevel="0" collapsed="false">
      <c r="A120" s="0" t="s">
        <v>464</v>
      </c>
      <c r="B120" s="0" t="s">
        <v>312</v>
      </c>
      <c r="C120" s="18" t="n">
        <f aca="false">C117/C119</f>
        <v>9.04</v>
      </c>
      <c r="D120" s="18" t="n">
        <f aca="false">D117/D119</f>
        <v>18.4247476850676</v>
      </c>
      <c r="E120" s="18" t="n">
        <f aca="false">E117/E119</f>
        <v>27.5760920536011</v>
      </c>
      <c r="F120" s="18" t="n">
        <f aca="false">F117/F119</f>
        <v>33.1322415019653</v>
      </c>
      <c r="G120" s="18" t="n">
        <f aca="false">G117/G119</f>
        <v>35.8455571597422</v>
      </c>
      <c r="H120" s="29" t="n">
        <f aca="false">H117/H119</f>
        <v>37.4645192381989</v>
      </c>
      <c r="I120" s="29" t="n">
        <f aca="false">I117/I119</f>
        <v>39.434496009013</v>
      </c>
      <c r="J120" s="29" t="n">
        <f aca="false">J117/J119</f>
        <v>41.8005657695538</v>
      </c>
    </row>
    <row r="121" customFormat="false" ht="17.15" hidden="false" customHeight="false" outlineLevel="0" collapsed="false">
      <c r="A121" s="0" t="s">
        <v>603</v>
      </c>
      <c r="B121" s="0" t="s">
        <v>48</v>
      </c>
      <c r="D121" s="20" t="n">
        <f aca="false">D120/C120-1</f>
        <v>1.03813580587031</v>
      </c>
      <c r="E121" s="20" t="n">
        <f aca="false">E120/D120-1</f>
        <v>0.496687635833963</v>
      </c>
      <c r="F121" s="20" t="n">
        <f aca="false">F120/E120-1</f>
        <v>0.201484294350501</v>
      </c>
      <c r="G121" s="20" t="n">
        <f aca="false">G120/F120-1</f>
        <v>0.081893513229881</v>
      </c>
      <c r="H121" s="27" t="n">
        <f aca="false">H120/G120-1</f>
        <v>0.0451649299588786</v>
      </c>
      <c r="I121" s="27" t="n">
        <f aca="false">I120/H120-1</f>
        <v>0.0525824649794391</v>
      </c>
      <c r="J121" s="27" t="n">
        <f aca="false">J120/I120-1</f>
        <v>0.0599999999999998</v>
      </c>
    </row>
    <row r="122" customFormat="false" ht="17.15" hidden="false" customHeight="false" outlineLevel="0" collapsed="false">
      <c r="A122" s="4" t="s">
        <v>604</v>
      </c>
      <c r="B122" s="0" t="s">
        <v>48</v>
      </c>
      <c r="C122" s="17" t="n">
        <f aca="false">C117/C90</f>
        <v>0.0125349699042727</v>
      </c>
      <c r="D122" s="17" t="n">
        <f aca="false">D117/D90</f>
        <v>0.0145632363293992</v>
      </c>
      <c r="E122" s="17" t="n">
        <f aca="false">E117/E90</f>
        <v>0.0158718602061905</v>
      </c>
      <c r="F122" s="17" t="n">
        <f aca="false">F117/F90</f>
        <v>0.0171993496255317</v>
      </c>
      <c r="G122" s="17" t="n">
        <f aca="false">G117/G90</f>
        <v>0.0179310156618042</v>
      </c>
      <c r="H122" s="28" t="n">
        <f aca="false">$G122+(fade_mA-$G122)*1/3</f>
        <v>0.0179310156618042</v>
      </c>
      <c r="I122" s="28" t="n">
        <f aca="false">$G122+(fade_mA-$G122)*2/3</f>
        <v>0.0179310156618042</v>
      </c>
      <c r="J122" s="28" t="n">
        <f aca="false">$G122+(fade_mA-$G122)*3/3</f>
        <v>0.0179310156618042</v>
      </c>
    </row>
    <row r="125" customFormat="false" ht="17.15" hidden="false" customHeight="false" outlineLevel="0" collapsed="false">
      <c r="A125" s="1" t="s">
        <v>605</v>
      </c>
    </row>
    <row r="126" customFormat="false" ht="17.15" hidden="false" customHeight="false" outlineLevel="0" collapsed="false">
      <c r="A126" s="5" t="s">
        <v>17</v>
      </c>
      <c r="B126" s="5" t="s">
        <v>18</v>
      </c>
      <c r="C126" s="14" t="s">
        <v>414</v>
      </c>
      <c r="D126" s="14" t="s">
        <v>529</v>
      </c>
      <c r="E126" s="14" t="s">
        <v>530</v>
      </c>
      <c r="F126" s="14" t="s">
        <v>531</v>
      </c>
      <c r="G126" s="14" t="s">
        <v>532</v>
      </c>
      <c r="H126" s="14" t="s">
        <v>533</v>
      </c>
      <c r="I126" s="14" t="s">
        <v>534</v>
      </c>
      <c r="J126" s="14" t="s">
        <v>535</v>
      </c>
      <c r="K126" s="5" t="s">
        <v>496</v>
      </c>
    </row>
    <row r="127" customFormat="false" ht="17.15" hidden="false" customHeight="false" outlineLevel="0" collapsed="false">
      <c r="A127" s="6" t="s">
        <v>550</v>
      </c>
    </row>
    <row r="128" customFormat="false" ht="17.15" hidden="false" customHeight="false" outlineLevel="0" collapsed="false">
      <c r="A128" s="0" t="s">
        <v>551</v>
      </c>
      <c r="B128" s="0" t="s">
        <v>28</v>
      </c>
      <c r="D128" s="21" t="n">
        <f aca="false">itc_26*1</f>
        <v>781.872916666667</v>
      </c>
      <c r="E128" s="21" t="n">
        <f aca="false">itc_27*1*1</f>
        <v>1565.35</v>
      </c>
      <c r="F128" s="21" t="n">
        <f aca="false">itc_28*um28_B*1</f>
        <v>1587.41111111111</v>
      </c>
      <c r="G128" s="21" t="n">
        <f aca="false">itc_29*um29_B*1</f>
        <v>1921.33173611111</v>
      </c>
    </row>
    <row r="129" customFormat="false" ht="17.15" hidden="false" customHeight="false" outlineLevel="0" collapsed="false">
      <c r="A129" s="4" t="s">
        <v>552</v>
      </c>
      <c r="B129" s="0" t="s">
        <v>28</v>
      </c>
      <c r="D129" s="21" t="n">
        <f aca="false">itpg_gb*(1-vr26)+itpg_vr*vr26</f>
        <v>33.41403216</v>
      </c>
      <c r="E129" s="21" t="n">
        <f aca="false">itpg_vr</f>
        <v>37.586352</v>
      </c>
      <c r="F129" s="21" t="n">
        <f aca="false">itpg_vr</f>
        <v>37.586352</v>
      </c>
      <c r="G129" s="21" t="n">
        <f aca="false">itpg_vr</f>
        <v>37.586352</v>
      </c>
    </row>
    <row r="130" customFormat="false" ht="17.15" hidden="false" customHeight="false" outlineLevel="0" collapsed="false">
      <c r="A130" s="4" t="s">
        <v>553</v>
      </c>
      <c r="B130" s="0" t="s">
        <v>498</v>
      </c>
      <c r="D130" s="22" t="n">
        <f aca="false">D128/D129</f>
        <v>23.3995380420639</v>
      </c>
      <c r="E130" s="22" t="n">
        <f aca="false">E128/E129</f>
        <v>41.6467658260637</v>
      </c>
      <c r="F130" s="22" t="n">
        <f aca="false">F128/F129</f>
        <v>42.2337105529984</v>
      </c>
      <c r="G130" s="22" t="n">
        <f aca="false">G128/G129</f>
        <v>51.1178029756948</v>
      </c>
    </row>
    <row r="131" customFormat="false" ht="17.15" hidden="false" customHeight="false" outlineLevel="0" collapsed="false">
      <c r="A131" s="4" t="s">
        <v>554</v>
      </c>
      <c r="B131" s="0" t="s">
        <v>555</v>
      </c>
      <c r="D131" s="18" t="n">
        <f aca="false">(racks_gb*odm_gb*(1-vr26)+racks_vr*odm_vr*vr26)/1000</f>
        <v>27.1209</v>
      </c>
      <c r="E131" s="18" t="n">
        <f aca="false">racks_vr*odm_vr/1000</f>
        <v>27.351</v>
      </c>
      <c r="F131" s="18" t="n">
        <f aca="false">$E131*vpg_28</f>
        <v>27.351</v>
      </c>
      <c r="G131" s="18" t="n">
        <f aca="false">$E131*vpg_29</f>
        <v>27.351</v>
      </c>
      <c r="K131" s="4" t="s">
        <v>556</v>
      </c>
    </row>
    <row r="132" customFormat="false" ht="17.15" hidden="false" customHeight="false" outlineLevel="0" collapsed="false">
      <c r="A132" s="0" t="s">
        <v>557</v>
      </c>
      <c r="B132" s="0" t="s">
        <v>28</v>
      </c>
      <c r="D132" s="21" t="n">
        <f aca="false">D130*D131</f>
        <v>634.616531285011</v>
      </c>
      <c r="E132" s="21" t="n">
        <f aca="false">E130*E131</f>
        <v>1139.08069210867</v>
      </c>
      <c r="F132" s="21" t="n">
        <f aca="false">F130*F131</f>
        <v>1155.13421733506</v>
      </c>
      <c r="G132" s="21" t="n">
        <f aca="false">G130*G131</f>
        <v>1398.12302918823</v>
      </c>
    </row>
    <row r="133" customFormat="false" ht="17.15" hidden="false" customHeight="false" outlineLevel="0" collapsed="false">
      <c r="A133" s="0" t="s">
        <v>558</v>
      </c>
      <c r="B133" s="0" t="s">
        <v>147</v>
      </c>
      <c r="D133" s="21" t="n">
        <f aca="false">D132*fx</f>
        <v>20307.7290011204</v>
      </c>
      <c r="E133" s="21" t="n">
        <f aca="false">E132*fx</f>
        <v>36450.5821474774</v>
      </c>
      <c r="F133" s="21" t="n">
        <f aca="false">F132*fx</f>
        <v>36964.2949547219</v>
      </c>
      <c r="G133" s="21" t="n">
        <f aca="false">G132*fx</f>
        <v>44739.9369340233</v>
      </c>
    </row>
    <row r="134" customFormat="false" ht="17.15" hidden="false" customHeight="false" outlineLevel="0" collapsed="false">
      <c r="A134" s="6" t="s">
        <v>559</v>
      </c>
    </row>
    <row r="135" customFormat="false" ht="17.15" hidden="false" customHeight="false" outlineLevel="0" collapsed="false">
      <c r="A135" s="4" t="s">
        <v>560</v>
      </c>
      <c r="B135" s="0" t="s">
        <v>48</v>
      </c>
      <c r="D135" s="20" t="n">
        <f aca="false">a26_ais/D133</f>
        <v>0.0875096501918446</v>
      </c>
      <c r="K135" s="8" t="s">
        <v>561</v>
      </c>
    </row>
    <row r="136" customFormat="false" ht="17.15" hidden="false" customHeight="false" outlineLevel="0" collapsed="false">
      <c r="A136" s="4" t="s">
        <v>562</v>
      </c>
      <c r="B136" s="0" t="s">
        <v>60</v>
      </c>
      <c r="D136" s="18" t="n">
        <f aca="false">1</f>
        <v>1</v>
      </c>
      <c r="E136" s="18" t="n">
        <f aca="false">rel_27</f>
        <v>1</v>
      </c>
      <c r="F136" s="18" t="n">
        <f aca="false">rel_28</f>
        <v>0.95</v>
      </c>
      <c r="G136" s="18" t="n">
        <f aca="false">rel_29</f>
        <v>0.9</v>
      </c>
    </row>
    <row r="137" customFormat="false" ht="17.15" hidden="false" customHeight="false" outlineLevel="0" collapsed="false">
      <c r="A137" s="4" t="s">
        <v>563</v>
      </c>
      <c r="B137" s="0" t="s">
        <v>48</v>
      </c>
      <c r="D137" s="20" t="n">
        <f aca="false">$D$135*D136</f>
        <v>0.0875096501918446</v>
      </c>
      <c r="E137" s="20" t="n">
        <f aca="false">$D$135*E136</f>
        <v>0.0875096501918446</v>
      </c>
      <c r="F137" s="20" t="n">
        <f aca="false">$D$135*F136</f>
        <v>0.0831341676822524</v>
      </c>
      <c r="G137" s="20" t="n">
        <f aca="false">$D$135*G136</f>
        <v>0.0787586851726601</v>
      </c>
    </row>
    <row r="138" customFormat="false" ht="17.15" hidden="false" customHeight="false" outlineLevel="0" collapsed="false">
      <c r="A138" s="4" t="s">
        <v>564</v>
      </c>
      <c r="B138" s="0" t="s">
        <v>147</v>
      </c>
      <c r="D138" s="21" t="n">
        <f aca="false">D133*D137</f>
        <v>1777.12226107882</v>
      </c>
      <c r="E138" s="21" t="n">
        <f aca="false">E133*E137</f>
        <v>3189.77769301484</v>
      </c>
      <c r="F138" s="21" t="n">
        <f aca="false">F133*F137</f>
        <v>3072.99589502208</v>
      </c>
      <c r="G138" s="21" t="n">
        <f aca="false">G133*G137</f>
        <v>3523.65860763141</v>
      </c>
    </row>
    <row r="139" customFormat="false" ht="17.15" hidden="false" customHeight="false" outlineLevel="0" collapsed="false">
      <c r="A139" s="4" t="s">
        <v>565</v>
      </c>
      <c r="B139" s="0" t="s">
        <v>48</v>
      </c>
      <c r="D139" s="20" t="n">
        <f aca="false">0</f>
        <v>0</v>
      </c>
      <c r="E139" s="20" t="n">
        <f aca="false">cs_27</f>
        <v>0.1</v>
      </c>
      <c r="F139" s="20" t="n">
        <f aca="false">cs_28</f>
        <v>0.2</v>
      </c>
      <c r="G139" s="20" t="n">
        <f aca="false">cs_29</f>
        <v>0.25</v>
      </c>
      <c r="K139" s="8" t="s">
        <v>566</v>
      </c>
    </row>
    <row r="140" customFormat="false" ht="17.15" hidden="false" customHeight="false" outlineLevel="0" collapsed="false">
      <c r="A140" s="4" t="s">
        <v>567</v>
      </c>
      <c r="B140" s="0" t="s">
        <v>147</v>
      </c>
      <c r="D140" s="21" t="n">
        <f aca="false">D138*(1-D139)</f>
        <v>1777.12226107882</v>
      </c>
      <c r="E140" s="21" t="n">
        <f aca="false">E138*(1-E139)</f>
        <v>2870.79992371336</v>
      </c>
      <c r="F140" s="21" t="n">
        <f aca="false">F138*(1-F139)</f>
        <v>2458.39671601767</v>
      </c>
      <c r="G140" s="21" t="n">
        <f aca="false">G138*(1-G139)</f>
        <v>2642.74395572356</v>
      </c>
    </row>
    <row r="141" customFormat="false" ht="17.15" hidden="false" customHeight="false" outlineLevel="0" collapsed="false">
      <c r="A141" s="6" t="s">
        <v>568</v>
      </c>
    </row>
    <row r="142" customFormat="false" ht="17.15" hidden="false" customHeight="false" outlineLevel="0" collapsed="false">
      <c r="A142" s="0" t="s">
        <v>569</v>
      </c>
      <c r="B142" s="4" t="s">
        <v>81</v>
      </c>
      <c r="D142" s="18" t="n">
        <f aca="false">gu_26*1</f>
        <v>8.35</v>
      </c>
      <c r="E142" s="18" t="n">
        <f aca="false">gu_27*1*1</f>
        <v>11.2</v>
      </c>
      <c r="F142" s="18" t="n">
        <f aca="false">gu_28*um28_B*1</f>
        <v>9.2</v>
      </c>
      <c r="G142" s="18" t="n">
        <f aca="false">gu_29*um29_B*1</f>
        <v>10.965</v>
      </c>
    </row>
    <row r="143" customFormat="false" ht="15" hidden="false" customHeight="false" outlineLevel="0" collapsed="false">
      <c r="A143" s="4" t="s">
        <v>570</v>
      </c>
      <c r="B143" s="0" t="s">
        <v>48</v>
      </c>
      <c r="D143" s="20" t="n">
        <f aca="false">bsh_26</f>
        <v>0.5</v>
      </c>
      <c r="E143" s="20" t="n">
        <f aca="false">bsh_26*brel_27</f>
        <v>0.5</v>
      </c>
      <c r="F143" s="20" t="n">
        <f aca="false">bsh_26*brel_28</f>
        <v>0.475</v>
      </c>
      <c r="G143" s="20" t="n">
        <f aca="false">bsh_26*brel_29</f>
        <v>0.45</v>
      </c>
    </row>
    <row r="144" customFormat="false" ht="17.15" hidden="false" customHeight="false" outlineLevel="0" collapsed="false">
      <c r="A144" s="4" t="s">
        <v>571</v>
      </c>
      <c r="B144" s="0" t="s">
        <v>520</v>
      </c>
      <c r="D144" s="24" t="n">
        <f aca="false">a26_brd/fx/D142/D143*1000</f>
        <v>823.353293413174</v>
      </c>
      <c r="E144" s="24" t="n">
        <f aca="false">$D144*bv_27</f>
        <v>946.85628742515</v>
      </c>
      <c r="F144" s="24" t="n">
        <f aca="false">$D144*bv_28</f>
        <v>988.023952095808</v>
      </c>
      <c r="G144" s="24" t="n">
        <f aca="false">$D144*bv_29</f>
        <v>988.023952095808</v>
      </c>
      <c r="K144" s="8" t="s">
        <v>572</v>
      </c>
    </row>
    <row r="145" customFormat="false" ht="17.15" hidden="false" customHeight="false" outlineLevel="0" collapsed="false">
      <c r="A145" s="0" t="s">
        <v>522</v>
      </c>
      <c r="B145" s="0" t="s">
        <v>147</v>
      </c>
      <c r="D145" s="21" t="n">
        <f aca="false">D142*D143*D144*fx/1000</f>
        <v>110</v>
      </c>
      <c r="E145" s="21" t="n">
        <f aca="false">E142*E143*E144*fx/1000</f>
        <v>169.676646706587</v>
      </c>
      <c r="F145" s="21" t="n">
        <f aca="false">F142*F143*F144*fx/1000</f>
        <v>138.165269461078</v>
      </c>
      <c r="G145" s="21" t="n">
        <f aca="false">G142*G143*G144*fx/1000</f>
        <v>156.00502994012</v>
      </c>
    </row>
    <row r="146" customFormat="false" ht="17.15" hidden="false" customHeight="false" outlineLevel="0" collapsed="false">
      <c r="A146" s="6" t="s">
        <v>573</v>
      </c>
    </row>
    <row r="147" customFormat="false" ht="15" hidden="false" customHeight="false" outlineLevel="0" collapsed="false">
      <c r="A147" s="4" t="s">
        <v>574</v>
      </c>
      <c r="B147" s="0" t="s">
        <v>147</v>
      </c>
      <c r="D147" s="21" t="n">
        <f aca="false">a26_gen</f>
        <v>150</v>
      </c>
      <c r="E147" s="21" t="n">
        <f aca="false">D147*(1+g_gen27)</f>
        <v>180</v>
      </c>
      <c r="F147" s="21" t="n">
        <f aca="false">E147*(1+g_gen28)</f>
        <v>198</v>
      </c>
      <c r="G147" s="21" t="n">
        <f aca="false">F147*(1+g_gen29)</f>
        <v>213.84</v>
      </c>
    </row>
    <row r="148" customFormat="false" ht="15" hidden="false" customHeight="false" outlineLevel="0" collapsed="false">
      <c r="A148" s="4" t="s">
        <v>575</v>
      </c>
      <c r="B148" s="0" t="s">
        <v>147</v>
      </c>
      <c r="D148" s="21" t="n">
        <f aca="false">a26_pc</f>
        <v>614.602793131557</v>
      </c>
      <c r="E148" s="21" t="n">
        <f aca="false">D148*(1+g_pc27)</f>
        <v>596.16470933761</v>
      </c>
      <c r="F148" s="21" t="n">
        <f aca="false">E148*(1+g_pc28)</f>
        <v>596.16470933761</v>
      </c>
      <c r="G148" s="21" t="n">
        <f aca="false">F148*(1+g_pc29)</f>
        <v>596.16470933761</v>
      </c>
    </row>
    <row r="149" customFormat="false" ht="15" hidden="false" customHeight="false" outlineLevel="0" collapsed="false">
      <c r="A149" s="4" t="s">
        <v>576</v>
      </c>
      <c r="B149" s="0" t="s">
        <v>147</v>
      </c>
      <c r="C149" s="21" t="n">
        <f aca="false">a25_srev</f>
        <v>1235.86</v>
      </c>
      <c r="D149" s="21" t="n">
        <f aca="false">D140+D145+D147+D148</f>
        <v>2651.72505421038</v>
      </c>
      <c r="E149" s="21" t="n">
        <f aca="false">E140+E145+E147+E148</f>
        <v>3816.64127975755</v>
      </c>
      <c r="F149" s="21" t="n">
        <f aca="false">F140+F145+F147+F148</f>
        <v>3390.72669481636</v>
      </c>
      <c r="G149" s="21" t="n">
        <f aca="false">G140+G145+G147+G148</f>
        <v>3608.75369500129</v>
      </c>
    </row>
    <row r="150" customFormat="false" ht="17.15" hidden="false" customHeight="false" outlineLevel="0" collapsed="false">
      <c r="A150" s="4" t="s">
        <v>577</v>
      </c>
      <c r="B150" s="0" t="s">
        <v>48</v>
      </c>
      <c r="D150" s="20" t="n">
        <f aca="false">a26_wai/D133</f>
        <v>0.0391523244650416</v>
      </c>
      <c r="K150" s="8" t="s">
        <v>578</v>
      </c>
    </row>
    <row r="151" customFormat="false" ht="17.15" hidden="false" customHeight="false" outlineLevel="0" collapsed="false">
      <c r="A151" s="4" t="s">
        <v>504</v>
      </c>
      <c r="B151" s="0" t="s">
        <v>48</v>
      </c>
      <c r="D151" s="20" t="n">
        <f aca="false">D150</f>
        <v>0.0391523244650416</v>
      </c>
      <c r="E151" s="20" t="n">
        <f aca="false">$D$150*wrel_27</f>
        <v>0.0391523244650416</v>
      </c>
      <c r="F151" s="20" t="n">
        <f aca="false">$D$150*wrel_28</f>
        <v>0.0391523244650416</v>
      </c>
      <c r="G151" s="20" t="n">
        <f aca="false">$D$150*wrel_29</f>
        <v>0.0371947082417896</v>
      </c>
    </row>
    <row r="152" customFormat="false" ht="17.15" hidden="false" customHeight="false" outlineLevel="0" collapsed="false">
      <c r="A152" s="4" t="s">
        <v>524</v>
      </c>
      <c r="B152" s="0" t="s">
        <v>147</v>
      </c>
      <c r="D152" s="21" t="n">
        <f aca="false">D133*D151</f>
        <v>795.094795</v>
      </c>
      <c r="E152" s="21" t="n">
        <f aca="false">E133*E151</f>
        <v>1427.12501917769</v>
      </c>
      <c r="F152" s="21" t="n">
        <f aca="false">F133*F151</f>
        <v>1447.23806968877</v>
      </c>
      <c r="G152" s="21" t="n">
        <f aca="false">G133*G151</f>
        <v>1664.08890101706</v>
      </c>
    </row>
    <row r="153" customFormat="false" ht="17.15" hidden="false" customHeight="false" outlineLevel="0" collapsed="false">
      <c r="A153" s="4" t="s">
        <v>579</v>
      </c>
      <c r="B153" s="0" t="s">
        <v>147</v>
      </c>
      <c r="D153" s="21" t="n">
        <f aca="false">a26_wna</f>
        <v>650.532105</v>
      </c>
      <c r="E153" s="21" t="n">
        <f aca="false">D153*(1+g_wn27)</f>
        <v>715.5853155</v>
      </c>
      <c r="F153" s="21" t="n">
        <f aca="false">E153*(1+g_wn28)</f>
        <v>758.52043443</v>
      </c>
      <c r="G153" s="21" t="n">
        <f aca="false">F153*(1+g_wn29)</f>
        <v>796.4464561515</v>
      </c>
    </row>
    <row r="154" customFormat="false" ht="15" hidden="false" customHeight="false" outlineLevel="0" collapsed="false">
      <c r="A154" s="4" t="s">
        <v>434</v>
      </c>
      <c r="B154" s="0" t="s">
        <v>147</v>
      </c>
      <c r="C154" s="21" t="n">
        <f aca="false">a25_wrev</f>
        <v>950.663</v>
      </c>
      <c r="D154" s="21" t="n">
        <f aca="false">D152+D153</f>
        <v>1445.6269</v>
      </c>
      <c r="E154" s="21" t="n">
        <f aca="false">E152+E153</f>
        <v>2142.71033467769</v>
      </c>
      <c r="F154" s="21" t="n">
        <f aca="false">F152+F153</f>
        <v>2205.75850411877</v>
      </c>
      <c r="G154" s="21" t="n">
        <f aca="false">G152+G153</f>
        <v>2460.53535716856</v>
      </c>
    </row>
    <row r="155" customFormat="false" ht="17.15" hidden="false" customHeight="false" outlineLevel="0" collapsed="false">
      <c r="A155" s="4" t="s">
        <v>420</v>
      </c>
      <c r="B155" s="0" t="s">
        <v>147</v>
      </c>
      <c r="C155" s="21" t="n">
        <f aca="false">C149+C154</f>
        <v>2186.523</v>
      </c>
      <c r="D155" s="21" t="n">
        <f aca="false">D149+D154</f>
        <v>4097.35195421038</v>
      </c>
      <c r="E155" s="21" t="n">
        <f aca="false">E149+E154</f>
        <v>5959.35161443524</v>
      </c>
      <c r="F155" s="21" t="n">
        <f aca="false">F149+F154</f>
        <v>5596.48519893513</v>
      </c>
      <c r="G155" s="21" t="n">
        <f aca="false">G149+G154</f>
        <v>6069.28905216985</v>
      </c>
      <c r="H155" s="26" t="n">
        <f aca="false">G155*(1+H156)</f>
        <v>6492.04450802955</v>
      </c>
      <c r="I155" s="26" t="n">
        <f aca="false">H155*(1+I156)</f>
        <v>6847.98661135219</v>
      </c>
      <c r="J155" s="26" t="n">
        <f aca="false">I155*(1+J156)</f>
        <v>7121.90607580627</v>
      </c>
      <c r="K155" s="8" t="s">
        <v>580</v>
      </c>
    </row>
    <row r="156" customFormat="false" ht="15" hidden="false" customHeight="false" outlineLevel="0" collapsed="false">
      <c r="A156" s="4" t="s">
        <v>581</v>
      </c>
      <c r="B156" s="0" t="s">
        <v>48</v>
      </c>
      <c r="D156" s="20" t="n">
        <f aca="false">D155/C155-1</f>
        <v>0.873912121761526</v>
      </c>
      <c r="E156" s="20" t="n">
        <f aca="false">E155/D155-1</f>
        <v>0.454439765251677</v>
      </c>
      <c r="F156" s="20" t="n">
        <f aca="false">F155/E155-1</f>
        <v>-0.0608902509832018</v>
      </c>
      <c r="G156" s="20" t="n">
        <f aca="false">G155/F155-1</f>
        <v>0.0844822842245141</v>
      </c>
      <c r="H156" s="27" t="n">
        <f aca="false">$G156+(fade_gB-$G156)*1/3</f>
        <v>0.0696548561496761</v>
      </c>
      <c r="I156" s="27" t="n">
        <f aca="false">$G156+(fade_gB-$G156)*2/3</f>
        <v>0.054827428074838</v>
      </c>
      <c r="J156" s="27" t="n">
        <f aca="false">$G156+(fade_gB-$G156)*3/3</f>
        <v>0.04</v>
      </c>
    </row>
    <row r="157" customFormat="false" ht="17.15" hidden="false" customHeight="false" outlineLevel="0" collapsed="false">
      <c r="A157" s="0" t="s">
        <v>582</v>
      </c>
      <c r="B157" s="0" t="s">
        <v>48</v>
      </c>
      <c r="D157" s="20" t="n">
        <f aca="false">(D140+D145+D152)/D155</f>
        <v>0.6546220793463</v>
      </c>
      <c r="E157" s="20" t="n">
        <f aca="false">(E140+E145+E152)/E155</f>
        <v>0.749679139384196</v>
      </c>
      <c r="F157" s="20" t="n">
        <f aca="false">(F140+F145+F152)/F155</f>
        <v>0.722560662884797</v>
      </c>
      <c r="G157" s="20" t="n">
        <f aca="false">(G140+G145+G152)/G155</f>
        <v>0.735314770530696</v>
      </c>
    </row>
    <row r="158" customFormat="false" ht="17.15" hidden="false" customHeight="false" outlineLevel="0" collapsed="false">
      <c r="A158" s="4" t="s">
        <v>583</v>
      </c>
      <c r="B158" s="0" t="s">
        <v>48</v>
      </c>
      <c r="C158" s="20" t="n">
        <f aca="false">C154/C155</f>
        <v>0.434782986504144</v>
      </c>
      <c r="D158" s="20" t="n">
        <f aca="false">D154/D155</f>
        <v>0.352819800728736</v>
      </c>
      <c r="E158" s="20" t="n">
        <f aca="false">E154/E155</f>
        <v>0.359554272563384</v>
      </c>
      <c r="F158" s="20" t="n">
        <f aca="false">F154/F155</f>
        <v>0.394132821889438</v>
      </c>
      <c r="G158" s="20" t="n">
        <f aca="false">G154/G155</f>
        <v>0.405407509185757</v>
      </c>
    </row>
    <row r="159" customFormat="false" ht="17.15" hidden="false" customHeight="false" outlineLevel="0" collapsed="false">
      <c r="A159" s="4" t="s">
        <v>584</v>
      </c>
      <c r="B159" s="4" t="s">
        <v>331</v>
      </c>
      <c r="D159" s="21" t="n">
        <f aca="false">D138/fx/(odm_gb*(1-vr26)+odm_vr*vr26)</f>
        <v>12.0597330420658</v>
      </c>
      <c r="E159" s="21" t="n">
        <f aca="false">E138/fx/odm_vr</f>
        <v>14.7674893195131</v>
      </c>
      <c r="F159" s="21" t="n">
        <f aca="false">F138/fx/odm_vr</f>
        <v>14.2268328473245</v>
      </c>
      <c r="G159" s="21" t="n">
        <f aca="false">G138/fx/odm_vr</f>
        <v>16.3132342945899</v>
      </c>
      <c r="K159" s="4" t="s">
        <v>585</v>
      </c>
    </row>
    <row r="160" customFormat="false" ht="17.15" hidden="false" customHeight="false" outlineLevel="0" collapsed="false">
      <c r="A160" s="6" t="s">
        <v>586</v>
      </c>
    </row>
    <row r="161" customFormat="false" ht="17.15" hidden="false" customHeight="false" outlineLevel="0" collapsed="false">
      <c r="A161" s="4" t="s">
        <v>587</v>
      </c>
      <c r="B161" s="0" t="s">
        <v>48</v>
      </c>
      <c r="D161" s="17" t="n">
        <f aca="false">(a26_sgp-d_ai*D140-d_brd*D145-d_gen*D147)/D149</f>
        <v>0.0436423860147897</v>
      </c>
      <c r="K161" s="8" t="s">
        <v>588</v>
      </c>
    </row>
    <row r="162" customFormat="false" ht="17.15" hidden="false" customHeight="false" outlineLevel="0" collapsed="false">
      <c r="A162" s="4" t="s">
        <v>589</v>
      </c>
      <c r="B162" s="0" t="s">
        <v>147</v>
      </c>
      <c r="D162" s="25" t="n">
        <f aca="false">($D$161+d_ai)*D138*(1-D139*(1-keep))</f>
        <v>59.7866331026896</v>
      </c>
      <c r="E162" s="25" t="n">
        <f aca="false">($D$161+d_ai+vrd)*E138*(1-E139*(1-keep))</f>
        <v>99.9228552931035</v>
      </c>
      <c r="F162" s="25" t="n">
        <f aca="false">($D$161+d_ai+vrd)*F138*(1-F139*(1-keep))</f>
        <v>95.2921838855099</v>
      </c>
      <c r="G162" s="25" t="n">
        <f aca="false">($D$161+d_ai+vrd)*G138*(1-G139*(1-keep))</f>
        <v>108.709541700834</v>
      </c>
    </row>
    <row r="163" customFormat="false" ht="15" hidden="false" customHeight="false" outlineLevel="0" collapsed="false">
      <c r="A163" s="4" t="s">
        <v>590</v>
      </c>
      <c r="B163" s="0" t="s">
        <v>147</v>
      </c>
      <c r="C163" s="21" t="n">
        <f aca="false">a25_sgp</f>
        <v>55.529</v>
      </c>
      <c r="D163" s="21" t="n">
        <f aca="false">a26_sgp</f>
        <v>103.50638581015</v>
      </c>
      <c r="E163" s="21" t="n">
        <f aca="false">$D$161*E148+($D$161+d_brd)*E145+($D$161+d_gen)*E147+E162</f>
        <v>148.991928263534</v>
      </c>
      <c r="F163" s="21" t="n">
        <f aca="false">$D$161*F148+($D$161+d_brd)*F145+($D$161+d_gen)*F147+F162</f>
        <v>143.096246797235</v>
      </c>
      <c r="G163" s="21" t="n">
        <f aca="false">$D$161*G148+($D$161+d_brd)*G145+($D$161+d_gen)*G147+G162</f>
        <v>158.756262534643</v>
      </c>
    </row>
    <row r="164" customFormat="false" ht="15" hidden="false" customHeight="false" outlineLevel="0" collapsed="false">
      <c r="A164" s="4" t="s">
        <v>591</v>
      </c>
      <c r="B164" s="0" t="s">
        <v>48</v>
      </c>
      <c r="C164" s="17" t="n">
        <f aca="false">C163/C149</f>
        <v>0.0449314647290146</v>
      </c>
      <c r="D164" s="17" t="n">
        <f aca="false">D163/D149</f>
        <v>0.0390336040479778</v>
      </c>
      <c r="E164" s="17" t="n">
        <f aca="false">E163/E149</f>
        <v>0.0390374461057547</v>
      </c>
      <c r="F164" s="17" t="n">
        <f aca="false">F163/F149</f>
        <v>0.0422022355903815</v>
      </c>
      <c r="G164" s="17" t="n">
        <f aca="false">G163/G149</f>
        <v>0.0439919916824876</v>
      </c>
    </row>
    <row r="165" customFormat="false" ht="15" hidden="false" customHeight="false" outlineLevel="0" collapsed="false">
      <c r="A165" s="4" t="s">
        <v>592</v>
      </c>
      <c r="B165" s="0" t="s">
        <v>48</v>
      </c>
      <c r="E165" s="20" t="n">
        <f aca="false">MAX(0,phi*(E149/D149-1))</f>
        <v>0.13179151703879</v>
      </c>
      <c r="F165" s="20" t="n">
        <f aca="false">MAX(0,phi*(F149/E149-1))</f>
        <v>0</v>
      </c>
      <c r="G165" s="20" t="n">
        <f aca="false">MAX(0,phi*(G149/F149-1))</f>
        <v>0.0192902896466041</v>
      </c>
    </row>
    <row r="166" customFormat="false" ht="15" hidden="false" customHeight="false" outlineLevel="0" collapsed="false">
      <c r="A166" s="4" t="s">
        <v>593</v>
      </c>
      <c r="B166" s="0" t="s">
        <v>147</v>
      </c>
      <c r="C166" s="21" t="n">
        <f aca="false">a25_sopx</f>
        <v>40.894</v>
      </c>
      <c r="D166" s="21" t="n">
        <f aca="false">a26_sopx</f>
        <v>46.9914095398923</v>
      </c>
      <c r="E166" s="21" t="n">
        <f aca="false">D166*(1+E165)+0*E149</f>
        <v>53.1844786909457</v>
      </c>
      <c r="F166" s="21" t="n">
        <f aca="false">E166*(1+F165)+0*F149</f>
        <v>53.1844786909457</v>
      </c>
      <c r="G166" s="21" t="n">
        <f aca="false">F166*(1+G165)+0*G149</f>
        <v>54.2104226895977</v>
      </c>
    </row>
    <row r="167" customFormat="false" ht="15" hidden="false" customHeight="false" outlineLevel="0" collapsed="false">
      <c r="A167" s="4" t="s">
        <v>594</v>
      </c>
      <c r="B167" s="0" t="s">
        <v>147</v>
      </c>
      <c r="C167" s="21" t="n">
        <f aca="false">C163-C166</f>
        <v>14.635</v>
      </c>
      <c r="D167" s="21" t="n">
        <f aca="false">D163-D166</f>
        <v>56.514976270258</v>
      </c>
      <c r="E167" s="21" t="n">
        <f aca="false">E163-E166</f>
        <v>95.8074495725884</v>
      </c>
      <c r="F167" s="21" t="n">
        <f aca="false">F163-F166</f>
        <v>89.9117681062896</v>
      </c>
      <c r="G167" s="21" t="n">
        <f aca="false">G163-G166</f>
        <v>104.545839845045</v>
      </c>
    </row>
    <row r="168" customFormat="false" ht="15" hidden="false" customHeight="false" outlineLevel="0" collapsed="false">
      <c r="A168" s="4" t="s">
        <v>595</v>
      </c>
      <c r="B168" s="0" t="s">
        <v>48</v>
      </c>
      <c r="C168" s="17" t="n">
        <f aca="false">C167/C149</f>
        <v>0.011841956208632</v>
      </c>
      <c r="D168" s="17" t="n">
        <f aca="false">D167/D149</f>
        <v>0.0213125324514788</v>
      </c>
      <c r="E168" s="17" t="n">
        <f aca="false">E167/E149</f>
        <v>0.0251025555062577</v>
      </c>
      <c r="F168" s="17" t="n">
        <f aca="false">F167/F149</f>
        <v>0.0265169611705196</v>
      </c>
      <c r="G168" s="17" t="n">
        <f aca="false">G167/G149</f>
        <v>0.0289700679738432</v>
      </c>
    </row>
    <row r="169" customFormat="false" ht="15" hidden="false" customHeight="false" outlineLevel="0" collapsed="false">
      <c r="A169" s="4" t="s">
        <v>596</v>
      </c>
      <c r="B169" s="0" t="s">
        <v>147</v>
      </c>
      <c r="C169" s="21" t="n">
        <f aca="false">a25_sni</f>
        <v>6.9608</v>
      </c>
      <c r="D169" s="21" t="n">
        <f aca="false">a26_sni</f>
        <v>31.133746704</v>
      </c>
      <c r="E169" s="21" t="n">
        <f aca="false">E167*snio</f>
        <v>53.6521717606495</v>
      </c>
      <c r="F169" s="21" t="n">
        <f aca="false">F167*snio</f>
        <v>50.3505901395222</v>
      </c>
      <c r="G169" s="21" t="n">
        <f aca="false">G167*snio</f>
        <v>58.5456703132254</v>
      </c>
    </row>
    <row r="170" customFormat="false" ht="17.15" hidden="false" customHeight="false" outlineLevel="0" collapsed="false">
      <c r="A170" s="6" t="s">
        <v>597</v>
      </c>
    </row>
    <row r="171" customFormat="false" ht="15" hidden="false" customHeight="false" outlineLevel="0" collapsed="false">
      <c r="A171" s="4" t="s">
        <v>438</v>
      </c>
      <c r="B171" s="0" t="s">
        <v>147</v>
      </c>
      <c r="C171" s="21" t="n">
        <f aca="false">a25_wgp</f>
        <v>78.454</v>
      </c>
      <c r="D171" s="21" t="n">
        <f aca="false">a26_wgp</f>
        <v>125.0519932</v>
      </c>
      <c r="E171" s="21" t="n">
        <f aca="false">E154*wgm</f>
        <v>182.130378447603</v>
      </c>
      <c r="F171" s="21" t="n">
        <f aca="false">F154*wgm</f>
        <v>187.489472850096</v>
      </c>
      <c r="G171" s="21" t="n">
        <f aca="false">G154*wgm</f>
        <v>209.145505359328</v>
      </c>
    </row>
    <row r="172" customFormat="false" ht="15" hidden="false" customHeight="false" outlineLevel="0" collapsed="false">
      <c r="A172" s="4" t="s">
        <v>440</v>
      </c>
      <c r="B172" s="0" t="s">
        <v>147</v>
      </c>
      <c r="C172" s="21" t="n">
        <f aca="false">a25_woi</f>
        <v>63.918</v>
      </c>
      <c r="D172" s="21" t="n">
        <f aca="false">a26_woi</f>
        <v>98.2471632</v>
      </c>
      <c r="E172" s="21" t="n">
        <f aca="false">E154*wopm</f>
        <v>139.27617175405</v>
      </c>
      <c r="F172" s="21" t="n">
        <f aca="false">F154*wopm</f>
        <v>143.37430276772</v>
      </c>
      <c r="G172" s="21" t="n">
        <f aca="false">G154*wopm</f>
        <v>159.934798215957</v>
      </c>
    </row>
    <row r="173" customFormat="false" ht="15" hidden="false" customHeight="false" outlineLevel="0" collapsed="false">
      <c r="A173" s="4" t="s">
        <v>448</v>
      </c>
      <c r="B173" s="0" t="s">
        <v>147</v>
      </c>
      <c r="C173" s="21" t="n">
        <f aca="false">a25_wni</f>
        <v>51.118</v>
      </c>
      <c r="D173" s="21" t="n">
        <f aca="false">a26_wni</f>
        <v>75.735026884</v>
      </c>
      <c r="E173" s="21" t="n">
        <f aca="false">E172*wnio</f>
        <v>108.635413968159</v>
      </c>
      <c r="F173" s="21" t="n">
        <f aca="false">F172*wnio</f>
        <v>111.831956158822</v>
      </c>
      <c r="G173" s="21" t="n">
        <f aca="false">G172*wnio</f>
        <v>124.749142608446</v>
      </c>
    </row>
    <row r="174" customFormat="false" ht="15" hidden="false" customHeight="false" outlineLevel="0" collapsed="false">
      <c r="A174" s="4" t="s">
        <v>450</v>
      </c>
      <c r="B174" s="0" t="s">
        <v>48</v>
      </c>
      <c r="C174" s="17" t="n">
        <f aca="false">stake25</f>
        <v>0.4</v>
      </c>
      <c r="D174" s="17" t="n">
        <f aca="false">stake</f>
        <v>0.3768</v>
      </c>
      <c r="E174" s="17" t="n">
        <f aca="false">stake</f>
        <v>0.3768</v>
      </c>
      <c r="F174" s="17" t="n">
        <f aca="false">stake</f>
        <v>0.3768</v>
      </c>
      <c r="G174" s="17" t="n">
        <f aca="false">stake</f>
        <v>0.3768</v>
      </c>
    </row>
    <row r="175" customFormat="false" ht="17.15" hidden="false" customHeight="false" outlineLevel="0" collapsed="false">
      <c r="A175" s="6" t="s">
        <v>598</v>
      </c>
    </row>
    <row r="176" customFormat="false" ht="15" hidden="false" customHeight="false" outlineLevel="0" collapsed="false">
      <c r="A176" s="4" t="s">
        <v>424</v>
      </c>
      <c r="B176" s="0" t="s">
        <v>147</v>
      </c>
      <c r="C176" s="21" t="n">
        <f aca="false">C163+C171</f>
        <v>133.983</v>
      </c>
      <c r="D176" s="21" t="n">
        <f aca="false">D163+D171</f>
        <v>228.55837901015</v>
      </c>
      <c r="E176" s="21" t="n">
        <f aca="false">E163+E171</f>
        <v>331.122306711138</v>
      </c>
      <c r="F176" s="21" t="n">
        <f aca="false">F163+F171</f>
        <v>330.585719647331</v>
      </c>
      <c r="G176" s="21" t="n">
        <f aca="false">G163+G171</f>
        <v>367.901767893971</v>
      </c>
    </row>
    <row r="177" customFormat="false" ht="15" hidden="false" customHeight="false" outlineLevel="0" collapsed="false">
      <c r="A177" s="4" t="s">
        <v>427</v>
      </c>
      <c r="B177" s="0" t="s">
        <v>48</v>
      </c>
      <c r="C177" s="17" t="n">
        <f aca="false">C176/C155</f>
        <v>0.0612767393711386</v>
      </c>
      <c r="D177" s="17" t="n">
        <f aca="false">D176/D155</f>
        <v>0.055781973714825</v>
      </c>
      <c r="E177" s="17" t="n">
        <f aca="false">E176/E155</f>
        <v>0.0555634787363554</v>
      </c>
      <c r="F177" s="17" t="n">
        <f aca="false">F176/F155</f>
        <v>0.0590702392477038</v>
      </c>
      <c r="G177" s="17" t="n">
        <f aca="false">G176/G155</f>
        <v>0.0606169461911591</v>
      </c>
    </row>
    <row r="178" customFormat="false" ht="15" hidden="false" customHeight="false" outlineLevel="0" collapsed="false">
      <c r="A178" s="4" t="s">
        <v>428</v>
      </c>
      <c r="B178" s="0" t="s">
        <v>147</v>
      </c>
      <c r="C178" s="21" t="n">
        <f aca="false">C167+C172</f>
        <v>78.553</v>
      </c>
      <c r="D178" s="21" t="n">
        <f aca="false">D167+D172</f>
        <v>154.762139470258</v>
      </c>
      <c r="E178" s="21" t="n">
        <f aca="false">E167+E172</f>
        <v>235.083621326638</v>
      </c>
      <c r="F178" s="21" t="n">
        <f aca="false">F167+F172</f>
        <v>233.28607087401</v>
      </c>
      <c r="G178" s="21" t="n">
        <f aca="false">G167+G172</f>
        <v>264.480638061002</v>
      </c>
    </row>
    <row r="179" customFormat="false" ht="15" hidden="false" customHeight="false" outlineLevel="0" collapsed="false">
      <c r="A179" s="4" t="s">
        <v>431</v>
      </c>
      <c r="B179" s="0" t="s">
        <v>48</v>
      </c>
      <c r="C179" s="17" t="n">
        <f aca="false">C178/C155</f>
        <v>0.0359259884300325</v>
      </c>
      <c r="D179" s="17" t="n">
        <f aca="false">D178/D155</f>
        <v>0.0377712584126992</v>
      </c>
      <c r="E179" s="17" t="n">
        <f aca="false">E178/E155</f>
        <v>0.0394478521383432</v>
      </c>
      <c r="F179" s="17" t="n">
        <f aca="false">F178/F155</f>
        <v>0.0416843898592635</v>
      </c>
      <c r="G179" s="17" t="n">
        <f aca="false">G178/G155</f>
        <v>0.0435768729726996</v>
      </c>
    </row>
    <row r="180" customFormat="false" ht="15" hidden="false" customHeight="false" outlineLevel="0" collapsed="false">
      <c r="A180" s="4" t="s">
        <v>461</v>
      </c>
      <c r="B180" s="0" t="s">
        <v>147</v>
      </c>
      <c r="C180" s="21" t="n">
        <f aca="false">C169+C173</f>
        <v>58.0788</v>
      </c>
      <c r="D180" s="21" t="n">
        <f aca="false">D169+D173</f>
        <v>106.868773588</v>
      </c>
      <c r="E180" s="21" t="n">
        <f aca="false">E169+E173</f>
        <v>162.287585728808</v>
      </c>
      <c r="F180" s="21" t="n">
        <f aca="false">F169+F173</f>
        <v>162.182546298344</v>
      </c>
      <c r="G180" s="21" t="n">
        <f aca="false">G169+G173</f>
        <v>183.294812921672</v>
      </c>
    </row>
    <row r="181" customFormat="false" ht="17.15" hidden="false" customHeight="false" outlineLevel="0" collapsed="false">
      <c r="A181" s="4" t="s">
        <v>599</v>
      </c>
      <c r="B181" s="0" t="s">
        <v>147</v>
      </c>
      <c r="C181" s="21" t="n">
        <f aca="false">(1-C174)*C173</f>
        <v>30.6708</v>
      </c>
      <c r="D181" s="21" t="n">
        <f aca="false">(1-D174)*D173</f>
        <v>47.1980687541088</v>
      </c>
      <c r="E181" s="21" t="n">
        <f aca="false">(1-E174)*E173</f>
        <v>67.7015899849565</v>
      </c>
      <c r="F181" s="21" t="n">
        <f aca="false">(1-F174)*F173</f>
        <v>69.6936750781778</v>
      </c>
      <c r="G181" s="21" t="n">
        <f aca="false">(1-G174)*G173</f>
        <v>77.7436656735836</v>
      </c>
    </row>
    <row r="182" customFormat="false" ht="15" hidden="false" customHeight="false" outlineLevel="0" collapsed="false">
      <c r="A182" s="4" t="s">
        <v>457</v>
      </c>
      <c r="B182" s="0" t="s">
        <v>147</v>
      </c>
      <c r="C182" s="21" t="n">
        <f aca="false">C180-C181</f>
        <v>27.408</v>
      </c>
      <c r="D182" s="21" t="n">
        <f aca="false">D180-D181</f>
        <v>59.6707048338912</v>
      </c>
      <c r="E182" s="21" t="n">
        <f aca="false">E180-E181</f>
        <v>94.5859957438517</v>
      </c>
      <c r="F182" s="21" t="n">
        <f aca="false">F180-F181</f>
        <v>92.4888712201663</v>
      </c>
      <c r="G182" s="21" t="n">
        <f aca="false">G180-G181</f>
        <v>105.551147248088</v>
      </c>
      <c r="H182" s="26" t="n">
        <f aca="false">H155*H187</f>
        <v>109.139853985217</v>
      </c>
      <c r="I182" s="26" t="n">
        <f aca="false">I155*I187</f>
        <v>111.153928325218</v>
      </c>
      <c r="J182" s="26" t="n">
        <f aca="false">J155*J187</f>
        <v>111.471510977576</v>
      </c>
    </row>
    <row r="183" customFormat="false" ht="17.15" hidden="false" customHeight="false" outlineLevel="0" collapsed="false">
      <c r="A183" s="4" t="s">
        <v>600</v>
      </c>
      <c r="B183" s="0" t="s">
        <v>48</v>
      </c>
      <c r="C183" s="20" t="n">
        <f aca="false">C174*C173/C182</f>
        <v>0.746030356100409</v>
      </c>
      <c r="D183" s="20" t="n">
        <f aca="false">D174*D173/D182</f>
        <v>0.478240674537551</v>
      </c>
      <c r="E183" s="20" t="n">
        <f aca="false">E174*E173/E182</f>
        <v>0.432768335960168</v>
      </c>
      <c r="F183" s="20" t="n">
        <f aca="false">F174*F173/F182</f>
        <v>0.455603798865006</v>
      </c>
      <c r="G183" s="20" t="n">
        <f aca="false">G174*G173/G182</f>
        <v>0.445333643076191</v>
      </c>
    </row>
    <row r="184" customFormat="false" ht="17.15" hidden="false" customHeight="false" outlineLevel="0" collapsed="false">
      <c r="A184" s="4" t="s">
        <v>601</v>
      </c>
      <c r="B184" s="4" t="s">
        <v>282</v>
      </c>
      <c r="C184" s="31" t="n">
        <f aca="false">a25_sh</f>
        <v>3.03185840707965</v>
      </c>
      <c r="D184" s="31" t="n">
        <f aca="false">a26_sh</f>
        <v>3.23861720409076</v>
      </c>
      <c r="E184" s="31" t="n">
        <f aca="false">q_sh4*(1+sh_g)</f>
        <v>3.43</v>
      </c>
      <c r="F184" s="31" t="n">
        <f aca="false">E184*(1+sh_g)</f>
        <v>3.43</v>
      </c>
      <c r="G184" s="31" t="n">
        <f aca="false">F184*(1+sh_g)</f>
        <v>3.43</v>
      </c>
      <c r="H184" s="32" t="n">
        <f aca="false">G184*(1+sh_g)</f>
        <v>3.43</v>
      </c>
      <c r="I184" s="32" t="n">
        <f aca="false">H184*(1+sh_g)</f>
        <v>3.43</v>
      </c>
      <c r="J184" s="32" t="n">
        <f aca="false">I184*(1+sh_g)</f>
        <v>3.43</v>
      </c>
      <c r="K184" s="8" t="s">
        <v>602</v>
      </c>
    </row>
    <row r="185" customFormat="false" ht="15" hidden="false" customHeight="false" outlineLevel="0" collapsed="false">
      <c r="A185" s="0" t="s">
        <v>464</v>
      </c>
      <c r="B185" s="0" t="s">
        <v>312</v>
      </c>
      <c r="C185" s="18" t="n">
        <f aca="false">C182/C184</f>
        <v>9.04</v>
      </c>
      <c r="D185" s="18" t="n">
        <f aca="false">D182/D184</f>
        <v>18.4247476850676</v>
      </c>
      <c r="E185" s="18" t="n">
        <f aca="false">E182/E184</f>
        <v>27.5760920536011</v>
      </c>
      <c r="F185" s="18" t="n">
        <f aca="false">F182/F184</f>
        <v>26.9646854869289</v>
      </c>
      <c r="G185" s="18" t="n">
        <f aca="false">G182/G184</f>
        <v>30.7729292268478</v>
      </c>
      <c r="H185" s="29" t="n">
        <f aca="false">H182/H184</f>
        <v>31.8191994125998</v>
      </c>
      <c r="I185" s="29" t="n">
        <f aca="false">I182/I184</f>
        <v>32.4063930977312</v>
      </c>
      <c r="J185" s="29" t="n">
        <f aca="false">J182/J184</f>
        <v>32.4989827922961</v>
      </c>
    </row>
    <row r="186" customFormat="false" ht="17.15" hidden="false" customHeight="false" outlineLevel="0" collapsed="false">
      <c r="A186" s="0" t="s">
        <v>603</v>
      </c>
      <c r="B186" s="0" t="s">
        <v>48</v>
      </c>
      <c r="D186" s="20" t="n">
        <f aca="false">D185/C185-1</f>
        <v>1.03813580587031</v>
      </c>
      <c r="E186" s="20" t="n">
        <f aca="false">E185/D185-1</f>
        <v>0.496687635833963</v>
      </c>
      <c r="F186" s="20" t="n">
        <f aca="false">F185/E185-1</f>
        <v>-0.0221716175549359</v>
      </c>
      <c r="G186" s="20" t="n">
        <f aca="false">G185/F185-1</f>
        <v>0.14123078653244</v>
      </c>
      <c r="H186" s="27" t="n">
        <f aca="false">H185/G185-1</f>
        <v>0.0339996942780203</v>
      </c>
      <c r="I186" s="27" t="n">
        <f aca="false">I185/H185-1</f>
        <v>0.0184540684860506</v>
      </c>
      <c r="J186" s="27" t="n">
        <f aca="false">J185/I185-1</f>
        <v>0.00285714285714289</v>
      </c>
    </row>
    <row r="187" customFormat="false" ht="17.15" hidden="false" customHeight="false" outlineLevel="0" collapsed="false">
      <c r="A187" s="4" t="s">
        <v>604</v>
      </c>
      <c r="B187" s="0" t="s">
        <v>48</v>
      </c>
      <c r="C187" s="17" t="n">
        <f aca="false">C182/C155</f>
        <v>0.0125349699042727</v>
      </c>
      <c r="D187" s="17" t="n">
        <f aca="false">D182/D155</f>
        <v>0.0145632363293992</v>
      </c>
      <c r="E187" s="17" t="n">
        <f aca="false">E182/E155</f>
        <v>0.0158718602061905</v>
      </c>
      <c r="F187" s="17" t="n">
        <f aca="false">F182/F155</f>
        <v>0.0165262424419106</v>
      </c>
      <c r="G187" s="17" t="n">
        <f aca="false">G182/G155</f>
        <v>0.0173910232880327</v>
      </c>
      <c r="H187" s="28" t="n">
        <f aca="false">$G187+(fade_mB-$G187)*1/3</f>
        <v>0.016811322511765</v>
      </c>
      <c r="I187" s="28" t="n">
        <f aca="false">$G187+(fade_mB-$G187)*2/3</f>
        <v>0.0162316217354972</v>
      </c>
      <c r="J187" s="28" t="n">
        <f aca="false">$G187+(fade_mB-$G187)*3/3</f>
        <v>0.0156519209592294</v>
      </c>
    </row>
    <row r="190" customFormat="false" ht="17.15" hidden="false" customHeight="false" outlineLevel="0" collapsed="false">
      <c r="A190" s="1" t="s">
        <v>606</v>
      </c>
    </row>
    <row r="191" customFormat="false" ht="17.15" hidden="false" customHeight="false" outlineLevel="0" collapsed="false">
      <c r="A191" s="5" t="s">
        <v>17</v>
      </c>
      <c r="B191" s="5" t="s">
        <v>18</v>
      </c>
      <c r="C191" s="14" t="s">
        <v>414</v>
      </c>
      <c r="D191" s="14" t="s">
        <v>529</v>
      </c>
      <c r="E191" s="14" t="s">
        <v>530</v>
      </c>
      <c r="F191" s="14" t="s">
        <v>531</v>
      </c>
      <c r="G191" s="14" t="s">
        <v>532</v>
      </c>
      <c r="H191" s="14" t="s">
        <v>533</v>
      </c>
      <c r="I191" s="14" t="s">
        <v>534</v>
      </c>
      <c r="J191" s="14" t="s">
        <v>535</v>
      </c>
      <c r="K191" s="5" t="s">
        <v>496</v>
      </c>
    </row>
    <row r="192" customFormat="false" ht="17.15" hidden="false" customHeight="false" outlineLevel="0" collapsed="false">
      <c r="A192" s="6" t="s">
        <v>550</v>
      </c>
    </row>
    <row r="193" customFormat="false" ht="17.15" hidden="false" customHeight="false" outlineLevel="0" collapsed="false">
      <c r="A193" s="0" t="s">
        <v>551</v>
      </c>
      <c r="B193" s="0" t="s">
        <v>28</v>
      </c>
      <c r="D193" s="21" t="n">
        <f aca="false">itc_26*1</f>
        <v>781.872916666667</v>
      </c>
      <c r="E193" s="21" t="n">
        <f aca="false">itc_27*1*1</f>
        <v>1565.35</v>
      </c>
      <c r="F193" s="21" t="n">
        <f aca="false">itc_28*um28_C*1</f>
        <v>1190.55833333333</v>
      </c>
      <c r="G193" s="21" t="n">
        <f aca="false">itc_29*um29_C*1</f>
        <v>1356.23416666667</v>
      </c>
    </row>
    <row r="194" customFormat="false" ht="17.15" hidden="false" customHeight="false" outlineLevel="0" collapsed="false">
      <c r="A194" s="4" t="s">
        <v>552</v>
      </c>
      <c r="B194" s="0" t="s">
        <v>28</v>
      </c>
      <c r="D194" s="21" t="n">
        <f aca="false">itpg_gb*(1-vr26)+itpg_vr*vr26</f>
        <v>33.41403216</v>
      </c>
      <c r="E194" s="21" t="n">
        <f aca="false">itpg_vr</f>
        <v>37.586352</v>
      </c>
      <c r="F194" s="21" t="n">
        <f aca="false">itpg_vr</f>
        <v>37.586352</v>
      </c>
      <c r="G194" s="21" t="n">
        <f aca="false">itpg_vr</f>
        <v>37.586352</v>
      </c>
    </row>
    <row r="195" customFormat="false" ht="17.15" hidden="false" customHeight="false" outlineLevel="0" collapsed="false">
      <c r="A195" s="4" t="s">
        <v>553</v>
      </c>
      <c r="B195" s="0" t="s">
        <v>498</v>
      </c>
      <c r="D195" s="22" t="n">
        <f aca="false">D193/D194</f>
        <v>23.3995380420639</v>
      </c>
      <c r="E195" s="22" t="n">
        <f aca="false">E193/E194</f>
        <v>41.6467658260637</v>
      </c>
      <c r="F195" s="22" t="n">
        <f aca="false">F193/F194</f>
        <v>31.6752829147488</v>
      </c>
      <c r="G195" s="22" t="n">
        <f aca="false">G193/G194</f>
        <v>36.0831550416669</v>
      </c>
    </row>
    <row r="196" customFormat="false" ht="17.15" hidden="false" customHeight="false" outlineLevel="0" collapsed="false">
      <c r="A196" s="4" t="s">
        <v>554</v>
      </c>
      <c r="B196" s="0" t="s">
        <v>555</v>
      </c>
      <c r="D196" s="18" t="n">
        <f aca="false">(racks_gb*odm_gb*(1-vr26)+racks_vr*odm_vr*vr26)/1000</f>
        <v>27.1209</v>
      </c>
      <c r="E196" s="18" t="n">
        <f aca="false">racks_vr*odm_vr/1000</f>
        <v>27.351</v>
      </c>
      <c r="F196" s="18" t="n">
        <f aca="false">$E196*vpg_28</f>
        <v>27.351</v>
      </c>
      <c r="G196" s="18" t="n">
        <f aca="false">$E196*vpg_29</f>
        <v>27.351</v>
      </c>
      <c r="K196" s="4" t="s">
        <v>556</v>
      </c>
    </row>
    <row r="197" customFormat="false" ht="17.15" hidden="false" customHeight="false" outlineLevel="0" collapsed="false">
      <c r="A197" s="0" t="s">
        <v>557</v>
      </c>
      <c r="B197" s="0" t="s">
        <v>28</v>
      </c>
      <c r="D197" s="21" t="n">
        <f aca="false">D195*D196</f>
        <v>634.616531285011</v>
      </c>
      <c r="E197" s="21" t="n">
        <f aca="false">E195*E196</f>
        <v>1139.08069210867</v>
      </c>
      <c r="F197" s="21" t="n">
        <f aca="false">F195*F196</f>
        <v>866.350663001294</v>
      </c>
      <c r="G197" s="21" t="n">
        <f aca="false">G195*G196</f>
        <v>986.910373544632</v>
      </c>
    </row>
    <row r="198" customFormat="false" ht="17.15" hidden="false" customHeight="false" outlineLevel="0" collapsed="false">
      <c r="A198" s="0" t="s">
        <v>558</v>
      </c>
      <c r="B198" s="0" t="s">
        <v>147</v>
      </c>
      <c r="D198" s="21" t="n">
        <f aca="false">D197*fx</f>
        <v>20307.7290011204</v>
      </c>
      <c r="E198" s="21" t="n">
        <f aca="false">E197*fx</f>
        <v>36450.5821474774</v>
      </c>
      <c r="F198" s="21" t="n">
        <f aca="false">F197*fx</f>
        <v>27723.2212160414</v>
      </c>
      <c r="G198" s="21" t="n">
        <f aca="false">G197*fx</f>
        <v>31581.1319534282</v>
      </c>
    </row>
    <row r="199" customFormat="false" ht="17.15" hidden="false" customHeight="false" outlineLevel="0" collapsed="false">
      <c r="A199" s="6" t="s">
        <v>559</v>
      </c>
    </row>
    <row r="200" customFormat="false" ht="17.15" hidden="false" customHeight="false" outlineLevel="0" collapsed="false">
      <c r="A200" s="4" t="s">
        <v>560</v>
      </c>
      <c r="B200" s="0" t="s">
        <v>48</v>
      </c>
      <c r="D200" s="20" t="n">
        <f aca="false">a26_ais/D198</f>
        <v>0.0875096501918446</v>
      </c>
      <c r="K200" s="8" t="s">
        <v>561</v>
      </c>
    </row>
    <row r="201" customFormat="false" ht="17.15" hidden="false" customHeight="false" outlineLevel="0" collapsed="false">
      <c r="A201" s="4" t="s">
        <v>562</v>
      </c>
      <c r="B201" s="0" t="s">
        <v>60</v>
      </c>
      <c r="D201" s="18" t="n">
        <f aca="false">1</f>
        <v>1</v>
      </c>
      <c r="E201" s="18" t="n">
        <f aca="false">rel_27</f>
        <v>1</v>
      </c>
      <c r="F201" s="18" t="n">
        <f aca="false">rel_28</f>
        <v>0.95</v>
      </c>
      <c r="G201" s="18" t="n">
        <f aca="false">rel_29</f>
        <v>0.9</v>
      </c>
    </row>
    <row r="202" customFormat="false" ht="17.15" hidden="false" customHeight="false" outlineLevel="0" collapsed="false">
      <c r="A202" s="4" t="s">
        <v>563</v>
      </c>
      <c r="B202" s="0" t="s">
        <v>48</v>
      </c>
      <c r="D202" s="20" t="n">
        <f aca="false">$D$200*D201</f>
        <v>0.0875096501918446</v>
      </c>
      <c r="E202" s="20" t="n">
        <f aca="false">$D$200*E201</f>
        <v>0.0875096501918446</v>
      </c>
      <c r="F202" s="20" t="n">
        <f aca="false">$D$200*F201</f>
        <v>0.0831341676822524</v>
      </c>
      <c r="G202" s="20" t="n">
        <f aca="false">$D$200*G201</f>
        <v>0.0787586851726601</v>
      </c>
    </row>
    <row r="203" customFormat="false" ht="17.15" hidden="false" customHeight="false" outlineLevel="0" collapsed="false">
      <c r="A203" s="4" t="s">
        <v>564</v>
      </c>
      <c r="B203" s="0" t="s">
        <v>147</v>
      </c>
      <c r="D203" s="21" t="n">
        <f aca="false">D198*D202</f>
        <v>1777.12226107882</v>
      </c>
      <c r="E203" s="21" t="n">
        <f aca="false">E198*E202</f>
        <v>3189.77769301484</v>
      </c>
      <c r="F203" s="21" t="n">
        <f aca="false">F198*F202</f>
        <v>2304.74692126656</v>
      </c>
      <c r="G203" s="21" t="n">
        <f aca="false">G198*G202</f>
        <v>2487.28842891629</v>
      </c>
    </row>
    <row r="204" customFormat="false" ht="17.15" hidden="false" customHeight="false" outlineLevel="0" collapsed="false">
      <c r="A204" s="4" t="s">
        <v>565</v>
      </c>
      <c r="B204" s="0" t="s">
        <v>48</v>
      </c>
      <c r="D204" s="20" t="n">
        <f aca="false">0</f>
        <v>0</v>
      </c>
      <c r="E204" s="20" t="n">
        <f aca="false">cs_27</f>
        <v>0.1</v>
      </c>
      <c r="F204" s="20" t="n">
        <f aca="false">cs_28</f>
        <v>0.2</v>
      </c>
      <c r="G204" s="20" t="n">
        <f aca="false">cs_29</f>
        <v>0.25</v>
      </c>
      <c r="K204" s="8" t="s">
        <v>566</v>
      </c>
    </row>
    <row r="205" customFormat="false" ht="17.15" hidden="false" customHeight="false" outlineLevel="0" collapsed="false">
      <c r="A205" s="4" t="s">
        <v>567</v>
      </c>
      <c r="B205" s="0" t="s">
        <v>147</v>
      </c>
      <c r="D205" s="21" t="n">
        <f aca="false">D203*(1-D204)</f>
        <v>1777.12226107882</v>
      </c>
      <c r="E205" s="21" t="n">
        <f aca="false">E203*(1-E204)</f>
        <v>2870.79992371336</v>
      </c>
      <c r="F205" s="21" t="n">
        <f aca="false">F203*(1-F204)</f>
        <v>1843.79753701325</v>
      </c>
      <c r="G205" s="21" t="n">
        <f aca="false">G203*(1-G204)</f>
        <v>1865.46632168722</v>
      </c>
    </row>
    <row r="206" customFormat="false" ht="17.15" hidden="false" customHeight="false" outlineLevel="0" collapsed="false">
      <c r="A206" s="6" t="s">
        <v>568</v>
      </c>
    </row>
    <row r="207" customFormat="false" ht="17.15" hidden="false" customHeight="false" outlineLevel="0" collapsed="false">
      <c r="A207" s="0" t="s">
        <v>569</v>
      </c>
      <c r="B207" s="4" t="s">
        <v>81</v>
      </c>
      <c r="D207" s="18" t="n">
        <f aca="false">gu_26*1</f>
        <v>8.35</v>
      </c>
      <c r="E207" s="18" t="n">
        <f aca="false">gu_27*1*1</f>
        <v>11.2</v>
      </c>
      <c r="F207" s="18" t="n">
        <f aca="false">gu_28*um28_C*1</f>
        <v>6.9</v>
      </c>
      <c r="G207" s="18" t="n">
        <f aca="false">gu_29*um29_C*1</f>
        <v>7.74</v>
      </c>
    </row>
    <row r="208" customFormat="false" ht="15" hidden="false" customHeight="false" outlineLevel="0" collapsed="false">
      <c r="A208" s="4" t="s">
        <v>570</v>
      </c>
      <c r="B208" s="0" t="s">
        <v>48</v>
      </c>
      <c r="D208" s="20" t="n">
        <f aca="false">bsh_26</f>
        <v>0.5</v>
      </c>
      <c r="E208" s="20" t="n">
        <f aca="false">bsh_26*brel_27</f>
        <v>0.5</v>
      </c>
      <c r="F208" s="20" t="n">
        <f aca="false">bsh_26*brel_28</f>
        <v>0.475</v>
      </c>
      <c r="G208" s="20" t="n">
        <f aca="false">bsh_26*brel_29</f>
        <v>0.45</v>
      </c>
    </row>
    <row r="209" customFormat="false" ht="17.15" hidden="false" customHeight="false" outlineLevel="0" collapsed="false">
      <c r="A209" s="4" t="s">
        <v>571</v>
      </c>
      <c r="B209" s="0" t="s">
        <v>520</v>
      </c>
      <c r="D209" s="24" t="n">
        <f aca="false">a26_brd/fx/D207/D208*1000</f>
        <v>823.353293413174</v>
      </c>
      <c r="E209" s="24" t="n">
        <f aca="false">$D209*bv_27</f>
        <v>946.85628742515</v>
      </c>
      <c r="F209" s="24" t="n">
        <f aca="false">$D209*bv_28</f>
        <v>988.023952095808</v>
      </c>
      <c r="G209" s="24" t="n">
        <f aca="false">$D209*bv_29</f>
        <v>988.023952095808</v>
      </c>
      <c r="K209" s="8" t="s">
        <v>572</v>
      </c>
    </row>
    <row r="210" customFormat="false" ht="17.15" hidden="false" customHeight="false" outlineLevel="0" collapsed="false">
      <c r="A210" s="0" t="s">
        <v>522</v>
      </c>
      <c r="B210" s="0" t="s">
        <v>147</v>
      </c>
      <c r="D210" s="21" t="n">
        <f aca="false">D207*D208*D209*fx/1000</f>
        <v>110</v>
      </c>
      <c r="E210" s="21" t="n">
        <f aca="false">E207*E208*E209*fx/1000</f>
        <v>169.676646706587</v>
      </c>
      <c r="F210" s="21" t="n">
        <f aca="false">F207*F208*F209*fx/1000</f>
        <v>103.623952095808</v>
      </c>
      <c r="G210" s="21" t="n">
        <f aca="false">G207*G208*G209*fx/1000</f>
        <v>110.12119760479</v>
      </c>
    </row>
    <row r="211" customFormat="false" ht="17.15" hidden="false" customHeight="false" outlineLevel="0" collapsed="false">
      <c r="A211" s="6" t="s">
        <v>573</v>
      </c>
    </row>
    <row r="212" customFormat="false" ht="15" hidden="false" customHeight="false" outlineLevel="0" collapsed="false">
      <c r="A212" s="4" t="s">
        <v>574</v>
      </c>
      <c r="B212" s="0" t="s">
        <v>147</v>
      </c>
      <c r="D212" s="21" t="n">
        <f aca="false">a26_gen</f>
        <v>150</v>
      </c>
      <c r="E212" s="21" t="n">
        <f aca="false">D212*(1+g_gen27)</f>
        <v>180</v>
      </c>
      <c r="F212" s="21" t="n">
        <f aca="false">E212*(1+g_gen28)</f>
        <v>198</v>
      </c>
      <c r="G212" s="21" t="n">
        <f aca="false">F212*(1+g_gen29)</f>
        <v>213.84</v>
      </c>
    </row>
    <row r="213" customFormat="false" ht="15" hidden="false" customHeight="false" outlineLevel="0" collapsed="false">
      <c r="A213" s="4" t="s">
        <v>575</v>
      </c>
      <c r="B213" s="0" t="s">
        <v>147</v>
      </c>
      <c r="D213" s="21" t="n">
        <f aca="false">a26_pc</f>
        <v>614.602793131557</v>
      </c>
      <c r="E213" s="21" t="n">
        <f aca="false">D213*(1+g_pc27)</f>
        <v>596.16470933761</v>
      </c>
      <c r="F213" s="21" t="n">
        <f aca="false">E213*(1+g_pc28)</f>
        <v>596.16470933761</v>
      </c>
      <c r="G213" s="21" t="n">
        <f aca="false">F213*(1+g_pc29)</f>
        <v>596.16470933761</v>
      </c>
    </row>
    <row r="214" customFormat="false" ht="15" hidden="false" customHeight="false" outlineLevel="0" collapsed="false">
      <c r="A214" s="4" t="s">
        <v>576</v>
      </c>
      <c r="B214" s="0" t="s">
        <v>147</v>
      </c>
      <c r="C214" s="21" t="n">
        <f aca="false">a25_srev</f>
        <v>1235.86</v>
      </c>
      <c r="D214" s="21" t="n">
        <f aca="false">D205+D210+D212+D213</f>
        <v>2651.72505421038</v>
      </c>
      <c r="E214" s="21" t="n">
        <f aca="false">E205+E210+E212+E213</f>
        <v>3816.64127975755</v>
      </c>
      <c r="F214" s="21" t="n">
        <f aca="false">F205+F210+F212+F213</f>
        <v>2741.58619844667</v>
      </c>
      <c r="G214" s="21" t="n">
        <f aca="false">G205+G210+G212+G213</f>
        <v>2785.59222862962</v>
      </c>
    </row>
    <row r="215" customFormat="false" ht="17.15" hidden="false" customHeight="false" outlineLevel="0" collapsed="false">
      <c r="A215" s="4" t="s">
        <v>577</v>
      </c>
      <c r="B215" s="0" t="s">
        <v>48</v>
      </c>
      <c r="D215" s="20" t="n">
        <f aca="false">a26_wai/D198</f>
        <v>0.0391523244650416</v>
      </c>
      <c r="K215" s="8" t="s">
        <v>578</v>
      </c>
    </row>
    <row r="216" customFormat="false" ht="17.15" hidden="false" customHeight="false" outlineLevel="0" collapsed="false">
      <c r="A216" s="4" t="s">
        <v>504</v>
      </c>
      <c r="B216" s="0" t="s">
        <v>48</v>
      </c>
      <c r="D216" s="20" t="n">
        <f aca="false">D215</f>
        <v>0.0391523244650416</v>
      </c>
      <c r="E216" s="20" t="n">
        <f aca="false">$D$215*wrel_27</f>
        <v>0.0391523244650416</v>
      </c>
      <c r="F216" s="20" t="n">
        <f aca="false">$D$215*wrel_28</f>
        <v>0.0391523244650416</v>
      </c>
      <c r="G216" s="20" t="n">
        <f aca="false">$D$215*wrel_29</f>
        <v>0.0371947082417896</v>
      </c>
    </row>
    <row r="217" customFormat="false" ht="17.15" hidden="false" customHeight="false" outlineLevel="0" collapsed="false">
      <c r="A217" s="4" t="s">
        <v>524</v>
      </c>
      <c r="B217" s="0" t="s">
        <v>147</v>
      </c>
      <c r="D217" s="21" t="n">
        <f aca="false">D198*D216</f>
        <v>795.094795</v>
      </c>
      <c r="E217" s="21" t="n">
        <f aca="false">E198*E216</f>
        <v>1427.12501917769</v>
      </c>
      <c r="F217" s="21" t="n">
        <f aca="false">F198*F216</f>
        <v>1085.42855226658</v>
      </c>
      <c r="G217" s="21" t="n">
        <f aca="false">G198*G216</f>
        <v>1174.65098895322</v>
      </c>
    </row>
    <row r="218" customFormat="false" ht="17.15" hidden="false" customHeight="false" outlineLevel="0" collapsed="false">
      <c r="A218" s="4" t="s">
        <v>579</v>
      </c>
      <c r="B218" s="0" t="s">
        <v>147</v>
      </c>
      <c r="D218" s="21" t="n">
        <f aca="false">a26_wna</f>
        <v>650.532105</v>
      </c>
      <c r="E218" s="21" t="n">
        <f aca="false">D218*(1+g_wn27)</f>
        <v>715.5853155</v>
      </c>
      <c r="F218" s="21" t="n">
        <f aca="false">E218*(1+g_wn28)</f>
        <v>758.52043443</v>
      </c>
      <c r="G218" s="21" t="n">
        <f aca="false">F218*(1+g_wn29)</f>
        <v>796.4464561515</v>
      </c>
    </row>
    <row r="219" customFormat="false" ht="15" hidden="false" customHeight="false" outlineLevel="0" collapsed="false">
      <c r="A219" s="4" t="s">
        <v>434</v>
      </c>
      <c r="B219" s="0" t="s">
        <v>147</v>
      </c>
      <c r="C219" s="21" t="n">
        <f aca="false">a25_wrev</f>
        <v>950.663</v>
      </c>
      <c r="D219" s="21" t="n">
        <f aca="false">D217+D218</f>
        <v>1445.6269</v>
      </c>
      <c r="E219" s="21" t="n">
        <f aca="false">E217+E218</f>
        <v>2142.71033467769</v>
      </c>
      <c r="F219" s="21" t="n">
        <f aca="false">F217+F218</f>
        <v>1843.94898669658</v>
      </c>
      <c r="G219" s="21" t="n">
        <f aca="false">G217+G218</f>
        <v>1971.09744510472</v>
      </c>
    </row>
    <row r="220" customFormat="false" ht="17.15" hidden="false" customHeight="false" outlineLevel="0" collapsed="false">
      <c r="A220" s="4" t="s">
        <v>420</v>
      </c>
      <c r="B220" s="0" t="s">
        <v>147</v>
      </c>
      <c r="C220" s="21" t="n">
        <f aca="false">C214+C219</f>
        <v>2186.523</v>
      </c>
      <c r="D220" s="21" t="n">
        <f aca="false">D214+D219</f>
        <v>4097.35195421038</v>
      </c>
      <c r="E220" s="21" t="n">
        <f aca="false">E214+E219</f>
        <v>5959.35161443524</v>
      </c>
      <c r="F220" s="21" t="n">
        <f aca="false">F214+F219</f>
        <v>4585.53518514325</v>
      </c>
      <c r="G220" s="21" t="n">
        <f aca="false">G214+G219</f>
        <v>4756.68967373434</v>
      </c>
      <c r="H220" s="26" t="n">
        <f aca="false">G220*(1+H221)</f>
        <v>4906.76280957769</v>
      </c>
      <c r="I220" s="26" t="n">
        <f aca="false">H220*(1+I221)</f>
        <v>5033.23440263453</v>
      </c>
      <c r="J220" s="26" t="n">
        <f aca="false">I220*(1+J221)</f>
        <v>5133.89909068723</v>
      </c>
      <c r="K220" s="8" t="s">
        <v>580</v>
      </c>
    </row>
    <row r="221" customFormat="false" ht="15" hidden="false" customHeight="false" outlineLevel="0" collapsed="false">
      <c r="A221" s="4" t="s">
        <v>581</v>
      </c>
      <c r="B221" s="0" t="s">
        <v>48</v>
      </c>
      <c r="D221" s="20" t="n">
        <f aca="false">D220/C220-1</f>
        <v>0.873912121761526</v>
      </c>
      <c r="E221" s="20" t="n">
        <f aca="false">E220/D220-1</f>
        <v>0.454439765251677</v>
      </c>
      <c r="F221" s="20" t="n">
        <f aca="false">F220/E220-1</f>
        <v>-0.23053119167599</v>
      </c>
      <c r="G221" s="20" t="n">
        <f aca="false">G220/F220-1</f>
        <v>0.0373248664944532</v>
      </c>
      <c r="H221" s="27" t="n">
        <f aca="false">$G221+(fade_gC-$G221)*1/3</f>
        <v>0.0315499109963021</v>
      </c>
      <c r="I221" s="27" t="n">
        <f aca="false">$G221+(fade_gC-$G221)*2/3</f>
        <v>0.0257749554981511</v>
      </c>
      <c r="J221" s="27" t="n">
        <f aca="false">$G221+(fade_gC-$G221)*3/3</f>
        <v>0.02</v>
      </c>
    </row>
    <row r="222" customFormat="false" ht="17.15" hidden="false" customHeight="false" outlineLevel="0" collapsed="false">
      <c r="A222" s="0" t="s">
        <v>582</v>
      </c>
      <c r="B222" s="0" t="s">
        <v>48</v>
      </c>
      <c r="D222" s="20" t="n">
        <f aca="false">(D205+D210+D217)/D220</f>
        <v>0.6546220793463</v>
      </c>
      <c r="E222" s="20" t="n">
        <f aca="false">(E205+E210+E217)/E220</f>
        <v>0.749679139384196</v>
      </c>
      <c r="F222" s="20" t="n">
        <f aca="false">(F205+F210+F217)/F220</f>
        <v>0.66139499947614</v>
      </c>
      <c r="G222" s="20" t="n">
        <f aca="false">(G205+G210+G217)/G220</f>
        <v>0.662275389887284</v>
      </c>
    </row>
    <row r="223" customFormat="false" ht="17.15" hidden="false" customHeight="false" outlineLevel="0" collapsed="false">
      <c r="A223" s="4" t="s">
        <v>583</v>
      </c>
      <c r="B223" s="0" t="s">
        <v>48</v>
      </c>
      <c r="C223" s="20" t="n">
        <f aca="false">C219/C220</f>
        <v>0.434782986504144</v>
      </c>
      <c r="D223" s="20" t="n">
        <f aca="false">D219/D220</f>
        <v>0.352819800728736</v>
      </c>
      <c r="E223" s="20" t="n">
        <f aca="false">E219/E220</f>
        <v>0.359554272563384</v>
      </c>
      <c r="F223" s="20" t="n">
        <f aca="false">F219/F220</f>
        <v>0.402122961060428</v>
      </c>
      <c r="G223" s="20" t="n">
        <f aca="false">G219/G220</f>
        <v>0.414384284093368</v>
      </c>
    </row>
    <row r="224" customFormat="false" ht="17.15" hidden="false" customHeight="false" outlineLevel="0" collapsed="false">
      <c r="A224" s="4" t="s">
        <v>584</v>
      </c>
      <c r="B224" s="4" t="s">
        <v>331</v>
      </c>
      <c r="D224" s="21" t="n">
        <f aca="false">D203/fx/(odm_gb*(1-vr26)+odm_vr*vr26)</f>
        <v>12.0597330420658</v>
      </c>
      <c r="E224" s="21" t="n">
        <f aca="false">E203/fx/odm_vr</f>
        <v>14.7674893195131</v>
      </c>
      <c r="F224" s="21" t="n">
        <f aca="false">F203/fx/odm_vr</f>
        <v>10.6701246354933</v>
      </c>
      <c r="G224" s="21" t="n">
        <f aca="false">G203/fx/odm_vr</f>
        <v>11.5152242079458</v>
      </c>
      <c r="K224" s="4" t="s">
        <v>585</v>
      </c>
    </row>
    <row r="225" customFormat="false" ht="17.15" hidden="false" customHeight="false" outlineLevel="0" collapsed="false">
      <c r="A225" s="6" t="s">
        <v>586</v>
      </c>
    </row>
    <row r="226" customFormat="false" ht="17.15" hidden="false" customHeight="false" outlineLevel="0" collapsed="false">
      <c r="A226" s="4" t="s">
        <v>587</v>
      </c>
      <c r="B226" s="0" t="s">
        <v>48</v>
      </c>
      <c r="D226" s="17" t="n">
        <f aca="false">(a26_sgp-d_ai*D205-d_brd*D210-d_gen*D212)/D214</f>
        <v>0.0436423860147897</v>
      </c>
      <c r="K226" s="8" t="s">
        <v>588</v>
      </c>
    </row>
    <row r="227" customFormat="false" ht="17.15" hidden="false" customHeight="false" outlineLevel="0" collapsed="false">
      <c r="A227" s="4" t="s">
        <v>589</v>
      </c>
      <c r="B227" s="0" t="s">
        <v>147</v>
      </c>
      <c r="D227" s="25" t="n">
        <f aca="false">($D$226+d_ai)*D203*(1-D204*(1-keep))</f>
        <v>59.7866331026896</v>
      </c>
      <c r="E227" s="25" t="n">
        <f aca="false">($D$226+d_ai+vrd)*E203*(1-E204*(1-keep))</f>
        <v>99.9228552931035</v>
      </c>
      <c r="F227" s="25" t="n">
        <f aca="false">($D$226+d_ai+vrd)*F203*(1-F204*(1-keep))</f>
        <v>71.4691379141325</v>
      </c>
      <c r="G227" s="25" t="n">
        <f aca="false">($D$226+d_ai+vrd)*G203*(1-G204*(1-keep))</f>
        <v>76.7361470829419</v>
      </c>
    </row>
    <row r="228" customFormat="false" ht="15" hidden="false" customHeight="false" outlineLevel="0" collapsed="false">
      <c r="A228" s="4" t="s">
        <v>590</v>
      </c>
      <c r="B228" s="0" t="s">
        <v>147</v>
      </c>
      <c r="C228" s="21" t="n">
        <f aca="false">a25_sgp</f>
        <v>55.529</v>
      </c>
      <c r="D228" s="21" t="n">
        <f aca="false">a26_sgp</f>
        <v>103.50638581015</v>
      </c>
      <c r="E228" s="21" t="n">
        <f aca="false">$D$226*E213+($D$226+d_brd)*E210+($D$226+d_gen)*E212+E227</f>
        <v>148.991928263534</v>
      </c>
      <c r="F228" s="21" t="n">
        <f aca="false">$D$226*F213+($D$226+d_brd)*F210+($D$226+d_gen)*F212+F227</f>
        <v>116.729495798985</v>
      </c>
      <c r="G228" s="21" t="n">
        <f aca="false">$D$226*G213+($D$226+d_brd)*G210+($D$226+d_gen)*G212+G227</f>
        <v>123.403873024074</v>
      </c>
    </row>
    <row r="229" customFormat="false" ht="15" hidden="false" customHeight="false" outlineLevel="0" collapsed="false">
      <c r="A229" s="4" t="s">
        <v>591</v>
      </c>
      <c r="B229" s="0" t="s">
        <v>48</v>
      </c>
      <c r="C229" s="17" t="n">
        <f aca="false">C228/C214</f>
        <v>0.0449314647290146</v>
      </c>
      <c r="D229" s="17" t="n">
        <f aca="false">D228/D214</f>
        <v>0.0390336040479778</v>
      </c>
      <c r="E229" s="17" t="n">
        <f aca="false">E228/E214</f>
        <v>0.0390374461057547</v>
      </c>
      <c r="F229" s="17" t="n">
        <f aca="false">F228/F214</f>
        <v>0.0425773575403619</v>
      </c>
      <c r="G229" s="17" t="n">
        <f aca="false">G228/G214</f>
        <v>0.0443007672680015</v>
      </c>
    </row>
    <row r="230" customFormat="false" ht="15" hidden="false" customHeight="false" outlineLevel="0" collapsed="false">
      <c r="A230" s="4" t="s">
        <v>592</v>
      </c>
      <c r="B230" s="0" t="s">
        <v>48</v>
      </c>
      <c r="E230" s="20" t="n">
        <f aca="false">MAX(0,phi*(E214/D214-1))</f>
        <v>0.13179151703879</v>
      </c>
      <c r="F230" s="20" t="n">
        <f aca="false">MAX(0,phi*(F214/E214-1))</f>
        <v>0</v>
      </c>
      <c r="G230" s="20" t="n">
        <f aca="false">MAX(0,phi*(G214/F214-1))</f>
        <v>0.00481539083555522</v>
      </c>
    </row>
    <row r="231" customFormat="false" ht="15" hidden="false" customHeight="false" outlineLevel="0" collapsed="false">
      <c r="A231" s="4" t="s">
        <v>593</v>
      </c>
      <c r="B231" s="0" t="s">
        <v>147</v>
      </c>
      <c r="C231" s="21" t="n">
        <f aca="false">a25_sopx</f>
        <v>40.894</v>
      </c>
      <c r="D231" s="21" t="n">
        <f aca="false">a26_sopx</f>
        <v>46.9914095398923</v>
      </c>
      <c r="E231" s="21" t="n">
        <f aca="false">D231*(1+E230)+0*E214</f>
        <v>53.1844786909457</v>
      </c>
      <c r="F231" s="21" t="n">
        <f aca="false">E231*(1+F230)+0*F214</f>
        <v>53.1844786909457</v>
      </c>
      <c r="G231" s="21" t="n">
        <f aca="false">F231*(1+G230)+0*G214</f>
        <v>53.4405827422279</v>
      </c>
    </row>
    <row r="232" customFormat="false" ht="15" hidden="false" customHeight="false" outlineLevel="0" collapsed="false">
      <c r="A232" s="4" t="s">
        <v>594</v>
      </c>
      <c r="B232" s="0" t="s">
        <v>147</v>
      </c>
      <c r="C232" s="21" t="n">
        <f aca="false">C228-C231</f>
        <v>14.635</v>
      </c>
      <c r="D232" s="21" t="n">
        <f aca="false">D228-D231</f>
        <v>56.514976270258</v>
      </c>
      <c r="E232" s="21" t="n">
        <f aca="false">E228-E231</f>
        <v>95.8074495725884</v>
      </c>
      <c r="F232" s="21" t="n">
        <f aca="false">F228-F231</f>
        <v>63.5450171080396</v>
      </c>
      <c r="G232" s="21" t="n">
        <f aca="false">G228-G231</f>
        <v>69.9632902818464</v>
      </c>
    </row>
    <row r="233" customFormat="false" ht="15" hidden="false" customHeight="false" outlineLevel="0" collapsed="false">
      <c r="A233" s="4" t="s">
        <v>595</v>
      </c>
      <c r="B233" s="0" t="s">
        <v>48</v>
      </c>
      <c r="C233" s="17" t="n">
        <f aca="false">C232/C214</f>
        <v>0.011841956208632</v>
      </c>
      <c r="D233" s="17" t="n">
        <f aca="false">D232/D214</f>
        <v>0.0213125324514788</v>
      </c>
      <c r="E233" s="17" t="n">
        <f aca="false">E232/E214</f>
        <v>0.0251025555062577</v>
      </c>
      <c r="F233" s="17" t="n">
        <f aca="false">F232/F214</f>
        <v>0.0231781941213605</v>
      </c>
      <c r="G233" s="17" t="n">
        <f aca="false">G232/G214</f>
        <v>0.0251161277529357</v>
      </c>
    </row>
    <row r="234" customFormat="false" ht="15" hidden="false" customHeight="false" outlineLevel="0" collapsed="false">
      <c r="A234" s="4" t="s">
        <v>596</v>
      </c>
      <c r="B234" s="0" t="s">
        <v>147</v>
      </c>
      <c r="C234" s="21" t="n">
        <f aca="false">a25_sni</f>
        <v>6.9608</v>
      </c>
      <c r="D234" s="21" t="n">
        <f aca="false">a26_sni</f>
        <v>31.133746704</v>
      </c>
      <c r="E234" s="21" t="n">
        <f aca="false">E232*snio</f>
        <v>53.6521717606495</v>
      </c>
      <c r="F234" s="21" t="n">
        <f aca="false">F232*snio</f>
        <v>35.5852095805022</v>
      </c>
      <c r="G234" s="21" t="n">
        <f aca="false">G232*snio</f>
        <v>39.179442557834</v>
      </c>
    </row>
    <row r="235" customFormat="false" ht="17.15" hidden="false" customHeight="false" outlineLevel="0" collapsed="false">
      <c r="A235" s="6" t="s">
        <v>597</v>
      </c>
    </row>
    <row r="236" customFormat="false" ht="15" hidden="false" customHeight="false" outlineLevel="0" collapsed="false">
      <c r="A236" s="4" t="s">
        <v>438</v>
      </c>
      <c r="B236" s="0" t="s">
        <v>147</v>
      </c>
      <c r="C236" s="21" t="n">
        <f aca="false">a25_wgp</f>
        <v>78.454</v>
      </c>
      <c r="D236" s="21" t="n">
        <f aca="false">a26_wgp</f>
        <v>125.0519932</v>
      </c>
      <c r="E236" s="21" t="n">
        <f aca="false">E219*wgm</f>
        <v>182.130378447603</v>
      </c>
      <c r="F236" s="21" t="n">
        <f aca="false">F219*wgm</f>
        <v>156.735663869209</v>
      </c>
      <c r="G236" s="21" t="n">
        <f aca="false">G219*wgm</f>
        <v>167.543282833901</v>
      </c>
    </row>
    <row r="237" customFormat="false" ht="15" hidden="false" customHeight="false" outlineLevel="0" collapsed="false">
      <c r="A237" s="4" t="s">
        <v>440</v>
      </c>
      <c r="B237" s="0" t="s">
        <v>147</v>
      </c>
      <c r="C237" s="21" t="n">
        <f aca="false">a25_woi</f>
        <v>63.918</v>
      </c>
      <c r="D237" s="21" t="n">
        <f aca="false">a26_woi</f>
        <v>98.2471632</v>
      </c>
      <c r="E237" s="21" t="n">
        <f aca="false">E219*wopm</f>
        <v>139.27617175405</v>
      </c>
      <c r="F237" s="21" t="n">
        <f aca="false">F219*wopm</f>
        <v>119.856684135278</v>
      </c>
      <c r="G237" s="21" t="n">
        <f aca="false">G219*wopm</f>
        <v>128.121333931807</v>
      </c>
    </row>
    <row r="238" customFormat="false" ht="15" hidden="false" customHeight="false" outlineLevel="0" collapsed="false">
      <c r="A238" s="4" t="s">
        <v>448</v>
      </c>
      <c r="B238" s="0" t="s">
        <v>147</v>
      </c>
      <c r="C238" s="21" t="n">
        <f aca="false">a25_wni</f>
        <v>51.118</v>
      </c>
      <c r="D238" s="21" t="n">
        <f aca="false">a26_wni</f>
        <v>75.735026884</v>
      </c>
      <c r="E238" s="21" t="n">
        <f aca="false">E237*wnio</f>
        <v>108.635413968159</v>
      </c>
      <c r="F238" s="21" t="n">
        <f aca="false">F237*wnio</f>
        <v>93.4882136255166</v>
      </c>
      <c r="G238" s="21" t="n">
        <f aca="false">G237*wnio</f>
        <v>99.9346404668093</v>
      </c>
    </row>
    <row r="239" customFormat="false" ht="15" hidden="false" customHeight="false" outlineLevel="0" collapsed="false">
      <c r="A239" s="4" t="s">
        <v>450</v>
      </c>
      <c r="B239" s="0" t="s">
        <v>48</v>
      </c>
      <c r="C239" s="17" t="n">
        <f aca="false">stake25</f>
        <v>0.4</v>
      </c>
      <c r="D239" s="17" t="n">
        <f aca="false">stake</f>
        <v>0.3768</v>
      </c>
      <c r="E239" s="17" t="n">
        <f aca="false">stake</f>
        <v>0.3768</v>
      </c>
      <c r="F239" s="17" t="n">
        <f aca="false">stake</f>
        <v>0.3768</v>
      </c>
      <c r="G239" s="17" t="n">
        <f aca="false">stake</f>
        <v>0.3768</v>
      </c>
    </row>
    <row r="240" customFormat="false" ht="17.15" hidden="false" customHeight="false" outlineLevel="0" collapsed="false">
      <c r="A240" s="6" t="s">
        <v>598</v>
      </c>
    </row>
    <row r="241" customFormat="false" ht="15" hidden="false" customHeight="false" outlineLevel="0" collapsed="false">
      <c r="A241" s="4" t="s">
        <v>424</v>
      </c>
      <c r="B241" s="0" t="s">
        <v>147</v>
      </c>
      <c r="C241" s="21" t="n">
        <f aca="false">C228+C236</f>
        <v>133.983</v>
      </c>
      <c r="D241" s="21" t="n">
        <f aca="false">D228+D236</f>
        <v>228.55837901015</v>
      </c>
      <c r="E241" s="21" t="n">
        <f aca="false">E228+E236</f>
        <v>331.122306711138</v>
      </c>
      <c r="F241" s="21" t="n">
        <f aca="false">F228+F236</f>
        <v>273.465159668195</v>
      </c>
      <c r="G241" s="21" t="n">
        <f aca="false">G228+G236</f>
        <v>290.947155857976</v>
      </c>
    </row>
    <row r="242" customFormat="false" ht="15" hidden="false" customHeight="false" outlineLevel="0" collapsed="false">
      <c r="A242" s="4" t="s">
        <v>427</v>
      </c>
      <c r="B242" s="0" t="s">
        <v>48</v>
      </c>
      <c r="C242" s="17" t="n">
        <f aca="false">C241/C220</f>
        <v>0.0612767393711386</v>
      </c>
      <c r="D242" s="17" t="n">
        <f aca="false">D241/D220</f>
        <v>0.055781973714825</v>
      </c>
      <c r="E242" s="17" t="n">
        <f aca="false">E241/E220</f>
        <v>0.0555634787363554</v>
      </c>
      <c r="F242" s="17" t="n">
        <f aca="false">F241/F220</f>
        <v>0.0596364761422394</v>
      </c>
      <c r="G242" s="17" t="n">
        <f aca="false">G241/G220</f>
        <v>0.0611658896868001</v>
      </c>
    </row>
    <row r="243" customFormat="false" ht="15" hidden="false" customHeight="false" outlineLevel="0" collapsed="false">
      <c r="A243" s="4" t="s">
        <v>428</v>
      </c>
      <c r="B243" s="0" t="s">
        <v>147</v>
      </c>
      <c r="C243" s="21" t="n">
        <f aca="false">C232+C237</f>
        <v>78.553</v>
      </c>
      <c r="D243" s="21" t="n">
        <f aca="false">D232+D237</f>
        <v>154.762139470258</v>
      </c>
      <c r="E243" s="21" t="n">
        <f aca="false">E232+E237</f>
        <v>235.083621326638</v>
      </c>
      <c r="F243" s="21" t="n">
        <f aca="false">F232+F237</f>
        <v>183.401701243317</v>
      </c>
      <c r="G243" s="21" t="n">
        <f aca="false">G232+G237</f>
        <v>198.084624213653</v>
      </c>
    </row>
    <row r="244" customFormat="false" ht="15" hidden="false" customHeight="false" outlineLevel="0" collapsed="false">
      <c r="A244" s="4" t="s">
        <v>431</v>
      </c>
      <c r="B244" s="0" t="s">
        <v>48</v>
      </c>
      <c r="C244" s="17" t="n">
        <f aca="false">C243/C220</f>
        <v>0.0359259884300325</v>
      </c>
      <c r="D244" s="17" t="n">
        <f aca="false">D243/D220</f>
        <v>0.0377712584126992</v>
      </c>
      <c r="E244" s="17" t="n">
        <f aca="false">E243/E220</f>
        <v>0.0394478521383432</v>
      </c>
      <c r="F244" s="17" t="n">
        <f aca="false">F243/F220</f>
        <v>0.0399957025381734</v>
      </c>
      <c r="G244" s="17" t="n">
        <f aca="false">G243/G220</f>
        <v>0.0416433776009068</v>
      </c>
    </row>
    <row r="245" customFormat="false" ht="15" hidden="false" customHeight="false" outlineLevel="0" collapsed="false">
      <c r="A245" s="4" t="s">
        <v>461</v>
      </c>
      <c r="B245" s="0" t="s">
        <v>147</v>
      </c>
      <c r="C245" s="21" t="n">
        <f aca="false">C234+C238</f>
        <v>58.0788</v>
      </c>
      <c r="D245" s="21" t="n">
        <f aca="false">D234+D238</f>
        <v>106.868773588</v>
      </c>
      <c r="E245" s="21" t="n">
        <f aca="false">E234+E238</f>
        <v>162.287585728808</v>
      </c>
      <c r="F245" s="21" t="n">
        <f aca="false">F234+F238</f>
        <v>129.073423206019</v>
      </c>
      <c r="G245" s="21" t="n">
        <f aca="false">G234+G238</f>
        <v>139.114083024643</v>
      </c>
    </row>
    <row r="246" customFormat="false" ht="17.15" hidden="false" customHeight="false" outlineLevel="0" collapsed="false">
      <c r="A246" s="4" t="s">
        <v>599</v>
      </c>
      <c r="B246" s="0" t="s">
        <v>147</v>
      </c>
      <c r="C246" s="21" t="n">
        <f aca="false">(1-C239)*C238</f>
        <v>30.6708</v>
      </c>
      <c r="D246" s="21" t="n">
        <f aca="false">(1-D239)*D238</f>
        <v>47.1980687541088</v>
      </c>
      <c r="E246" s="21" t="n">
        <f aca="false">(1-E239)*E238</f>
        <v>67.7015899849565</v>
      </c>
      <c r="F246" s="21" t="n">
        <f aca="false">(1-F239)*F238</f>
        <v>58.2618547314219</v>
      </c>
      <c r="G246" s="21" t="n">
        <f aca="false">(1-G239)*G238</f>
        <v>62.2792679389156</v>
      </c>
    </row>
    <row r="247" customFormat="false" ht="15" hidden="false" customHeight="false" outlineLevel="0" collapsed="false">
      <c r="A247" s="4" t="s">
        <v>457</v>
      </c>
      <c r="B247" s="0" t="s">
        <v>147</v>
      </c>
      <c r="C247" s="21" t="n">
        <f aca="false">C245-C246</f>
        <v>27.408</v>
      </c>
      <c r="D247" s="21" t="n">
        <f aca="false">D245-D246</f>
        <v>59.6707048338912</v>
      </c>
      <c r="E247" s="21" t="n">
        <f aca="false">E245-E246</f>
        <v>94.5859957438517</v>
      </c>
      <c r="F247" s="21" t="n">
        <f aca="false">F245-F246</f>
        <v>70.8115684745968</v>
      </c>
      <c r="G247" s="21" t="n">
        <f aca="false">G245-G246</f>
        <v>76.8348150857277</v>
      </c>
      <c r="H247" s="26" t="n">
        <f aca="false">H220*H252</f>
        <v>73.9750168855598</v>
      </c>
      <c r="I247" s="26" t="n">
        <f aca="false">I220*I252</f>
        <v>70.4615968213486</v>
      </c>
      <c r="J247" s="26" t="n">
        <f aca="false">J220*J252</f>
        <v>66.342303468716</v>
      </c>
    </row>
    <row r="248" customFormat="false" ht="17.15" hidden="false" customHeight="false" outlineLevel="0" collapsed="false">
      <c r="A248" s="4" t="s">
        <v>600</v>
      </c>
      <c r="B248" s="0" t="s">
        <v>48</v>
      </c>
      <c r="C248" s="20" t="n">
        <f aca="false">C239*C238/C247</f>
        <v>0.746030356100409</v>
      </c>
      <c r="D248" s="20" t="n">
        <f aca="false">D239*D238/D247</f>
        <v>0.478240674537551</v>
      </c>
      <c r="E248" s="20" t="n">
        <f aca="false">E239*E238/E247</f>
        <v>0.432768335960168</v>
      </c>
      <c r="F248" s="20" t="n">
        <f aca="false">F239*F238/F247</f>
        <v>0.497466157761099</v>
      </c>
      <c r="G248" s="20" t="n">
        <f aca="false">G239*G238/G247</f>
        <v>0.490082165043023</v>
      </c>
    </row>
    <row r="249" customFormat="false" ht="17.15" hidden="false" customHeight="false" outlineLevel="0" collapsed="false">
      <c r="A249" s="4" t="s">
        <v>601</v>
      </c>
      <c r="B249" s="4" t="s">
        <v>282</v>
      </c>
      <c r="C249" s="31" t="n">
        <f aca="false">a25_sh</f>
        <v>3.03185840707965</v>
      </c>
      <c r="D249" s="31" t="n">
        <f aca="false">a26_sh</f>
        <v>3.23861720409076</v>
      </c>
      <c r="E249" s="31" t="n">
        <f aca="false">q_sh4*(1+sh_g)</f>
        <v>3.43</v>
      </c>
      <c r="F249" s="31" t="n">
        <f aca="false">E249*(1+sh_g)</f>
        <v>3.43</v>
      </c>
      <c r="G249" s="31" t="n">
        <f aca="false">F249*(1+sh_g)</f>
        <v>3.43</v>
      </c>
      <c r="H249" s="32" t="n">
        <f aca="false">G249*(1+sh_g)</f>
        <v>3.43</v>
      </c>
      <c r="I249" s="32" t="n">
        <f aca="false">H249*(1+sh_g)</f>
        <v>3.43</v>
      </c>
      <c r="J249" s="32" t="n">
        <f aca="false">I249*(1+sh_g)</f>
        <v>3.43</v>
      </c>
      <c r="K249" s="8" t="s">
        <v>602</v>
      </c>
    </row>
    <row r="250" customFormat="false" ht="15" hidden="false" customHeight="false" outlineLevel="0" collapsed="false">
      <c r="A250" s="0" t="s">
        <v>464</v>
      </c>
      <c r="B250" s="0" t="s">
        <v>312</v>
      </c>
      <c r="C250" s="18" t="n">
        <f aca="false">C247/C249</f>
        <v>9.04</v>
      </c>
      <c r="D250" s="18" t="n">
        <f aca="false">D247/D249</f>
        <v>18.4247476850676</v>
      </c>
      <c r="E250" s="18" t="n">
        <f aca="false">E247/E249</f>
        <v>27.5760920536011</v>
      </c>
      <c r="F250" s="18" t="n">
        <f aca="false">F247/F249</f>
        <v>20.6447721500282</v>
      </c>
      <c r="G250" s="18" t="n">
        <f aca="false">G247/G249</f>
        <v>22.400820724702</v>
      </c>
      <c r="H250" s="29" t="n">
        <f aca="false">H247/H249</f>
        <v>21.5670603164897</v>
      </c>
      <c r="I250" s="29" t="n">
        <f aca="false">I247/I249</f>
        <v>20.5427395980608</v>
      </c>
      <c r="J250" s="29" t="n">
        <f aca="false">J247/J249</f>
        <v>19.3417794369434</v>
      </c>
    </row>
    <row r="251" customFormat="false" ht="17.15" hidden="false" customHeight="false" outlineLevel="0" collapsed="false">
      <c r="A251" s="0" t="s">
        <v>603</v>
      </c>
      <c r="B251" s="0" t="s">
        <v>48</v>
      </c>
      <c r="D251" s="20" t="n">
        <f aca="false">D250/C250-1</f>
        <v>1.03813580587031</v>
      </c>
      <c r="E251" s="20" t="n">
        <f aca="false">E250/D250-1</f>
        <v>0.496687635833963</v>
      </c>
      <c r="F251" s="20" t="n">
        <f aca="false">F250/E250-1</f>
        <v>-0.251352508183542</v>
      </c>
      <c r="G251" s="20" t="n">
        <f aca="false">G250/F250-1</f>
        <v>0.0850602061341395</v>
      </c>
      <c r="H251" s="27" t="n">
        <f aca="false">H250/G250-1</f>
        <v>-0.0372200830701178</v>
      </c>
      <c r="I251" s="27" t="n">
        <f aca="false">I250/H250-1</f>
        <v>-0.0474946841802886</v>
      </c>
      <c r="J251" s="27" t="n">
        <f aca="false">J250/I250-1</f>
        <v>-0.0584615384615383</v>
      </c>
    </row>
    <row r="252" customFormat="false" ht="17.15" hidden="false" customHeight="false" outlineLevel="0" collapsed="false">
      <c r="A252" s="4" t="s">
        <v>604</v>
      </c>
      <c r="B252" s="0" t="s">
        <v>48</v>
      </c>
      <c r="C252" s="17" t="n">
        <f aca="false">C247/C220</f>
        <v>0.0125349699042727</v>
      </c>
      <c r="D252" s="17" t="n">
        <f aca="false">D247/D220</f>
        <v>0.0145632363293992</v>
      </c>
      <c r="E252" s="17" t="n">
        <f aca="false">E247/E220</f>
        <v>0.0158718602061905</v>
      </c>
      <c r="F252" s="17" t="n">
        <f aca="false">F247/F220</f>
        <v>0.0154423781773653</v>
      </c>
      <c r="G252" s="17" t="n">
        <f aca="false">G247/G220</f>
        <v>0.0161530014266007</v>
      </c>
      <c r="H252" s="28" t="n">
        <f aca="false">$G252+(fade_mC-$G252)*1/3</f>
        <v>0.0150761346648274</v>
      </c>
      <c r="I252" s="28" t="n">
        <f aca="false">$G252+(fade_mC-$G252)*2/3</f>
        <v>0.013999267903054</v>
      </c>
      <c r="J252" s="28" t="n">
        <f aca="false">$G252+(fade_mC-$G252)*3/3</f>
        <v>0.0129224011412806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607</v>
      </c>
    </row>
    <row r="2" customFormat="false" ht="17.15" hidden="false" customHeight="false" outlineLevel="0" collapsed="false">
      <c r="A2" s="4" t="s">
        <v>608</v>
      </c>
    </row>
    <row r="4" customFormat="false" ht="17.15" hidden="false" customHeight="false" outlineLevel="0" collapsed="false">
      <c r="A4" s="6" t="s">
        <v>609</v>
      </c>
    </row>
    <row r="5" customFormat="false" ht="17.15" hidden="false" customHeight="false" outlineLevel="0" collapsed="false">
      <c r="A5" s="6" t="s">
        <v>610</v>
      </c>
    </row>
    <row r="6" customFormat="false" ht="17.15" hidden="false" customHeight="false" outlineLevel="0" collapsed="false">
      <c r="A6" s="5" t="s">
        <v>17</v>
      </c>
      <c r="B6" s="14" t="s">
        <v>611</v>
      </c>
      <c r="C6" s="14" t="s">
        <v>612</v>
      </c>
      <c r="D6" s="14" t="s">
        <v>613</v>
      </c>
      <c r="E6" s="5" t="s">
        <v>496</v>
      </c>
    </row>
    <row r="7" customFormat="false" ht="17.15" hidden="false" customHeight="false" outlineLevel="0" collapsed="false">
      <c r="A7" s="4" t="s">
        <v>614</v>
      </c>
      <c r="E7" s="0" t="s">
        <v>615</v>
      </c>
    </row>
    <row r="8" customFormat="false" ht="15" hidden="false" customHeight="false" outlineLevel="0" collapsed="false">
      <c r="A8" s="0" t="s">
        <v>616</v>
      </c>
      <c r="B8" s="18" t="n">
        <f aca="false">PL!E15</f>
        <v>27.5760920536011</v>
      </c>
      <c r="C8" s="18" t="n">
        <f aca="false">PL!E29</f>
        <v>27.5760920536011</v>
      </c>
      <c r="D8" s="18" t="n">
        <f aca="false">PL!E43</f>
        <v>27.5760920536011</v>
      </c>
    </row>
    <row r="9" customFormat="false" ht="15" hidden="false" customHeight="false" outlineLevel="0" collapsed="false">
      <c r="A9" s="0" t="s">
        <v>617</v>
      </c>
      <c r="B9" s="18" t="n">
        <f aca="false">PL!F15</f>
        <v>33.1322415019653</v>
      </c>
      <c r="C9" s="18" t="n">
        <f aca="false">PL!F29</f>
        <v>26.9646854869289</v>
      </c>
      <c r="D9" s="18" t="n">
        <f aca="false">PL!F43</f>
        <v>20.6447721500282</v>
      </c>
    </row>
    <row r="10" customFormat="false" ht="15" hidden="false" customHeight="false" outlineLevel="0" collapsed="false">
      <c r="A10" s="0" t="s">
        <v>618</v>
      </c>
      <c r="B10" s="18" t="n">
        <f aca="false">PL!G15</f>
        <v>35.8455571597422</v>
      </c>
      <c r="C10" s="18" t="n">
        <f aca="false">PL!G29</f>
        <v>30.7729292268478</v>
      </c>
      <c r="D10" s="18" t="n">
        <f aca="false">PL!G43</f>
        <v>22.400820724702</v>
      </c>
    </row>
    <row r="11" customFormat="false" ht="15" hidden="false" customHeight="false" outlineLevel="0" collapsed="false">
      <c r="A11" s="0" t="s">
        <v>619</v>
      </c>
      <c r="B11" s="18" t="n">
        <f aca="false">PL!H15</f>
        <v>37.4645192381989</v>
      </c>
      <c r="C11" s="18" t="n">
        <f aca="false">PL!H29</f>
        <v>31.8191994125998</v>
      </c>
      <c r="D11" s="18" t="n">
        <f aca="false">PL!H43</f>
        <v>21.5670603164897</v>
      </c>
    </row>
    <row r="12" customFormat="false" ht="15" hidden="false" customHeight="false" outlineLevel="0" collapsed="false">
      <c r="A12" s="0" t="s">
        <v>620</v>
      </c>
      <c r="B12" s="18" t="n">
        <f aca="false">PL!I15</f>
        <v>39.434496009013</v>
      </c>
      <c r="C12" s="18" t="n">
        <f aca="false">PL!I29</f>
        <v>32.4063930977312</v>
      </c>
      <c r="D12" s="18" t="n">
        <f aca="false">PL!I43</f>
        <v>20.5427395980608</v>
      </c>
    </row>
    <row r="13" customFormat="false" ht="15" hidden="false" customHeight="false" outlineLevel="0" collapsed="false">
      <c r="A13" s="0" t="s">
        <v>621</v>
      </c>
      <c r="B13" s="18" t="n">
        <f aca="false">PL!J15</f>
        <v>41.8005657695538</v>
      </c>
      <c r="C13" s="18" t="n">
        <f aca="false">PL!J29</f>
        <v>32.4989827922961</v>
      </c>
      <c r="D13" s="18" t="n">
        <f aca="false">PL!J43</f>
        <v>19.3417794369434</v>
      </c>
    </row>
    <row r="14" customFormat="false" ht="17.15" hidden="false" customHeight="false" outlineLevel="0" collapsed="false">
      <c r="A14" s="4" t="s">
        <v>622</v>
      </c>
    </row>
    <row r="15" customFormat="false" ht="17.15" hidden="false" customHeight="false" outlineLevel="0" collapsed="false">
      <c r="A15" s="4" t="s">
        <v>623</v>
      </c>
      <c r="B15" s="20" t="n">
        <f aca="false">MIN(tp_g/tp_roe,0.8)</f>
        <v>0.198511166253102</v>
      </c>
      <c r="E15" s="8" t="s">
        <v>624</v>
      </c>
    </row>
    <row r="16" customFormat="false" ht="15" hidden="false" customHeight="false" outlineLevel="0" collapsed="false">
      <c r="A16" s="0" t="s">
        <v>616</v>
      </c>
      <c r="B16" s="18" t="n">
        <f aca="false">B8*(1-$B$15)</f>
        <v>22.1019298593378</v>
      </c>
      <c r="C16" s="18" t="n">
        <f aca="false">C8*(1-$B$15)</f>
        <v>22.1019298593378</v>
      </c>
      <c r="D16" s="18" t="n">
        <f aca="false">D8*(1-$B$15)</f>
        <v>22.1019298593378</v>
      </c>
    </row>
    <row r="17" customFormat="false" ht="15" hidden="false" customHeight="false" outlineLevel="0" collapsed="false">
      <c r="A17" s="0" t="s">
        <v>617</v>
      </c>
      <c r="B17" s="18" t="n">
        <f aca="false">B9*(1-$B$15)</f>
        <v>26.5551216008308</v>
      </c>
      <c r="C17" s="18" t="n">
        <f aca="false">C9*(1-$B$15)</f>
        <v>21.6118943232706</v>
      </c>
      <c r="D17" s="18" t="n">
        <f aca="false">D9*(1-$B$15)</f>
        <v>16.5465543534966</v>
      </c>
    </row>
    <row r="18" customFormat="false" ht="15" hidden="false" customHeight="false" outlineLevel="0" collapsed="false">
      <c r="A18" s="0" t="s">
        <v>618</v>
      </c>
      <c r="B18" s="18" t="n">
        <f aca="false">B10*(1-$B$15)</f>
        <v>28.7298138029695</v>
      </c>
      <c r="C18" s="18" t="n">
        <f aca="false">C10*(1-$B$15)</f>
        <v>24.6641591570021</v>
      </c>
      <c r="D18" s="18" t="n">
        <f aca="false">D10*(1-$B$15)</f>
        <v>17.9540076776147</v>
      </c>
    </row>
    <row r="19" customFormat="false" ht="15" hidden="false" customHeight="false" outlineLevel="0" collapsed="false">
      <c r="A19" s="0" t="s">
        <v>619</v>
      </c>
      <c r="B19" s="18" t="n">
        <f aca="false">B11*(1-$B$15)</f>
        <v>30.0273938311123</v>
      </c>
      <c r="C19" s="18" t="n">
        <f aca="false">C11*(1-$B$15)</f>
        <v>25.5027330279646</v>
      </c>
      <c r="D19" s="18" t="n">
        <f aca="false">D11*(1-$B$15)</f>
        <v>17.2857580204124</v>
      </c>
    </row>
    <row r="20" customFormat="false" ht="15" hidden="false" customHeight="false" outlineLevel="0" collapsed="false">
      <c r="A20" s="0" t="s">
        <v>620</v>
      </c>
      <c r="B20" s="18" t="n">
        <f aca="false">B12*(1-$B$15)</f>
        <v>31.6063082156605</v>
      </c>
      <c r="C20" s="18" t="n">
        <f aca="false">C12*(1-$B$15)</f>
        <v>25.9733622098441</v>
      </c>
      <c r="D20" s="18" t="n">
        <f aca="false">D12*(1-$B$15)</f>
        <v>16.464776402416</v>
      </c>
    </row>
    <row r="21" customFormat="false" ht="15" hidden="false" customHeight="false" outlineLevel="0" collapsed="false">
      <c r="A21" s="0" t="s">
        <v>621</v>
      </c>
      <c r="B21" s="18" t="n">
        <f aca="false">B13*(1-$B$15)</f>
        <v>33.5026867086002</v>
      </c>
      <c r="C21" s="18" t="n">
        <f aca="false">C13*(1-$B$15)</f>
        <v>26.0475718161579</v>
      </c>
      <c r="D21" s="18" t="n">
        <f aca="false">D13*(1-$B$15)</f>
        <v>15.5022202435055</v>
      </c>
    </row>
    <row r="22" customFormat="false" ht="17.15" hidden="false" customHeight="false" outlineLevel="0" collapsed="false">
      <c r="A22" s="0" t="s">
        <v>625</v>
      </c>
      <c r="B22" s="18" t="n">
        <f aca="false">SUMPRODUCT(B16:B21,1/(1+tp_r)^{1;2;3;4;5;6})+B21*(1+tp_g)/(tp_r-tp_g)/(1+tp_r)^6</f>
        <v>450.467200016915</v>
      </c>
      <c r="C22" s="18" t="n">
        <f aca="false">SUMPRODUCT(C16:C21,1/(1+tp_r)^{1;2;3;4;5;6})+C21*(1+tp_g)/(tp_r-tp_g)/(1+tp_r)^6</f>
        <v>359.588617834023</v>
      </c>
      <c r="D22" s="18" t="n">
        <f aca="false">SUMPRODUCT(D16:D21,1/(1+tp_r)^{1;2;3;4;5;6})+D21*(1+tp_g)/(tp_r-tp_g)/(1+tp_r)^6</f>
        <v>229.714001315175</v>
      </c>
      <c r="E22" s="8" t="s">
        <v>626</v>
      </c>
    </row>
    <row r="23" customFormat="false" ht="17.15" hidden="false" customHeight="false" outlineLevel="0" collapsed="false">
      <c r="A23" s="0" t="s">
        <v>627</v>
      </c>
      <c r="B23" s="18" t="n">
        <f aca="false">B22*(1+tp_r)</f>
        <v>495.513920018607</v>
      </c>
      <c r="C23" s="18" t="n">
        <f aca="false">C22*(1+tp_r)</f>
        <v>395.547479617426</v>
      </c>
      <c r="D23" s="18" t="n">
        <f aca="false">D22*(1+tp_r)</f>
        <v>252.685401446693</v>
      </c>
    </row>
    <row r="24" customFormat="false" ht="17.15" hidden="false" customHeight="false" outlineLevel="0" collapsed="false">
      <c r="A24" s="0" t="s">
        <v>628</v>
      </c>
      <c r="B24" s="33" t="n">
        <f aca="false">tp_wA*B23+tp_wB*C23+tp_wC*D23</f>
        <v>396.964996103633</v>
      </c>
      <c r="E24" s="8" t="s">
        <v>629</v>
      </c>
    </row>
    <row r="26" customFormat="false" ht="17.15" hidden="false" customHeight="false" outlineLevel="0" collapsed="false">
      <c r="A26" s="6" t="s">
        <v>630</v>
      </c>
    </row>
    <row r="27" customFormat="false" ht="17.15" hidden="false" customHeight="false" outlineLevel="0" collapsed="false">
      <c r="A27" s="5" t="s">
        <v>631</v>
      </c>
      <c r="B27" s="5" t="s">
        <v>632</v>
      </c>
      <c r="C27" s="5" t="s">
        <v>633</v>
      </c>
      <c r="D27" s="5" t="s">
        <v>634</v>
      </c>
      <c r="E27" s="5" t="s">
        <v>635</v>
      </c>
      <c r="F27" s="5" t="s">
        <v>22</v>
      </c>
    </row>
    <row r="28" customFormat="false" ht="17.15" hidden="false" customHeight="false" outlineLevel="0" collapsed="false">
      <c r="A28" s="4" t="s">
        <v>636</v>
      </c>
      <c r="B28" s="0" t="s">
        <v>637</v>
      </c>
      <c r="C28" s="34" t="n">
        <v>11.31</v>
      </c>
      <c r="D28" s="8" t="s">
        <v>638</v>
      </c>
      <c r="E28" s="8" t="s">
        <v>639</v>
      </c>
      <c r="F28" s="8" t="s">
        <v>148</v>
      </c>
    </row>
    <row r="29" customFormat="false" ht="17.15" hidden="false" customHeight="false" outlineLevel="0" collapsed="false">
      <c r="A29" s="4" t="s">
        <v>640</v>
      </c>
      <c r="B29" s="0" t="s">
        <v>641</v>
      </c>
      <c r="C29" s="34" t="n">
        <v>11.37</v>
      </c>
      <c r="D29" s="8" t="s">
        <v>642</v>
      </c>
      <c r="E29" s="8" t="s">
        <v>639</v>
      </c>
      <c r="F29" s="8" t="s">
        <v>148</v>
      </c>
    </row>
    <row r="30" customFormat="false" ht="17.15" hidden="false" customHeight="false" outlineLevel="0" collapsed="false">
      <c r="A30" s="4" t="s">
        <v>643</v>
      </c>
      <c r="B30" s="0" t="s">
        <v>644</v>
      </c>
      <c r="C30" s="34" t="n">
        <v>18</v>
      </c>
      <c r="D30" s="8" t="s">
        <v>645</v>
      </c>
      <c r="E30" s="8" t="s">
        <v>639</v>
      </c>
      <c r="F30" s="8" t="s">
        <v>148</v>
      </c>
    </row>
    <row r="31" customFormat="false" ht="17.15" hidden="false" customHeight="false" outlineLevel="0" collapsed="false">
      <c r="A31" s="4" t="s">
        <v>646</v>
      </c>
      <c r="B31" s="0" t="s">
        <v>647</v>
      </c>
      <c r="C31" s="34" t="n">
        <v>13.87</v>
      </c>
      <c r="D31" s="8" t="s">
        <v>648</v>
      </c>
      <c r="E31" s="8" t="s">
        <v>639</v>
      </c>
      <c r="F31" s="8" t="s">
        <v>148</v>
      </c>
    </row>
    <row r="32" customFormat="false" ht="17.15" hidden="false" customHeight="false" outlineLevel="0" collapsed="false">
      <c r="A32" s="4" t="s">
        <v>649</v>
      </c>
      <c r="B32" s="0" t="s">
        <v>650</v>
      </c>
      <c r="C32" s="34" t="n">
        <v>7.06</v>
      </c>
      <c r="D32" s="8" t="s">
        <v>651</v>
      </c>
      <c r="E32" s="8" t="s">
        <v>639</v>
      </c>
      <c r="F32" s="8" t="s">
        <v>148</v>
      </c>
    </row>
    <row r="33" customFormat="false" ht="17.15" hidden="false" customHeight="false" outlineLevel="0" collapsed="false">
      <c r="A33" s="4" t="s">
        <v>652</v>
      </c>
      <c r="B33" s="22" t="n">
        <f aca="false">MEDIAN(C28:C32)</f>
        <v>11.37</v>
      </c>
      <c r="E33" s="4" t="s">
        <v>653</v>
      </c>
    </row>
    <row r="34" customFormat="false" ht="17.15" hidden="false" customHeight="false" outlineLevel="0" collapsed="false">
      <c r="A34" s="0" t="s">
        <v>654</v>
      </c>
      <c r="B34" s="18" t="n">
        <f aca="false">tp_wA*(2/12*B8+10/12*B9)+tp_wB*(2/12*C8+10/12*C9)+tp_wC*(2/12*D8+10/12*D9)</f>
        <v>27.5551566956499</v>
      </c>
      <c r="E34" s="4" t="s">
        <v>655</v>
      </c>
    </row>
    <row r="35" customFormat="false" ht="17.15" hidden="false" customHeight="false" outlineLevel="0" collapsed="false">
      <c r="A35" s="0" t="s">
        <v>656</v>
      </c>
      <c r="B35" s="33" t="n">
        <f aca="false">B33*B34</f>
        <v>313.30213162954</v>
      </c>
      <c r="E35" s="4" t="s">
        <v>657</v>
      </c>
    </row>
    <row r="37" customFormat="false" ht="17.15" hidden="false" customHeight="false" outlineLevel="0" collapsed="false">
      <c r="A37" s="6" t="s">
        <v>658</v>
      </c>
    </row>
    <row r="38" customFormat="false" ht="15" hidden="false" customHeight="false" outlineLevel="0" collapsed="false">
      <c r="A38" s="5" t="s">
        <v>17</v>
      </c>
      <c r="B38" s="5" t="s">
        <v>659</v>
      </c>
      <c r="C38" s="5"/>
      <c r="D38" s="5"/>
      <c r="E38" s="5" t="s">
        <v>496</v>
      </c>
    </row>
    <row r="39" customFormat="false" ht="17.15" hidden="false" customHeight="false" outlineLevel="0" collapsed="false">
      <c r="A39" s="4" t="s">
        <v>660</v>
      </c>
      <c r="B39" s="33" t="n">
        <f aca="false">tp_w_dcf*B24+(1-tp_w_dcf)*B35</f>
        <v>355.133563866587</v>
      </c>
      <c r="E39" s="8" t="s">
        <v>661</v>
      </c>
    </row>
    <row r="40" customFormat="false" ht="17.15" hidden="false" customHeight="false" outlineLevel="0" collapsed="false">
      <c r="A40" s="0" t="s">
        <v>662</v>
      </c>
      <c r="B40" s="18" t="n">
        <f aca="false">B35</f>
        <v>313.30213162954</v>
      </c>
    </row>
    <row r="41" customFormat="false" ht="17.15" hidden="false" customHeight="false" outlineLevel="0" collapsed="false">
      <c r="A41" s="4" t="s">
        <v>663</v>
      </c>
      <c r="B41" s="18" t="n">
        <f aca="false">cons_tp</f>
        <v>268.71</v>
      </c>
      <c r="E41" s="8" t="s">
        <v>664</v>
      </c>
    </row>
    <row r="42" customFormat="false" ht="17.15" hidden="false" customHeight="false" outlineLevel="0" collapsed="false">
      <c r="A42" s="4" t="s">
        <v>665</v>
      </c>
      <c r="B42" s="20" t="n">
        <f aca="false">B39/px-1</f>
        <v>0.869124020350456</v>
      </c>
      <c r="E42" s="4" t="s">
        <v>666</v>
      </c>
    </row>
    <row r="43" customFormat="false" ht="17.15" hidden="false" customHeight="false" outlineLevel="0" collapsed="false">
      <c r="A43" s="4" t="s">
        <v>667</v>
      </c>
      <c r="B43" s="20" t="n">
        <f aca="false">B40/px-1</f>
        <v>0.648958587523894</v>
      </c>
    </row>
    <row r="44" customFormat="false" ht="17.15" hidden="false" customHeight="false" outlineLevel="0" collapsed="false">
      <c r="A44" s="4" t="s">
        <v>668</v>
      </c>
      <c r="B44" s="20" t="n">
        <f aca="false">B34/cons_feps-1</f>
        <v>0.475055018802177</v>
      </c>
      <c r="E44" s="4" t="s">
        <v>669</v>
      </c>
    </row>
    <row r="45" customFormat="false" ht="17.15" hidden="false" customHeight="false" outlineLevel="0" collapsed="false">
      <c r="A45" s="4" t="s">
        <v>670</v>
      </c>
      <c r="B45" s="20" t="n">
        <f aca="false">(cons_tp/cons_feps)/B33-1</f>
        <v>0.265111194873728</v>
      </c>
      <c r="E45" s="0" t="str">
        <f aca="false">"共識目標價隱含 "&amp;TEXT(cons_tp/cons_feps,"0.0")&amp;"x，同業中位數 "&amp;TEXT(B33,"0.0")&amp;"x"</f>
        <v>共識目標價隱含 14.4x，同業中位數 11.4x</v>
      </c>
    </row>
    <row r="46" customFormat="false" ht="17.15" hidden="false" customHeight="false" outlineLevel="0" collapsed="false">
      <c r="A46" s="4" t="s">
        <v>671</v>
      </c>
      <c r="B46" s="35" t="str">
        <f aca="false">TEXT(D23,"0.0")&amp;"～"&amp;TEXT(B23,"0.0")</f>
        <v>252.7～495.5</v>
      </c>
      <c r="E46" s="8" t="s">
        <v>672</v>
      </c>
    </row>
    <row r="47" customFormat="false" ht="17.15" hidden="false" customHeight="false" outlineLevel="0" collapsed="false">
      <c r="A47" s="4" t="s">
        <v>673</v>
      </c>
      <c r="B47" s="36" t="n">
        <f aca="false">IF(px/B9&lt;MIN($B$86:$B$95),0,IF(px/B9&gt;MAX($B$86:$B$95),1,PERCENTRANK($B$86:$B$95,px/B9)))</f>
        <v>0</v>
      </c>
      <c r="C47" s="36" t="n">
        <f aca="false">IF(px/C9&lt;MIN($B$86:$B$95),0,IF(px/C9&gt;MAX($B$86:$B$95),1,PERCENTRANK($B$86:$B$95,px/C9)))</f>
        <v>0</v>
      </c>
      <c r="D47" s="36" t="n">
        <f aca="false">IF(px/D9&lt;MIN($B$86:$B$95),0,IF(px/D9&gt;MAX($B$86:$B$95),1,PERCENTRANK($B$86:$B$95,px/D9)))</f>
        <v>0.204</v>
      </c>
      <c r="E47" s="4" t="s">
        <v>674</v>
      </c>
    </row>
    <row r="48" customFormat="false" ht="17.15" hidden="false" customHeight="false" outlineLevel="0" collapsed="false">
      <c r="A48" s="4" t="s">
        <v>675</v>
      </c>
      <c r="B48" s="0" t="s">
        <v>676</v>
      </c>
    </row>
    <row r="51" customFormat="false" ht="17.15" hidden="false" customHeight="false" outlineLevel="0" collapsed="false">
      <c r="A51" s="6" t="s">
        <v>677</v>
      </c>
    </row>
    <row r="52" customFormat="false" ht="15" hidden="false" customHeight="false" outlineLevel="0" collapsed="false">
      <c r="A52" s="5" t="s">
        <v>17</v>
      </c>
      <c r="B52" s="14" t="s">
        <v>678</v>
      </c>
      <c r="C52" s="14" t="s">
        <v>679</v>
      </c>
      <c r="D52" s="14" t="s">
        <v>680</v>
      </c>
      <c r="E52" s="5" t="s">
        <v>496</v>
      </c>
    </row>
    <row r="53" customFormat="false" ht="17.15" hidden="false" customHeight="false" outlineLevel="0" collapsed="false">
      <c r="A53" s="4" t="s">
        <v>681</v>
      </c>
      <c r="B53" s="21" t="n">
        <f aca="false">px</f>
        <v>190</v>
      </c>
    </row>
    <row r="54" customFormat="false" ht="17.15" hidden="false" customHeight="false" outlineLevel="0" collapsed="false">
      <c r="A54" s="4" t="s">
        <v>682</v>
      </c>
      <c r="B54" s="22" t="n">
        <f aca="false">px/PL!D15</f>
        <v>10.3122172008893</v>
      </c>
      <c r="C54" s="22" t="n">
        <f aca="false">px/PL!D29</f>
        <v>10.3122172008893</v>
      </c>
      <c r="D54" s="22" t="n">
        <f aca="false">px/PL!D43</f>
        <v>10.3122172008893</v>
      </c>
      <c r="E54" s="8" t="s">
        <v>683</v>
      </c>
    </row>
    <row r="55" customFormat="false" ht="17.15" hidden="false" customHeight="false" outlineLevel="0" collapsed="false">
      <c r="A55" s="4" t="s">
        <v>684</v>
      </c>
      <c r="B55" s="22" t="n">
        <f aca="false">px/PL!E15</f>
        <v>6.89002631811234</v>
      </c>
      <c r="C55" s="22" t="n">
        <f aca="false">px/PL!E29</f>
        <v>6.89002631811234</v>
      </c>
      <c r="D55" s="22" t="n">
        <f aca="false">px/PL!E43</f>
        <v>6.89002631811234</v>
      </c>
      <c r="E55" s="8" t="s">
        <v>685</v>
      </c>
    </row>
    <row r="56" customFormat="false" ht="17.15" hidden="false" customHeight="false" outlineLevel="0" collapsed="false">
      <c r="A56" s="4" t="s">
        <v>686</v>
      </c>
      <c r="B56" s="22" t="n">
        <f aca="false">px/PL!F15</f>
        <v>5.73459540878722</v>
      </c>
      <c r="C56" s="22" t="n">
        <f aca="false">px/PL!F29</f>
        <v>7.04625314810744</v>
      </c>
      <c r="D56" s="22" t="n">
        <f aca="false">px/PL!F43</f>
        <v>9.20329847281653</v>
      </c>
    </row>
    <row r="57" customFormat="false" ht="17.15" hidden="false" customHeight="false" outlineLevel="0" collapsed="false">
      <c r="A57" s="4" t="s">
        <v>687</v>
      </c>
      <c r="B57" s="22" t="n">
        <f aca="false">px/PL!G15</f>
        <v>5.30051741568094</v>
      </c>
      <c r="C57" s="22" t="n">
        <f aca="false">px/PL!G29</f>
        <v>6.17425785499272</v>
      </c>
      <c r="D57" s="22" t="n">
        <f aca="false">px/PL!G43</f>
        <v>8.48183208709322</v>
      </c>
    </row>
    <row r="58" customFormat="false" ht="17.15" hidden="false" customHeight="false" outlineLevel="0" collapsed="false">
      <c r="A58" s="4" t="s">
        <v>688</v>
      </c>
      <c r="B58" s="18" t="n">
        <f aca="false">0.2*PL!D29+0.8*PL!E29</f>
        <v>25.7458231798944</v>
      </c>
    </row>
    <row r="59" customFormat="false" ht="17.15" hidden="false" customHeight="false" outlineLevel="0" collapsed="false">
      <c r="A59" s="4" t="s">
        <v>689</v>
      </c>
      <c r="B59" s="22" t="n">
        <f aca="false">px/B58</f>
        <v>7.37983783514742</v>
      </c>
    </row>
    <row r="60" customFormat="false" ht="17.15" hidden="false" customHeight="false" outlineLevel="0" collapsed="false">
      <c r="A60" s="4" t="s">
        <v>351</v>
      </c>
      <c r="B60" s="22" t="n">
        <f aca="false">pe_ttm</f>
        <v>15.09</v>
      </c>
    </row>
    <row r="61" customFormat="false" ht="17.15" hidden="false" customHeight="false" outlineLevel="0" collapsed="false">
      <c r="A61" s="4" t="s">
        <v>355</v>
      </c>
      <c r="B61" s="22" t="n">
        <f aca="false">fpe</f>
        <v>9.93</v>
      </c>
    </row>
    <row r="63" customFormat="false" ht="17.15" hidden="false" customHeight="false" outlineLevel="0" collapsed="false">
      <c r="A63" s="6" t="s">
        <v>690</v>
      </c>
    </row>
    <row r="64" customFormat="false" ht="17.15" hidden="false" customHeight="false" outlineLevel="0" collapsed="false">
      <c r="A64" s="5" t="s">
        <v>691</v>
      </c>
      <c r="B64" s="5" t="s">
        <v>692</v>
      </c>
      <c r="C64" s="14" t="s">
        <v>693</v>
      </c>
      <c r="D64" s="5" t="s">
        <v>694</v>
      </c>
      <c r="E64" s="5" t="s">
        <v>695</v>
      </c>
      <c r="F64" s="5" t="s">
        <v>496</v>
      </c>
    </row>
    <row r="65" customFormat="false" ht="17.15" hidden="false" customHeight="false" outlineLevel="0" collapsed="false">
      <c r="A65" s="0" t="s">
        <v>678</v>
      </c>
      <c r="B65" s="0" t="n">
        <f aca="false">INDEX({2026,2027,2028,2029},MATCH(MAX(PL!D90:G90),PL!D90:G90,0))</f>
        <v>2029</v>
      </c>
      <c r="C65" s="0" t="str">
        <f aca="false">IF(B65=2029,"中段",IF(2027&lt;B65,"中段",IF(2027=B65,"見頂","谷底")))</f>
        <v>中段</v>
      </c>
      <c r="D65" s="22" t="n">
        <f aca="false">IF(C65="見頂",pe_peak,IF(C65="谷底",pe_trough,pe_mid))</f>
        <v>14.52</v>
      </c>
      <c r="E65" s="0" t="str">
        <f aca="false">IF(B65=2029,"是：營收到觀測期末仍在增加","否")</f>
        <v>是：營收到觀測期末仍在增加</v>
      </c>
      <c r="F65" s="8" t="s">
        <v>696</v>
      </c>
    </row>
    <row r="66" customFormat="false" ht="15" hidden="false" customHeight="false" outlineLevel="0" collapsed="false">
      <c r="A66" s="0" t="s">
        <v>679</v>
      </c>
      <c r="B66" s="0" t="n">
        <f aca="false">INDEX({2026,2027,2028,2029},MATCH(MAX(PL!D155:G155),PL!D155:G155,0))</f>
        <v>2029</v>
      </c>
      <c r="C66" s="0" t="str">
        <f aca="false">IF(B66=2029,"中段",IF(2027&lt;B66,"中段",IF(2027=B66,"見頂","谷底")))</f>
        <v>中段</v>
      </c>
      <c r="D66" s="22" t="n">
        <f aca="false">IF(C66="見頂",pe_peak,IF(C66="谷底",pe_trough,pe_mid))</f>
        <v>14.52</v>
      </c>
      <c r="E66" s="0" t="str">
        <f aca="false">IF(B66=2029,"是：營收到觀測期末仍在增加","否")</f>
        <v>是：營收到觀測期末仍在增加</v>
      </c>
      <c r="F66" s="4" t="s">
        <v>34</v>
      </c>
    </row>
    <row r="67" customFormat="false" ht="15" hidden="false" customHeight="false" outlineLevel="0" collapsed="false">
      <c r="A67" s="0" t="s">
        <v>680</v>
      </c>
      <c r="B67" s="0" t="n">
        <f aca="false">INDEX({2026,2027,2028,2029},MATCH(MAX(PL!D220:G220),PL!D220:G220,0))</f>
        <v>2027</v>
      </c>
      <c r="C67" s="0" t="str">
        <f aca="false">IF(B67=2029,"中段",IF(2027&lt;B67,"中段",IF(2027=B67,"見頂","谷底")))</f>
        <v>見頂</v>
      </c>
      <c r="D67" s="22" t="n">
        <f aca="false">IF(C67="見頂",pe_peak,IF(C67="谷底",pe_trough,pe_mid))</f>
        <v>8.96</v>
      </c>
      <c r="E67" s="0" t="str">
        <f aca="false">IF(B67=2029,"是：營收到觀測期末仍在增加","否")</f>
        <v>否</v>
      </c>
      <c r="F67" s="4" t="s">
        <v>34</v>
      </c>
    </row>
    <row r="69" customFormat="false" ht="17.15" hidden="false" customHeight="false" outlineLevel="0" collapsed="false">
      <c r="A69" s="6" t="s">
        <v>697</v>
      </c>
    </row>
    <row r="70" customFormat="false" ht="17.15" hidden="false" customHeight="false" outlineLevel="0" collapsed="false">
      <c r="A70" s="5" t="s">
        <v>691</v>
      </c>
      <c r="B70" s="14" t="s">
        <v>698</v>
      </c>
      <c r="C70" s="5" t="s">
        <v>699</v>
      </c>
      <c r="D70" s="5" t="s">
        <v>700</v>
      </c>
      <c r="E70" s="5" t="s">
        <v>701</v>
      </c>
      <c r="F70" s="5" t="s">
        <v>702</v>
      </c>
      <c r="G70" s="5" t="s">
        <v>703</v>
      </c>
    </row>
    <row r="71" customFormat="false" ht="15" hidden="false" customHeight="false" outlineLevel="0" collapsed="false">
      <c r="A71" s="9" t="s">
        <v>678</v>
      </c>
      <c r="B71" s="33" t="n">
        <f aca="false">PL!E15</f>
        <v>27.5760920536011</v>
      </c>
      <c r="C71" s="33" t="n">
        <f aca="false">B71</f>
        <v>27.5760920536011</v>
      </c>
      <c r="D71" s="37" t="n">
        <f aca="false">D65</f>
        <v>14.52</v>
      </c>
      <c r="E71" s="38" t="n">
        <f aca="false">C71*D71</f>
        <v>400.404856618288</v>
      </c>
      <c r="F71" s="39" t="n">
        <f aca="false">E71/px-1</f>
        <v>1.10739398220151</v>
      </c>
      <c r="G71" s="37" t="n">
        <f aca="false">px/C71</f>
        <v>6.89002631811234</v>
      </c>
    </row>
    <row r="72" customFormat="false" ht="15" hidden="false" customHeight="false" outlineLevel="0" collapsed="false">
      <c r="A72" s="9" t="s">
        <v>679</v>
      </c>
      <c r="B72" s="33" t="n">
        <f aca="false">PL!E29</f>
        <v>27.5760920536011</v>
      </c>
      <c r="C72" s="33" t="n">
        <f aca="false">B72</f>
        <v>27.5760920536011</v>
      </c>
      <c r="D72" s="37" t="n">
        <f aca="false">D66</f>
        <v>14.52</v>
      </c>
      <c r="E72" s="38" t="n">
        <f aca="false">C72*D72</f>
        <v>400.404856618288</v>
      </c>
      <c r="F72" s="39" t="n">
        <f aca="false">E72/px-1</f>
        <v>1.10739398220151</v>
      </c>
      <c r="G72" s="37" t="n">
        <f aca="false">px/C72</f>
        <v>6.89002631811234</v>
      </c>
    </row>
    <row r="73" customFormat="false" ht="15" hidden="false" customHeight="false" outlineLevel="0" collapsed="false">
      <c r="A73" s="9" t="s">
        <v>680</v>
      </c>
      <c r="B73" s="33" t="n">
        <f aca="false">PL!E43</f>
        <v>27.5760920536011</v>
      </c>
      <c r="C73" s="33" t="n">
        <f aca="false">B73</f>
        <v>27.5760920536011</v>
      </c>
      <c r="D73" s="37" t="n">
        <f aca="false">D67</f>
        <v>8.96</v>
      </c>
      <c r="E73" s="38" t="n">
        <f aca="false">C73*D73</f>
        <v>247.081784800266</v>
      </c>
      <c r="F73" s="39" t="n">
        <f aca="false">E73/px-1</f>
        <v>0.300430446317188</v>
      </c>
      <c r="G73" s="37" t="n">
        <f aca="false">px/C73</f>
        <v>6.89002631811234</v>
      </c>
    </row>
    <row r="75" customFormat="false" ht="17.15" hidden="false" customHeight="false" outlineLevel="0" collapsed="false">
      <c r="A75" s="6" t="s">
        <v>704</v>
      </c>
    </row>
    <row r="76" customFormat="false" ht="17.15" hidden="false" customHeight="false" outlineLevel="0" collapsed="false">
      <c r="A76" s="14" t="s">
        <v>705</v>
      </c>
      <c r="B76" s="5" t="s">
        <v>706</v>
      </c>
      <c r="C76" s="5" t="s">
        <v>707</v>
      </c>
      <c r="D76" s="5" t="s">
        <v>708</v>
      </c>
      <c r="E76" s="5" t="s">
        <v>709</v>
      </c>
    </row>
    <row r="77" customFormat="false" ht="15" hidden="false" customHeight="false" outlineLevel="0" collapsed="false">
      <c r="A77" s="19" t="n">
        <v>1</v>
      </c>
      <c r="B77" s="22" t="n">
        <f aca="false">px*A77/PL!F15</f>
        <v>5.73459540878722</v>
      </c>
      <c r="C77" s="22" t="n">
        <f aca="false">px*A77/PL!F29</f>
        <v>7.04625314810744</v>
      </c>
      <c r="D77" s="22" t="n">
        <f aca="false">px*A77/PL!F43</f>
        <v>9.20329847281653</v>
      </c>
      <c r="E77" s="22" t="n">
        <f aca="false">pe_mid</f>
        <v>14.52</v>
      </c>
    </row>
    <row r="78" customFormat="false" ht="15" hidden="false" customHeight="false" outlineLevel="0" collapsed="false">
      <c r="A78" s="19" t="n">
        <v>1.1</v>
      </c>
      <c r="B78" s="22" t="n">
        <f aca="false">px*A78/PL!F15</f>
        <v>6.30805494966595</v>
      </c>
      <c r="C78" s="22" t="n">
        <f aca="false">px*A78/PL!F29</f>
        <v>7.75087846291819</v>
      </c>
      <c r="D78" s="22" t="n">
        <f aca="false">px*A78/PL!F43</f>
        <v>10.1236283200982</v>
      </c>
      <c r="E78" s="22" t="n">
        <f aca="false">pe_mid</f>
        <v>14.52</v>
      </c>
    </row>
    <row r="79" customFormat="false" ht="15" hidden="false" customHeight="false" outlineLevel="0" collapsed="false">
      <c r="A79" s="19" t="n">
        <v>1.21</v>
      </c>
      <c r="B79" s="22" t="n">
        <f aca="false">px*A79/PL!F15</f>
        <v>6.93886044463254</v>
      </c>
      <c r="C79" s="22" t="n">
        <f aca="false">px*A79/PL!F29</f>
        <v>8.52596630921</v>
      </c>
      <c r="D79" s="22" t="n">
        <f aca="false">px*A79/PL!F43</f>
        <v>11.135991152108</v>
      </c>
      <c r="E79" s="22" t="n">
        <f aca="false">pe_mid</f>
        <v>14.52</v>
      </c>
    </row>
    <row r="80" customFormat="false" ht="15" hidden="false" customHeight="false" outlineLevel="0" collapsed="false">
      <c r="A80" s="19" t="n">
        <v>1.5</v>
      </c>
      <c r="B80" s="22" t="n">
        <f aca="false">px*A80/PL!F15</f>
        <v>8.60189311318084</v>
      </c>
      <c r="C80" s="22" t="n">
        <f aca="false">px*A80/PL!F29</f>
        <v>10.5693797221612</v>
      </c>
      <c r="D80" s="22" t="n">
        <f aca="false">px*A80/PL!F43</f>
        <v>13.8049477092248</v>
      </c>
      <c r="E80" s="22" t="n">
        <f aca="false">pe_mid</f>
        <v>14.52</v>
      </c>
    </row>
    <row r="81" customFormat="false" ht="15" hidden="false" customHeight="false" outlineLevel="0" collapsed="false">
      <c r="A81" s="19" t="n">
        <v>2</v>
      </c>
      <c r="B81" s="22" t="n">
        <f aca="false">px*A81/PL!F15</f>
        <v>11.4691908175744</v>
      </c>
      <c r="C81" s="22" t="n">
        <f aca="false">px*A81/PL!F29</f>
        <v>14.0925062962149</v>
      </c>
      <c r="D81" s="22" t="n">
        <f aca="false">px*A81/PL!F43</f>
        <v>18.4065969456331</v>
      </c>
      <c r="E81" s="22" t="n">
        <f aca="false">pe_mid</f>
        <v>14.52</v>
      </c>
    </row>
    <row r="82" customFormat="false" ht="17.15" hidden="false" customHeight="false" outlineLevel="0" collapsed="false">
      <c r="A82" s="4" t="s">
        <v>710</v>
      </c>
    </row>
    <row r="84" customFormat="false" ht="17.15" hidden="false" customHeight="false" outlineLevel="0" collapsed="false">
      <c r="A84" s="6" t="s">
        <v>711</v>
      </c>
    </row>
    <row r="85" customFormat="false" ht="17.15" hidden="false" customHeight="false" outlineLevel="0" collapsed="false">
      <c r="A85" s="5" t="s">
        <v>712</v>
      </c>
      <c r="B85" s="5" t="s">
        <v>713</v>
      </c>
      <c r="C85" s="14" t="s">
        <v>714</v>
      </c>
      <c r="D85" s="14" t="s">
        <v>715</v>
      </c>
    </row>
    <row r="86" customFormat="false" ht="15" hidden="false" customHeight="false" outlineLevel="0" collapsed="false">
      <c r="A86" s="0" t="s">
        <v>716</v>
      </c>
    </row>
    <row r="87" customFormat="false" ht="15" hidden="false" customHeight="false" outlineLevel="0" collapsed="false">
      <c r="A87" s="0" t="s">
        <v>717</v>
      </c>
      <c r="B87" s="18" t="n">
        <f aca="false">AVERAGE(C87:D87)</f>
        <v>16.1824324324324</v>
      </c>
      <c r="C87" s="18" t="n">
        <f aca="false">B106</f>
        <v>16.1824324324324</v>
      </c>
    </row>
    <row r="88" customFormat="false" ht="15" hidden="false" customHeight="false" outlineLevel="0" collapsed="false">
      <c r="A88" s="0" t="s">
        <v>718</v>
      </c>
      <c r="B88" s="18" t="n">
        <f aca="false">AVERAGE(C88:D88)</f>
        <v>10.8522727272727</v>
      </c>
      <c r="C88" s="18" t="n">
        <f aca="false">B107</f>
        <v>10.8522727272727</v>
      </c>
    </row>
    <row r="89" customFormat="false" ht="15" hidden="false" customHeight="false" outlineLevel="0" collapsed="false">
      <c r="A89" s="0" t="s">
        <v>719</v>
      </c>
      <c r="B89" s="18" t="n">
        <f aca="false">AVERAGE(C89:D89)</f>
        <v>11.8125</v>
      </c>
      <c r="C89" s="18" t="n">
        <f aca="false">B108</f>
        <v>11.8125</v>
      </c>
    </row>
    <row r="90" customFormat="false" ht="15" hidden="false" customHeight="false" outlineLevel="0" collapsed="false">
      <c r="A90" s="0" t="s">
        <v>720</v>
      </c>
      <c r="B90" s="18" t="n">
        <f aca="false">AVERAGE(C90:D90)</f>
        <v>10</v>
      </c>
      <c r="C90" s="18" t="n">
        <f aca="false">B109</f>
        <v>10</v>
      </c>
    </row>
    <row r="91" customFormat="false" ht="15" hidden="false" customHeight="false" outlineLevel="0" collapsed="false">
      <c r="A91" s="0" t="s">
        <v>721</v>
      </c>
      <c r="B91" s="18" t="n">
        <f aca="false">AVERAGE(C91:D91)</f>
        <v>7.83632978723404</v>
      </c>
      <c r="C91" s="18" t="n">
        <f aca="false">B110</f>
        <v>7.75265957446809</v>
      </c>
      <c r="D91" s="18" t="n">
        <f aca="false">C110</f>
        <v>7.92</v>
      </c>
    </row>
    <row r="92" customFormat="false" ht="15" hidden="false" customHeight="false" outlineLevel="0" collapsed="false">
      <c r="A92" s="0" t="s">
        <v>722</v>
      </c>
      <c r="B92" s="18" t="n">
        <f aca="false">AVERAGE(C92:D92)</f>
        <v>7.41583541147132</v>
      </c>
      <c r="C92" s="18" t="n">
        <f aca="false">B111</f>
        <v>7.33167082294264</v>
      </c>
      <c r="D92" s="18" t="n">
        <f aca="false">C111</f>
        <v>7.5</v>
      </c>
    </row>
    <row r="93" customFormat="false" ht="15" hidden="false" customHeight="false" outlineLevel="0" collapsed="false">
      <c r="A93" s="0" t="s">
        <v>723</v>
      </c>
      <c r="B93" s="18" t="n">
        <f aca="false">AVERAGE(C93:D93)</f>
        <v>24.2933333333333</v>
      </c>
      <c r="C93" s="18" t="n">
        <f aca="false">B112</f>
        <v>24.1666666666667</v>
      </c>
      <c r="D93" s="18" t="n">
        <f aca="false">C112</f>
        <v>24.42</v>
      </c>
    </row>
    <row r="94" customFormat="false" ht="15" hidden="false" customHeight="false" outlineLevel="0" collapsed="false">
      <c r="A94" s="0" t="s">
        <v>724</v>
      </c>
      <c r="B94" s="18" t="n">
        <f aca="false">AVERAGE(C94:D94)</f>
        <v>17.1206382978723</v>
      </c>
      <c r="C94" s="18" t="n">
        <f aca="false">B113</f>
        <v>17.0212765957447</v>
      </c>
      <c r="D94" s="18" t="n">
        <f aca="false">C113</f>
        <v>17.22</v>
      </c>
    </row>
    <row r="95" customFormat="false" ht="15" hidden="false" customHeight="false" outlineLevel="0" collapsed="false">
      <c r="A95" s="0" t="s">
        <v>725</v>
      </c>
      <c r="B95" s="18" t="n">
        <f aca="false">AVERAGE(C95:D95)</f>
        <v>17.0541150442478</v>
      </c>
      <c r="C95" s="18" t="n">
        <f aca="false">B114</f>
        <v>16.6482300884956</v>
      </c>
      <c r="D95" s="18" t="n">
        <f aca="false">C114</f>
        <v>17.46</v>
      </c>
    </row>
    <row r="96" customFormat="false" ht="15" hidden="false" customHeight="false" outlineLevel="0" collapsed="false">
      <c r="A96" s="4" t="s">
        <v>726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727</v>
      </c>
    </row>
    <row r="101" customFormat="false" ht="17.15" hidden="false" customHeight="false" outlineLevel="0" collapsed="false">
      <c r="A101" s="4" t="s">
        <v>728</v>
      </c>
    </row>
    <row r="103" customFormat="false" ht="17.15" hidden="false" customHeight="false" outlineLevel="0" collapsed="false">
      <c r="A103" s="6" t="s">
        <v>729</v>
      </c>
    </row>
    <row r="104" customFormat="false" ht="17.15" hidden="false" customHeight="false" outlineLevel="0" collapsed="false">
      <c r="A104" s="5" t="s">
        <v>712</v>
      </c>
      <c r="B104" s="14" t="s">
        <v>714</v>
      </c>
      <c r="C104" s="14" t="s">
        <v>715</v>
      </c>
      <c r="D104" s="5" t="s">
        <v>730</v>
      </c>
    </row>
    <row r="105" customFormat="false" ht="17.15" hidden="false" customHeight="false" outlineLevel="0" collapsed="false">
      <c r="A105" s="0" t="s">
        <v>716</v>
      </c>
      <c r="D105" s="0" t="s">
        <v>731</v>
      </c>
    </row>
    <row r="106" customFormat="false" ht="15" hidden="false" customHeight="false" outlineLevel="0" collapsed="false">
      <c r="A106" s="0" t="s">
        <v>717</v>
      </c>
      <c r="B106" s="18" t="n">
        <f aca="false">23.95/1.48</f>
        <v>16.1824324324324</v>
      </c>
    </row>
    <row r="107" customFormat="false" ht="15" hidden="false" customHeight="false" outlineLevel="0" collapsed="false">
      <c r="A107" s="0" t="s">
        <v>718</v>
      </c>
      <c r="B107" s="18" t="n">
        <f aca="false">19.1/1.76</f>
        <v>10.8522727272727</v>
      </c>
    </row>
    <row r="108" customFormat="false" ht="15" hidden="false" customHeight="false" outlineLevel="0" collapsed="false">
      <c r="A108" s="0" t="s">
        <v>719</v>
      </c>
      <c r="B108" s="18" t="n">
        <f aca="false">28.35/2.4</f>
        <v>11.8125</v>
      </c>
    </row>
    <row r="109" customFormat="false" ht="15" hidden="false" customHeight="false" outlineLevel="0" collapsed="false">
      <c r="A109" s="0" t="s">
        <v>720</v>
      </c>
      <c r="B109" s="18" t="n">
        <f aca="false">31/3.1</f>
        <v>10</v>
      </c>
    </row>
    <row r="110" customFormat="false" ht="15" hidden="false" customHeight="false" outlineLevel="0" collapsed="false">
      <c r="A110" s="0" t="s">
        <v>721</v>
      </c>
      <c r="B110" s="18" t="n">
        <f aca="false">29.15/3.76</f>
        <v>7.75265957446809</v>
      </c>
      <c r="C110" s="19" t="n">
        <v>7.92</v>
      </c>
    </row>
    <row r="111" customFormat="false" ht="15" hidden="false" customHeight="false" outlineLevel="0" collapsed="false">
      <c r="A111" s="0" t="s">
        <v>722</v>
      </c>
      <c r="B111" s="18" t="n">
        <f aca="false">29.4/4.01</f>
        <v>7.33167082294264</v>
      </c>
      <c r="C111" s="19" t="n">
        <v>7.5</v>
      </c>
    </row>
    <row r="112" customFormat="false" ht="15" hidden="false" customHeight="false" outlineLevel="0" collapsed="false">
      <c r="A112" s="0" t="s">
        <v>723</v>
      </c>
      <c r="B112" s="18" t="n">
        <f aca="false">98.6/4.08</f>
        <v>24.1666666666667</v>
      </c>
      <c r="C112" s="19" t="n">
        <v>24.42</v>
      </c>
    </row>
    <row r="113" customFormat="false" ht="15" hidden="false" customHeight="false" outlineLevel="0" collapsed="false">
      <c r="A113" s="0" t="s">
        <v>724</v>
      </c>
      <c r="B113" s="18" t="n">
        <f aca="false">104/6.11</f>
        <v>17.0212765957447</v>
      </c>
      <c r="C113" s="19" t="n">
        <v>17.22</v>
      </c>
    </row>
    <row r="114" customFormat="false" ht="15" hidden="false" customHeight="false" outlineLevel="0" collapsed="false">
      <c r="A114" s="0" t="s">
        <v>725</v>
      </c>
      <c r="B114" s="18" t="n">
        <f aca="false">150.5/9.04</f>
        <v>16.6482300884956</v>
      </c>
      <c r="C114" s="19" t="n">
        <v>17.46</v>
      </c>
    </row>
    <row r="115" customFormat="false" ht="17.15" hidden="false" customHeight="false" outlineLevel="0" collapsed="false">
      <c r="A115" s="0" t="s">
        <v>732</v>
      </c>
      <c r="B115" s="18" t="n">
        <f aca="false">PERCENTILE(B105:B114,0.25)</f>
        <v>10</v>
      </c>
      <c r="C115" s="18" t="n">
        <f aca="false">PERCENTILE(C105:C114,0.25)</f>
        <v>7.92</v>
      </c>
    </row>
    <row r="116" customFormat="false" ht="15" hidden="false" customHeight="false" outlineLevel="0" collapsed="false">
      <c r="A116" s="4" t="s">
        <v>733</v>
      </c>
      <c r="B116" s="18" t="n">
        <f aca="false">MEDIAN(B105:B114)</f>
        <v>11.8125</v>
      </c>
      <c r="C116" s="18" t="n">
        <f aca="false">MEDIAN(C105:C114)</f>
        <v>17.22</v>
      </c>
    </row>
    <row r="117" customFormat="false" ht="17.15" hidden="false" customHeight="false" outlineLevel="0" collapsed="false">
      <c r="A117" s="0" t="s">
        <v>734</v>
      </c>
      <c r="B117" s="18" t="n">
        <f aca="false">PERCENTILE(B105:B114,0.75)</f>
        <v>16.6482300884956</v>
      </c>
      <c r="C117" s="18" t="n">
        <f aca="false">PERCENTILE(C105:C114,0.75)</f>
        <v>17.46</v>
      </c>
    </row>
    <row r="118" customFormat="false" ht="15" hidden="false" customHeight="false" outlineLevel="0" collapsed="false">
      <c r="A118" s="4" t="s">
        <v>735</v>
      </c>
      <c r="B118" s="18" t="n">
        <f aca="false">MIN(B105:B114)</f>
        <v>7.33167082294264</v>
      </c>
      <c r="C118" s="18" t="n">
        <f aca="false">MIN(C105:C114)</f>
        <v>7.5</v>
      </c>
    </row>
    <row r="119" customFormat="false" ht="15" hidden="false" customHeight="false" outlineLevel="0" collapsed="false">
      <c r="A119" s="4" t="s">
        <v>736</v>
      </c>
      <c r="B119" s="18" t="n">
        <f aca="false">MAX(B105:B114)</f>
        <v>24.1666666666667</v>
      </c>
      <c r="C119" s="18" t="n">
        <f aca="false">MAX(C105:C114)</f>
        <v>24.42</v>
      </c>
    </row>
    <row r="120" customFormat="false" ht="17.15" hidden="false" customHeight="false" outlineLevel="0" collapsed="false">
      <c r="A120" s="1" t="s">
        <v>737</v>
      </c>
      <c r="B120" s="18" t="n">
        <f aca="false">ROUND(AVERAGE(B115,C115),2)</f>
        <v>8.96</v>
      </c>
    </row>
    <row r="121" customFormat="false" ht="17.15" hidden="false" customHeight="false" outlineLevel="0" collapsed="false">
      <c r="A121" s="1" t="s">
        <v>738</v>
      </c>
      <c r="B121" s="18" t="n">
        <f aca="false">ROUND(AVERAGE(B116,C116),2)</f>
        <v>14.52</v>
      </c>
    </row>
    <row r="122" customFormat="false" ht="17.15" hidden="false" customHeight="false" outlineLevel="0" collapsed="false">
      <c r="A122" s="1" t="s">
        <v>739</v>
      </c>
      <c r="B122" s="18" t="n">
        <f aca="false">ROUND(AVERAGE(B117,C117),2)</f>
        <v>17.05</v>
      </c>
    </row>
    <row r="123" customFormat="false" ht="17.15" hidden="false" customHeight="false" outlineLevel="0" collapsed="false">
      <c r="A123" s="1" t="s">
        <v>740</v>
      </c>
      <c r="B123" s="18" t="n">
        <f aca="false">ROUND(MIN(B118,C118),2)</f>
        <v>7.33</v>
      </c>
    </row>
    <row r="124" customFormat="false" ht="17.15" hidden="false" customHeight="false" outlineLevel="0" collapsed="false">
      <c r="A124" s="1" t="s">
        <v>741</v>
      </c>
      <c r="B124" s="18" t="n">
        <f aca="false">ROUND(MAX(B119,C119),2)</f>
        <v>24.42</v>
      </c>
    </row>
    <row r="126" customFormat="false" ht="17.15" hidden="false" customHeight="false" outlineLevel="0" collapsed="false">
      <c r="A126" s="6" t="s">
        <v>742</v>
      </c>
    </row>
    <row r="127" customFormat="false" ht="17.15" hidden="false" customHeight="false" outlineLevel="0" collapsed="false">
      <c r="A127" s="5" t="s">
        <v>743</v>
      </c>
      <c r="B127" s="5" t="s">
        <v>744</v>
      </c>
      <c r="C127" s="5" t="s">
        <v>745</v>
      </c>
      <c r="D127" s="5" t="s">
        <v>20</v>
      </c>
      <c r="E127" s="5" t="s">
        <v>746</v>
      </c>
      <c r="F127" s="5" t="s">
        <v>701</v>
      </c>
      <c r="G127" s="5" t="s">
        <v>747</v>
      </c>
      <c r="H127" s="5" t="s">
        <v>748</v>
      </c>
    </row>
    <row r="128" customFormat="false" ht="17.15" hidden="false" customHeight="false" outlineLevel="0" collapsed="false">
      <c r="A128" s="4" t="s">
        <v>749</v>
      </c>
      <c r="B128" s="0" t="s">
        <v>750</v>
      </c>
      <c r="C128" s="18" t="n">
        <f aca="false">B120</f>
        <v>8.96</v>
      </c>
      <c r="D128" s="8" t="s">
        <v>751</v>
      </c>
      <c r="E128" s="25" t="n">
        <f aca="false">C72</f>
        <v>27.5760920536011</v>
      </c>
      <c r="F128" s="21" t="n">
        <f aca="false">C128*E128</f>
        <v>247.081784800266</v>
      </c>
      <c r="G128" s="20" t="n">
        <f aca="false">F128/px-1</f>
        <v>0.300430446317188</v>
      </c>
      <c r="H128" s="18" t="n">
        <f aca="false">px/E128</f>
        <v>6.89002631811234</v>
      </c>
    </row>
    <row r="129" customFormat="false" ht="17.15" hidden="false" customHeight="false" outlineLevel="0" collapsed="false">
      <c r="A129" s="4" t="s">
        <v>752</v>
      </c>
      <c r="B129" s="4" t="s">
        <v>753</v>
      </c>
      <c r="C129" s="18" t="n">
        <f aca="false">B121</f>
        <v>14.52</v>
      </c>
      <c r="D129" s="8" t="s">
        <v>751</v>
      </c>
      <c r="E129" s="25" t="n">
        <f aca="false">C72</f>
        <v>27.5760920536011</v>
      </c>
      <c r="F129" s="21" t="n">
        <f aca="false">C129*E129</f>
        <v>400.404856618288</v>
      </c>
      <c r="G129" s="20" t="n">
        <f aca="false">F129/px-1</f>
        <v>1.10739398220151</v>
      </c>
      <c r="H129" s="18" t="n">
        <f aca="false">px/E129</f>
        <v>6.89002631811234</v>
      </c>
    </row>
    <row r="130" customFormat="false" ht="17.15" hidden="false" customHeight="false" outlineLevel="0" collapsed="false">
      <c r="A130" s="4" t="s">
        <v>754</v>
      </c>
      <c r="B130" s="0" t="s">
        <v>755</v>
      </c>
      <c r="C130" s="18" t="n">
        <f aca="false">B122</f>
        <v>17.05</v>
      </c>
      <c r="D130" s="8" t="s">
        <v>751</v>
      </c>
      <c r="E130" s="25" t="n">
        <f aca="false">C72</f>
        <v>27.5760920536011</v>
      </c>
      <c r="F130" s="21" t="n">
        <f aca="false">C130*E130</f>
        <v>470.172369513899</v>
      </c>
      <c r="G130" s="20" t="n">
        <f aca="false">F130/px-1</f>
        <v>1.4745914184942</v>
      </c>
      <c r="H130" s="18" t="n">
        <f aca="false">px/E130</f>
        <v>6.89002631811234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756</v>
      </c>
    </row>
    <row r="3" customFormat="false" ht="17.15" hidden="false" customHeight="false" outlineLevel="0" collapsed="false">
      <c r="A3" s="5" t="s">
        <v>17</v>
      </c>
      <c r="B3" s="5" t="s">
        <v>757</v>
      </c>
      <c r="C3" s="5" t="s">
        <v>758</v>
      </c>
      <c r="D3" s="5" t="s">
        <v>759</v>
      </c>
      <c r="E3" s="5" t="s">
        <v>760</v>
      </c>
      <c r="F3" s="5" t="s">
        <v>761</v>
      </c>
      <c r="G3" s="5" t="s">
        <v>762</v>
      </c>
      <c r="H3" s="5" t="s">
        <v>763</v>
      </c>
      <c r="I3" s="5" t="s">
        <v>764</v>
      </c>
      <c r="J3" s="5" t="s">
        <v>496</v>
      </c>
    </row>
    <row r="4" customFormat="false" ht="17.15" hidden="false" customHeight="false" outlineLevel="0" collapsed="false">
      <c r="A4" s="6" t="s">
        <v>765</v>
      </c>
    </row>
    <row r="5" customFormat="false" ht="17.15" hidden="false" customHeight="false" outlineLevel="0" collapsed="false">
      <c r="A5" s="0" t="s">
        <v>766</v>
      </c>
      <c r="B5" s="21" t="n">
        <f aca="false">cons_rev26</f>
        <v>4100</v>
      </c>
      <c r="C5" s="21" t="n">
        <f aca="false">PL!D90</f>
        <v>4097.35195421038</v>
      </c>
      <c r="D5" s="20" t="n">
        <f aca="false">C5/B5-1</f>
        <v>-0.000645864826737341</v>
      </c>
      <c r="E5" s="21" t="n">
        <f aca="false">PL!D155</f>
        <v>4097.35195421038</v>
      </c>
      <c r="F5" s="20" t="n">
        <f aca="false">E5/B5-1</f>
        <v>-0.000645864826737341</v>
      </c>
      <c r="G5" s="21" t="n">
        <f aca="false">PL!D220</f>
        <v>4097.35195421038</v>
      </c>
      <c r="H5" s="20" t="n">
        <f aca="false">G5/B5-1</f>
        <v>-0.000645864826737341</v>
      </c>
      <c r="I5" s="8" t="s">
        <v>767</v>
      </c>
    </row>
    <row r="6" customFormat="false" ht="17.15" hidden="false" customHeight="false" outlineLevel="0" collapsed="false">
      <c r="A6" s="0" t="s">
        <v>768</v>
      </c>
      <c r="B6" s="25" t="n">
        <f aca="false">cons_eps26</f>
        <v>17.09</v>
      </c>
      <c r="C6" s="25" t="n">
        <f aca="false">PL!D120</f>
        <v>18.4247476850676</v>
      </c>
      <c r="D6" s="20" t="n">
        <f aca="false">C6/B6-1</f>
        <v>0.078101093333387</v>
      </c>
      <c r="E6" s="25" t="n">
        <f aca="false">PL!D185</f>
        <v>18.4247476850676</v>
      </c>
      <c r="F6" s="20" t="n">
        <f aca="false">E6/B6-1</f>
        <v>0.078101093333387</v>
      </c>
      <c r="G6" s="25" t="n">
        <f aca="false">PL!D250</f>
        <v>18.4247476850676</v>
      </c>
      <c r="H6" s="20" t="n">
        <f aca="false">G6/B6-1</f>
        <v>0.078101093333387</v>
      </c>
      <c r="I6" s="8" t="s">
        <v>767</v>
      </c>
      <c r="J6" s="8" t="s">
        <v>769</v>
      </c>
    </row>
    <row r="7" customFormat="false" ht="17.15" hidden="false" customHeight="false" outlineLevel="0" collapsed="false">
      <c r="A7" s="0" t="s">
        <v>770</v>
      </c>
      <c r="B7" s="25" t="n">
        <f aca="false">k_eps26</f>
        <v>13.96</v>
      </c>
      <c r="C7" s="25" t="n">
        <f aca="false">PL!D120</f>
        <v>18.4247476850676</v>
      </c>
      <c r="D7" s="20" t="n">
        <f aca="false">C7/B7-1</f>
        <v>0.319824332741231</v>
      </c>
      <c r="E7" s="25" t="n">
        <f aca="false">PL!D185</f>
        <v>18.4247476850676</v>
      </c>
      <c r="F7" s="20" t="n">
        <f aca="false">E7/B7-1</f>
        <v>0.319824332741231</v>
      </c>
      <c r="G7" s="25" t="n">
        <f aca="false">PL!D250</f>
        <v>18.4247476850676</v>
      </c>
      <c r="H7" s="20" t="n">
        <f aca="false">G7/B7-1</f>
        <v>0.319824332741231</v>
      </c>
      <c r="I7" s="4" t="s">
        <v>771</v>
      </c>
    </row>
    <row r="8" customFormat="false" ht="17.15" hidden="false" customHeight="false" outlineLevel="0" collapsed="false">
      <c r="A8" s="0" t="s">
        <v>772</v>
      </c>
      <c r="B8" s="25" t="n">
        <f aca="false">b_eps27</f>
        <v>20</v>
      </c>
      <c r="C8" s="25" t="n">
        <f aca="false">PL!E120</f>
        <v>27.5760920536011</v>
      </c>
      <c r="D8" s="20" t="n">
        <f aca="false">C8/B8-1</f>
        <v>0.378804602680054</v>
      </c>
      <c r="E8" s="25" t="n">
        <f aca="false">PL!E185</f>
        <v>27.5760920536011</v>
      </c>
      <c r="F8" s="20" t="n">
        <f aca="false">E8/B8-1</f>
        <v>0.378804602680054</v>
      </c>
      <c r="G8" s="25" t="n">
        <f aca="false">PL!E250</f>
        <v>27.5760920536011</v>
      </c>
      <c r="H8" s="20" t="n">
        <f aca="false">G8/B8-1</f>
        <v>0.378804602680054</v>
      </c>
      <c r="I8" s="4" t="s">
        <v>321</v>
      </c>
    </row>
    <row r="9" customFormat="false" ht="17.15" hidden="false" customHeight="false" outlineLevel="0" collapsed="false">
      <c r="A9" s="0" t="s">
        <v>773</v>
      </c>
      <c r="B9" s="25" t="n">
        <f aca="false">b_eps27h</f>
        <v>24.85</v>
      </c>
      <c r="C9" s="25" t="n">
        <f aca="false">PL!E120</f>
        <v>27.5760920536011</v>
      </c>
      <c r="D9" s="20" t="n">
        <f aca="false">C9/B9-1</f>
        <v>0.109701893505074</v>
      </c>
      <c r="E9" s="25" t="n">
        <f aca="false">PL!E185</f>
        <v>27.5760920536011</v>
      </c>
      <c r="F9" s="20" t="n">
        <f aca="false">E9/B9-1</f>
        <v>0.109701893505074</v>
      </c>
      <c r="G9" s="25" t="n">
        <f aca="false">PL!E250</f>
        <v>27.5760920536011</v>
      </c>
      <c r="H9" s="20" t="n">
        <f aca="false">G9/B9-1</f>
        <v>0.109701893505074</v>
      </c>
      <c r="I9" s="4" t="s">
        <v>321</v>
      </c>
    </row>
    <row r="10" customFormat="false" ht="17.15" hidden="false" customHeight="false" outlineLevel="0" collapsed="false">
      <c r="A10" s="0" t="s">
        <v>774</v>
      </c>
      <c r="B10" s="25" t="n">
        <f aca="false">k_eps27</f>
        <v>18.29</v>
      </c>
      <c r="C10" s="25" t="n">
        <f aca="false">PL!E120</f>
        <v>27.5760920536011</v>
      </c>
      <c r="D10" s="20" t="n">
        <f aca="false">C10/B10-1</f>
        <v>0.507714163674198</v>
      </c>
      <c r="E10" s="25" t="n">
        <f aca="false">PL!E185</f>
        <v>27.5760920536011</v>
      </c>
      <c r="F10" s="20" t="n">
        <f aca="false">E10/B10-1</f>
        <v>0.507714163674198</v>
      </c>
      <c r="G10" s="25" t="n">
        <f aca="false">PL!E250</f>
        <v>27.5760920536011</v>
      </c>
      <c r="H10" s="20" t="n">
        <f aca="false">G10/B10-1</f>
        <v>0.507714163674198</v>
      </c>
      <c r="I10" s="4" t="s">
        <v>771</v>
      </c>
      <c r="J10" s="8" t="s">
        <v>775</v>
      </c>
    </row>
    <row r="11" customFormat="false" ht="17.15" hidden="false" customHeight="false" outlineLevel="0" collapsed="false">
      <c r="A11" s="0" t="s">
        <v>776</v>
      </c>
      <c r="C11" s="20" t="n">
        <f aca="false">PL!E91</f>
        <v>0.454439765251677</v>
      </c>
      <c r="E11" s="20" t="n">
        <f aca="false">PL!E156</f>
        <v>0.454439765251677</v>
      </c>
      <c r="G11" s="20" t="n">
        <f aca="false">PL!E221</f>
        <v>0.454439765251677</v>
      </c>
      <c r="I11" s="8" t="s">
        <v>132</v>
      </c>
    </row>
    <row r="12" customFormat="false" ht="17.15" hidden="false" customHeight="false" outlineLevel="0" collapsed="false">
      <c r="A12" s="6" t="s">
        <v>777</v>
      </c>
    </row>
    <row r="13" customFormat="false" ht="17.15" hidden="false" customHeight="false" outlineLevel="0" collapsed="false">
      <c r="A13" s="0" t="s">
        <v>778</v>
      </c>
      <c r="B13" s="21" t="n">
        <f aca="false">kw_rev26</f>
        <v>1361.998</v>
      </c>
      <c r="C13" s="21" t="n">
        <f aca="false">PL!D89</f>
        <v>1445.6269</v>
      </c>
      <c r="D13" s="20" t="n">
        <f aca="false">C13/B13-1</f>
        <v>0.061401632014144</v>
      </c>
      <c r="E13" s="21" t="n">
        <f aca="false">PL!D154</f>
        <v>1445.6269</v>
      </c>
      <c r="F13" s="20" t="n">
        <f aca="false">E13/B13-1</f>
        <v>0.061401632014144</v>
      </c>
      <c r="G13" s="21" t="n">
        <f aca="false">PL!D219</f>
        <v>1445.6269</v>
      </c>
      <c r="H13" s="20" t="n">
        <f aca="false">G13/B13-1</f>
        <v>0.061401632014144</v>
      </c>
      <c r="I13" s="4" t="s">
        <v>779</v>
      </c>
      <c r="J13" s="8" t="s">
        <v>780</v>
      </c>
    </row>
    <row r="14" customFormat="false" ht="17.15" hidden="false" customHeight="false" outlineLevel="0" collapsed="false">
      <c r="A14" s="0" t="s">
        <v>781</v>
      </c>
      <c r="B14" s="21" t="n">
        <f aca="false">kw_rev27</f>
        <v>2368.079</v>
      </c>
      <c r="C14" s="21" t="n">
        <f aca="false">PL!E89</f>
        <v>2142.71033467769</v>
      </c>
      <c r="D14" s="20" t="n">
        <f aca="false">C14/B14-1</f>
        <v>-0.0951694032683507</v>
      </c>
      <c r="E14" s="21" t="n">
        <f aca="false">PL!E154</f>
        <v>2142.71033467769</v>
      </c>
      <c r="F14" s="20" t="n">
        <f aca="false">E14/B14-1</f>
        <v>-0.0951694032683507</v>
      </c>
      <c r="G14" s="21" t="n">
        <f aca="false">PL!E219</f>
        <v>2142.71033467769</v>
      </c>
      <c r="H14" s="20" t="n">
        <f aca="false">G14/B14-1</f>
        <v>-0.0951694032683507</v>
      </c>
      <c r="I14" s="4" t="s">
        <v>779</v>
      </c>
    </row>
    <row r="15" customFormat="false" ht="17.15" hidden="false" customHeight="false" outlineLevel="0" collapsed="false">
      <c r="A15" s="0" t="s">
        <v>782</v>
      </c>
      <c r="B15" s="21" t="n">
        <f aca="false">kw_ni27</f>
        <v>105.263</v>
      </c>
      <c r="C15" s="21" t="n">
        <f aca="false">PL!E108</f>
        <v>108.635413968159</v>
      </c>
      <c r="D15" s="20" t="n">
        <f aca="false">C15/B15-1</f>
        <v>0.0320379807544795</v>
      </c>
      <c r="E15" s="21" t="n">
        <f aca="false">PL!E173</f>
        <v>108.635413968159</v>
      </c>
      <c r="F15" s="20" t="n">
        <f aca="false">E15/B15-1</f>
        <v>0.0320379807544795</v>
      </c>
      <c r="G15" s="21" t="n">
        <f aca="false">PL!E238</f>
        <v>108.635413968159</v>
      </c>
      <c r="H15" s="20" t="n">
        <f aca="false">G15/B15-1</f>
        <v>0.0320379807544795</v>
      </c>
      <c r="I15" s="4" t="s">
        <v>779</v>
      </c>
    </row>
    <row r="16" customFormat="false" ht="17.15" hidden="false" customHeight="false" outlineLevel="0" collapsed="false">
      <c r="A16" s="0" t="s">
        <v>783</v>
      </c>
      <c r="C16" s="20" t="n">
        <f aca="false">PL!E118</f>
        <v>0.432768335960168</v>
      </c>
      <c r="E16" s="20" t="n">
        <f aca="false">PL!E183</f>
        <v>0.432768335960168</v>
      </c>
      <c r="G16" s="20" t="n">
        <f aca="false">PL!E248</f>
        <v>0.432768335960168</v>
      </c>
      <c r="I16" s="8" t="s">
        <v>132</v>
      </c>
      <c r="J16" s="4" t="s">
        <v>784</v>
      </c>
    </row>
    <row r="17" customFormat="false" ht="17.15" hidden="false" customHeight="false" outlineLevel="0" collapsed="false">
      <c r="A17" s="6" t="s">
        <v>785</v>
      </c>
    </row>
    <row r="18" customFormat="false" ht="17.15" hidden="false" customHeight="false" outlineLevel="0" collapsed="false">
      <c r="A18" s="0" t="s">
        <v>786</v>
      </c>
      <c r="B18" s="21" t="n">
        <f aca="false">k_racks</f>
        <v>15</v>
      </c>
      <c r="C18" s="21" t="n">
        <f aca="false">PL!D94</f>
        <v>12.0597330420658</v>
      </c>
      <c r="D18" s="20" t="n">
        <f aca="false">C18/B18-1</f>
        <v>-0.196017797195612</v>
      </c>
      <c r="E18" s="21" t="n">
        <f aca="false">PL!D159</f>
        <v>12.0597330420658</v>
      </c>
      <c r="F18" s="20" t="n">
        <f aca="false">E18/B18-1</f>
        <v>-0.196017797195612</v>
      </c>
      <c r="G18" s="21" t="n">
        <f aca="false">PL!D224</f>
        <v>12.0597330420658</v>
      </c>
      <c r="H18" s="20" t="n">
        <f aca="false">G18/B18-1</f>
        <v>-0.196017797195612</v>
      </c>
      <c r="I18" s="4" t="s">
        <v>771</v>
      </c>
      <c r="J18" s="4" t="s">
        <v>787</v>
      </c>
    </row>
    <row r="19" customFormat="false" ht="17.15" hidden="false" customHeight="false" outlineLevel="0" collapsed="false">
      <c r="A19" s="0" t="s">
        <v>788</v>
      </c>
      <c r="B19" s="20" t="n">
        <f aca="false">rk_sh</f>
        <v>0.31438127090301</v>
      </c>
      <c r="C19" s="20" t="n">
        <f aca="false">PL!D70</f>
        <v>0.0875096501918446</v>
      </c>
      <c r="D19" s="20" t="n">
        <f aca="false">C19-B19</f>
        <v>-0.226871620711165</v>
      </c>
      <c r="E19" s="20" t="n">
        <f aca="false">PL!D135</f>
        <v>0.0875096501918446</v>
      </c>
      <c r="F19" s="20" t="n">
        <f aca="false">E19-B19</f>
        <v>-0.226871620711165</v>
      </c>
      <c r="G19" s="20" t="n">
        <f aca="false">PL!D200</f>
        <v>0.0875096501918446</v>
      </c>
      <c r="H19" s="20" t="n">
        <f aca="false">G19-B19</f>
        <v>-0.226871620711165</v>
      </c>
      <c r="I19" s="4" t="s">
        <v>789</v>
      </c>
      <c r="J19" s="4" t="s">
        <v>790</v>
      </c>
    </row>
    <row r="20" customFormat="false" ht="17.15" hidden="false" customHeight="false" outlineLevel="0" collapsed="false">
      <c r="A20" s="0" t="s">
        <v>791</v>
      </c>
      <c r="B20" s="21" t="n">
        <f aca="false">2.35*12</f>
        <v>28.2</v>
      </c>
      <c r="C20" s="21" t="n">
        <f aca="false">PL!D94</f>
        <v>12.0597330420658</v>
      </c>
      <c r="D20" s="20" t="n">
        <f aca="false">C20/B20-1</f>
        <v>-0.572349892125325</v>
      </c>
      <c r="E20" s="21" t="n">
        <f aca="false">PL!D159</f>
        <v>12.0597330420658</v>
      </c>
      <c r="F20" s="20" t="n">
        <f aca="false">E20/B20-1</f>
        <v>-0.572349892125325</v>
      </c>
      <c r="G20" s="21" t="n">
        <f aca="false">PL!D224</f>
        <v>12.0597330420658</v>
      </c>
      <c r="H20" s="20" t="n">
        <f aca="false">G20/B20-1</f>
        <v>-0.572349892125325</v>
      </c>
      <c r="I20" s="4" t="s">
        <v>792</v>
      </c>
      <c r="J20" s="4" t="s">
        <v>793</v>
      </c>
    </row>
    <row r="21" customFormat="false" ht="17.15" hidden="false" customHeight="false" outlineLevel="0" collapsed="false">
      <c r="A21" s="0" t="s">
        <v>794</v>
      </c>
      <c r="B21" s="21" t="n">
        <v>100</v>
      </c>
      <c r="C21" s="21" t="n">
        <f aca="false">PL!D80</f>
        <v>110</v>
      </c>
      <c r="D21" s="20" t="n">
        <f aca="false">C21/B21-1</f>
        <v>0.1</v>
      </c>
      <c r="E21" s="21" t="n">
        <f aca="false">PL!D145</f>
        <v>110</v>
      </c>
      <c r="F21" s="20" t="n">
        <f aca="false">E21/B21-1</f>
        <v>0.1</v>
      </c>
      <c r="G21" s="21" t="n">
        <f aca="false">PL!D210</f>
        <v>110</v>
      </c>
      <c r="H21" s="20" t="n">
        <f aca="false">G21/B21-1</f>
        <v>0.1</v>
      </c>
      <c r="I21" s="4" t="s">
        <v>771</v>
      </c>
      <c r="J21" s="4" t="s">
        <v>795</v>
      </c>
    </row>
    <row r="22" customFormat="false" ht="17.15" hidden="false" customHeight="false" outlineLevel="0" collapsed="false">
      <c r="A22" s="0" t="s">
        <v>796</v>
      </c>
      <c r="B22" s="21" t="n">
        <v>17</v>
      </c>
      <c r="C22" s="21" t="n">
        <f aca="false">PL!D82</f>
        <v>150</v>
      </c>
      <c r="D22" s="20" t="n">
        <f aca="false">C22/B22-1</f>
        <v>7.82352941176471</v>
      </c>
      <c r="E22" s="21" t="n">
        <f aca="false">PL!D147</f>
        <v>150</v>
      </c>
      <c r="F22" s="20" t="n">
        <f aca="false">E22/B22-1</f>
        <v>7.82352941176471</v>
      </c>
      <c r="G22" s="21" t="n">
        <f aca="false">PL!D212</f>
        <v>150</v>
      </c>
      <c r="H22" s="20" t="n">
        <f aca="false">G22/B22-1</f>
        <v>7.82352941176471</v>
      </c>
      <c r="I22" s="4" t="s">
        <v>771</v>
      </c>
      <c r="J22" s="4" t="s">
        <v>797</v>
      </c>
    </row>
    <row r="23" customFormat="false" ht="17.15" hidden="false" customHeight="false" outlineLevel="0" collapsed="false">
      <c r="A23" s="6" t="s">
        <v>798</v>
      </c>
    </row>
    <row r="24" customFormat="false" ht="17.15" hidden="false" customHeight="false" outlineLevel="0" collapsed="false">
      <c r="A24" s="0" t="s">
        <v>799</v>
      </c>
      <c r="C24" s="20" t="n">
        <f aca="false">PL!D116/PL!D115</f>
        <v>0.44164508648772</v>
      </c>
      <c r="E24" s="20" t="n">
        <f aca="false">PL!D181/PL!D180</f>
        <v>0.44164508648772</v>
      </c>
      <c r="G24" s="20" t="n">
        <f aca="false">PL!D246/PL!D245</f>
        <v>0.44164508648772</v>
      </c>
      <c r="I24" s="8" t="s">
        <v>132</v>
      </c>
      <c r="J24" s="4" t="s">
        <v>800</v>
      </c>
    </row>
    <row r="25" customFormat="false" ht="17.15" hidden="false" customHeight="false" outlineLevel="0" collapsed="false">
      <c r="A25" s="0" t="s">
        <v>801</v>
      </c>
      <c r="C25" s="20" t="n">
        <f aca="false">PL!E93</f>
        <v>0.359554272563384</v>
      </c>
      <c r="E25" s="20" t="n">
        <f aca="false">PL!E158</f>
        <v>0.359554272563384</v>
      </c>
      <c r="G25" s="20" t="n">
        <f aca="false">PL!E223</f>
        <v>0.359554272563384</v>
      </c>
      <c r="I25" s="8" t="s">
        <v>132</v>
      </c>
    </row>
    <row r="26" customFormat="false" ht="17.15" hidden="false" customHeight="false" outlineLevel="0" collapsed="false">
      <c r="A26" s="0" t="s">
        <v>802</v>
      </c>
      <c r="C26" s="18" t="n">
        <f aca="false">Q!E24</f>
        <v>5.25824362875429</v>
      </c>
      <c r="E26" s="18" t="n">
        <f aca="false">Q!E24</f>
        <v>5.25824362875429</v>
      </c>
      <c r="G26" s="18" t="n">
        <f aca="false">Q!E24</f>
        <v>5.25824362875429</v>
      </c>
      <c r="I26" s="8" t="s">
        <v>132</v>
      </c>
    </row>
    <row r="27" customFormat="false" ht="17.15" hidden="false" customHeight="false" outlineLevel="0" collapsed="false">
      <c r="A27" s="6" t="s">
        <v>803</v>
      </c>
    </row>
    <row r="28" customFormat="false" ht="17.15" hidden="false" customHeight="false" outlineLevel="0" collapsed="false">
      <c r="A28" s="0" t="s">
        <v>804</v>
      </c>
      <c r="J28" s="4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806</v>
      </c>
    </row>
    <row r="3" customFormat="false" ht="17.15" hidden="false" customHeight="false" outlineLevel="0" collapsed="false">
      <c r="A3" s="5" t="s">
        <v>807</v>
      </c>
      <c r="B3" s="5" t="s">
        <v>808</v>
      </c>
      <c r="C3" s="14" t="s">
        <v>809</v>
      </c>
      <c r="D3" s="14" t="s">
        <v>810</v>
      </c>
      <c r="E3" s="14" t="s">
        <v>698</v>
      </c>
      <c r="F3" s="14" t="s">
        <v>811</v>
      </c>
      <c r="G3" s="14" t="s">
        <v>812</v>
      </c>
      <c r="H3" s="14" t="s">
        <v>813</v>
      </c>
      <c r="I3" s="14" t="s">
        <v>814</v>
      </c>
      <c r="J3" s="14" t="s">
        <v>815</v>
      </c>
    </row>
    <row r="4" customFormat="false" ht="17.15" hidden="false" customHeight="false" outlineLevel="0" collapsed="false">
      <c r="A4" s="4" t="s">
        <v>816</v>
      </c>
      <c r="B4" s="0" t="s">
        <v>817</v>
      </c>
      <c r="C4" s="24" t="n">
        <f aca="false">PL!E90</f>
        <v>5959.35161443524</v>
      </c>
      <c r="D4" s="17" t="n">
        <f aca="false">PL!E112</f>
        <v>0.0555634787363554</v>
      </c>
      <c r="E4" s="18" t="n">
        <f aca="false">PL!E120</f>
        <v>27.5760920536011</v>
      </c>
      <c r="F4" s="20" t="n">
        <f aca="false">E4/E$4-1</f>
        <v>0</v>
      </c>
      <c r="G4" s="24" t="n">
        <f aca="false">PL!F90</f>
        <v>6607.43521272701</v>
      </c>
      <c r="H4" s="17" t="n">
        <f aca="false">PL!F112</f>
        <v>0.058677272972678</v>
      </c>
      <c r="I4" s="18" t="n">
        <f aca="false">PL!F120</f>
        <v>33.1322415019653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818</v>
      </c>
      <c r="B5" s="0" t="s">
        <v>819</v>
      </c>
      <c r="C5" s="24" t="n">
        <f aca="false">E70</f>
        <v>5065.83129651572</v>
      </c>
      <c r="D5" s="17" t="n">
        <f aca="false">E92</f>
        <v>0.0561363999427299</v>
      </c>
      <c r="E5" s="18" t="n">
        <f aca="false">E100</f>
        <v>22.8433953502795</v>
      </c>
      <c r="F5" s="20" t="n">
        <f aca="false">E5/E$4-1</f>
        <v>-0.171623183376469</v>
      </c>
      <c r="G5" s="24" t="n">
        <f aca="false">F70</f>
        <v>5596.48519893513</v>
      </c>
      <c r="H5" s="17" t="n">
        <f aca="false">F92</f>
        <v>0.0590702392477038</v>
      </c>
      <c r="I5" s="18" t="n">
        <f aca="false">F100</f>
        <v>27.3535762925457</v>
      </c>
      <c r="J5" s="20" t="n">
        <f aca="false">I5/I$4-1</f>
        <v>-0.174412141993981</v>
      </c>
    </row>
    <row r="6" customFormat="false" ht="17.15" hidden="false" customHeight="false" outlineLevel="0" collapsed="false">
      <c r="A6" s="0" t="s">
        <v>820</v>
      </c>
      <c r="B6" s="0" t="s">
        <v>821</v>
      </c>
      <c r="C6" s="24" t="n">
        <f aca="false">E135</f>
        <v>6852.87193235477</v>
      </c>
      <c r="D6" s="17" t="n">
        <f aca="false">E157</f>
        <v>0.0551399596327827</v>
      </c>
      <c r="E6" s="18" t="n">
        <f aca="false">E165</f>
        <v>32.3087887569227</v>
      </c>
      <c r="F6" s="20" t="n">
        <f aca="false">E6/E$4-1</f>
        <v>0.171623183376469</v>
      </c>
      <c r="G6" s="24" t="n">
        <f aca="false">F135</f>
        <v>7618.38522651889</v>
      </c>
      <c r="H6" s="17" t="n">
        <f aca="false">F157</f>
        <v>0.0583885989457718</v>
      </c>
      <c r="I6" s="18" t="n">
        <f aca="false">F165</f>
        <v>38.9116629416845</v>
      </c>
      <c r="J6" s="20" t="n">
        <f aca="false">I6/I$4-1</f>
        <v>0.17443496659821</v>
      </c>
    </row>
    <row r="7" customFormat="false" ht="17.15" hidden="false" customHeight="false" outlineLevel="0" collapsed="false">
      <c r="A7" s="4" t="s">
        <v>822</v>
      </c>
      <c r="B7" s="4" t="s">
        <v>823</v>
      </c>
      <c r="C7" s="24" t="n">
        <f aca="false">E200</f>
        <v>5528.73162587824</v>
      </c>
      <c r="D7" s="17" t="n">
        <f aca="false">E222</f>
        <v>0.0571801816057502</v>
      </c>
      <c r="E7" s="18" t="n">
        <f aca="false">E230</f>
        <v>25.5027673189832</v>
      </c>
      <c r="F7" s="20" t="n">
        <f aca="false">E7/E$4-1</f>
        <v>-0.0751855894079516</v>
      </c>
      <c r="G7" s="24" t="n">
        <f aca="false">F200</f>
        <v>5960.48870851183</v>
      </c>
      <c r="H7" s="17" t="n">
        <f aca="false">F222</f>
        <v>0.0608388685666715</v>
      </c>
      <c r="I7" s="18" t="n">
        <f aca="false">F230</f>
        <v>29.5590988119518</v>
      </c>
      <c r="J7" s="20" t="n">
        <f aca="false">I7/I$4-1</f>
        <v>-0.10784488244786</v>
      </c>
    </row>
    <row r="8" customFormat="false" ht="17.15" hidden="false" customHeight="false" outlineLevel="0" collapsed="false">
      <c r="A8" s="4" t="s">
        <v>824</v>
      </c>
      <c r="B8" s="4" t="s">
        <v>825</v>
      </c>
      <c r="C8" s="24" t="n">
        <f aca="false">E265</f>
        <v>6389.97160299224</v>
      </c>
      <c r="D8" s="17" t="n">
        <f aca="false">E287</f>
        <v>0.0541646749796242</v>
      </c>
      <c r="E8" s="18" t="n">
        <f aca="false">E295</f>
        <v>29.649416788219</v>
      </c>
      <c r="F8" s="20" t="n">
        <f aca="false">E8/E$4-1</f>
        <v>0.0751855894079521</v>
      </c>
      <c r="G8" s="24" t="n">
        <f aca="false">F265</f>
        <v>7254.38171694218</v>
      </c>
      <c r="H8" s="17" t="n">
        <f aca="false">F287</f>
        <v>0.0569012200114344</v>
      </c>
      <c r="I8" s="18" t="n">
        <f aca="false">F295</f>
        <v>36.7238262836718</v>
      </c>
      <c r="J8" s="20" t="n">
        <f aca="false">I8/I$4-1</f>
        <v>0.108401503154967</v>
      </c>
    </row>
    <row r="9" customFormat="false" ht="17.15" hidden="false" customHeight="false" outlineLevel="0" collapsed="false">
      <c r="A9" s="4" t="s">
        <v>826</v>
      </c>
      <c r="B9" s="4" t="s">
        <v>823</v>
      </c>
      <c r="C9" s="24" t="n">
        <f aca="false">E330</f>
        <v>5745.28286155859</v>
      </c>
      <c r="D9" s="17" t="n">
        <f aca="false">E352</f>
        <v>0.0544666764469332</v>
      </c>
      <c r="E9" s="18" t="n">
        <f aca="false">E360</f>
        <v>26.3838127304364</v>
      </c>
      <c r="F9" s="20" t="n">
        <f aca="false">E9/E$4-1</f>
        <v>-0.0432359785007677</v>
      </c>
      <c r="G9" s="24" t="n">
        <f aca="false">F330</f>
        <v>6155.17331594927</v>
      </c>
      <c r="H9" s="17" t="n">
        <f aca="false">F352</f>
        <v>0.0567431655409845</v>
      </c>
      <c r="I9" s="18" t="n">
        <f aca="false">F360</f>
        <v>30.6133194223191</v>
      </c>
      <c r="J9" s="20" t="n">
        <f aca="false">I9/I$4-1</f>
        <v>-0.0760263104896437</v>
      </c>
    </row>
    <row r="10" customFormat="false" ht="17.15" hidden="false" customHeight="false" outlineLevel="0" collapsed="false">
      <c r="A10" s="4" t="s">
        <v>827</v>
      </c>
      <c r="B10" s="4" t="s">
        <v>828</v>
      </c>
      <c r="C10" s="24" t="n">
        <f aca="false">E395</f>
        <v>6244.77661827078</v>
      </c>
      <c r="D10" s="17" t="n">
        <f aca="false">E417</f>
        <v>0.0569089102398616</v>
      </c>
      <c r="E10" s="18" t="n">
        <f aca="false">E425</f>
        <v>29.1657978178207</v>
      </c>
      <c r="F10" s="20" t="n">
        <f aca="false">E10/E$4-1</f>
        <v>0.0576479713343572</v>
      </c>
      <c r="G10" s="24" t="n">
        <f aca="false">F395</f>
        <v>6969.2447301492</v>
      </c>
      <c r="H10" s="17" t="n">
        <f aca="false">F417</f>
        <v>0.0600438217927806</v>
      </c>
      <c r="I10" s="18" t="n">
        <f aca="false">F425</f>
        <v>35.1473791656824</v>
      </c>
      <c r="J10" s="20" t="n">
        <f aca="false">I10/I$4-1</f>
        <v>0.0608210483917153</v>
      </c>
    </row>
    <row r="11" customFormat="false" ht="17.15" hidden="false" customHeight="false" outlineLevel="0" collapsed="false">
      <c r="A11" s="4" t="s">
        <v>829</v>
      </c>
      <c r="B11" s="4" t="s">
        <v>830</v>
      </c>
      <c r="C11" s="24" t="n">
        <f aca="false">E460</f>
        <v>5480.88496048301</v>
      </c>
      <c r="D11" s="17" t="n">
        <f aca="false">E482</f>
        <v>0.0601377927892386</v>
      </c>
      <c r="E11" s="18" t="n">
        <f aca="false">E490</f>
        <v>27.7442063219131</v>
      </c>
      <c r="F11" s="20" t="n">
        <f aca="false">E11/E$4-1</f>
        <v>0.00609637754273806</v>
      </c>
      <c r="G11" s="24" t="n">
        <f aca="false">F460</f>
        <v>5839.18623897149</v>
      </c>
      <c r="H11" s="17" t="n">
        <f aca="false">F482</f>
        <v>0.0659810015986108</v>
      </c>
      <c r="I11" s="18" t="n">
        <f aca="false">F490</f>
        <v>33.3030085366563</v>
      </c>
      <c r="J11" s="20" t="n">
        <f aca="false">I11/I$4-1</f>
        <v>0.00515410449005871</v>
      </c>
    </row>
    <row r="12" customFormat="false" ht="17.15" hidden="false" customHeight="false" outlineLevel="0" collapsed="false">
      <c r="A12" s="4" t="s">
        <v>831</v>
      </c>
      <c r="B12" s="4" t="s">
        <v>832</v>
      </c>
      <c r="C12" s="24" t="n">
        <f aca="false">E525</f>
        <v>5959.35161443524</v>
      </c>
      <c r="D12" s="17" t="n">
        <f aca="false">E547</f>
        <v>0.0552247433047381</v>
      </c>
      <c r="E12" s="18" t="n">
        <f aca="false">E555</f>
        <v>27.2465175978828</v>
      </c>
      <c r="F12" s="20" t="n">
        <f aca="false">E12/E$4-1</f>
        <v>-0.0119514561772467</v>
      </c>
      <c r="G12" s="24" t="n">
        <f aca="false">F525</f>
        <v>6607.43521272701</v>
      </c>
      <c r="H12" s="17" t="n">
        <f aca="false">F547</f>
        <v>0.0579414585514873</v>
      </c>
      <c r="I12" s="18" t="n">
        <f aca="false">F555</f>
        <v>32.3384707074172</v>
      </c>
      <c r="J12" s="20" t="n">
        <f aca="false">I12/I$4-1</f>
        <v>-0.0239576544949757</v>
      </c>
    </row>
    <row r="13" customFormat="false" ht="17.15" hidden="false" customHeight="false" outlineLevel="0" collapsed="false">
      <c r="A13" s="4" t="s">
        <v>833</v>
      </c>
      <c r="B13" s="0" t="s">
        <v>834</v>
      </c>
      <c r="C13" s="24" t="n">
        <f aca="false">E590</f>
        <v>5959.35161443524</v>
      </c>
      <c r="D13" s="17" t="n">
        <f aca="false">E612</f>
        <v>0.0555634787363554</v>
      </c>
      <c r="E13" s="18" t="n">
        <f aca="false">E620</f>
        <v>27.5760920536011</v>
      </c>
      <c r="F13" s="20" t="n">
        <f aca="false">E13/E$4-1</f>
        <v>0</v>
      </c>
      <c r="G13" s="24" t="n">
        <f aca="false">F590</f>
        <v>5875.12869040705</v>
      </c>
      <c r="H13" s="17" t="n">
        <f aca="false">F612</f>
        <v>0.0590240072491491</v>
      </c>
      <c r="I13" s="18" t="n">
        <f aca="false">F620</f>
        <v>28.8561379060773</v>
      </c>
      <c r="J13" s="20" t="n">
        <f aca="false">I13/I$4-1</f>
        <v>-0.129061705518307</v>
      </c>
    </row>
    <row r="14" customFormat="false" ht="17.15" hidden="false" customHeight="false" outlineLevel="0" collapsed="false">
      <c r="A14" s="4" t="s">
        <v>835</v>
      </c>
      <c r="B14" s="0" t="s">
        <v>821</v>
      </c>
      <c r="C14" s="24" t="n">
        <f aca="false">E655</f>
        <v>5959.35161443524</v>
      </c>
      <c r="D14" s="17" t="n">
        <f aca="false">E677</f>
        <v>0.0555634787363554</v>
      </c>
      <c r="E14" s="18" t="n">
        <f aca="false">E685</f>
        <v>27.5760920536011</v>
      </c>
      <c r="F14" s="20" t="n">
        <f aca="false">E14/E$4-1</f>
        <v>0</v>
      </c>
      <c r="G14" s="24" t="n">
        <f aca="false">F655</f>
        <v>7583.84390915362</v>
      </c>
      <c r="H14" s="17" t="n">
        <f aca="false">F677</f>
        <v>0.0583191241640536</v>
      </c>
      <c r="I14" s="18" t="n">
        <f aca="false">F685</f>
        <v>38.6173765983007</v>
      </c>
      <c r="J14" s="20" t="n">
        <f aca="false">I14/I$4-1</f>
        <v>0.165552792315907</v>
      </c>
    </row>
    <row r="15" customFormat="false" ht="17.15" hidden="false" customHeight="false" outlineLevel="0" collapsed="false">
      <c r="A15" s="4" t="s">
        <v>836</v>
      </c>
      <c r="B15" s="0" t="s">
        <v>837</v>
      </c>
      <c r="C15" s="24" t="n">
        <f aca="false">E720</f>
        <v>5925.41628509392</v>
      </c>
      <c r="D15" s="17" t="n">
        <f aca="false">E742</f>
        <v>0.0554599393995213</v>
      </c>
      <c r="E15" s="18" t="n">
        <f aca="false">E750</f>
        <v>27.1975340939897</v>
      </c>
      <c r="F15" s="20" t="n">
        <f aca="false">E15/E$4-1</f>
        <v>-0.0137277594981761</v>
      </c>
      <c r="G15" s="24" t="n">
        <f aca="false">F720</f>
        <v>6561.9861109306</v>
      </c>
      <c r="H15" s="17" t="n">
        <f aca="false">F742</f>
        <v>0.058573622807233</v>
      </c>
      <c r="I15" s="18" t="n">
        <f aca="false">F750</f>
        <v>32.6223072939905</v>
      </c>
      <c r="J15" s="20" t="n">
        <f aca="false">I15/I$4-1</f>
        <v>-0.0153908756201913</v>
      </c>
    </row>
    <row r="16" customFormat="false" ht="17.15" hidden="false" customHeight="false" outlineLevel="0" collapsed="false">
      <c r="A16" s="4" t="s">
        <v>838</v>
      </c>
      <c r="B16" s="0" t="s">
        <v>839</v>
      </c>
      <c r="C16" s="24" t="n">
        <f aca="false">E785</f>
        <v>5996.23784198015</v>
      </c>
      <c r="D16" s="17" t="n">
        <f aca="false">E807</f>
        <v>0.0556746922514309</v>
      </c>
      <c r="E16" s="18" t="n">
        <f aca="false">E815</f>
        <v>27.987568096657</v>
      </c>
      <c r="F16" s="20" t="n">
        <f aca="false">E16/E$4-1</f>
        <v>0.0149214777154092</v>
      </c>
      <c r="G16" s="24" t="n">
        <f aca="false">F785</f>
        <v>6650.6118594336</v>
      </c>
      <c r="H16" s="17" t="n">
        <f aca="false">F807</f>
        <v>0.058774428454369</v>
      </c>
      <c r="I16" s="18" t="n">
        <f aca="false">F815</f>
        <v>33.6159828420607</v>
      </c>
      <c r="J16" s="20" t="n">
        <f aca="false">I16/I$4-1</f>
        <v>0.0146003203576375</v>
      </c>
    </row>
    <row r="17" customFormat="false" ht="17.15" hidden="false" customHeight="false" outlineLevel="0" collapsed="false">
      <c r="A17" s="4" t="s">
        <v>840</v>
      </c>
      <c r="B17" s="4" t="s">
        <v>841</v>
      </c>
      <c r="C17" s="24" t="n">
        <f aca="false">E850</f>
        <v>5959.35161443524</v>
      </c>
      <c r="D17" s="17" t="n">
        <f aca="false">E872</f>
        <v>0.0548794030359215</v>
      </c>
      <c r="E17" s="18" t="n">
        <f aca="false">E880</f>
        <v>26.9105169303723</v>
      </c>
      <c r="F17" s="20" t="n">
        <f aca="false">E17/E$4-1</f>
        <v>-0.0241359479775131</v>
      </c>
      <c r="G17" s="24" t="n">
        <f aca="false">F850</f>
        <v>6607.43521272701</v>
      </c>
      <c r="H17" s="17" t="n">
        <f aca="false">F872</f>
        <v>0.0577788570153779</v>
      </c>
      <c r="I17" s="18" t="n">
        <f aca="false">F880</f>
        <v>32.1630618722607</v>
      </c>
      <c r="J17" s="20" t="n">
        <f aca="false">I17/I$4-1</f>
        <v>-0.0292518581831277</v>
      </c>
    </row>
    <row r="18" customFormat="false" ht="17.15" hidden="false" customHeight="false" outlineLevel="0" collapsed="false">
      <c r="A18" s="4" t="s">
        <v>842</v>
      </c>
      <c r="B18" s="4" t="s">
        <v>843</v>
      </c>
      <c r="C18" s="24" t="n">
        <f aca="false">E915</f>
        <v>5959.35161443524</v>
      </c>
      <c r="D18" s="17" t="n">
        <f aca="false">E937</f>
        <v>0.0555634787363554</v>
      </c>
      <c r="E18" s="18" t="n">
        <f aca="false">E945</f>
        <v>25.7400829043209</v>
      </c>
      <c r="F18" s="20" t="n">
        <f aca="false">E18/E$4-1</f>
        <v>-0.0665797439938719</v>
      </c>
      <c r="G18" s="24" t="n">
        <f aca="false">F915</f>
        <v>6607.43521272701</v>
      </c>
      <c r="H18" s="17" t="n">
        <f aca="false">F937</f>
        <v>0.058677272972678</v>
      </c>
      <c r="I18" s="18" t="n">
        <f aca="false">F945</f>
        <v>30.9321875316943</v>
      </c>
      <c r="J18" s="20" t="n">
        <f aca="false">I18/I$4-1</f>
        <v>-0.0664022073526346</v>
      </c>
    </row>
    <row r="19" customFormat="false" ht="17.15" hidden="false" customHeight="false" outlineLevel="0" collapsed="false">
      <c r="A19" s="4" t="s">
        <v>844</v>
      </c>
      <c r="C19" s="24" t="n">
        <f aca="false">E980</f>
        <v>5959.35161443524</v>
      </c>
      <c r="D19" s="17" t="n">
        <f aca="false">E1002</f>
        <v>0.0555634787363554</v>
      </c>
      <c r="E19" s="18" t="n">
        <f aca="false">E1010</f>
        <v>29.4121012028813</v>
      </c>
      <c r="F19" s="20" t="n">
        <f aca="false">E19/E$4-1</f>
        <v>0.0665797439938718</v>
      </c>
      <c r="G19" s="24" t="n">
        <f aca="false">F980</f>
        <v>6607.43521272701</v>
      </c>
      <c r="H19" s="17" t="n">
        <f aca="false">F1002</f>
        <v>0.058677272972678</v>
      </c>
      <c r="I19" s="18" t="n">
        <f aca="false">F1010</f>
        <v>35.3322954722364</v>
      </c>
      <c r="J19" s="20" t="n">
        <f aca="false">I19/I$4-1</f>
        <v>0.0664022073526347</v>
      </c>
    </row>
    <row r="20" customFormat="false" ht="17.15" hidden="false" customHeight="false" outlineLevel="0" collapsed="false">
      <c r="A20" s="4" t="s">
        <v>845</v>
      </c>
      <c r="B20" s="4" t="s">
        <v>846</v>
      </c>
      <c r="C20" s="24" t="n">
        <f aca="false">E1045</f>
        <v>5959.35161443524</v>
      </c>
      <c r="D20" s="17" t="n">
        <f aca="false">E1067</f>
        <v>0.0555634787363554</v>
      </c>
      <c r="E20" s="18" t="n">
        <f aca="false">E1075</f>
        <v>24.5035499390283</v>
      </c>
      <c r="F20" s="20" t="n">
        <f aca="false">E20/E$4-1</f>
        <v>-0.111420505436395</v>
      </c>
      <c r="G20" s="24" t="n">
        <f aca="false">F1045</f>
        <v>6607.43521272701</v>
      </c>
      <c r="H20" s="17" t="n">
        <f aca="false">F1067</f>
        <v>0.058677272972678</v>
      </c>
      <c r="I20" s="18" t="n">
        <f aca="false">F1075</f>
        <v>29.4331201154075</v>
      </c>
      <c r="J20" s="20" t="n">
        <f aca="false">I20/I$4-1</f>
        <v>-0.11164718168369</v>
      </c>
    </row>
    <row r="21" customFormat="false" ht="17.15" hidden="false" customHeight="false" outlineLevel="0" collapsed="false">
      <c r="A21" s="4" t="s">
        <v>847</v>
      </c>
      <c r="C21" s="24" t="n">
        <f aca="false">E1110</f>
        <v>5959.35161443524</v>
      </c>
      <c r="D21" s="17" t="n">
        <f aca="false">E1132</f>
        <v>0.0555634787363554</v>
      </c>
      <c r="E21" s="18" t="n">
        <f aca="false">E1140</f>
        <v>30.0899901473425</v>
      </c>
      <c r="F21" s="20" t="n">
        <f aca="false">E21/E$4-1</f>
        <v>0.0911622317206873</v>
      </c>
      <c r="G21" s="24" t="n">
        <f aca="false">F1110</f>
        <v>6607.43521272701</v>
      </c>
      <c r="H21" s="17" t="n">
        <f aca="false">F1132</f>
        <v>0.058677272972678</v>
      </c>
      <c r="I21" s="18" t="n">
        <f aca="false">F1140</f>
        <v>36.1587953636945</v>
      </c>
      <c r="J21" s="20" t="n">
        <f aca="false">I21/I$4-1</f>
        <v>0.0913476941048372</v>
      </c>
    </row>
    <row r="22" customFormat="false" ht="17.15" hidden="false" customHeight="false" outlineLevel="0" collapsed="false">
      <c r="A22" s="4" t="s">
        <v>848</v>
      </c>
      <c r="B22" s="4" t="s">
        <v>849</v>
      </c>
      <c r="C22" s="24" t="n">
        <f aca="false">E1175</f>
        <v>5959.35161443524</v>
      </c>
      <c r="D22" s="17" t="n">
        <f aca="false">E1197</f>
        <v>0.0555634787363554</v>
      </c>
      <c r="E22" s="18" t="n">
        <f aca="false">E1205</f>
        <v>26.7272789065612</v>
      </c>
      <c r="F22" s="20" t="n">
        <f aca="false">E22/E$4-1</f>
        <v>-0.0307807627487593</v>
      </c>
      <c r="G22" s="24" t="n">
        <f aca="false">F1175</f>
        <v>6607.43521272701</v>
      </c>
      <c r="H22" s="17" t="n">
        <f aca="false">F1197</f>
        <v>0.058677272972678</v>
      </c>
      <c r="I22" s="18" t="n">
        <f aca="false">F1205</f>
        <v>32.1151252556245</v>
      </c>
      <c r="J22" s="20" t="n">
        <f aca="false">I22/I$4-1</f>
        <v>-0.0306986850340472</v>
      </c>
    </row>
    <row r="23" customFormat="false" ht="17.15" hidden="false" customHeight="false" outlineLevel="0" collapsed="false">
      <c r="A23" s="4" t="s">
        <v>850</v>
      </c>
      <c r="B23" s="4" t="s">
        <v>851</v>
      </c>
      <c r="C23" s="24" t="n">
        <f aca="false">E1240</f>
        <v>5959.35161443524</v>
      </c>
      <c r="D23" s="17" t="n">
        <f aca="false">E1262</f>
        <v>0.0555634787363554</v>
      </c>
      <c r="E23" s="18" t="n">
        <f aca="false">E1270</f>
        <v>26.3298418398027</v>
      </c>
      <c r="F23" s="20" t="n">
        <f aca="false">E23/E$4-1</f>
        <v>-0.0451931409053894</v>
      </c>
      <c r="G23" s="24" t="n">
        <f aca="false">F1240</f>
        <v>6607.43521272701</v>
      </c>
      <c r="H23" s="17" t="n">
        <f aca="false">F1262</f>
        <v>0.058677272972678</v>
      </c>
      <c r="I23" s="18" t="n">
        <f aca="false">F1270</f>
        <v>30.5449839527826</v>
      </c>
      <c r="J23" s="20" t="n">
        <f aca="false">I23/I$4-1</f>
        <v>-0.0780888171731233</v>
      </c>
    </row>
    <row r="24" customFormat="false" ht="17.15" hidden="false" customHeight="false" outlineLevel="0" collapsed="false">
      <c r="A24" s="4" t="s">
        <v>852</v>
      </c>
      <c r="B24" s="0" t="s">
        <v>853</v>
      </c>
      <c r="C24" s="24" t="n">
        <f aca="false">PL!E155</f>
        <v>5959.35161443524</v>
      </c>
      <c r="D24" s="17" t="n">
        <f aca="false">PL!E177</f>
        <v>0.0555634787363554</v>
      </c>
      <c r="E24" s="18" t="n">
        <f aca="false">PL!E185</f>
        <v>27.5760920536011</v>
      </c>
      <c r="F24" s="20" t="n">
        <f aca="false">E24/E$4-1</f>
        <v>0</v>
      </c>
      <c r="G24" s="24" t="n">
        <f aca="false">PL!F155</f>
        <v>5596.48519893513</v>
      </c>
      <c r="H24" s="17" t="n">
        <f aca="false">PL!F177</f>
        <v>0.0590702392477038</v>
      </c>
      <c r="I24" s="18" t="n">
        <f aca="false">PL!F185</f>
        <v>26.9646854869289</v>
      </c>
      <c r="J24" s="20" t="n">
        <f aca="false">I24/I$4-1</f>
        <v>-0.186149675827715</v>
      </c>
    </row>
    <row r="25" customFormat="false" ht="17.15" hidden="false" customHeight="false" outlineLevel="0" collapsed="false">
      <c r="A25" s="4" t="s">
        <v>854</v>
      </c>
      <c r="B25" s="0" t="s">
        <v>855</v>
      </c>
      <c r="C25" s="24" t="n">
        <f aca="false">PL!E220</f>
        <v>5959.35161443524</v>
      </c>
      <c r="D25" s="17" t="n">
        <f aca="false">PL!E242</f>
        <v>0.0555634787363554</v>
      </c>
      <c r="E25" s="18" t="n">
        <f aca="false">PL!E250</f>
        <v>27.5760920536011</v>
      </c>
      <c r="F25" s="20" t="n">
        <f aca="false">E25/E$4-1</f>
        <v>0</v>
      </c>
      <c r="G25" s="24" t="n">
        <f aca="false">PL!F220</f>
        <v>4585.53518514325</v>
      </c>
      <c r="H25" s="17" t="n">
        <f aca="false">PL!F242</f>
        <v>0.0596364761422394</v>
      </c>
      <c r="I25" s="18" t="n">
        <f aca="false">PL!F250</f>
        <v>20.6447721500282</v>
      </c>
      <c r="J25" s="20" t="n">
        <f aca="false">I25/I$4-1</f>
        <v>-0.376897812699946</v>
      </c>
    </row>
    <row r="27" customFormat="false" ht="17.15" hidden="false" customHeight="false" outlineLevel="0" collapsed="false">
      <c r="A27" s="4" t="s">
        <v>856</v>
      </c>
    </row>
    <row r="29" customFormat="false" ht="17.15" hidden="false" customHeight="false" outlineLevel="0" collapsed="false">
      <c r="A29" s="1" t="s">
        <v>857</v>
      </c>
    </row>
    <row r="30" customFormat="false" ht="17.15" hidden="false" customHeight="false" outlineLevel="0" collapsed="false">
      <c r="A30" s="5" t="s">
        <v>807</v>
      </c>
      <c r="B30" s="5" t="s">
        <v>808</v>
      </c>
      <c r="C30" s="14" t="s">
        <v>858</v>
      </c>
      <c r="D30" s="14" t="s">
        <v>859</v>
      </c>
      <c r="E30" s="5" t="s">
        <v>860</v>
      </c>
      <c r="F30" s="5" t="s">
        <v>861</v>
      </c>
    </row>
    <row r="31" customFormat="false" ht="17.15" hidden="false" customHeight="false" outlineLevel="0" collapsed="false">
      <c r="A31" s="4" t="s">
        <v>20</v>
      </c>
      <c r="B31" s="0" t="s">
        <v>862</v>
      </c>
      <c r="C31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396.964996103633</v>
      </c>
      <c r="D31" s="18" t="n">
        <f aca="false">Val!B35</f>
        <v>313.30213162954</v>
      </c>
      <c r="E31" s="18" t="n">
        <f aca="false">tp_w_dcf*C31+(1-tp_w_dcf)*D31</f>
        <v>355.133563866587</v>
      </c>
      <c r="F31" s="20" t="n">
        <f aca="false">E31/E$31-1</f>
        <v>0</v>
      </c>
    </row>
    <row r="32" customFormat="false" ht="17.15" hidden="false" customHeight="false" outlineLevel="0" collapsed="false">
      <c r="A32" s="4" t="s">
        <v>863</v>
      </c>
      <c r="B32" s="0" t="s">
        <v>864</v>
      </c>
      <c r="C32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343.640982182417</v>
      </c>
      <c r="D32" s="18" t="n">
        <f aca="false">Val!B35</f>
        <v>313.30213162954</v>
      </c>
      <c r="E32" s="18" t="n">
        <f aca="false">tp_w_dcf*C32+(1-tp_w_dcf)*D32</f>
        <v>328.471556905979</v>
      </c>
      <c r="F32" s="20" t="n">
        <f aca="false">E32/E$31-1</f>
        <v>-0.0750759986477203</v>
      </c>
    </row>
    <row r="33" customFormat="false" ht="17.15" hidden="false" customHeight="false" outlineLevel="0" collapsed="false">
      <c r="A33" s="4" t="s">
        <v>865</v>
      </c>
      <c r="B33" s="0" t="s">
        <v>866</v>
      </c>
      <c r="C33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471.599991554808</v>
      </c>
      <c r="D33" s="18" t="n">
        <f aca="false">Val!B35</f>
        <v>313.30213162954</v>
      </c>
      <c r="E33" s="18" t="n">
        <f aca="false">tp_w_dcf*C33+(1-tp_w_dcf)*D33</f>
        <v>392.451061592174</v>
      </c>
      <c r="F33" s="20" t="n">
        <f aca="false">E33/E$31-1</f>
        <v>0.105080176931985</v>
      </c>
    </row>
    <row r="34" customFormat="false" ht="17.15" hidden="false" customHeight="false" outlineLevel="0" collapsed="false">
      <c r="A34" s="4" t="s">
        <v>867</v>
      </c>
      <c r="B34" s="0" t="s">
        <v>868</v>
      </c>
      <c r="C34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428.288156652495</v>
      </c>
      <c r="D34" s="18" t="n">
        <f aca="false">Val!B35</f>
        <v>313.30213162954</v>
      </c>
      <c r="E34" s="18" t="n">
        <f aca="false">tp_w_dcf*C34+(1-tp_w_dcf)*D34</f>
        <v>370.795144141017</v>
      </c>
      <c r="F34" s="20" t="n">
        <f aca="false">E34/E$31-1</f>
        <v>0.0441005353138475</v>
      </c>
    </row>
    <row r="35" customFormat="false" ht="17.15" hidden="false" customHeight="false" outlineLevel="0" collapsed="false">
      <c r="A35" s="4" t="s">
        <v>869</v>
      </c>
      <c r="B35" s="0" t="s">
        <v>870</v>
      </c>
      <c r="C35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376.342746825987</v>
      </c>
      <c r="D35" s="18" t="n">
        <f aca="false">Val!B35</f>
        <v>313.30213162954</v>
      </c>
      <c r="E35" s="18" t="n">
        <f aca="false">tp_w_dcf*C35+(1-tp_w_dcf)*D35</f>
        <v>344.822439227763</v>
      </c>
      <c r="F35" s="20" t="n">
        <f aca="false">E35/E$31-1</f>
        <v>-0.029034497687458</v>
      </c>
    </row>
    <row r="36" customFormat="false" ht="17.15" hidden="false" customHeight="false" outlineLevel="0" collapsed="false">
      <c r="A36" s="0" t="s">
        <v>871</v>
      </c>
      <c r="C36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396.964996103633</v>
      </c>
      <c r="D36" s="18" t="n">
        <f aca="false">Val!B35</f>
        <v>313.30213162954</v>
      </c>
      <c r="E36" s="18" t="n">
        <f aca="false">0.3*C36+(1-0.3)*D36</f>
        <v>338.400990971768</v>
      </c>
      <c r="F36" s="20" t="n">
        <f aca="false">E36/E$31-1</f>
        <v>-0.0471162813017151</v>
      </c>
    </row>
    <row r="37" customFormat="false" ht="17.15" hidden="false" customHeight="false" outlineLevel="0" collapsed="false">
      <c r="A37" s="0" t="s">
        <v>872</v>
      </c>
      <c r="C37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396.964996103633</v>
      </c>
      <c r="D37" s="18" t="n">
        <f aca="false">Val!B35</f>
        <v>313.30213162954</v>
      </c>
      <c r="E37" s="18" t="n">
        <f aca="false">0.7*C37+(1-0.7)*D37</f>
        <v>371.866136761405</v>
      </c>
      <c r="F37" s="20" t="n">
        <f aca="false">E37/E$31-1</f>
        <v>0.0471162813017152</v>
      </c>
    </row>
    <row r="40" customFormat="false" ht="17.15" hidden="false" customHeight="false" outlineLevel="0" collapsed="false">
      <c r="A40" s="1" t="s">
        <v>873</v>
      </c>
    </row>
    <row r="41" customFormat="false" ht="17.15" hidden="false" customHeight="false" outlineLevel="0" collapsed="false">
      <c r="A41" s="5" t="s">
        <v>17</v>
      </c>
      <c r="B41" s="5" t="s">
        <v>18</v>
      </c>
      <c r="C41" s="14" t="s">
        <v>414</v>
      </c>
      <c r="D41" s="14" t="s">
        <v>529</v>
      </c>
      <c r="E41" s="14" t="s">
        <v>530</v>
      </c>
      <c r="F41" s="14" t="s">
        <v>531</v>
      </c>
      <c r="G41" s="14" t="s">
        <v>532</v>
      </c>
      <c r="H41" s="14" t="s">
        <v>533</v>
      </c>
      <c r="I41" s="14" t="s">
        <v>534</v>
      </c>
      <c r="J41" s="14" t="s">
        <v>535</v>
      </c>
      <c r="K41" s="5" t="s">
        <v>496</v>
      </c>
    </row>
    <row r="42" customFormat="false" ht="17.15" hidden="false" customHeight="false" outlineLevel="0" collapsed="false">
      <c r="A42" s="6" t="s">
        <v>550</v>
      </c>
    </row>
    <row r="43" customFormat="false" ht="17.15" hidden="false" customHeight="false" outlineLevel="0" collapsed="false">
      <c r="A43" s="0" t="s">
        <v>551</v>
      </c>
      <c r="B43" s="0" t="s">
        <v>28</v>
      </c>
      <c r="D43" s="21" t="n">
        <f aca="false">itc_26*1</f>
        <v>781.872916666667</v>
      </c>
      <c r="E43" s="21" t="n">
        <f aca="false">itc_27*1*0.8</f>
        <v>1252.28</v>
      </c>
      <c r="F43" s="21" t="n">
        <f aca="false">itc_28*um28_A*0.8</f>
        <v>1587.41111111111</v>
      </c>
      <c r="G43" s="21" t="n">
        <f aca="false">itc_29*um29_A*0.8</f>
        <v>1808.31222222222</v>
      </c>
    </row>
    <row r="44" customFormat="false" ht="17.15" hidden="false" customHeight="false" outlineLevel="0" collapsed="false">
      <c r="A44" s="4" t="s">
        <v>552</v>
      </c>
      <c r="B44" s="0" t="s">
        <v>28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553</v>
      </c>
      <c r="B45" s="0" t="s">
        <v>498</v>
      </c>
      <c r="D45" s="22" t="n">
        <f aca="false">D43/D44</f>
        <v>23.3995380420639</v>
      </c>
      <c r="E45" s="22" t="n">
        <f aca="false">E43/E44</f>
        <v>33.3174126608509</v>
      </c>
      <c r="F45" s="22" t="n">
        <f aca="false">F43/F44</f>
        <v>42.2337105529984</v>
      </c>
      <c r="G45" s="22" t="n">
        <f aca="false">G43/G44</f>
        <v>48.1108733888892</v>
      </c>
    </row>
    <row r="46" customFormat="false" ht="17.15" hidden="false" customHeight="false" outlineLevel="0" collapsed="false">
      <c r="A46" s="4" t="s">
        <v>554</v>
      </c>
      <c r="B46" s="0" t="s">
        <v>555</v>
      </c>
      <c r="D46" s="18" t="n">
        <f aca="false">(racks_gb*odm_gb*(1-vr26)+racks_vr*odm_vr*vr26)/1000</f>
        <v>27.1209</v>
      </c>
      <c r="E46" s="18" t="n">
        <f aca="false">racks_vr*odm_vr/1000</f>
        <v>27.351</v>
      </c>
      <c r="F46" s="18" t="n">
        <f aca="false">$E46*vpg_28</f>
        <v>27.351</v>
      </c>
      <c r="G46" s="18" t="n">
        <f aca="false">$E46*vpg_29</f>
        <v>27.351</v>
      </c>
      <c r="K46" s="4" t="s">
        <v>556</v>
      </c>
    </row>
    <row r="47" customFormat="false" ht="17.15" hidden="false" customHeight="false" outlineLevel="0" collapsed="false">
      <c r="A47" s="0" t="s">
        <v>557</v>
      </c>
      <c r="B47" s="0" t="s">
        <v>28</v>
      </c>
      <c r="D47" s="21" t="n">
        <f aca="false">D45*D46</f>
        <v>634.616531285011</v>
      </c>
      <c r="E47" s="21" t="n">
        <f aca="false">E45*E46</f>
        <v>911.264553686934</v>
      </c>
      <c r="F47" s="21" t="n">
        <f aca="false">F45*F46</f>
        <v>1155.13421733506</v>
      </c>
      <c r="G47" s="21" t="n">
        <f aca="false">G45*G46</f>
        <v>1315.88049805951</v>
      </c>
    </row>
    <row r="48" customFormat="false" ht="17.15" hidden="false" customHeight="false" outlineLevel="0" collapsed="false">
      <c r="A48" s="0" t="s">
        <v>558</v>
      </c>
      <c r="B48" s="0" t="s">
        <v>147</v>
      </c>
      <c r="D48" s="21" t="n">
        <f aca="false">D47*fx</f>
        <v>20307.7290011204</v>
      </c>
      <c r="E48" s="21" t="n">
        <f aca="false">E47*fx</f>
        <v>29160.4657179819</v>
      </c>
      <c r="F48" s="21" t="n">
        <f aca="false">F47*fx</f>
        <v>36964.2949547219</v>
      </c>
      <c r="G48" s="21" t="n">
        <f aca="false">G47*fx</f>
        <v>42108.1759379043</v>
      </c>
    </row>
    <row r="49" customFormat="false" ht="17.15" hidden="false" customHeight="false" outlineLevel="0" collapsed="false">
      <c r="A49" s="6" t="s">
        <v>559</v>
      </c>
    </row>
    <row r="50" customFormat="false" ht="17.15" hidden="false" customHeight="false" outlineLevel="0" collapsed="false">
      <c r="A50" s="4" t="s">
        <v>560</v>
      </c>
      <c r="B50" s="0" t="s">
        <v>48</v>
      </c>
      <c r="D50" s="20" t="n">
        <f aca="false">a26_ais/D48</f>
        <v>0.0875096501918446</v>
      </c>
      <c r="K50" s="8" t="s">
        <v>561</v>
      </c>
    </row>
    <row r="51" customFormat="false" ht="17.15" hidden="false" customHeight="false" outlineLevel="0" collapsed="false">
      <c r="A51" s="4" t="s">
        <v>562</v>
      </c>
      <c r="B51" s="0" t="s">
        <v>60</v>
      </c>
      <c r="D51" s="18" t="n">
        <f aca="false">1</f>
        <v>1</v>
      </c>
      <c r="E51" s="18" t="n">
        <f aca="false">rel_27</f>
        <v>1</v>
      </c>
      <c r="F51" s="18" t="n">
        <f aca="false">rel_28</f>
        <v>0.95</v>
      </c>
      <c r="G51" s="18" t="n">
        <f aca="false">rel_29</f>
        <v>0.9</v>
      </c>
    </row>
    <row r="52" customFormat="false" ht="17.15" hidden="false" customHeight="false" outlineLevel="0" collapsed="false">
      <c r="A52" s="4" t="s">
        <v>563</v>
      </c>
      <c r="B52" s="0" t="s">
        <v>48</v>
      </c>
      <c r="D52" s="20" t="n">
        <f aca="false">$D$50*D51</f>
        <v>0.0875096501918446</v>
      </c>
      <c r="E52" s="20" t="n">
        <f aca="false">$D$50*E51</f>
        <v>0.0875096501918446</v>
      </c>
      <c r="F52" s="20" t="n">
        <f aca="false">$D$50*F51</f>
        <v>0.0831341676822524</v>
      </c>
      <c r="G52" s="20" t="n">
        <f aca="false">$D$50*G51</f>
        <v>0.0787586851726601</v>
      </c>
    </row>
    <row r="53" customFormat="false" ht="17.15" hidden="false" customHeight="false" outlineLevel="0" collapsed="false">
      <c r="A53" s="4" t="s">
        <v>564</v>
      </c>
      <c r="B53" s="0" t="s">
        <v>147</v>
      </c>
      <c r="D53" s="21" t="n">
        <f aca="false">D48*D52</f>
        <v>1777.12226107882</v>
      </c>
      <c r="E53" s="21" t="n">
        <f aca="false">E48*E52</f>
        <v>2551.82215441187</v>
      </c>
      <c r="F53" s="21" t="n">
        <f aca="false">F48*F52</f>
        <v>3072.99589502208</v>
      </c>
      <c r="G53" s="21" t="n">
        <f aca="false">G48*G52</f>
        <v>3316.38457188839</v>
      </c>
    </row>
    <row r="54" customFormat="false" ht="17.15" hidden="false" customHeight="false" outlineLevel="0" collapsed="false">
      <c r="A54" s="4" t="s">
        <v>565</v>
      </c>
      <c r="B54" s="0" t="s">
        <v>48</v>
      </c>
      <c r="D54" s="20" t="n">
        <f aca="false">0</f>
        <v>0</v>
      </c>
      <c r="E54" s="20" t="n">
        <f aca="false">cs_27</f>
        <v>0.1</v>
      </c>
      <c r="F54" s="20" t="n">
        <f aca="false">cs_28</f>
        <v>0.2</v>
      </c>
      <c r="G54" s="20" t="n">
        <f aca="false">cs_29</f>
        <v>0.25</v>
      </c>
      <c r="K54" s="8" t="s">
        <v>566</v>
      </c>
    </row>
    <row r="55" customFormat="false" ht="17.15" hidden="false" customHeight="false" outlineLevel="0" collapsed="false">
      <c r="A55" s="4" t="s">
        <v>567</v>
      </c>
      <c r="B55" s="0" t="s">
        <v>147</v>
      </c>
      <c r="D55" s="21" t="n">
        <f aca="false">D53*(1-D54)</f>
        <v>1777.12226107882</v>
      </c>
      <c r="E55" s="21" t="n">
        <f aca="false">E53*(1-E54)</f>
        <v>2296.63993897068</v>
      </c>
      <c r="F55" s="21" t="n">
        <f aca="false">F53*(1-F54)</f>
        <v>2458.39671601767</v>
      </c>
      <c r="G55" s="21" t="n">
        <f aca="false">G53*(1-G54)</f>
        <v>2487.28842891629</v>
      </c>
    </row>
    <row r="56" customFormat="false" ht="17.15" hidden="false" customHeight="false" outlineLevel="0" collapsed="false">
      <c r="A56" s="6" t="s">
        <v>568</v>
      </c>
    </row>
    <row r="57" customFormat="false" ht="17.15" hidden="false" customHeight="false" outlineLevel="0" collapsed="false">
      <c r="A57" s="0" t="s">
        <v>569</v>
      </c>
      <c r="B57" s="4" t="s">
        <v>81</v>
      </c>
      <c r="D57" s="18" t="n">
        <f aca="false">gu_26*1</f>
        <v>8.35</v>
      </c>
      <c r="E57" s="18" t="n">
        <f aca="false">gu_27*1*0.8</f>
        <v>8.96</v>
      </c>
      <c r="F57" s="18" t="n">
        <f aca="false">gu_28*um28_A*0.8</f>
        <v>9.2</v>
      </c>
      <c r="G57" s="18" t="n">
        <f aca="false">gu_29*um29_A*0.8</f>
        <v>10.32</v>
      </c>
    </row>
    <row r="58" customFormat="false" ht="15" hidden="false" customHeight="false" outlineLevel="0" collapsed="false">
      <c r="A58" s="4" t="s">
        <v>570</v>
      </c>
      <c r="B58" s="0" t="s">
        <v>48</v>
      </c>
      <c r="D58" s="20" t="n">
        <f aca="false">bsh_26</f>
        <v>0.5</v>
      </c>
      <c r="E58" s="20" t="n">
        <f aca="false">bsh_26*brel_27</f>
        <v>0.5</v>
      </c>
      <c r="F58" s="20" t="n">
        <f aca="false">bsh_26*brel_28</f>
        <v>0.475</v>
      </c>
      <c r="G58" s="20" t="n">
        <f aca="false">bsh_26*brel_29</f>
        <v>0.45</v>
      </c>
    </row>
    <row r="59" customFormat="false" ht="17.15" hidden="false" customHeight="false" outlineLevel="0" collapsed="false">
      <c r="A59" s="4" t="s">
        <v>571</v>
      </c>
      <c r="B59" s="0" t="s">
        <v>520</v>
      </c>
      <c r="D59" s="24" t="n">
        <f aca="false">a26_brd/fx/D57/D58*1000</f>
        <v>823.353293413174</v>
      </c>
      <c r="E59" s="24" t="n">
        <f aca="false">$D59*bv_27</f>
        <v>946.85628742515</v>
      </c>
      <c r="F59" s="24" t="n">
        <f aca="false">$D59*bv_28</f>
        <v>988.023952095808</v>
      </c>
      <c r="G59" s="24" t="n">
        <f aca="false">$D59*bv_29</f>
        <v>988.023952095808</v>
      </c>
      <c r="K59" s="8" t="s">
        <v>572</v>
      </c>
    </row>
    <row r="60" customFormat="false" ht="17.15" hidden="false" customHeight="false" outlineLevel="0" collapsed="false">
      <c r="A60" s="0" t="s">
        <v>522</v>
      </c>
      <c r="B60" s="0" t="s">
        <v>147</v>
      </c>
      <c r="D60" s="21" t="n">
        <f aca="false">D57*D58*D59*fx/1000</f>
        <v>110</v>
      </c>
      <c r="E60" s="21" t="n">
        <f aca="false">E57*E58*E59*fx/1000</f>
        <v>135.741317365269</v>
      </c>
      <c r="F60" s="21" t="n">
        <f aca="false">F57*F58*F59*fx/1000</f>
        <v>138.165269461078</v>
      </c>
      <c r="G60" s="21" t="n">
        <f aca="false">G57*G58*G59*fx/1000</f>
        <v>146.828263473054</v>
      </c>
    </row>
    <row r="61" customFormat="false" ht="17.15" hidden="false" customHeight="false" outlineLevel="0" collapsed="false">
      <c r="A61" s="6" t="s">
        <v>573</v>
      </c>
    </row>
    <row r="62" customFormat="false" ht="15" hidden="false" customHeight="false" outlineLevel="0" collapsed="false">
      <c r="A62" s="4" t="s">
        <v>574</v>
      </c>
      <c r="B62" s="0" t="s">
        <v>147</v>
      </c>
      <c r="D62" s="21" t="n">
        <f aca="false">a26_gen</f>
        <v>150</v>
      </c>
      <c r="E62" s="21" t="n">
        <f aca="false">D62*(1+g_gen27)</f>
        <v>180</v>
      </c>
      <c r="F62" s="21" t="n">
        <f aca="false">E62*(1+g_gen28)</f>
        <v>198</v>
      </c>
      <c r="G62" s="21" t="n">
        <f aca="false">F62*(1+g_gen29)</f>
        <v>213.84</v>
      </c>
    </row>
    <row r="63" customFormat="false" ht="15" hidden="false" customHeight="false" outlineLevel="0" collapsed="false">
      <c r="A63" s="4" t="s">
        <v>575</v>
      </c>
      <c r="B63" s="0" t="s">
        <v>147</v>
      </c>
      <c r="D63" s="21" t="n">
        <f aca="false">a26_pc</f>
        <v>614.602793131557</v>
      </c>
      <c r="E63" s="21" t="n">
        <f aca="false">D63*(1+g_pc27)</f>
        <v>596.16470933761</v>
      </c>
      <c r="F63" s="21" t="n">
        <f aca="false">E63*(1+g_pc28)</f>
        <v>596.16470933761</v>
      </c>
      <c r="G63" s="21" t="n">
        <f aca="false">F63*(1+g_pc29)</f>
        <v>596.16470933761</v>
      </c>
    </row>
    <row r="64" customFormat="false" ht="15" hidden="false" customHeight="false" outlineLevel="0" collapsed="false">
      <c r="A64" s="4" t="s">
        <v>576</v>
      </c>
      <c r="B64" s="0" t="s">
        <v>147</v>
      </c>
      <c r="C64" s="21" t="n">
        <f aca="false">a25_srev</f>
        <v>1235.86</v>
      </c>
      <c r="D64" s="21" t="n">
        <f aca="false">D55+D60+D62+D63</f>
        <v>2651.72505421038</v>
      </c>
      <c r="E64" s="21" t="n">
        <f aca="false">E55+E60+E62+E63</f>
        <v>3208.54596567356</v>
      </c>
      <c r="F64" s="21" t="n">
        <f aca="false">F55+F60+F62+F63</f>
        <v>3390.72669481636</v>
      </c>
      <c r="G64" s="21" t="n">
        <f aca="false">G55+G60+G62+G63</f>
        <v>3444.12140172696</v>
      </c>
    </row>
    <row r="65" customFormat="false" ht="17.15" hidden="false" customHeight="false" outlineLevel="0" collapsed="false">
      <c r="A65" s="4" t="s">
        <v>577</v>
      </c>
      <c r="B65" s="0" t="s">
        <v>48</v>
      </c>
      <c r="D65" s="20" t="n">
        <f aca="false">a26_wai/D48</f>
        <v>0.0391523244650416</v>
      </c>
      <c r="K65" s="8" t="s">
        <v>578</v>
      </c>
    </row>
    <row r="66" customFormat="false" ht="17.15" hidden="false" customHeight="false" outlineLevel="0" collapsed="false">
      <c r="A66" s="4" t="s">
        <v>504</v>
      </c>
      <c r="B66" s="0" t="s">
        <v>48</v>
      </c>
      <c r="D66" s="20" t="n">
        <f aca="false">D65</f>
        <v>0.0391523244650416</v>
      </c>
      <c r="E66" s="20" t="n">
        <f aca="false">$D$65*wrel_27</f>
        <v>0.0391523244650416</v>
      </c>
      <c r="F66" s="20" t="n">
        <f aca="false">$D$65*wrel_28</f>
        <v>0.0391523244650416</v>
      </c>
      <c r="G66" s="20" t="n">
        <f aca="false">$D$65*wrel_29</f>
        <v>0.0371947082417896</v>
      </c>
    </row>
    <row r="67" customFormat="false" ht="17.15" hidden="false" customHeight="false" outlineLevel="0" collapsed="false">
      <c r="A67" s="4" t="s">
        <v>524</v>
      </c>
      <c r="B67" s="0" t="s">
        <v>147</v>
      </c>
      <c r="D67" s="21" t="n">
        <f aca="false">D48*D66</f>
        <v>795.094795</v>
      </c>
      <c r="E67" s="21" t="n">
        <f aca="false">E48*E66</f>
        <v>1141.70001534215</v>
      </c>
      <c r="F67" s="21" t="n">
        <f aca="false">F48*F66</f>
        <v>1447.23806968877</v>
      </c>
      <c r="G67" s="21" t="n">
        <f aca="false">G48*G66</f>
        <v>1566.20131860429</v>
      </c>
    </row>
    <row r="68" customFormat="false" ht="17.15" hidden="false" customHeight="false" outlineLevel="0" collapsed="false">
      <c r="A68" s="4" t="s">
        <v>579</v>
      </c>
      <c r="B68" s="0" t="s">
        <v>147</v>
      </c>
      <c r="D68" s="21" t="n">
        <f aca="false">a26_wna</f>
        <v>650.532105</v>
      </c>
      <c r="E68" s="21" t="n">
        <f aca="false">D68*(1+g_wn27)</f>
        <v>715.5853155</v>
      </c>
      <c r="F68" s="21" t="n">
        <f aca="false">E68*(1+g_wn28)</f>
        <v>758.52043443</v>
      </c>
      <c r="G68" s="21" t="n">
        <f aca="false">F68*(1+g_wn29)</f>
        <v>796.4464561515</v>
      </c>
    </row>
    <row r="69" customFormat="false" ht="15" hidden="false" customHeight="false" outlineLevel="0" collapsed="false">
      <c r="A69" s="4" t="s">
        <v>434</v>
      </c>
      <c r="B69" s="0" t="s">
        <v>147</v>
      </c>
      <c r="C69" s="21" t="n">
        <f aca="false">a25_wrev</f>
        <v>950.663</v>
      </c>
      <c r="D69" s="21" t="n">
        <f aca="false">D67+D68</f>
        <v>1445.6269</v>
      </c>
      <c r="E69" s="21" t="n">
        <f aca="false">E67+E68</f>
        <v>1857.28533084215</v>
      </c>
      <c r="F69" s="21" t="n">
        <f aca="false">F67+F68</f>
        <v>2205.75850411877</v>
      </c>
      <c r="G69" s="21" t="n">
        <f aca="false">G67+G68</f>
        <v>2362.64777475579</v>
      </c>
    </row>
    <row r="70" customFormat="false" ht="17.15" hidden="false" customHeight="false" outlineLevel="0" collapsed="false">
      <c r="A70" s="4" t="s">
        <v>420</v>
      </c>
      <c r="B70" s="0" t="s">
        <v>147</v>
      </c>
      <c r="C70" s="21" t="n">
        <f aca="false">C64+C69</f>
        <v>2186.523</v>
      </c>
      <c r="D70" s="21" t="n">
        <f aca="false">D64+D69</f>
        <v>4097.35195421038</v>
      </c>
      <c r="E70" s="21" t="n">
        <f aca="false">E64+E69</f>
        <v>5065.83129651572</v>
      </c>
      <c r="F70" s="21" t="n">
        <f aca="false">F64+F69</f>
        <v>5596.48519893513</v>
      </c>
      <c r="G70" s="21" t="n">
        <f aca="false">G64+G69</f>
        <v>5806.76917648275</v>
      </c>
      <c r="H70" s="26" t="n">
        <f aca="false">G70*(1+H71)</f>
        <v>6068.36139297417</v>
      </c>
      <c r="I70" s="26" t="n">
        <f aca="false">H70*(1+I71)</f>
        <v>6387.10064608238</v>
      </c>
      <c r="J70" s="26" t="n">
        <f aca="false">I70*(1+J71)</f>
        <v>6770.32668484733</v>
      </c>
      <c r="K70" s="8" t="s">
        <v>580</v>
      </c>
    </row>
    <row r="71" customFormat="false" ht="15" hidden="false" customHeight="false" outlineLevel="0" collapsed="false">
      <c r="A71" s="4" t="s">
        <v>581</v>
      </c>
      <c r="B71" s="0" t="s">
        <v>48</v>
      </c>
      <c r="D71" s="20" t="n">
        <f aca="false">D70/C70-1</f>
        <v>0.873912121761526</v>
      </c>
      <c r="E71" s="20" t="n">
        <f aca="false">E70/D70-1</f>
        <v>0.236367134951671</v>
      </c>
      <c r="F71" s="20" t="n">
        <f aca="false">F70/E70-1</f>
        <v>0.104751593837007</v>
      </c>
      <c r="G71" s="20" t="n">
        <f aca="false">G70/F70-1</f>
        <v>0.0375742935204462</v>
      </c>
      <c r="H71" s="27" t="n">
        <f aca="false">$G71+(fade_gA-$G71)*1/3</f>
        <v>0.0450495290136308</v>
      </c>
      <c r="I71" s="27" t="n">
        <f aca="false">$G71+(fade_gA-$G71)*2/3</f>
        <v>0.0525247645068154</v>
      </c>
      <c r="J71" s="27" t="n">
        <f aca="false">$G71+(fade_gA-$G71)*3/3</f>
        <v>0.06</v>
      </c>
    </row>
    <row r="72" customFormat="false" ht="17.15" hidden="false" customHeight="false" outlineLevel="0" collapsed="false">
      <c r="A72" s="0" t="s">
        <v>582</v>
      </c>
      <c r="B72" s="0" t="s">
        <v>48</v>
      </c>
      <c r="D72" s="20" t="n">
        <f aca="false">(D55+D60+D67)/D70</f>
        <v>0.6546220793463</v>
      </c>
      <c r="E72" s="20" t="n">
        <f aca="false">(E55+E60+E67)/E70</f>
        <v>0.705527101570943</v>
      </c>
      <c r="F72" s="20" t="n">
        <f aca="false">(F55+F60+F67)/F70</f>
        <v>0.722560662884797</v>
      </c>
      <c r="G72" s="20" t="n">
        <f aca="false">(G55+G60+G67)/G70</f>
        <v>0.723348540872747</v>
      </c>
    </row>
    <row r="73" customFormat="false" ht="17.15" hidden="false" customHeight="false" outlineLevel="0" collapsed="false">
      <c r="A73" s="4" t="s">
        <v>583</v>
      </c>
      <c r="B73" s="0" t="s">
        <v>48</v>
      </c>
      <c r="C73" s="20" t="n">
        <f aca="false">C69/C70</f>
        <v>0.434782986504144</v>
      </c>
      <c r="D73" s="20" t="n">
        <f aca="false">D69/D70</f>
        <v>0.352819800728736</v>
      </c>
      <c r="E73" s="20" t="n">
        <f aca="false">E69/E70</f>
        <v>0.366629921552973</v>
      </c>
      <c r="F73" s="20" t="n">
        <f aca="false">F69/F70</f>
        <v>0.394132821889438</v>
      </c>
      <c r="G73" s="20" t="n">
        <f aca="false">G69/G70</f>
        <v>0.406878197315721</v>
      </c>
    </row>
    <row r="74" customFormat="false" ht="17.15" hidden="false" customHeight="false" outlineLevel="0" collapsed="false">
      <c r="A74" s="4" t="s">
        <v>584</v>
      </c>
      <c r="B74" s="4" t="s">
        <v>331</v>
      </c>
      <c r="D74" s="21" t="n">
        <f aca="false">D53/fx/(odm_gb*(1-vr26)+odm_vr*vr26)</f>
        <v>12.0597330420658</v>
      </c>
      <c r="E74" s="21" t="n">
        <f aca="false">E53/fx/odm_vr</f>
        <v>11.8139914556105</v>
      </c>
      <c r="F74" s="21" t="n">
        <f aca="false">F53/fx/odm_vr</f>
        <v>14.2268328473245</v>
      </c>
      <c r="G74" s="21" t="n">
        <f aca="false">G53/fx/odm_vr</f>
        <v>15.3536322772611</v>
      </c>
      <c r="K74" s="4" t="s">
        <v>585</v>
      </c>
    </row>
    <row r="75" customFormat="false" ht="17.15" hidden="false" customHeight="false" outlineLevel="0" collapsed="false">
      <c r="A75" s="6" t="s">
        <v>586</v>
      </c>
    </row>
    <row r="76" customFormat="false" ht="17.15" hidden="false" customHeight="false" outlineLevel="0" collapsed="false">
      <c r="A76" s="4" t="s">
        <v>587</v>
      </c>
      <c r="B76" s="0" t="s">
        <v>48</v>
      </c>
      <c r="D76" s="17" t="n">
        <f aca="false">(a26_sgp-d_ai*D55-d_brd*D60-d_gen*D62)/D64</f>
        <v>0.0436423860147897</v>
      </c>
      <c r="K76" s="8" t="s">
        <v>588</v>
      </c>
    </row>
    <row r="77" customFormat="false" ht="17.15" hidden="false" customHeight="false" outlineLevel="0" collapsed="false">
      <c r="A77" s="4" t="s">
        <v>589</v>
      </c>
      <c r="B77" s="0" t="s">
        <v>147</v>
      </c>
      <c r="D77" s="25" t="n">
        <f aca="false">($D$76+d_ai)*D53*(1-D54*(1-keep))</f>
        <v>59.7866331026896</v>
      </c>
      <c r="E77" s="25" t="n">
        <f aca="false">($D$76+d_ai+vrd)*E53*(1-E54*(1-keep))</f>
        <v>79.9382842344828</v>
      </c>
      <c r="F77" s="25" t="n">
        <f aca="false">($D$76+d_ai+vrd)*F53*(1-F54*(1-keep))</f>
        <v>95.2921838855099</v>
      </c>
      <c r="G77" s="25" t="n">
        <f aca="false">($D$76+d_ai+vrd)*G53*(1-G54*(1-keep))</f>
        <v>102.314862777256</v>
      </c>
    </row>
    <row r="78" customFormat="false" ht="15" hidden="false" customHeight="false" outlineLevel="0" collapsed="false">
      <c r="A78" s="4" t="s">
        <v>590</v>
      </c>
      <c r="B78" s="0" t="s">
        <v>147</v>
      </c>
      <c r="C78" s="21" t="n">
        <f aca="false">a25_sgp</f>
        <v>55.529</v>
      </c>
      <c r="D78" s="21" t="n">
        <f aca="false">a26_sgp</f>
        <v>103.50638581015</v>
      </c>
      <c r="E78" s="21" t="n">
        <f aca="false">$D$76*E63+($D$76+d_brd)*E60+($D$76+d_gen)*E62+E77</f>
        <v>126.508278582021</v>
      </c>
      <c r="F78" s="21" t="n">
        <f aca="false">$D$76*F63+($D$76+d_brd)*F60+($D$76+d_gen)*F62+F77</f>
        <v>143.096246797235</v>
      </c>
      <c r="G78" s="21" t="n">
        <f aca="false">$D$76*G63+($D$76+d_brd)*G60+($D$76+d_gen)*G62+G77</f>
        <v>151.685784632529</v>
      </c>
    </row>
    <row r="79" customFormat="false" ht="15" hidden="false" customHeight="false" outlineLevel="0" collapsed="false">
      <c r="A79" s="4" t="s">
        <v>591</v>
      </c>
      <c r="B79" s="0" t="s">
        <v>48</v>
      </c>
      <c r="C79" s="17" t="n">
        <f aca="false">C78/C64</f>
        <v>0.0449314647290146</v>
      </c>
      <c r="D79" s="17" t="n">
        <f aca="false">D78/D64</f>
        <v>0.0390336040479778</v>
      </c>
      <c r="E79" s="17" t="n">
        <f aca="false">E78/E64</f>
        <v>0.0394285386388297</v>
      </c>
      <c r="F79" s="17" t="n">
        <f aca="false">F78/F64</f>
        <v>0.0422022355903815</v>
      </c>
      <c r="G79" s="17" t="n">
        <f aca="false">G78/G64</f>
        <v>0.0440419389852143</v>
      </c>
    </row>
    <row r="80" customFormat="false" ht="15" hidden="false" customHeight="false" outlineLevel="0" collapsed="false">
      <c r="A80" s="4" t="s">
        <v>592</v>
      </c>
      <c r="B80" s="0" t="s">
        <v>48</v>
      </c>
      <c r="E80" s="20" t="n">
        <f aca="false">MAX(0,phi*(E64/D64-1))</f>
        <v>0.0629953219221284</v>
      </c>
      <c r="F80" s="20" t="n">
        <f aca="false">MAX(0,phi*(F64/E64-1))</f>
        <v>0.0170339522411561</v>
      </c>
      <c r="G80" s="20" t="n">
        <f aca="false">MAX(0,phi*(G64/F64-1))</f>
        <v>0.00472418260594947</v>
      </c>
    </row>
    <row r="81" customFormat="false" ht="15" hidden="false" customHeight="false" outlineLevel="0" collapsed="false">
      <c r="A81" s="4" t="s">
        <v>593</v>
      </c>
      <c r="B81" s="0" t="s">
        <v>147</v>
      </c>
      <c r="C81" s="21" t="n">
        <f aca="false">a25_sopx</f>
        <v>40.894</v>
      </c>
      <c r="D81" s="21" t="n">
        <f aca="false">a26_sopx</f>
        <v>46.9914095398923</v>
      </c>
      <c r="E81" s="21" t="n">
        <f aca="false">D81*(1+E80)+0*E64</f>
        <v>49.9516485114323</v>
      </c>
      <c r="F81" s="21" t="n">
        <f aca="false">E81*(1+F80)+0*F64</f>
        <v>50.8025225065431</v>
      </c>
      <c r="G81" s="21" t="n">
        <f aca="false">F81*(1+G80)+0*G64</f>
        <v>51.0425228997069</v>
      </c>
    </row>
    <row r="82" customFormat="false" ht="15" hidden="false" customHeight="false" outlineLevel="0" collapsed="false">
      <c r="A82" s="4" t="s">
        <v>594</v>
      </c>
      <c r="B82" s="0" t="s">
        <v>147</v>
      </c>
      <c r="C82" s="21" t="n">
        <f aca="false">C78-C81</f>
        <v>14.635</v>
      </c>
      <c r="D82" s="21" t="n">
        <f aca="false">D78-D81</f>
        <v>56.514976270258</v>
      </c>
      <c r="E82" s="21" t="n">
        <f aca="false">E78-E81</f>
        <v>76.5566300705887</v>
      </c>
      <c r="F82" s="21" t="n">
        <f aca="false">F78-F81</f>
        <v>92.2937242906922</v>
      </c>
      <c r="G82" s="21" t="n">
        <f aca="false">G78-G81</f>
        <v>100.643261732822</v>
      </c>
    </row>
    <row r="83" customFormat="false" ht="15" hidden="false" customHeight="false" outlineLevel="0" collapsed="false">
      <c r="A83" s="4" t="s">
        <v>595</v>
      </c>
      <c r="B83" s="0" t="s">
        <v>48</v>
      </c>
      <c r="C83" s="17" t="n">
        <f aca="false">C82/C64</f>
        <v>0.011841956208632</v>
      </c>
      <c r="D83" s="17" t="n">
        <f aca="false">D82/D64</f>
        <v>0.0213125324514788</v>
      </c>
      <c r="E83" s="17" t="n">
        <f aca="false">E82/E64</f>
        <v>0.0238602254384463</v>
      </c>
      <c r="F83" s="17" t="n">
        <f aca="false">F82/F64</f>
        <v>0.0272194525237874</v>
      </c>
      <c r="G83" s="17" t="n">
        <f aca="false">G82/G64</f>
        <v>0.0292217520794586</v>
      </c>
    </row>
    <row r="84" customFormat="false" ht="15" hidden="false" customHeight="false" outlineLevel="0" collapsed="false">
      <c r="A84" s="4" t="s">
        <v>596</v>
      </c>
      <c r="B84" s="0" t="s">
        <v>147</v>
      </c>
      <c r="C84" s="21" t="n">
        <f aca="false">a25_sni</f>
        <v>6.9608</v>
      </c>
      <c r="D84" s="21" t="n">
        <f aca="false">a26_sni</f>
        <v>31.133746704</v>
      </c>
      <c r="E84" s="21" t="n">
        <f aca="false">E82*snio</f>
        <v>42.8717128395297</v>
      </c>
      <c r="F84" s="21" t="n">
        <f aca="false">F82*snio</f>
        <v>51.6844856027877</v>
      </c>
      <c r="G84" s="21" t="n">
        <f aca="false">G82*snio</f>
        <v>56.3602265703806</v>
      </c>
    </row>
    <row r="85" customFormat="false" ht="17.15" hidden="false" customHeight="false" outlineLevel="0" collapsed="false">
      <c r="A85" s="6" t="s">
        <v>597</v>
      </c>
    </row>
    <row r="86" customFormat="false" ht="15" hidden="false" customHeight="false" outlineLevel="0" collapsed="false">
      <c r="A86" s="4" t="s">
        <v>438</v>
      </c>
      <c r="B86" s="0" t="s">
        <v>147</v>
      </c>
      <c r="C86" s="21" t="n">
        <f aca="false">a25_wgp</f>
        <v>78.454</v>
      </c>
      <c r="D86" s="21" t="n">
        <f aca="false">a26_wgp</f>
        <v>125.0519932</v>
      </c>
      <c r="E86" s="21" t="n">
        <f aca="false">E69*wgm</f>
        <v>157.869253121583</v>
      </c>
      <c r="F86" s="21" t="n">
        <f aca="false">F69*wgm</f>
        <v>187.489472850096</v>
      </c>
      <c r="G86" s="21" t="n">
        <f aca="false">G69*wgm</f>
        <v>200.825060854243</v>
      </c>
    </row>
    <row r="87" customFormat="false" ht="15" hidden="false" customHeight="false" outlineLevel="0" collapsed="false">
      <c r="A87" s="4" t="s">
        <v>440</v>
      </c>
      <c r="B87" s="0" t="s">
        <v>147</v>
      </c>
      <c r="C87" s="21" t="n">
        <f aca="false">a25_woi</f>
        <v>63.918</v>
      </c>
      <c r="D87" s="21" t="n">
        <f aca="false">a26_woi</f>
        <v>98.2471632</v>
      </c>
      <c r="E87" s="21" t="n">
        <f aca="false">E69*wopm</f>
        <v>120.72354650474</v>
      </c>
      <c r="F87" s="21" t="n">
        <f aca="false">F69*wopm</f>
        <v>143.37430276772</v>
      </c>
      <c r="G87" s="21" t="n">
        <f aca="false">G69*wopm</f>
        <v>153.572105359127</v>
      </c>
    </row>
    <row r="88" customFormat="false" ht="15" hidden="false" customHeight="false" outlineLevel="0" collapsed="false">
      <c r="A88" s="4" t="s">
        <v>448</v>
      </c>
      <c r="B88" s="0" t="s">
        <v>147</v>
      </c>
      <c r="C88" s="21" t="n">
        <f aca="false">a25_wni</f>
        <v>51.118</v>
      </c>
      <c r="D88" s="21" t="n">
        <f aca="false">a26_wni</f>
        <v>75.735026884</v>
      </c>
      <c r="E88" s="21" t="n">
        <f aca="false">E87*wnio</f>
        <v>94.164366273697</v>
      </c>
      <c r="F88" s="21" t="n">
        <f aca="false">F87*wnio</f>
        <v>111.831956158822</v>
      </c>
      <c r="G88" s="21" t="n">
        <f aca="false">G87*wnio</f>
        <v>119.786242180119</v>
      </c>
    </row>
    <row r="89" customFormat="false" ht="15" hidden="false" customHeight="false" outlineLevel="0" collapsed="false">
      <c r="A89" s="4" t="s">
        <v>450</v>
      </c>
      <c r="B89" s="0" t="s">
        <v>48</v>
      </c>
      <c r="C89" s="17" t="n">
        <f aca="false">stake25</f>
        <v>0.4</v>
      </c>
      <c r="D89" s="17" t="n">
        <f aca="false">stake</f>
        <v>0.3768</v>
      </c>
      <c r="E89" s="17" t="n">
        <f aca="false">stake</f>
        <v>0.3768</v>
      </c>
      <c r="F89" s="17" t="n">
        <f aca="false">stake</f>
        <v>0.3768</v>
      </c>
      <c r="G89" s="17" t="n">
        <f aca="false">stake</f>
        <v>0.3768</v>
      </c>
    </row>
    <row r="90" customFormat="false" ht="17.15" hidden="false" customHeight="false" outlineLevel="0" collapsed="false">
      <c r="A90" s="6" t="s">
        <v>598</v>
      </c>
    </row>
    <row r="91" customFormat="false" ht="15" hidden="false" customHeight="false" outlineLevel="0" collapsed="false">
      <c r="A91" s="4" t="s">
        <v>424</v>
      </c>
      <c r="B91" s="0" t="s">
        <v>147</v>
      </c>
      <c r="C91" s="21" t="n">
        <f aca="false">C78+C86</f>
        <v>133.983</v>
      </c>
      <c r="D91" s="21" t="n">
        <f aca="false">D78+D86</f>
        <v>228.55837901015</v>
      </c>
      <c r="E91" s="21" t="n">
        <f aca="false">E78+E86</f>
        <v>284.377531703604</v>
      </c>
      <c r="F91" s="21" t="n">
        <f aca="false">F78+F86</f>
        <v>330.585719647331</v>
      </c>
      <c r="G91" s="21" t="n">
        <f aca="false">G78+G86</f>
        <v>352.510845486772</v>
      </c>
    </row>
    <row r="92" customFormat="false" ht="15" hidden="false" customHeight="false" outlineLevel="0" collapsed="false">
      <c r="A92" s="4" t="s">
        <v>427</v>
      </c>
      <c r="B92" s="0" t="s">
        <v>48</v>
      </c>
      <c r="C92" s="17" t="n">
        <f aca="false">C91/C70</f>
        <v>0.0612767393711386</v>
      </c>
      <c r="D92" s="17" t="n">
        <f aca="false">D91/D70</f>
        <v>0.055781973714825</v>
      </c>
      <c r="E92" s="17" t="n">
        <f aca="false">E91/E70</f>
        <v>0.0561363999427299</v>
      </c>
      <c r="F92" s="17" t="n">
        <f aca="false">F91/F70</f>
        <v>0.0590702392477038</v>
      </c>
      <c r="G92" s="17" t="n">
        <f aca="false">G91/G70</f>
        <v>0.0607068810164576</v>
      </c>
    </row>
    <row r="93" customFormat="false" ht="15" hidden="false" customHeight="false" outlineLevel="0" collapsed="false">
      <c r="A93" s="4" t="s">
        <v>428</v>
      </c>
      <c r="B93" s="0" t="s">
        <v>147</v>
      </c>
      <c r="C93" s="21" t="n">
        <f aca="false">C82+C87</f>
        <v>78.553</v>
      </c>
      <c r="D93" s="21" t="n">
        <f aca="false">D82+D87</f>
        <v>154.762139470258</v>
      </c>
      <c r="E93" s="21" t="n">
        <f aca="false">E82+E87</f>
        <v>197.280176575329</v>
      </c>
      <c r="F93" s="21" t="n">
        <f aca="false">F82+F87</f>
        <v>235.668027058412</v>
      </c>
      <c r="G93" s="21" t="n">
        <f aca="false">G82+G87</f>
        <v>254.215367091949</v>
      </c>
    </row>
    <row r="94" customFormat="false" ht="15" hidden="false" customHeight="false" outlineLevel="0" collapsed="false">
      <c r="A94" s="4" t="s">
        <v>431</v>
      </c>
      <c r="B94" s="0" t="s">
        <v>48</v>
      </c>
      <c r="C94" s="17" t="n">
        <f aca="false">C93/C70</f>
        <v>0.0359259884300325</v>
      </c>
      <c r="D94" s="17" t="n">
        <f aca="false">D93/D70</f>
        <v>0.0377712584126992</v>
      </c>
      <c r="E94" s="17" t="n">
        <f aca="false">E93/E70</f>
        <v>0.0389432977586557</v>
      </c>
      <c r="F94" s="17" t="n">
        <f aca="false">F93/F70</f>
        <v>0.0421100063131149</v>
      </c>
      <c r="G94" s="17" t="n">
        <f aca="false">G93/G70</f>
        <v>0.0437791410964834</v>
      </c>
    </row>
    <row r="95" customFormat="false" ht="15" hidden="false" customHeight="false" outlineLevel="0" collapsed="false">
      <c r="A95" s="4" t="s">
        <v>461</v>
      </c>
      <c r="B95" s="0" t="s">
        <v>147</v>
      </c>
      <c r="C95" s="21" t="n">
        <f aca="false">C84+C88</f>
        <v>58.0788</v>
      </c>
      <c r="D95" s="21" t="n">
        <f aca="false">D84+D88</f>
        <v>106.868773588</v>
      </c>
      <c r="E95" s="21" t="n">
        <f aca="false">E84+E88</f>
        <v>137.036079113227</v>
      </c>
      <c r="F95" s="21" t="n">
        <f aca="false">F84+F88</f>
        <v>163.516441761609</v>
      </c>
      <c r="G95" s="21" t="n">
        <f aca="false">G84+G88</f>
        <v>176.146468750499</v>
      </c>
    </row>
    <row r="96" customFormat="false" ht="17.15" hidden="false" customHeight="false" outlineLevel="0" collapsed="false">
      <c r="A96" s="4" t="s">
        <v>599</v>
      </c>
      <c r="B96" s="0" t="s">
        <v>147</v>
      </c>
      <c r="C96" s="21" t="n">
        <f aca="false">(1-C89)*C88</f>
        <v>30.6708</v>
      </c>
      <c r="D96" s="21" t="n">
        <f aca="false">(1-D89)*D88</f>
        <v>47.1980687541088</v>
      </c>
      <c r="E96" s="21" t="n">
        <f aca="false">(1-E89)*E88</f>
        <v>58.683233061768</v>
      </c>
      <c r="F96" s="21" t="n">
        <f aca="false">(1-F89)*F88</f>
        <v>69.6936750781778</v>
      </c>
      <c r="G96" s="21" t="n">
        <f aca="false">(1-G89)*G88</f>
        <v>74.65078612665</v>
      </c>
    </row>
    <row r="97" customFormat="false" ht="15" hidden="false" customHeight="false" outlineLevel="0" collapsed="false">
      <c r="A97" s="4" t="s">
        <v>457</v>
      </c>
      <c r="B97" s="0" t="s">
        <v>147</v>
      </c>
      <c r="C97" s="21" t="n">
        <f aca="false">C95-C96</f>
        <v>27.408</v>
      </c>
      <c r="D97" s="21" t="n">
        <f aca="false">D95-D96</f>
        <v>59.6707048338912</v>
      </c>
      <c r="E97" s="21" t="n">
        <f aca="false">E95-E96</f>
        <v>78.3528460514588</v>
      </c>
      <c r="F97" s="21" t="n">
        <f aca="false">F95-F96</f>
        <v>93.8227666834317</v>
      </c>
      <c r="G97" s="21" t="n">
        <f aca="false">G95-G96</f>
        <v>101.495682623849</v>
      </c>
      <c r="H97" s="26" t="n">
        <f aca="false">H70*H102</f>
        <v>106.982637941616</v>
      </c>
      <c r="I97" s="26" t="n">
        <f aca="false">I70*I102</f>
        <v>113.56453876212</v>
      </c>
      <c r="J97" s="26" t="n">
        <f aca="false">J70*J102</f>
        <v>121.398833821529</v>
      </c>
    </row>
    <row r="98" customFormat="false" ht="17.15" hidden="false" customHeight="false" outlineLevel="0" collapsed="false">
      <c r="A98" s="4" t="s">
        <v>600</v>
      </c>
      <c r="B98" s="0" t="s">
        <v>48</v>
      </c>
      <c r="C98" s="20" t="n">
        <f aca="false">C89*C88/C97</f>
        <v>0.746030356100409</v>
      </c>
      <c r="D98" s="20" t="n">
        <f aca="false">D89*D88/D97</f>
        <v>0.478240674537551</v>
      </c>
      <c r="E98" s="20" t="n">
        <f aca="false">E89*E88/E97</f>
        <v>0.452837835509212</v>
      </c>
      <c r="F98" s="20" t="n">
        <f aca="false">F89*F88/F97</f>
        <v>0.449126396185088</v>
      </c>
      <c r="G98" s="20" t="n">
        <f aca="false">G89*G88/G97</f>
        <v>0.444703211867092</v>
      </c>
    </row>
    <row r="99" customFormat="false" ht="17.15" hidden="false" customHeight="false" outlineLevel="0" collapsed="false">
      <c r="A99" s="4" t="s">
        <v>601</v>
      </c>
      <c r="B99" s="4" t="s">
        <v>282</v>
      </c>
      <c r="C99" s="31" t="n">
        <f aca="false">a25_sh</f>
        <v>3.03185840707965</v>
      </c>
      <c r="D99" s="31" t="n">
        <f aca="false">a26_sh</f>
        <v>3.23861720409076</v>
      </c>
      <c r="E99" s="31" t="n">
        <f aca="false">q_sh4*(1+sh_g)</f>
        <v>3.43</v>
      </c>
      <c r="F99" s="31" t="n">
        <f aca="false">E99*(1+sh_g)</f>
        <v>3.43</v>
      </c>
      <c r="G99" s="31" t="n">
        <f aca="false">F99*(1+sh_g)</f>
        <v>3.43</v>
      </c>
      <c r="H99" s="32" t="n">
        <f aca="false">G99*(1+sh_g)</f>
        <v>3.43</v>
      </c>
      <c r="I99" s="32" t="n">
        <f aca="false">H99*(1+sh_g)</f>
        <v>3.43</v>
      </c>
      <c r="J99" s="32" t="n">
        <f aca="false">I99*(1+sh_g)</f>
        <v>3.43</v>
      </c>
      <c r="K99" s="8" t="s">
        <v>602</v>
      </c>
    </row>
    <row r="100" customFormat="false" ht="15" hidden="false" customHeight="false" outlineLevel="0" collapsed="false">
      <c r="A100" s="0" t="s">
        <v>464</v>
      </c>
      <c r="B100" s="0" t="s">
        <v>312</v>
      </c>
      <c r="C100" s="18" t="n">
        <f aca="false">C97/C99</f>
        <v>9.04</v>
      </c>
      <c r="D100" s="18" t="n">
        <f aca="false">D97/D99</f>
        <v>18.4247476850676</v>
      </c>
      <c r="E100" s="18" t="n">
        <f aca="false">E97/E99</f>
        <v>22.8433953502795</v>
      </c>
      <c r="F100" s="18" t="n">
        <f aca="false">F97/F99</f>
        <v>27.3535762925457</v>
      </c>
      <c r="G100" s="18" t="n">
        <f aca="false">G97/G99</f>
        <v>29.5905780244459</v>
      </c>
      <c r="H100" s="29" t="n">
        <f aca="false">H97/H99</f>
        <v>31.1902734523663</v>
      </c>
      <c r="I100" s="29" t="n">
        <f aca="false">I97/I99</f>
        <v>33.1091949743792</v>
      </c>
      <c r="J100" s="29" t="n">
        <f aca="false">J97/J99</f>
        <v>35.3932460121075</v>
      </c>
    </row>
    <row r="101" customFormat="false" ht="17.15" hidden="false" customHeight="false" outlineLevel="0" collapsed="false">
      <c r="A101" s="0" t="s">
        <v>603</v>
      </c>
      <c r="B101" s="0" t="s">
        <v>48</v>
      </c>
      <c r="D101" s="20" t="n">
        <f aca="false">D100/C100-1</f>
        <v>1.03813580587031</v>
      </c>
      <c r="E101" s="20" t="n">
        <f aca="false">E100/D100-1</f>
        <v>0.239821339251937</v>
      </c>
      <c r="F101" s="20" t="n">
        <f aca="false">F100/E100-1</f>
        <v>0.197439166687232</v>
      </c>
      <c r="G101" s="20" t="n">
        <f aca="false">G100/F100-1</f>
        <v>0.0817809601192734</v>
      </c>
      <c r="H101" s="27" t="n">
        <f aca="false">H100/G100-1</f>
        <v>0.054060972604147</v>
      </c>
      <c r="I101" s="27" t="n">
        <f aca="false">I100/H100-1</f>
        <v>0.0615230746515709</v>
      </c>
      <c r="J101" s="27" t="n">
        <f aca="false">J100/I100-1</f>
        <v>0.0689853993579661</v>
      </c>
    </row>
    <row r="102" customFormat="false" ht="17.15" hidden="false" customHeight="false" outlineLevel="0" collapsed="false">
      <c r="A102" s="4" t="s">
        <v>604</v>
      </c>
      <c r="B102" s="0" t="s">
        <v>48</v>
      </c>
      <c r="C102" s="17" t="n">
        <f aca="false">C97/C70</f>
        <v>0.0125349699042727</v>
      </c>
      <c r="D102" s="17" t="n">
        <f aca="false">D97/D70</f>
        <v>0.0145632363293992</v>
      </c>
      <c r="E102" s="17" t="n">
        <f aca="false">E97/E70</f>
        <v>0.0154669276304858</v>
      </c>
      <c r="F102" s="17" t="n">
        <f aca="false">F97/F70</f>
        <v>0.0167645876560674</v>
      </c>
      <c r="G102" s="17" t="n">
        <f aca="false">G97/G70</f>
        <v>0.0174788560624907</v>
      </c>
      <c r="H102" s="28" t="n">
        <f aca="false">$G102+(fade_mA-$G102)*1/3</f>
        <v>0.0176295759289285</v>
      </c>
      <c r="I102" s="28" t="n">
        <f aca="false">$G102+(fade_mA-$G102)*2/3</f>
        <v>0.0177802957953664</v>
      </c>
      <c r="J102" s="28" t="n">
        <f aca="false">$G102+(fade_mA-$G102)*3/3</f>
        <v>0.0179310156618042</v>
      </c>
    </row>
    <row r="105" customFormat="false" ht="17.15" hidden="false" customHeight="false" outlineLevel="0" collapsed="false">
      <c r="A105" s="1" t="s">
        <v>874</v>
      </c>
    </row>
    <row r="106" customFormat="false" ht="17.15" hidden="false" customHeight="false" outlineLevel="0" collapsed="false">
      <c r="A106" s="5" t="s">
        <v>17</v>
      </c>
      <c r="B106" s="5" t="s">
        <v>18</v>
      </c>
      <c r="C106" s="14" t="s">
        <v>414</v>
      </c>
      <c r="D106" s="14" t="s">
        <v>529</v>
      </c>
      <c r="E106" s="14" t="s">
        <v>530</v>
      </c>
      <c r="F106" s="14" t="s">
        <v>531</v>
      </c>
      <c r="G106" s="14" t="s">
        <v>532</v>
      </c>
      <c r="H106" s="14" t="s">
        <v>533</v>
      </c>
      <c r="I106" s="14" t="s">
        <v>534</v>
      </c>
      <c r="J106" s="14" t="s">
        <v>535</v>
      </c>
      <c r="K106" s="5" t="s">
        <v>496</v>
      </c>
    </row>
    <row r="107" customFormat="false" ht="17.15" hidden="false" customHeight="false" outlineLevel="0" collapsed="false">
      <c r="A107" s="6" t="s">
        <v>550</v>
      </c>
    </row>
    <row r="108" customFormat="false" ht="17.15" hidden="false" customHeight="false" outlineLevel="0" collapsed="false">
      <c r="A108" s="0" t="s">
        <v>551</v>
      </c>
      <c r="B108" s="0" t="s">
        <v>28</v>
      </c>
      <c r="D108" s="21" t="n">
        <f aca="false">itc_26*1</f>
        <v>781.872916666667</v>
      </c>
      <c r="E108" s="21" t="n">
        <f aca="false">itc_27*1*1.2</f>
        <v>1878.42</v>
      </c>
      <c r="F108" s="21" t="n">
        <f aca="false">itc_28*um28_A*1.2</f>
        <v>2381.11666666667</v>
      </c>
      <c r="G108" s="21" t="n">
        <f aca="false">itc_29*um29_A*1.2</f>
        <v>2712.46833333334</v>
      </c>
    </row>
    <row r="109" customFormat="false" ht="17.15" hidden="false" customHeight="false" outlineLevel="0" collapsed="false">
      <c r="A109" s="4" t="s">
        <v>552</v>
      </c>
      <c r="B109" s="0" t="s">
        <v>28</v>
      </c>
      <c r="D109" s="21" t="n">
        <f aca="false">itpg_gb*(1-vr26)+itpg_vr*vr26</f>
        <v>33.41403216</v>
      </c>
      <c r="E109" s="21" t="n">
        <f aca="false">itpg_vr</f>
        <v>37.586352</v>
      </c>
      <c r="F109" s="21" t="n">
        <f aca="false">itpg_vr</f>
        <v>37.586352</v>
      </c>
      <c r="G109" s="21" t="n">
        <f aca="false">itpg_vr</f>
        <v>37.586352</v>
      </c>
    </row>
    <row r="110" customFormat="false" ht="17.15" hidden="false" customHeight="false" outlineLevel="0" collapsed="false">
      <c r="A110" s="4" t="s">
        <v>553</v>
      </c>
      <c r="B110" s="0" t="s">
        <v>498</v>
      </c>
      <c r="D110" s="22" t="n">
        <f aca="false">D108/D109</f>
        <v>23.3995380420639</v>
      </c>
      <c r="E110" s="22" t="n">
        <f aca="false">E108/E109</f>
        <v>49.9761189912764</v>
      </c>
      <c r="F110" s="22" t="n">
        <f aca="false">F108/F109</f>
        <v>63.3505658294976</v>
      </c>
      <c r="G110" s="22" t="n">
        <f aca="false">G108/G109</f>
        <v>72.1663100833339</v>
      </c>
    </row>
    <row r="111" customFormat="false" ht="17.15" hidden="false" customHeight="false" outlineLevel="0" collapsed="false">
      <c r="A111" s="4" t="s">
        <v>554</v>
      </c>
      <c r="B111" s="0" t="s">
        <v>555</v>
      </c>
      <c r="D111" s="18" t="n">
        <f aca="false">(racks_gb*odm_gb*(1-vr26)+racks_vr*odm_vr*vr26)/1000</f>
        <v>27.1209</v>
      </c>
      <c r="E111" s="18" t="n">
        <f aca="false">racks_vr*odm_vr/1000</f>
        <v>27.351</v>
      </c>
      <c r="F111" s="18" t="n">
        <f aca="false">$E111*vpg_28</f>
        <v>27.351</v>
      </c>
      <c r="G111" s="18" t="n">
        <f aca="false">$E111*vpg_29</f>
        <v>27.351</v>
      </c>
      <c r="K111" s="4" t="s">
        <v>556</v>
      </c>
    </row>
    <row r="112" customFormat="false" ht="17.15" hidden="false" customHeight="false" outlineLevel="0" collapsed="false">
      <c r="A112" s="0" t="s">
        <v>557</v>
      </c>
      <c r="B112" s="0" t="s">
        <v>28</v>
      </c>
      <c r="D112" s="21" t="n">
        <f aca="false">D110*D111</f>
        <v>634.616531285011</v>
      </c>
      <c r="E112" s="21" t="n">
        <f aca="false">E110*E111</f>
        <v>1366.8968305304</v>
      </c>
      <c r="F112" s="21" t="n">
        <f aca="false">F110*F111</f>
        <v>1732.70132600259</v>
      </c>
      <c r="G112" s="21" t="n">
        <f aca="false">G110*G111</f>
        <v>1973.82074708926</v>
      </c>
    </row>
    <row r="113" customFormat="false" ht="17.15" hidden="false" customHeight="false" outlineLevel="0" collapsed="false">
      <c r="A113" s="0" t="s">
        <v>558</v>
      </c>
      <c r="B113" s="0" t="s">
        <v>147</v>
      </c>
      <c r="D113" s="21" t="n">
        <f aca="false">D112*fx</f>
        <v>20307.7290011204</v>
      </c>
      <c r="E113" s="21" t="n">
        <f aca="false">E112*fx</f>
        <v>43740.6985769728</v>
      </c>
      <c r="F113" s="21" t="n">
        <f aca="false">F112*fx</f>
        <v>55446.4424320828</v>
      </c>
      <c r="G113" s="21" t="n">
        <f aca="false">G112*fx</f>
        <v>63162.2639068565</v>
      </c>
    </row>
    <row r="114" customFormat="false" ht="17.15" hidden="false" customHeight="false" outlineLevel="0" collapsed="false">
      <c r="A114" s="6" t="s">
        <v>559</v>
      </c>
    </row>
    <row r="115" customFormat="false" ht="17.15" hidden="false" customHeight="false" outlineLevel="0" collapsed="false">
      <c r="A115" s="4" t="s">
        <v>560</v>
      </c>
      <c r="B115" s="0" t="s">
        <v>48</v>
      </c>
      <c r="D115" s="20" t="n">
        <f aca="false">a26_ais/D113</f>
        <v>0.0875096501918446</v>
      </c>
      <c r="K115" s="8" t="s">
        <v>561</v>
      </c>
    </row>
    <row r="116" customFormat="false" ht="17.15" hidden="false" customHeight="false" outlineLevel="0" collapsed="false">
      <c r="A116" s="4" t="s">
        <v>562</v>
      </c>
      <c r="B116" s="0" t="s">
        <v>60</v>
      </c>
      <c r="D116" s="18" t="n">
        <f aca="false">1</f>
        <v>1</v>
      </c>
      <c r="E116" s="18" t="n">
        <f aca="false">rel_27</f>
        <v>1</v>
      </c>
      <c r="F116" s="18" t="n">
        <f aca="false">rel_28</f>
        <v>0.95</v>
      </c>
      <c r="G116" s="18" t="n">
        <f aca="false">rel_29</f>
        <v>0.9</v>
      </c>
    </row>
    <row r="117" customFormat="false" ht="17.15" hidden="false" customHeight="false" outlineLevel="0" collapsed="false">
      <c r="A117" s="4" t="s">
        <v>563</v>
      </c>
      <c r="B117" s="0" t="s">
        <v>48</v>
      </c>
      <c r="D117" s="20" t="n">
        <f aca="false">$D$115*D116</f>
        <v>0.0875096501918446</v>
      </c>
      <c r="E117" s="20" t="n">
        <f aca="false">$D$115*E116</f>
        <v>0.0875096501918446</v>
      </c>
      <c r="F117" s="20" t="n">
        <f aca="false">$D$115*F116</f>
        <v>0.0831341676822524</v>
      </c>
      <c r="G117" s="20" t="n">
        <f aca="false">$D$115*G116</f>
        <v>0.0787586851726601</v>
      </c>
    </row>
    <row r="118" customFormat="false" ht="17.15" hidden="false" customHeight="false" outlineLevel="0" collapsed="false">
      <c r="A118" s="4" t="s">
        <v>564</v>
      </c>
      <c r="B118" s="0" t="s">
        <v>147</v>
      </c>
      <c r="D118" s="21" t="n">
        <f aca="false">D113*D117</f>
        <v>1777.12226107882</v>
      </c>
      <c r="E118" s="21" t="n">
        <f aca="false">E113*E117</f>
        <v>3827.73323161781</v>
      </c>
      <c r="F118" s="21" t="n">
        <f aca="false">F113*F117</f>
        <v>4609.49384253313</v>
      </c>
      <c r="G118" s="21" t="n">
        <f aca="false">G113*G117</f>
        <v>4974.57685783258</v>
      </c>
    </row>
    <row r="119" customFormat="false" ht="17.15" hidden="false" customHeight="false" outlineLevel="0" collapsed="false">
      <c r="A119" s="4" t="s">
        <v>565</v>
      </c>
      <c r="B119" s="0" t="s">
        <v>48</v>
      </c>
      <c r="D119" s="20" t="n">
        <f aca="false">0</f>
        <v>0</v>
      </c>
      <c r="E119" s="20" t="n">
        <f aca="false">cs_27</f>
        <v>0.1</v>
      </c>
      <c r="F119" s="20" t="n">
        <f aca="false">cs_28</f>
        <v>0.2</v>
      </c>
      <c r="G119" s="20" t="n">
        <f aca="false">cs_29</f>
        <v>0.25</v>
      </c>
      <c r="K119" s="8" t="s">
        <v>566</v>
      </c>
    </row>
    <row r="120" customFormat="false" ht="17.15" hidden="false" customHeight="false" outlineLevel="0" collapsed="false">
      <c r="A120" s="4" t="s">
        <v>567</v>
      </c>
      <c r="B120" s="0" t="s">
        <v>147</v>
      </c>
      <c r="D120" s="21" t="n">
        <f aca="false">D118*(1-D119)</f>
        <v>1777.12226107882</v>
      </c>
      <c r="E120" s="21" t="n">
        <f aca="false">E118*(1-E119)</f>
        <v>3444.95990845603</v>
      </c>
      <c r="F120" s="21" t="n">
        <f aca="false">F118*(1-F119)</f>
        <v>3687.5950740265</v>
      </c>
      <c r="G120" s="21" t="n">
        <f aca="false">G118*(1-G119)</f>
        <v>3730.93264337444</v>
      </c>
    </row>
    <row r="121" customFormat="false" ht="17.15" hidden="false" customHeight="false" outlineLevel="0" collapsed="false">
      <c r="A121" s="6" t="s">
        <v>568</v>
      </c>
    </row>
    <row r="122" customFormat="false" ht="17.15" hidden="false" customHeight="false" outlineLevel="0" collapsed="false">
      <c r="A122" s="0" t="s">
        <v>569</v>
      </c>
      <c r="B122" s="4" t="s">
        <v>81</v>
      </c>
      <c r="D122" s="18" t="n">
        <f aca="false">gu_26*1</f>
        <v>8.35</v>
      </c>
      <c r="E122" s="18" t="n">
        <f aca="false">gu_27*1*1.2</f>
        <v>13.44</v>
      </c>
      <c r="F122" s="18" t="n">
        <f aca="false">gu_28*um28_A*1.2</f>
        <v>13.8</v>
      </c>
      <c r="G122" s="18" t="n">
        <f aca="false">gu_29*um29_A*1.2</f>
        <v>15.48</v>
      </c>
    </row>
    <row r="123" customFormat="false" ht="15" hidden="false" customHeight="false" outlineLevel="0" collapsed="false">
      <c r="A123" s="4" t="s">
        <v>570</v>
      </c>
      <c r="B123" s="0" t="s">
        <v>48</v>
      </c>
      <c r="D123" s="20" t="n">
        <f aca="false">bsh_26</f>
        <v>0.5</v>
      </c>
      <c r="E123" s="20" t="n">
        <f aca="false">bsh_26*brel_27</f>
        <v>0.5</v>
      </c>
      <c r="F123" s="20" t="n">
        <f aca="false">bsh_26*brel_28</f>
        <v>0.475</v>
      </c>
      <c r="G123" s="20" t="n">
        <f aca="false">bsh_26*brel_29</f>
        <v>0.45</v>
      </c>
    </row>
    <row r="124" customFormat="false" ht="17.15" hidden="false" customHeight="false" outlineLevel="0" collapsed="false">
      <c r="A124" s="4" t="s">
        <v>571</v>
      </c>
      <c r="B124" s="0" t="s">
        <v>520</v>
      </c>
      <c r="D124" s="24" t="n">
        <f aca="false">a26_brd/fx/D122/D123*1000</f>
        <v>823.353293413174</v>
      </c>
      <c r="E124" s="24" t="n">
        <f aca="false">$D124*bv_27</f>
        <v>946.85628742515</v>
      </c>
      <c r="F124" s="24" t="n">
        <f aca="false">$D124*bv_28</f>
        <v>988.023952095808</v>
      </c>
      <c r="G124" s="24" t="n">
        <f aca="false">$D124*bv_29</f>
        <v>988.023952095808</v>
      </c>
      <c r="K124" s="8" t="s">
        <v>572</v>
      </c>
    </row>
    <row r="125" customFormat="false" ht="17.15" hidden="false" customHeight="false" outlineLevel="0" collapsed="false">
      <c r="A125" s="0" t="s">
        <v>522</v>
      </c>
      <c r="B125" s="0" t="s">
        <v>147</v>
      </c>
      <c r="D125" s="21" t="n">
        <f aca="false">D122*D123*D124*fx/1000</f>
        <v>110</v>
      </c>
      <c r="E125" s="21" t="n">
        <f aca="false">E122*E123*E124*fx/1000</f>
        <v>203.611976047904</v>
      </c>
      <c r="F125" s="21" t="n">
        <f aca="false">F122*F123*F124*fx/1000</f>
        <v>207.247904191617</v>
      </c>
      <c r="G125" s="21" t="n">
        <f aca="false">G122*G123*G124*fx/1000</f>
        <v>220.242395209581</v>
      </c>
    </row>
    <row r="126" customFormat="false" ht="17.15" hidden="false" customHeight="false" outlineLevel="0" collapsed="false">
      <c r="A126" s="6" t="s">
        <v>573</v>
      </c>
    </row>
    <row r="127" customFormat="false" ht="15" hidden="false" customHeight="false" outlineLevel="0" collapsed="false">
      <c r="A127" s="4" t="s">
        <v>574</v>
      </c>
      <c r="B127" s="0" t="s">
        <v>147</v>
      </c>
      <c r="D127" s="21" t="n">
        <f aca="false">a26_gen</f>
        <v>150</v>
      </c>
      <c r="E127" s="21" t="n">
        <f aca="false">D127*(1+g_gen27)</f>
        <v>180</v>
      </c>
      <c r="F127" s="21" t="n">
        <f aca="false">E127*(1+g_gen28)</f>
        <v>198</v>
      </c>
      <c r="G127" s="21" t="n">
        <f aca="false">F127*(1+g_gen29)</f>
        <v>213.84</v>
      </c>
    </row>
    <row r="128" customFormat="false" ht="15" hidden="false" customHeight="false" outlineLevel="0" collapsed="false">
      <c r="A128" s="4" t="s">
        <v>575</v>
      </c>
      <c r="B128" s="0" t="s">
        <v>147</v>
      </c>
      <c r="D128" s="21" t="n">
        <f aca="false">a26_pc</f>
        <v>614.602793131557</v>
      </c>
      <c r="E128" s="21" t="n">
        <f aca="false">D128*(1+g_pc27)</f>
        <v>596.16470933761</v>
      </c>
      <c r="F128" s="21" t="n">
        <f aca="false">E128*(1+g_pc28)</f>
        <v>596.16470933761</v>
      </c>
      <c r="G128" s="21" t="n">
        <f aca="false">F128*(1+g_pc29)</f>
        <v>596.16470933761</v>
      </c>
    </row>
    <row r="129" customFormat="false" ht="15" hidden="false" customHeight="false" outlineLevel="0" collapsed="false">
      <c r="A129" s="4" t="s">
        <v>576</v>
      </c>
      <c r="B129" s="0" t="s">
        <v>147</v>
      </c>
      <c r="C129" s="21" t="n">
        <f aca="false">a25_srev</f>
        <v>1235.86</v>
      </c>
      <c r="D129" s="21" t="n">
        <f aca="false">D120+D125+D127+D128</f>
        <v>2651.72505421038</v>
      </c>
      <c r="E129" s="21" t="n">
        <f aca="false">E120+E125+E127+E128</f>
        <v>4424.73659384154</v>
      </c>
      <c r="F129" s="21" t="n">
        <f aca="false">F120+F125+F127+F128</f>
        <v>4689.00768755573</v>
      </c>
      <c r="G129" s="21" t="n">
        <f aca="false">G120+G125+G127+G128</f>
        <v>4761.17974792163</v>
      </c>
    </row>
    <row r="130" customFormat="false" ht="17.15" hidden="false" customHeight="false" outlineLevel="0" collapsed="false">
      <c r="A130" s="4" t="s">
        <v>577</v>
      </c>
      <c r="B130" s="0" t="s">
        <v>48</v>
      </c>
      <c r="D130" s="20" t="n">
        <f aca="false">a26_wai/D113</f>
        <v>0.0391523244650416</v>
      </c>
      <c r="K130" s="8" t="s">
        <v>578</v>
      </c>
    </row>
    <row r="131" customFormat="false" ht="17.15" hidden="false" customHeight="false" outlineLevel="0" collapsed="false">
      <c r="A131" s="4" t="s">
        <v>504</v>
      </c>
      <c r="B131" s="0" t="s">
        <v>48</v>
      </c>
      <c r="D131" s="20" t="n">
        <f aca="false">D130</f>
        <v>0.0391523244650416</v>
      </c>
      <c r="E131" s="20" t="n">
        <f aca="false">$D$130*wrel_27</f>
        <v>0.0391523244650416</v>
      </c>
      <c r="F131" s="20" t="n">
        <f aca="false">$D$130*wrel_28</f>
        <v>0.0391523244650416</v>
      </c>
      <c r="G131" s="20" t="n">
        <f aca="false">$D$130*wrel_29</f>
        <v>0.0371947082417896</v>
      </c>
    </row>
    <row r="132" customFormat="false" ht="17.15" hidden="false" customHeight="false" outlineLevel="0" collapsed="false">
      <c r="A132" s="4" t="s">
        <v>524</v>
      </c>
      <c r="B132" s="0" t="s">
        <v>147</v>
      </c>
      <c r="D132" s="21" t="n">
        <f aca="false">D113*D131</f>
        <v>795.094795</v>
      </c>
      <c r="E132" s="21" t="n">
        <f aca="false">E113*E131</f>
        <v>1712.55002301323</v>
      </c>
      <c r="F132" s="21" t="n">
        <f aca="false">F113*F131</f>
        <v>2170.85710453316</v>
      </c>
      <c r="G132" s="21" t="n">
        <f aca="false">G113*G131</f>
        <v>2349.30197790644</v>
      </c>
    </row>
    <row r="133" customFormat="false" ht="17.15" hidden="false" customHeight="false" outlineLevel="0" collapsed="false">
      <c r="A133" s="4" t="s">
        <v>579</v>
      </c>
      <c r="B133" s="0" t="s">
        <v>147</v>
      </c>
      <c r="D133" s="21" t="n">
        <f aca="false">a26_wna</f>
        <v>650.532105</v>
      </c>
      <c r="E133" s="21" t="n">
        <f aca="false">D133*(1+g_wn27)</f>
        <v>715.5853155</v>
      </c>
      <c r="F133" s="21" t="n">
        <f aca="false">E133*(1+g_wn28)</f>
        <v>758.52043443</v>
      </c>
      <c r="G133" s="21" t="n">
        <f aca="false">F133*(1+g_wn29)</f>
        <v>796.4464561515</v>
      </c>
    </row>
    <row r="134" customFormat="false" ht="15" hidden="false" customHeight="false" outlineLevel="0" collapsed="false">
      <c r="A134" s="4" t="s">
        <v>434</v>
      </c>
      <c r="B134" s="0" t="s">
        <v>147</v>
      </c>
      <c r="C134" s="21" t="n">
        <f aca="false">a25_wrev</f>
        <v>950.663</v>
      </c>
      <c r="D134" s="21" t="n">
        <f aca="false">D132+D133</f>
        <v>1445.6269</v>
      </c>
      <c r="E134" s="21" t="n">
        <f aca="false">E132+E133</f>
        <v>2428.13533851323</v>
      </c>
      <c r="F134" s="21" t="n">
        <f aca="false">F132+F133</f>
        <v>2929.37753896316</v>
      </c>
      <c r="G134" s="21" t="n">
        <f aca="false">G132+G133</f>
        <v>3145.74843405794</v>
      </c>
    </row>
    <row r="135" customFormat="false" ht="17.15" hidden="false" customHeight="false" outlineLevel="0" collapsed="false">
      <c r="A135" s="4" t="s">
        <v>420</v>
      </c>
      <c r="B135" s="0" t="s">
        <v>147</v>
      </c>
      <c r="C135" s="21" t="n">
        <f aca="false">C129+C134</f>
        <v>2186.523</v>
      </c>
      <c r="D135" s="21" t="n">
        <f aca="false">D129+D134</f>
        <v>4097.35195421038</v>
      </c>
      <c r="E135" s="21" t="n">
        <f aca="false">E129+E134</f>
        <v>6852.87193235477</v>
      </c>
      <c r="F135" s="21" t="n">
        <f aca="false">F129+F134</f>
        <v>7618.38522651889</v>
      </c>
      <c r="G135" s="21" t="n">
        <f aca="false">G129+G134</f>
        <v>7906.92818197957</v>
      </c>
      <c r="H135" s="26" t="n">
        <f aca="false">G135*(1+H136)</f>
        <v>8264.71434008157</v>
      </c>
      <c r="I135" s="26" t="n">
        <f aca="false">H135*(1+I136)</f>
        <v>8699.64370817168</v>
      </c>
      <c r="J135" s="26" t="n">
        <f aca="false">I135*(1+J136)</f>
        <v>9221.62233066198</v>
      </c>
      <c r="K135" s="8" t="s">
        <v>580</v>
      </c>
    </row>
    <row r="136" customFormat="false" ht="15" hidden="false" customHeight="false" outlineLevel="0" collapsed="false">
      <c r="A136" s="4" t="s">
        <v>581</v>
      </c>
      <c r="B136" s="0" t="s">
        <v>48</v>
      </c>
      <c r="D136" s="20" t="n">
        <f aca="false">D135/C135-1</f>
        <v>0.873912121761526</v>
      </c>
      <c r="E136" s="20" t="n">
        <f aca="false">E135/D135-1</f>
        <v>0.672512395551683</v>
      </c>
      <c r="F136" s="20" t="n">
        <f aca="false">F135/E135-1</f>
        <v>0.111706931301294</v>
      </c>
      <c r="G136" s="20" t="n">
        <f aca="false">G135/F135-1</f>
        <v>0.0378745556809452</v>
      </c>
      <c r="H136" s="27" t="n">
        <f aca="false">$G136+(fade_gA-$G136)*1/3</f>
        <v>0.0452497037872968</v>
      </c>
      <c r="I136" s="27" t="n">
        <f aca="false">$G136+(fade_gA-$G136)*2/3</f>
        <v>0.0526248518936484</v>
      </c>
      <c r="J136" s="27" t="n">
        <f aca="false">$G136+(fade_gA-$G136)*3/3</f>
        <v>0.06</v>
      </c>
    </row>
    <row r="137" customFormat="false" ht="17.15" hidden="false" customHeight="false" outlineLevel="0" collapsed="false">
      <c r="A137" s="0" t="s">
        <v>582</v>
      </c>
      <c r="B137" s="0" t="s">
        <v>48</v>
      </c>
      <c r="D137" s="20" t="n">
        <f aca="false">(D120+D125+D132)/D135</f>
        <v>0.6546220793463</v>
      </c>
      <c r="E137" s="20" t="n">
        <f aca="false">(E120+E125+E132)/E135</f>
        <v>0.782317539337844</v>
      </c>
      <c r="F137" s="20" t="n">
        <f aca="false">(F120+F125+F132)/F135</f>
        <v>0.79619235604379</v>
      </c>
      <c r="G137" s="20" t="n">
        <f aca="false">(G120+G125+G132)/G135</f>
        <v>0.796829928321555</v>
      </c>
    </row>
    <row r="138" customFormat="false" ht="17.15" hidden="false" customHeight="false" outlineLevel="0" collapsed="false">
      <c r="A138" s="4" t="s">
        <v>583</v>
      </c>
      <c r="B138" s="0" t="s">
        <v>48</v>
      </c>
      <c r="C138" s="20" t="n">
        <f aca="false">C134/C135</f>
        <v>0.434782986504144</v>
      </c>
      <c r="D138" s="20" t="n">
        <f aca="false">D134/D135</f>
        <v>0.352819800728736</v>
      </c>
      <c r="E138" s="20" t="n">
        <f aca="false">E134/E135</f>
        <v>0.354323758342712</v>
      </c>
      <c r="F138" s="20" t="n">
        <f aca="false">F134/F135</f>
        <v>0.384514231279126</v>
      </c>
      <c r="G138" s="20" t="n">
        <f aca="false">G134/G135</f>
        <v>0.397847098349435</v>
      </c>
    </row>
    <row r="139" customFormat="false" ht="17.15" hidden="false" customHeight="false" outlineLevel="0" collapsed="false">
      <c r="A139" s="4" t="s">
        <v>584</v>
      </c>
      <c r="B139" s="4" t="s">
        <v>331</v>
      </c>
      <c r="D139" s="21" t="n">
        <f aca="false">D118/fx/(odm_gb*(1-vr26)+odm_vr*vr26)</f>
        <v>12.0597330420658</v>
      </c>
      <c r="E139" s="21" t="n">
        <f aca="false">E118/fx/odm_vr</f>
        <v>17.7209871834158</v>
      </c>
      <c r="F139" s="21" t="n">
        <f aca="false">F118/fx/odm_vr</f>
        <v>21.3402492709867</v>
      </c>
      <c r="G139" s="21" t="n">
        <f aca="false">G118/fx/odm_vr</f>
        <v>23.0304484158916</v>
      </c>
      <c r="K139" s="4" t="s">
        <v>585</v>
      </c>
    </row>
    <row r="140" customFormat="false" ht="17.15" hidden="false" customHeight="false" outlineLevel="0" collapsed="false">
      <c r="A140" s="6" t="s">
        <v>586</v>
      </c>
    </row>
    <row r="141" customFormat="false" ht="17.15" hidden="false" customHeight="false" outlineLevel="0" collapsed="false">
      <c r="A141" s="4" t="s">
        <v>587</v>
      </c>
      <c r="B141" s="0" t="s">
        <v>48</v>
      </c>
      <c r="D141" s="17" t="n">
        <f aca="false">(a26_sgp-d_ai*D120-d_brd*D125-d_gen*D127)/D129</f>
        <v>0.0436423860147897</v>
      </c>
      <c r="K141" s="8" t="s">
        <v>588</v>
      </c>
    </row>
    <row r="142" customFormat="false" ht="17.15" hidden="false" customHeight="false" outlineLevel="0" collapsed="false">
      <c r="A142" s="4" t="s">
        <v>589</v>
      </c>
      <c r="B142" s="0" t="s">
        <v>147</v>
      </c>
      <c r="D142" s="25" t="n">
        <f aca="false">($D$141+d_ai)*D118*(1-D119*(1-keep))</f>
        <v>59.7866331026896</v>
      </c>
      <c r="E142" s="25" t="n">
        <f aca="false">($D$141+d_ai+vrd)*E118*(1-E119*(1-keep))</f>
        <v>119.907426351724</v>
      </c>
      <c r="F142" s="25" t="n">
        <f aca="false">($D$141+d_ai+vrd)*F118*(1-F119*(1-keep))</f>
        <v>142.938275828265</v>
      </c>
      <c r="G142" s="25" t="n">
        <f aca="false">($D$141+d_ai+vrd)*G118*(1-G119*(1-keep))</f>
        <v>153.472294165884</v>
      </c>
    </row>
    <row r="143" customFormat="false" ht="15" hidden="false" customHeight="false" outlineLevel="0" collapsed="false">
      <c r="A143" s="4" t="s">
        <v>590</v>
      </c>
      <c r="B143" s="0" t="s">
        <v>147</v>
      </c>
      <c r="C143" s="21" t="n">
        <f aca="false">a25_sgp</f>
        <v>55.529</v>
      </c>
      <c r="D143" s="21" t="n">
        <f aca="false">a26_sgp</f>
        <v>103.50638581015</v>
      </c>
      <c r="E143" s="21" t="n">
        <f aca="false">$D$141*E128+($D$141+d_brd)*E125+($D$141+d_gen)*E127+E142</f>
        <v>171.475577945047</v>
      </c>
      <c r="F143" s="21" t="n">
        <f aca="false">$D$141*F128+($D$141+d_brd)*F125+($D$141+d_gen)*F127+F142</f>
        <v>195.829748793735</v>
      </c>
      <c r="G143" s="21" t="n">
        <f aca="false">$D$141*G128+($D$141+d_brd)*G125+($D$141+d_gen)*G127+G142</f>
        <v>208.249607849439</v>
      </c>
    </row>
    <row r="144" customFormat="false" ht="15" hidden="false" customHeight="false" outlineLevel="0" collapsed="false">
      <c r="A144" s="4" t="s">
        <v>591</v>
      </c>
      <c r="B144" s="0" t="s">
        <v>48</v>
      </c>
      <c r="C144" s="17" t="n">
        <f aca="false">C143/C129</f>
        <v>0.0449314647290146</v>
      </c>
      <c r="D144" s="17" t="n">
        <f aca="false">D143/D129</f>
        <v>0.0390336040479778</v>
      </c>
      <c r="E144" s="17" t="n">
        <f aca="false">E143/E129</f>
        <v>0.0387538499317024</v>
      </c>
      <c r="F144" s="17" t="n">
        <f aca="false">F143/F129</f>
        <v>0.0417635802375528</v>
      </c>
      <c r="G144" s="17" t="n">
        <f aca="false">G143/G129</f>
        <v>0.0437390770513013</v>
      </c>
    </row>
    <row r="145" customFormat="false" ht="15" hidden="false" customHeight="false" outlineLevel="0" collapsed="false">
      <c r="A145" s="4" t="s">
        <v>592</v>
      </c>
      <c r="B145" s="0" t="s">
        <v>48</v>
      </c>
      <c r="E145" s="20" t="n">
        <f aca="false">MAX(0,phi*(E129/D129-1))</f>
        <v>0.200587712155451</v>
      </c>
      <c r="F145" s="20" t="n">
        <f aca="false">MAX(0,phi*(F129/E129-1))</f>
        <v>0.0179177509062578</v>
      </c>
      <c r="G145" s="20" t="n">
        <f aca="false">MAX(0,phi*(G129/F129-1))</f>
        <v>0.00461752668208062</v>
      </c>
    </row>
    <row r="146" customFormat="false" ht="15" hidden="false" customHeight="false" outlineLevel="0" collapsed="false">
      <c r="A146" s="4" t="s">
        <v>593</v>
      </c>
      <c r="B146" s="0" t="s">
        <v>147</v>
      </c>
      <c r="C146" s="21" t="n">
        <f aca="false">a25_sopx</f>
        <v>40.894</v>
      </c>
      <c r="D146" s="21" t="n">
        <f aca="false">a26_sopx</f>
        <v>46.9914095398923</v>
      </c>
      <c r="E146" s="21" t="n">
        <f aca="false">D146*(1+E145)+0*E129</f>
        <v>56.4173088704591</v>
      </c>
      <c r="F146" s="21" t="n">
        <f aca="false">E146*(1+F145)+0*F129</f>
        <v>57.4281801576014</v>
      </c>
      <c r="G146" s="21" t="n">
        <f aca="false">F146*(1+G145)+0*G129</f>
        <v>57.6933563117824</v>
      </c>
    </row>
    <row r="147" customFormat="false" ht="15" hidden="false" customHeight="false" outlineLevel="0" collapsed="false">
      <c r="A147" s="4" t="s">
        <v>594</v>
      </c>
      <c r="B147" s="0" t="s">
        <v>147</v>
      </c>
      <c r="C147" s="21" t="n">
        <f aca="false">C143-C146</f>
        <v>14.635</v>
      </c>
      <c r="D147" s="21" t="n">
        <f aca="false">D143-D146</f>
        <v>56.514976270258</v>
      </c>
      <c r="E147" s="21" t="n">
        <f aca="false">E143-E146</f>
        <v>115.058269074588</v>
      </c>
      <c r="F147" s="21" t="n">
        <f aca="false">F143-F146</f>
        <v>138.401568636134</v>
      </c>
      <c r="G147" s="21" t="n">
        <f aca="false">G143-G146</f>
        <v>150.556251537657</v>
      </c>
    </row>
    <row r="148" customFormat="false" ht="15" hidden="false" customHeight="false" outlineLevel="0" collapsed="false">
      <c r="A148" s="4" t="s">
        <v>595</v>
      </c>
      <c r="B148" s="0" t="s">
        <v>48</v>
      </c>
      <c r="C148" s="17" t="n">
        <f aca="false">C147/C129</f>
        <v>0.011841956208632</v>
      </c>
      <c r="D148" s="17" t="n">
        <f aca="false">D147/D129</f>
        <v>0.0213125324514788</v>
      </c>
      <c r="E148" s="17" t="n">
        <f aca="false">E147/E129</f>
        <v>0.0260034166180037</v>
      </c>
      <c r="F148" s="17" t="n">
        <f aca="false">F147/F129</f>
        <v>0.0295161743930259</v>
      </c>
      <c r="G148" s="17" t="n">
        <f aca="false">G147/G129</f>
        <v>0.0316216273085212</v>
      </c>
    </row>
    <row r="149" customFormat="false" ht="15" hidden="false" customHeight="false" outlineLevel="0" collapsed="false">
      <c r="A149" s="4" t="s">
        <v>596</v>
      </c>
      <c r="B149" s="0" t="s">
        <v>147</v>
      </c>
      <c r="C149" s="21" t="n">
        <f aca="false">a25_sni</f>
        <v>6.9608</v>
      </c>
      <c r="D149" s="21" t="n">
        <f aca="false">a26_sni</f>
        <v>31.133746704</v>
      </c>
      <c r="E149" s="21" t="n">
        <f aca="false">E147*snio</f>
        <v>64.4326306817693</v>
      </c>
      <c r="F149" s="21" t="n">
        <f aca="false">F147*snio</f>
        <v>77.504878436235</v>
      </c>
      <c r="G149" s="21" t="n">
        <f aca="false">G147*snio</f>
        <v>84.3115008610877</v>
      </c>
    </row>
    <row r="150" customFormat="false" ht="17.15" hidden="false" customHeight="false" outlineLevel="0" collapsed="false">
      <c r="A150" s="6" t="s">
        <v>597</v>
      </c>
    </row>
    <row r="151" customFormat="false" ht="15" hidden="false" customHeight="false" outlineLevel="0" collapsed="false">
      <c r="A151" s="4" t="s">
        <v>438</v>
      </c>
      <c r="B151" s="0" t="s">
        <v>147</v>
      </c>
      <c r="C151" s="21" t="n">
        <f aca="false">a25_wgp</f>
        <v>78.454</v>
      </c>
      <c r="D151" s="21" t="n">
        <f aca="false">a26_wgp</f>
        <v>125.0519932</v>
      </c>
      <c r="E151" s="21" t="n">
        <f aca="false">E134*wgm</f>
        <v>206.391503773624</v>
      </c>
      <c r="F151" s="21" t="n">
        <f aca="false">F134*wgm</f>
        <v>248.997090811869</v>
      </c>
      <c r="G151" s="21" t="n">
        <f aca="false">G134*wgm</f>
        <v>267.388616894925</v>
      </c>
    </row>
    <row r="152" customFormat="false" ht="15" hidden="false" customHeight="false" outlineLevel="0" collapsed="false">
      <c r="A152" s="4" t="s">
        <v>440</v>
      </c>
      <c r="B152" s="0" t="s">
        <v>147</v>
      </c>
      <c r="C152" s="21" t="n">
        <f aca="false">a25_woi</f>
        <v>63.918</v>
      </c>
      <c r="D152" s="21" t="n">
        <f aca="false">a26_woi</f>
        <v>98.2471632</v>
      </c>
      <c r="E152" s="21" t="n">
        <f aca="false">E134*wopm</f>
        <v>157.82879700336</v>
      </c>
      <c r="F152" s="21" t="n">
        <f aca="false">F134*wopm</f>
        <v>190.409540032605</v>
      </c>
      <c r="G152" s="21" t="n">
        <f aca="false">G134*wopm</f>
        <v>204.473648213766</v>
      </c>
    </row>
    <row r="153" customFormat="false" ht="15" hidden="false" customHeight="false" outlineLevel="0" collapsed="false">
      <c r="A153" s="4" t="s">
        <v>448</v>
      </c>
      <c r="B153" s="0" t="s">
        <v>147</v>
      </c>
      <c r="C153" s="21" t="n">
        <f aca="false">a25_wni</f>
        <v>51.118</v>
      </c>
      <c r="D153" s="21" t="n">
        <f aca="false">a26_wni</f>
        <v>75.735026884</v>
      </c>
      <c r="E153" s="21" t="n">
        <f aca="false">E152*wnio</f>
        <v>123.106461662621</v>
      </c>
      <c r="F153" s="21" t="n">
        <f aca="false">F152*wnio</f>
        <v>148.519441225432</v>
      </c>
      <c r="G153" s="21" t="n">
        <f aca="false">G152*wnio</f>
        <v>159.489445606738</v>
      </c>
    </row>
    <row r="154" customFormat="false" ht="15" hidden="false" customHeight="false" outlineLevel="0" collapsed="false">
      <c r="A154" s="4" t="s">
        <v>450</v>
      </c>
      <c r="B154" s="0" t="s">
        <v>48</v>
      </c>
      <c r="C154" s="17" t="n">
        <f aca="false">stake25</f>
        <v>0.4</v>
      </c>
      <c r="D154" s="17" t="n">
        <f aca="false">stake</f>
        <v>0.3768</v>
      </c>
      <c r="E154" s="17" t="n">
        <f aca="false">stake</f>
        <v>0.3768</v>
      </c>
      <c r="F154" s="17" t="n">
        <f aca="false">stake</f>
        <v>0.3768</v>
      </c>
      <c r="G154" s="17" t="n">
        <f aca="false">stake</f>
        <v>0.3768</v>
      </c>
    </row>
    <row r="155" customFormat="false" ht="17.15" hidden="false" customHeight="false" outlineLevel="0" collapsed="false">
      <c r="A155" s="6" t="s">
        <v>598</v>
      </c>
    </row>
    <row r="156" customFormat="false" ht="15" hidden="false" customHeight="false" outlineLevel="0" collapsed="false">
      <c r="A156" s="4" t="s">
        <v>424</v>
      </c>
      <c r="B156" s="0" t="s">
        <v>147</v>
      </c>
      <c r="C156" s="21" t="n">
        <f aca="false">C143+C151</f>
        <v>133.983</v>
      </c>
      <c r="D156" s="21" t="n">
        <f aca="false">D143+D151</f>
        <v>228.55837901015</v>
      </c>
      <c r="E156" s="21" t="n">
        <f aca="false">E143+E151</f>
        <v>377.867081718671</v>
      </c>
      <c r="F156" s="21" t="n">
        <f aca="false">F143+F151</f>
        <v>444.826839605604</v>
      </c>
      <c r="G156" s="21" t="n">
        <f aca="false">G143+G151</f>
        <v>475.638224744364</v>
      </c>
    </row>
    <row r="157" customFormat="false" ht="15" hidden="false" customHeight="false" outlineLevel="0" collapsed="false">
      <c r="A157" s="4" t="s">
        <v>427</v>
      </c>
      <c r="B157" s="0" t="s">
        <v>48</v>
      </c>
      <c r="C157" s="17" t="n">
        <f aca="false">C156/C135</f>
        <v>0.0612767393711386</v>
      </c>
      <c r="D157" s="17" t="n">
        <f aca="false">D156/D135</f>
        <v>0.055781973714825</v>
      </c>
      <c r="E157" s="17" t="n">
        <f aca="false">E156/E135</f>
        <v>0.0551399596327827</v>
      </c>
      <c r="F157" s="17" t="n">
        <f aca="false">F156/F135</f>
        <v>0.0583885989457718</v>
      </c>
      <c r="G157" s="17" t="n">
        <f aca="false">G156/G135</f>
        <v>0.0601546155216607</v>
      </c>
    </row>
    <row r="158" customFormat="false" ht="15" hidden="false" customHeight="false" outlineLevel="0" collapsed="false">
      <c r="A158" s="4" t="s">
        <v>428</v>
      </c>
      <c r="B158" s="0" t="s">
        <v>147</v>
      </c>
      <c r="C158" s="21" t="n">
        <f aca="false">C147+C152</f>
        <v>78.553</v>
      </c>
      <c r="D158" s="21" t="n">
        <f aca="false">D147+D152</f>
        <v>154.762139470258</v>
      </c>
      <c r="E158" s="21" t="n">
        <f aca="false">E147+E152</f>
        <v>272.887066077948</v>
      </c>
      <c r="F158" s="21" t="n">
        <f aca="false">F147+F152</f>
        <v>328.811108668739</v>
      </c>
      <c r="G158" s="21" t="n">
        <f aca="false">G147+G152</f>
        <v>355.029899751423</v>
      </c>
    </row>
    <row r="159" customFormat="false" ht="15" hidden="false" customHeight="false" outlineLevel="0" collapsed="false">
      <c r="A159" s="4" t="s">
        <v>431</v>
      </c>
      <c r="B159" s="0" t="s">
        <v>48</v>
      </c>
      <c r="C159" s="17" t="n">
        <f aca="false">C158/C135</f>
        <v>0.0359259884300325</v>
      </c>
      <c r="D159" s="17" t="n">
        <f aca="false">D158/D135</f>
        <v>0.0377712584126992</v>
      </c>
      <c r="E159" s="17" t="n">
        <f aca="false">E158/E135</f>
        <v>0.0398208326044376</v>
      </c>
      <c r="F159" s="17" t="n">
        <f aca="false">F158/F135</f>
        <v>0.0431602103191341</v>
      </c>
      <c r="G159" s="17" t="n">
        <f aca="false">G158/G135</f>
        <v>0.0449011160314521</v>
      </c>
    </row>
    <row r="160" customFormat="false" ht="15" hidden="false" customHeight="false" outlineLevel="0" collapsed="false">
      <c r="A160" s="4" t="s">
        <v>461</v>
      </c>
      <c r="B160" s="0" t="s">
        <v>147</v>
      </c>
      <c r="C160" s="21" t="n">
        <f aca="false">C149+C153</f>
        <v>58.0788</v>
      </c>
      <c r="D160" s="21" t="n">
        <f aca="false">D149+D153</f>
        <v>106.868773588</v>
      </c>
      <c r="E160" s="21" t="n">
        <f aca="false">E149+E153</f>
        <v>187.53909234439</v>
      </c>
      <c r="F160" s="21" t="n">
        <f aca="false">F149+F153</f>
        <v>226.024319661667</v>
      </c>
      <c r="G160" s="21" t="n">
        <f aca="false">G149+G153</f>
        <v>243.800946467825</v>
      </c>
    </row>
    <row r="161" customFormat="false" ht="17.15" hidden="false" customHeight="false" outlineLevel="0" collapsed="false">
      <c r="A161" s="4" t="s">
        <v>599</v>
      </c>
      <c r="B161" s="0" t="s">
        <v>147</v>
      </c>
      <c r="C161" s="21" t="n">
        <f aca="false">(1-C154)*C153</f>
        <v>30.6708</v>
      </c>
      <c r="D161" s="21" t="n">
        <f aca="false">(1-D154)*D153</f>
        <v>47.1980687541088</v>
      </c>
      <c r="E161" s="21" t="n">
        <f aca="false">(1-E154)*E153</f>
        <v>76.7199469081451</v>
      </c>
      <c r="F161" s="21" t="n">
        <f aca="false">(1-F154)*F153</f>
        <v>92.5573157716893</v>
      </c>
      <c r="G161" s="21" t="n">
        <f aca="false">(1-G154)*G153</f>
        <v>99.3938225021189</v>
      </c>
    </row>
    <row r="162" customFormat="false" ht="15" hidden="false" customHeight="false" outlineLevel="0" collapsed="false">
      <c r="A162" s="4" t="s">
        <v>457</v>
      </c>
      <c r="B162" s="0" t="s">
        <v>147</v>
      </c>
      <c r="C162" s="21" t="n">
        <f aca="false">C160-C161</f>
        <v>27.408</v>
      </c>
      <c r="D162" s="21" t="n">
        <f aca="false">D160-D161</f>
        <v>59.6707048338912</v>
      </c>
      <c r="E162" s="21" t="n">
        <f aca="false">E160-E161</f>
        <v>110.819145436245</v>
      </c>
      <c r="F162" s="21" t="n">
        <f aca="false">F160-F161</f>
        <v>133.467003889978</v>
      </c>
      <c r="G162" s="21" t="n">
        <f aca="false">G160-G161</f>
        <v>144.407123965706</v>
      </c>
      <c r="H162" s="26" t="n">
        <f aca="false">H135*H167</f>
        <v>150.025909790734</v>
      </c>
      <c r="I162" s="26" t="n">
        <f aca="false">I135*I167</f>
        <v>156.957224328512</v>
      </c>
      <c r="J162" s="26" t="n">
        <f aca="false">J135*J167</f>
        <v>165.353054438344</v>
      </c>
    </row>
    <row r="163" customFormat="false" ht="17.15" hidden="false" customHeight="false" outlineLevel="0" collapsed="false">
      <c r="A163" s="4" t="s">
        <v>600</v>
      </c>
      <c r="B163" s="0" t="s">
        <v>48</v>
      </c>
      <c r="C163" s="20" t="n">
        <f aca="false">C154*C153/C162</f>
        <v>0.746030356100409</v>
      </c>
      <c r="D163" s="20" t="n">
        <f aca="false">D154*D153/D162</f>
        <v>0.478240674537551</v>
      </c>
      <c r="E163" s="20" t="n">
        <f aca="false">E154*E153/E162</f>
        <v>0.418578527851598</v>
      </c>
      <c r="F163" s="20" t="n">
        <f aca="false">F154*F153/F162</f>
        <v>0.419295584846384</v>
      </c>
      <c r="G163" s="20" t="n">
        <f aca="false">G154*G153/G162</f>
        <v>0.416154144298935</v>
      </c>
    </row>
    <row r="164" customFormat="false" ht="17.15" hidden="false" customHeight="false" outlineLevel="0" collapsed="false">
      <c r="A164" s="4" t="s">
        <v>601</v>
      </c>
      <c r="B164" s="4" t="s">
        <v>282</v>
      </c>
      <c r="C164" s="31" t="n">
        <f aca="false">a25_sh</f>
        <v>3.03185840707965</v>
      </c>
      <c r="D164" s="31" t="n">
        <f aca="false">a26_sh</f>
        <v>3.23861720409076</v>
      </c>
      <c r="E164" s="31" t="n">
        <f aca="false">q_sh4*(1+sh_g)</f>
        <v>3.43</v>
      </c>
      <c r="F164" s="31" t="n">
        <f aca="false">E164*(1+sh_g)</f>
        <v>3.43</v>
      </c>
      <c r="G164" s="31" t="n">
        <f aca="false">F164*(1+sh_g)</f>
        <v>3.43</v>
      </c>
      <c r="H164" s="32" t="n">
        <f aca="false">G164*(1+sh_g)</f>
        <v>3.43</v>
      </c>
      <c r="I164" s="32" t="n">
        <f aca="false">H164*(1+sh_g)</f>
        <v>3.43</v>
      </c>
      <c r="J164" s="32" t="n">
        <f aca="false">I164*(1+sh_g)</f>
        <v>3.43</v>
      </c>
      <c r="K164" s="8" t="s">
        <v>602</v>
      </c>
    </row>
    <row r="165" customFormat="false" ht="15" hidden="false" customHeight="false" outlineLevel="0" collapsed="false">
      <c r="A165" s="0" t="s">
        <v>464</v>
      </c>
      <c r="B165" s="0" t="s">
        <v>312</v>
      </c>
      <c r="C165" s="18" t="n">
        <f aca="false">C162/C164</f>
        <v>9.04</v>
      </c>
      <c r="D165" s="18" t="n">
        <f aca="false">D162/D164</f>
        <v>18.4247476850676</v>
      </c>
      <c r="E165" s="18" t="n">
        <f aca="false">E162/E164</f>
        <v>32.3087887569227</v>
      </c>
      <c r="F165" s="18" t="n">
        <f aca="false">F162/F164</f>
        <v>38.9116629416845</v>
      </c>
      <c r="G165" s="18" t="n">
        <f aca="false">G162/G164</f>
        <v>42.1012023223634</v>
      </c>
      <c r="H165" s="29" t="n">
        <f aca="false">H162/H164</f>
        <v>43.7393323005054</v>
      </c>
      <c r="I165" s="29" t="n">
        <f aca="false">I162/I164</f>
        <v>45.7601237109364</v>
      </c>
      <c r="J165" s="29" t="n">
        <f aca="false">J162/J164</f>
        <v>48.2078875913538</v>
      </c>
    </row>
    <row r="166" customFormat="false" ht="17.15" hidden="false" customHeight="false" outlineLevel="0" collapsed="false">
      <c r="A166" s="0" t="s">
        <v>603</v>
      </c>
      <c r="B166" s="0" t="s">
        <v>48</v>
      </c>
      <c r="D166" s="20" t="n">
        <f aca="false">D165/C165-1</f>
        <v>1.03813580587031</v>
      </c>
      <c r="E166" s="20" t="n">
        <f aca="false">E165/D165-1</f>
        <v>0.753553932415989</v>
      </c>
      <c r="F166" s="20" t="n">
        <f aca="false">F165/E165-1</f>
        <v>0.204367741373377</v>
      </c>
      <c r="G166" s="20" t="n">
        <f aca="false">G165/F165-1</f>
        <v>0.0819687245301988</v>
      </c>
      <c r="H166" s="27" t="n">
        <f aca="false">H165/G165-1</f>
        <v>0.0389093395860551</v>
      </c>
      <c r="I166" s="27" t="n">
        <f aca="false">I165/H165-1</f>
        <v>0.046200783234353</v>
      </c>
      <c r="J166" s="27" t="n">
        <f aca="false">J165/I165-1</f>
        <v>0.0534911989285642</v>
      </c>
    </row>
    <row r="167" customFormat="false" ht="17.15" hidden="false" customHeight="false" outlineLevel="0" collapsed="false">
      <c r="A167" s="4" t="s">
        <v>604</v>
      </c>
      <c r="B167" s="0" t="s">
        <v>48</v>
      </c>
      <c r="C167" s="17" t="n">
        <f aca="false">C162/C135</f>
        <v>0.0125349699042727</v>
      </c>
      <c r="D167" s="17" t="n">
        <f aca="false">D162/D135</f>
        <v>0.0145632363293992</v>
      </c>
      <c r="E167" s="17" t="n">
        <f aca="false">E162/E135</f>
        <v>0.0161711974964875</v>
      </c>
      <c r="F167" s="17" t="n">
        <f aca="false">F162/F135</f>
        <v>0.0175190673510958</v>
      </c>
      <c r="G167" s="17" t="n">
        <f aca="false">G162/G135</f>
        <v>0.0182633660812577</v>
      </c>
      <c r="H167" s="28" t="n">
        <f aca="false">$G167+(fade_mA-$G167)*1/3</f>
        <v>0.0181525826081066</v>
      </c>
      <c r="I167" s="28" t="n">
        <f aca="false">$G167+(fade_mA-$G167)*2/3</f>
        <v>0.0180417991349554</v>
      </c>
      <c r="J167" s="28" t="n">
        <f aca="false">$G167+(fade_mA-$G167)*3/3</f>
        <v>0.0179310156618042</v>
      </c>
    </row>
    <row r="170" customFormat="false" ht="17.15" hidden="false" customHeight="false" outlineLevel="0" collapsed="false">
      <c r="A170" s="1" t="s">
        <v>875</v>
      </c>
    </row>
    <row r="171" customFormat="false" ht="17.15" hidden="false" customHeight="false" outlineLevel="0" collapsed="false">
      <c r="A171" s="5" t="s">
        <v>17</v>
      </c>
      <c r="B171" s="5" t="s">
        <v>18</v>
      </c>
      <c r="C171" s="14" t="s">
        <v>414</v>
      </c>
      <c r="D171" s="14" t="s">
        <v>529</v>
      </c>
      <c r="E171" s="14" t="s">
        <v>530</v>
      </c>
      <c r="F171" s="14" t="s">
        <v>531</v>
      </c>
      <c r="G171" s="14" t="s">
        <v>532</v>
      </c>
      <c r="H171" s="14" t="s">
        <v>533</v>
      </c>
      <c r="I171" s="14" t="s">
        <v>534</v>
      </c>
      <c r="J171" s="14" t="s">
        <v>535</v>
      </c>
      <c r="K171" s="5" t="s">
        <v>496</v>
      </c>
    </row>
    <row r="172" customFormat="false" ht="17.15" hidden="false" customHeight="false" outlineLevel="0" collapsed="false">
      <c r="A172" s="6" t="s">
        <v>550</v>
      </c>
    </row>
    <row r="173" customFormat="false" ht="17.15" hidden="false" customHeight="false" outlineLevel="0" collapsed="false">
      <c r="A173" s="0" t="s">
        <v>551</v>
      </c>
      <c r="B173" s="0" t="s">
        <v>28</v>
      </c>
      <c r="D173" s="21" t="n">
        <f aca="false">itc_26*1</f>
        <v>781.872916666667</v>
      </c>
      <c r="E173" s="21" t="n">
        <f aca="false">itc_27*1*1</f>
        <v>1565.35</v>
      </c>
      <c r="F173" s="21" t="n">
        <f aca="false">itc_28*um28_A*1</f>
        <v>1984.26388888889</v>
      </c>
      <c r="G173" s="21" t="n">
        <f aca="false">itc_29*um29_A*1</f>
        <v>2260.39027777778</v>
      </c>
    </row>
    <row r="174" customFormat="false" ht="17.15" hidden="false" customHeight="false" outlineLevel="0" collapsed="false">
      <c r="A174" s="4" t="s">
        <v>552</v>
      </c>
      <c r="B174" s="0" t="s">
        <v>28</v>
      </c>
      <c r="D174" s="21" t="n">
        <f aca="false">itpg_gb*(1-vr26)+itpg_vr*vr26</f>
        <v>33.41403216</v>
      </c>
      <c r="E174" s="21" t="n">
        <f aca="false">itpg_vr</f>
        <v>37.586352</v>
      </c>
      <c r="F174" s="21" t="n">
        <f aca="false">itpg_vr</f>
        <v>37.586352</v>
      </c>
      <c r="G174" s="21" t="n">
        <f aca="false">itpg_vr</f>
        <v>37.586352</v>
      </c>
    </row>
    <row r="175" customFormat="false" ht="17.15" hidden="false" customHeight="false" outlineLevel="0" collapsed="false">
      <c r="A175" s="4" t="s">
        <v>553</v>
      </c>
      <c r="B175" s="0" t="s">
        <v>498</v>
      </c>
      <c r="D175" s="22" t="n">
        <f aca="false">D173/D174</f>
        <v>23.3995380420639</v>
      </c>
      <c r="E175" s="22" t="n">
        <f aca="false">E173/E174</f>
        <v>41.6467658260637</v>
      </c>
      <c r="F175" s="22" t="n">
        <f aca="false">F173/F174</f>
        <v>52.792138191248</v>
      </c>
      <c r="G175" s="22" t="n">
        <f aca="false">G173/G174</f>
        <v>60.1385917361116</v>
      </c>
    </row>
    <row r="176" customFormat="false" ht="17.15" hidden="false" customHeight="false" outlineLevel="0" collapsed="false">
      <c r="A176" s="4" t="s">
        <v>554</v>
      </c>
      <c r="B176" s="0" t="s">
        <v>555</v>
      </c>
      <c r="D176" s="18" t="n">
        <f aca="false">(racks_gb*odm_gb*(1-vr26)+racks_vr*odm_vr*vr26)/1000</f>
        <v>27.1209</v>
      </c>
      <c r="E176" s="18" t="n">
        <f aca="false">racks_vr*odm_vr/1000</f>
        <v>27.351</v>
      </c>
      <c r="F176" s="18" t="n">
        <f aca="false">$E176*vpg_28</f>
        <v>27.351</v>
      </c>
      <c r="G176" s="18" t="n">
        <f aca="false">$E176*vpg_29</f>
        <v>27.351</v>
      </c>
      <c r="K176" s="4" t="s">
        <v>556</v>
      </c>
    </row>
    <row r="177" customFormat="false" ht="17.15" hidden="false" customHeight="false" outlineLevel="0" collapsed="false">
      <c r="A177" s="0" t="s">
        <v>557</v>
      </c>
      <c r="B177" s="0" t="s">
        <v>28</v>
      </c>
      <c r="D177" s="21" t="n">
        <f aca="false">D175*D176</f>
        <v>634.616531285011</v>
      </c>
      <c r="E177" s="21" t="n">
        <f aca="false">E175*E176</f>
        <v>1139.08069210867</v>
      </c>
      <c r="F177" s="21" t="n">
        <f aca="false">F175*F176</f>
        <v>1443.91777166882</v>
      </c>
      <c r="G177" s="21" t="n">
        <f aca="false">G175*G176</f>
        <v>1644.85062257439</v>
      </c>
    </row>
    <row r="178" customFormat="false" ht="17.15" hidden="false" customHeight="false" outlineLevel="0" collapsed="false">
      <c r="A178" s="0" t="s">
        <v>558</v>
      </c>
      <c r="B178" s="0" t="s">
        <v>147</v>
      </c>
      <c r="D178" s="21" t="n">
        <f aca="false">D177*fx</f>
        <v>20307.7290011204</v>
      </c>
      <c r="E178" s="21" t="n">
        <f aca="false">E177*fx</f>
        <v>36450.5821474774</v>
      </c>
      <c r="F178" s="21" t="n">
        <f aca="false">F177*fx</f>
        <v>46205.3686934024</v>
      </c>
      <c r="G178" s="21" t="n">
        <f aca="false">G177*fx</f>
        <v>52635.2199223804</v>
      </c>
    </row>
    <row r="179" customFormat="false" ht="17.15" hidden="false" customHeight="false" outlineLevel="0" collapsed="false">
      <c r="A179" s="6" t="s">
        <v>559</v>
      </c>
    </row>
    <row r="180" customFormat="false" ht="17.15" hidden="false" customHeight="false" outlineLevel="0" collapsed="false">
      <c r="A180" s="4" t="s">
        <v>560</v>
      </c>
      <c r="B180" s="0" t="s">
        <v>48</v>
      </c>
      <c r="D180" s="20" t="n">
        <f aca="false">a26_ais/D178</f>
        <v>0.0875096501918446</v>
      </c>
      <c r="K180" s="8" t="s">
        <v>561</v>
      </c>
    </row>
    <row r="181" customFormat="false" ht="17.15" hidden="false" customHeight="false" outlineLevel="0" collapsed="false">
      <c r="A181" s="4" t="s">
        <v>562</v>
      </c>
      <c r="B181" s="0" t="s">
        <v>60</v>
      </c>
      <c r="D181" s="18" t="n">
        <f aca="false">1</f>
        <v>1</v>
      </c>
      <c r="E181" s="18" t="n">
        <f aca="false">rel_27_lo</f>
        <v>0.85</v>
      </c>
      <c r="F181" s="18" t="n">
        <f aca="false">rel_28_lo</f>
        <v>0.75</v>
      </c>
      <c r="G181" s="18" t="n">
        <f aca="false">rel_29_lo</f>
        <v>0.7</v>
      </c>
    </row>
    <row r="182" customFormat="false" ht="17.15" hidden="false" customHeight="false" outlineLevel="0" collapsed="false">
      <c r="A182" s="4" t="s">
        <v>563</v>
      </c>
      <c r="B182" s="0" t="s">
        <v>48</v>
      </c>
      <c r="D182" s="20" t="n">
        <f aca="false">$D$180*D181</f>
        <v>0.0875096501918446</v>
      </c>
      <c r="E182" s="20" t="n">
        <f aca="false">$D$180*E181</f>
        <v>0.0743832026630679</v>
      </c>
      <c r="F182" s="20" t="n">
        <f aca="false">$D$180*F181</f>
        <v>0.0656322376438834</v>
      </c>
      <c r="G182" s="20" t="n">
        <f aca="false">$D$180*G181</f>
        <v>0.0612567551342912</v>
      </c>
    </row>
    <row r="183" customFormat="false" ht="17.15" hidden="false" customHeight="false" outlineLevel="0" collapsed="false">
      <c r="A183" s="4" t="s">
        <v>564</v>
      </c>
      <c r="B183" s="0" t="s">
        <v>147</v>
      </c>
      <c r="D183" s="21" t="n">
        <f aca="false">D178*D182</f>
        <v>1777.12226107882</v>
      </c>
      <c r="E183" s="21" t="n">
        <f aca="false">E178*E182</f>
        <v>2711.31103906261</v>
      </c>
      <c r="F183" s="21" t="n">
        <f aca="false">F178*F182</f>
        <v>3032.56173850864</v>
      </c>
      <c r="G183" s="21" t="n">
        <f aca="false">G178*G182</f>
        <v>3224.26277822482</v>
      </c>
    </row>
    <row r="184" customFormat="false" ht="17.15" hidden="false" customHeight="false" outlineLevel="0" collapsed="false">
      <c r="A184" s="4" t="s">
        <v>565</v>
      </c>
      <c r="B184" s="0" t="s">
        <v>48</v>
      </c>
      <c r="D184" s="20" t="n">
        <f aca="false">0</f>
        <v>0</v>
      </c>
      <c r="E184" s="20" t="n">
        <f aca="false">cs_27</f>
        <v>0.1</v>
      </c>
      <c r="F184" s="20" t="n">
        <f aca="false">cs_28</f>
        <v>0.2</v>
      </c>
      <c r="G184" s="20" t="n">
        <f aca="false">cs_29</f>
        <v>0.25</v>
      </c>
      <c r="K184" s="8" t="s">
        <v>566</v>
      </c>
    </row>
    <row r="185" customFormat="false" ht="17.15" hidden="false" customHeight="false" outlineLevel="0" collapsed="false">
      <c r="A185" s="4" t="s">
        <v>567</v>
      </c>
      <c r="B185" s="0" t="s">
        <v>147</v>
      </c>
      <c r="D185" s="21" t="n">
        <f aca="false">D183*(1-D184)</f>
        <v>1777.12226107882</v>
      </c>
      <c r="E185" s="21" t="n">
        <f aca="false">E183*(1-E184)</f>
        <v>2440.17993515635</v>
      </c>
      <c r="F185" s="21" t="n">
        <f aca="false">F183*(1-F184)</f>
        <v>2426.04939080691</v>
      </c>
      <c r="G185" s="21" t="n">
        <f aca="false">G183*(1-G184)</f>
        <v>2418.19708366862</v>
      </c>
    </row>
    <row r="186" customFormat="false" ht="17.15" hidden="false" customHeight="false" outlineLevel="0" collapsed="false">
      <c r="A186" s="6" t="s">
        <v>568</v>
      </c>
    </row>
    <row r="187" customFormat="false" ht="17.15" hidden="false" customHeight="false" outlineLevel="0" collapsed="false">
      <c r="A187" s="0" t="s">
        <v>569</v>
      </c>
      <c r="B187" s="4" t="s">
        <v>81</v>
      </c>
      <c r="D187" s="18" t="n">
        <f aca="false">gu_26*1</f>
        <v>8.35</v>
      </c>
      <c r="E187" s="18" t="n">
        <f aca="false">gu_27*1*1</f>
        <v>11.2</v>
      </c>
      <c r="F187" s="18" t="n">
        <f aca="false">gu_28*um28_A*1</f>
        <v>11.5</v>
      </c>
      <c r="G187" s="18" t="n">
        <f aca="false">gu_29*um29_A*1</f>
        <v>12.9</v>
      </c>
    </row>
    <row r="188" customFormat="false" ht="15" hidden="false" customHeight="false" outlineLevel="0" collapsed="false">
      <c r="A188" s="4" t="s">
        <v>570</v>
      </c>
      <c r="B188" s="0" t="s">
        <v>48</v>
      </c>
      <c r="D188" s="20" t="n">
        <f aca="false">bsh_26</f>
        <v>0.5</v>
      </c>
      <c r="E188" s="20" t="n">
        <f aca="false">bsh_26*brel_27</f>
        <v>0.5</v>
      </c>
      <c r="F188" s="20" t="n">
        <f aca="false">bsh_26*brel_28</f>
        <v>0.475</v>
      </c>
      <c r="G188" s="20" t="n">
        <f aca="false">bsh_26*brel_29</f>
        <v>0.45</v>
      </c>
    </row>
    <row r="189" customFormat="false" ht="17.15" hidden="false" customHeight="false" outlineLevel="0" collapsed="false">
      <c r="A189" s="4" t="s">
        <v>571</v>
      </c>
      <c r="B189" s="0" t="s">
        <v>520</v>
      </c>
      <c r="D189" s="24" t="n">
        <f aca="false">a26_brd/fx/D187/D188*1000</f>
        <v>823.353293413174</v>
      </c>
      <c r="E189" s="24" t="n">
        <f aca="false">$D189*bv_27</f>
        <v>946.85628742515</v>
      </c>
      <c r="F189" s="24" t="n">
        <f aca="false">$D189*bv_28</f>
        <v>988.023952095808</v>
      </c>
      <c r="G189" s="24" t="n">
        <f aca="false">$D189*bv_29</f>
        <v>988.023952095808</v>
      </c>
      <c r="K189" s="8" t="s">
        <v>572</v>
      </c>
    </row>
    <row r="190" customFormat="false" ht="17.15" hidden="false" customHeight="false" outlineLevel="0" collapsed="false">
      <c r="A190" s="0" t="s">
        <v>522</v>
      </c>
      <c r="B190" s="0" t="s">
        <v>147</v>
      </c>
      <c r="D190" s="21" t="n">
        <f aca="false">D187*D188*D189*fx/1000</f>
        <v>110</v>
      </c>
      <c r="E190" s="21" t="n">
        <f aca="false">E187*E188*E189*fx/1000</f>
        <v>169.676646706587</v>
      </c>
      <c r="F190" s="21" t="n">
        <f aca="false">F187*F188*F189*fx/1000</f>
        <v>172.706586826347</v>
      </c>
      <c r="G190" s="21" t="n">
        <f aca="false">G187*G188*G189*fx/1000</f>
        <v>183.535329341317</v>
      </c>
    </row>
    <row r="191" customFormat="false" ht="17.15" hidden="false" customHeight="false" outlineLevel="0" collapsed="false">
      <c r="A191" s="6" t="s">
        <v>573</v>
      </c>
    </row>
    <row r="192" customFormat="false" ht="15" hidden="false" customHeight="false" outlineLevel="0" collapsed="false">
      <c r="A192" s="4" t="s">
        <v>574</v>
      </c>
      <c r="B192" s="0" t="s">
        <v>147</v>
      </c>
      <c r="D192" s="21" t="n">
        <f aca="false">a26_gen</f>
        <v>150</v>
      </c>
      <c r="E192" s="21" t="n">
        <f aca="false">D192*(1+g_gen27)</f>
        <v>180</v>
      </c>
      <c r="F192" s="21" t="n">
        <f aca="false">E192*(1+g_gen28)</f>
        <v>198</v>
      </c>
      <c r="G192" s="21" t="n">
        <f aca="false">F192*(1+g_gen29)</f>
        <v>213.84</v>
      </c>
    </row>
    <row r="193" customFormat="false" ht="15" hidden="false" customHeight="false" outlineLevel="0" collapsed="false">
      <c r="A193" s="4" t="s">
        <v>575</v>
      </c>
      <c r="B193" s="0" t="s">
        <v>147</v>
      </c>
      <c r="D193" s="21" t="n">
        <f aca="false">a26_pc</f>
        <v>614.602793131557</v>
      </c>
      <c r="E193" s="21" t="n">
        <f aca="false">D193*(1+g_pc27)</f>
        <v>596.16470933761</v>
      </c>
      <c r="F193" s="21" t="n">
        <f aca="false">E193*(1+g_pc28)</f>
        <v>596.16470933761</v>
      </c>
      <c r="G193" s="21" t="n">
        <f aca="false">F193*(1+g_pc29)</f>
        <v>596.16470933761</v>
      </c>
    </row>
    <row r="194" customFormat="false" ht="15" hidden="false" customHeight="false" outlineLevel="0" collapsed="false">
      <c r="A194" s="4" t="s">
        <v>576</v>
      </c>
      <c r="B194" s="0" t="s">
        <v>147</v>
      </c>
      <c r="C194" s="21" t="n">
        <f aca="false">a25_srev</f>
        <v>1235.86</v>
      </c>
      <c r="D194" s="21" t="n">
        <f aca="false">D185+D190+D192+D193</f>
        <v>2651.72505421038</v>
      </c>
      <c r="E194" s="21" t="n">
        <f aca="false">E185+E190+E192+E193</f>
        <v>3386.02129120055</v>
      </c>
      <c r="F194" s="21" t="n">
        <f aca="false">F185+F190+F192+F193</f>
        <v>3392.92068697087</v>
      </c>
      <c r="G194" s="21" t="n">
        <f aca="false">G185+G190+G192+G193</f>
        <v>3411.73712234754</v>
      </c>
    </row>
    <row r="195" customFormat="false" ht="17.15" hidden="false" customHeight="false" outlineLevel="0" collapsed="false">
      <c r="A195" s="4" t="s">
        <v>577</v>
      </c>
      <c r="B195" s="0" t="s">
        <v>48</v>
      </c>
      <c r="D195" s="20" t="n">
        <f aca="false">a26_wai/D178</f>
        <v>0.0391523244650416</v>
      </c>
      <c r="K195" s="8" t="s">
        <v>578</v>
      </c>
    </row>
    <row r="196" customFormat="false" ht="17.15" hidden="false" customHeight="false" outlineLevel="0" collapsed="false">
      <c r="A196" s="4" t="s">
        <v>504</v>
      </c>
      <c r="B196" s="0" t="s">
        <v>48</v>
      </c>
      <c r="D196" s="20" t="n">
        <f aca="false">D195</f>
        <v>0.0391523244650416</v>
      </c>
      <c r="E196" s="20" t="n">
        <f aca="false">$D$195*wrel_27</f>
        <v>0.0391523244650416</v>
      </c>
      <c r="F196" s="20" t="n">
        <f aca="false">$D$195*wrel_28</f>
        <v>0.0391523244650416</v>
      </c>
      <c r="G196" s="20" t="n">
        <f aca="false">$D$195*wrel_29</f>
        <v>0.0371947082417896</v>
      </c>
    </row>
    <row r="197" customFormat="false" ht="17.15" hidden="false" customHeight="false" outlineLevel="0" collapsed="false">
      <c r="A197" s="4" t="s">
        <v>524</v>
      </c>
      <c r="B197" s="0" t="s">
        <v>147</v>
      </c>
      <c r="D197" s="21" t="n">
        <f aca="false">D178*D196</f>
        <v>795.094795</v>
      </c>
      <c r="E197" s="21" t="n">
        <f aca="false">E178*E196</f>
        <v>1427.12501917769</v>
      </c>
      <c r="F197" s="21" t="n">
        <f aca="false">F178*F196</f>
        <v>1809.04758711097</v>
      </c>
      <c r="G197" s="21" t="n">
        <f aca="false">G178*G196</f>
        <v>1957.75164825537</v>
      </c>
    </row>
    <row r="198" customFormat="false" ht="17.15" hidden="false" customHeight="false" outlineLevel="0" collapsed="false">
      <c r="A198" s="4" t="s">
        <v>579</v>
      </c>
      <c r="B198" s="0" t="s">
        <v>147</v>
      </c>
      <c r="D198" s="21" t="n">
        <f aca="false">a26_wna</f>
        <v>650.532105</v>
      </c>
      <c r="E198" s="21" t="n">
        <f aca="false">D198*(1+g_wn27)</f>
        <v>715.5853155</v>
      </c>
      <c r="F198" s="21" t="n">
        <f aca="false">E198*(1+g_wn28)</f>
        <v>758.52043443</v>
      </c>
      <c r="G198" s="21" t="n">
        <f aca="false">F198*(1+g_wn29)</f>
        <v>796.4464561515</v>
      </c>
    </row>
    <row r="199" customFormat="false" ht="15" hidden="false" customHeight="false" outlineLevel="0" collapsed="false">
      <c r="A199" s="4" t="s">
        <v>434</v>
      </c>
      <c r="B199" s="0" t="s">
        <v>147</v>
      </c>
      <c r="C199" s="21" t="n">
        <f aca="false">a25_wrev</f>
        <v>950.663</v>
      </c>
      <c r="D199" s="21" t="n">
        <f aca="false">D197+D198</f>
        <v>1445.6269</v>
      </c>
      <c r="E199" s="21" t="n">
        <f aca="false">E197+E198</f>
        <v>2142.71033467769</v>
      </c>
      <c r="F199" s="21" t="n">
        <f aca="false">F197+F198</f>
        <v>2567.56802154097</v>
      </c>
      <c r="G199" s="21" t="n">
        <f aca="false">G197+G198</f>
        <v>2754.19810440687</v>
      </c>
    </row>
    <row r="200" customFormat="false" ht="17.15" hidden="false" customHeight="false" outlineLevel="0" collapsed="false">
      <c r="A200" s="4" t="s">
        <v>420</v>
      </c>
      <c r="B200" s="0" t="s">
        <v>147</v>
      </c>
      <c r="C200" s="21" t="n">
        <f aca="false">C194+C199</f>
        <v>2186.523</v>
      </c>
      <c r="D200" s="21" t="n">
        <f aca="false">D194+D199</f>
        <v>4097.35195421038</v>
      </c>
      <c r="E200" s="21" t="n">
        <f aca="false">E194+E199</f>
        <v>5528.73162587824</v>
      </c>
      <c r="F200" s="21" t="n">
        <f aca="false">F194+F199</f>
        <v>5960.48870851183</v>
      </c>
      <c r="G200" s="21" t="n">
        <f aca="false">G194+G199</f>
        <v>6165.93522675441</v>
      </c>
      <c r="H200" s="26" t="n">
        <f aca="false">G200*(1+H201)</f>
        <v>6430.93917288576</v>
      </c>
      <c r="I200" s="26" t="n">
        <f aca="false">H200*(1+I201)</f>
        <v>6762.06408510184</v>
      </c>
      <c r="J200" s="26" t="n">
        <f aca="false">I200*(1+J201)</f>
        <v>7167.78793020795</v>
      </c>
      <c r="K200" s="8" t="s">
        <v>580</v>
      </c>
    </row>
    <row r="201" customFormat="false" ht="15" hidden="false" customHeight="false" outlineLevel="0" collapsed="false">
      <c r="A201" s="4" t="s">
        <v>581</v>
      </c>
      <c r="B201" s="0" t="s">
        <v>48</v>
      </c>
      <c r="D201" s="20" t="n">
        <f aca="false">D200/C200-1</f>
        <v>0.873912121761526</v>
      </c>
      <c r="E201" s="20" t="n">
        <f aca="false">E200/D200-1</f>
        <v>0.349342621201236</v>
      </c>
      <c r="F201" s="20" t="n">
        <f aca="false">F200/E200-1</f>
        <v>0.0780933334894893</v>
      </c>
      <c r="G201" s="20" t="n">
        <f aca="false">G200/F200-1</f>
        <v>0.0344680660076064</v>
      </c>
      <c r="H201" s="27" t="n">
        <f aca="false">$G201+(fade_gA-$G201)*1/3</f>
        <v>0.0429787106717376</v>
      </c>
      <c r="I201" s="27" t="n">
        <f aca="false">$G201+(fade_gA-$G201)*2/3</f>
        <v>0.0514893553358688</v>
      </c>
      <c r="J201" s="27" t="n">
        <f aca="false">$G201+(fade_gA-$G201)*3/3</f>
        <v>0.06</v>
      </c>
    </row>
    <row r="202" customFormat="false" ht="17.15" hidden="false" customHeight="false" outlineLevel="0" collapsed="false">
      <c r="A202" s="0" t="s">
        <v>582</v>
      </c>
      <c r="B202" s="0" t="s">
        <v>48</v>
      </c>
      <c r="D202" s="20" t="n">
        <f aca="false">(D185+D190+D197)/D200</f>
        <v>0.6546220793463</v>
      </c>
      <c r="E202" s="20" t="n">
        <f aca="false">(E185+E190+E197)/E200</f>
        <v>0.730182232421049</v>
      </c>
      <c r="F202" s="20" t="n">
        <f aca="false">(F185+F190+F197)/F200</f>
        <v>0.739503718621208</v>
      </c>
      <c r="G202" s="20" t="n">
        <f aca="false">(G185+G190+G197)/G200</f>
        <v>0.739463502873237</v>
      </c>
    </row>
    <row r="203" customFormat="false" ht="17.15" hidden="false" customHeight="false" outlineLevel="0" collapsed="false">
      <c r="A203" s="4" t="s">
        <v>583</v>
      </c>
      <c r="B203" s="0" t="s">
        <v>48</v>
      </c>
      <c r="C203" s="20" t="n">
        <f aca="false">C199/C200</f>
        <v>0.434782986504144</v>
      </c>
      <c r="D203" s="20" t="n">
        <f aca="false">D199/D200</f>
        <v>0.352819800728736</v>
      </c>
      <c r="E203" s="20" t="n">
        <f aca="false">E199/E200</f>
        <v>0.387559114761212</v>
      </c>
      <c r="F203" s="20" t="n">
        <f aca="false">F199/F200</f>
        <v>0.430764681740672</v>
      </c>
      <c r="G203" s="20" t="n">
        <f aca="false">G199/G200</f>
        <v>0.446679701151614</v>
      </c>
    </row>
    <row r="204" customFormat="false" ht="17.15" hidden="false" customHeight="false" outlineLevel="0" collapsed="false">
      <c r="A204" s="4" t="s">
        <v>584</v>
      </c>
      <c r="B204" s="4" t="s">
        <v>331</v>
      </c>
      <c r="D204" s="21" t="n">
        <f aca="false">D183/fx/(odm_gb*(1-vr26)+odm_vr*vr26)</f>
        <v>12.0597330420658</v>
      </c>
      <c r="E204" s="21" t="n">
        <f aca="false">E183/fx/odm_vr</f>
        <v>12.5523659215862</v>
      </c>
      <c r="F204" s="21" t="n">
        <f aca="false">F183/fx/odm_vr</f>
        <v>14.0396376782807</v>
      </c>
      <c r="G204" s="21" t="n">
        <f aca="false">G183/fx/odm_vr</f>
        <v>14.9271424917816</v>
      </c>
      <c r="K204" s="4" t="s">
        <v>585</v>
      </c>
    </row>
    <row r="205" customFormat="false" ht="17.15" hidden="false" customHeight="false" outlineLevel="0" collapsed="false">
      <c r="A205" s="6" t="s">
        <v>586</v>
      </c>
    </row>
    <row r="206" customFormat="false" ht="17.15" hidden="false" customHeight="false" outlineLevel="0" collapsed="false">
      <c r="A206" s="4" t="s">
        <v>587</v>
      </c>
      <c r="B206" s="0" t="s">
        <v>48</v>
      </c>
      <c r="D206" s="17" t="n">
        <f aca="false">(a26_sgp-d_ai*D185-d_brd*D190-d_gen*D192)/D194</f>
        <v>0.0436423860147897</v>
      </c>
      <c r="K206" s="8" t="s">
        <v>588</v>
      </c>
    </row>
    <row r="207" customFormat="false" ht="17.15" hidden="false" customHeight="false" outlineLevel="0" collapsed="false">
      <c r="A207" s="4" t="s">
        <v>589</v>
      </c>
      <c r="B207" s="0" t="s">
        <v>147</v>
      </c>
      <c r="D207" s="25" t="n">
        <f aca="false">($D$206+d_ai)*D183*(1-D184*(1-keep))</f>
        <v>59.7866331026896</v>
      </c>
      <c r="E207" s="25" t="n">
        <f aca="false">($D$206+d_ai+vrd)*E183*(1-E184*(1-keep))</f>
        <v>84.934426999138</v>
      </c>
      <c r="F207" s="25" t="n">
        <f aca="false">($D$206+d_ai+vrd)*F183*(1-F184*(1-keep))</f>
        <v>94.0383393607006</v>
      </c>
      <c r="G207" s="25" t="n">
        <f aca="false">($D$206+d_ai+vrd)*G183*(1-G184*(1-keep))</f>
        <v>99.4727832556654</v>
      </c>
    </row>
    <row r="208" customFormat="false" ht="15" hidden="false" customHeight="false" outlineLevel="0" collapsed="false">
      <c r="A208" s="4" t="s">
        <v>590</v>
      </c>
      <c r="B208" s="0" t="s">
        <v>147</v>
      </c>
      <c r="C208" s="21" t="n">
        <f aca="false">a25_sgp</f>
        <v>55.529</v>
      </c>
      <c r="D208" s="21" t="n">
        <f aca="false">a26_sgp</f>
        <v>103.50638581015</v>
      </c>
      <c r="E208" s="21" t="n">
        <f aca="false">$D$206*E193+($D$206+d_brd)*E190+($D$206+d_gen)*E192+E207</f>
        <v>134.003499969569</v>
      </c>
      <c r="F208" s="21" t="n">
        <f aca="false">$D$206*F193+($D$206+d_brd)*F190+($D$206+d_gen)*F192+F207</f>
        <v>144.386107299299</v>
      </c>
      <c r="G208" s="21" t="n">
        <f aca="false">$D$206*G193+($D$206+d_brd)*G190+($D$206+d_gen)*G192+G207</f>
        <v>151.54690102508</v>
      </c>
    </row>
    <row r="209" customFormat="false" ht="15" hidden="false" customHeight="false" outlineLevel="0" collapsed="false">
      <c r="A209" s="4" t="s">
        <v>591</v>
      </c>
      <c r="B209" s="0" t="s">
        <v>48</v>
      </c>
      <c r="C209" s="17" t="n">
        <f aca="false">C208/C194</f>
        <v>0.0449314647290146</v>
      </c>
      <c r="D209" s="17" t="n">
        <f aca="false">D208/D194</f>
        <v>0.0390336040479778</v>
      </c>
      <c r="E209" s="17" t="n">
        <f aca="false">E208/E194</f>
        <v>0.0395755042408656</v>
      </c>
      <c r="F209" s="17" t="n">
        <f aca="false">F208/F194</f>
        <v>0.0425551083035199</v>
      </c>
      <c r="G209" s="17" t="n">
        <f aca="false">G208/G194</f>
        <v>0.0444192783882492</v>
      </c>
    </row>
    <row r="210" customFormat="false" ht="15" hidden="false" customHeight="false" outlineLevel="0" collapsed="false">
      <c r="A210" s="4" t="s">
        <v>592</v>
      </c>
      <c r="B210" s="0" t="s">
        <v>48</v>
      </c>
      <c r="E210" s="20" t="n">
        <f aca="false">MAX(0,phi*(E194/D194-1))</f>
        <v>0.0830737978461527</v>
      </c>
      <c r="F210" s="20" t="n">
        <f aca="false">MAX(0,phi*(F194/E194-1))</f>
        <v>0.000611283436543708</v>
      </c>
      <c r="G210" s="20" t="n">
        <f aca="false">MAX(0,phi*(G194/F194-1))</f>
        <v>0.00166373786298049</v>
      </c>
    </row>
    <row r="211" customFormat="false" ht="15" hidden="false" customHeight="false" outlineLevel="0" collapsed="false">
      <c r="A211" s="4" t="s">
        <v>593</v>
      </c>
      <c r="B211" s="0" t="s">
        <v>147</v>
      </c>
      <c r="C211" s="21" t="n">
        <f aca="false">a25_sopx</f>
        <v>40.894</v>
      </c>
      <c r="D211" s="21" t="n">
        <f aca="false">a26_sopx</f>
        <v>46.9914095398923</v>
      </c>
      <c r="E211" s="21" t="n">
        <f aca="false">D211*(1+E210)+0*E194</f>
        <v>50.895164396515</v>
      </c>
      <c r="F211" s="21" t="n">
        <f aca="false">E211*(1+F210)+0*F194</f>
        <v>50.9262757675108</v>
      </c>
      <c r="G211" s="21" t="n">
        <f aca="false">F211*(1+G210)+0*G194</f>
        <v>51.0110037407258</v>
      </c>
    </row>
    <row r="212" customFormat="false" ht="15" hidden="false" customHeight="false" outlineLevel="0" collapsed="false">
      <c r="A212" s="4" t="s">
        <v>594</v>
      </c>
      <c r="B212" s="0" t="s">
        <v>147</v>
      </c>
      <c r="C212" s="21" t="n">
        <f aca="false">C208-C211</f>
        <v>14.635</v>
      </c>
      <c r="D212" s="21" t="n">
        <f aca="false">D208-D211</f>
        <v>56.514976270258</v>
      </c>
      <c r="E212" s="21" t="n">
        <f aca="false">E208-E211</f>
        <v>83.1083355730536</v>
      </c>
      <c r="F212" s="21" t="n">
        <f aca="false">F208-F211</f>
        <v>93.4598315317877</v>
      </c>
      <c r="G212" s="21" t="n">
        <f aca="false">G208-G211</f>
        <v>100.535897284354</v>
      </c>
    </row>
    <row r="213" customFormat="false" ht="15" hidden="false" customHeight="false" outlineLevel="0" collapsed="false">
      <c r="A213" s="4" t="s">
        <v>595</v>
      </c>
      <c r="B213" s="0" t="s">
        <v>48</v>
      </c>
      <c r="C213" s="17" t="n">
        <f aca="false">C212/C194</f>
        <v>0.011841956208632</v>
      </c>
      <c r="D213" s="17" t="n">
        <f aca="false">D212/D194</f>
        <v>0.0213125324514788</v>
      </c>
      <c r="E213" s="17" t="n">
        <f aca="false">E212/E194</f>
        <v>0.02454454016253</v>
      </c>
      <c r="F213" s="17" t="n">
        <f aca="false">F212/F194</f>
        <v>0.0275455397147013</v>
      </c>
      <c r="G213" s="17" t="n">
        <f aca="false">G212/G194</f>
        <v>0.0294676564105201</v>
      </c>
    </row>
    <row r="214" customFormat="false" ht="15" hidden="false" customHeight="false" outlineLevel="0" collapsed="false">
      <c r="A214" s="4" t="s">
        <v>596</v>
      </c>
      <c r="B214" s="0" t="s">
        <v>147</v>
      </c>
      <c r="C214" s="21" t="n">
        <f aca="false">a25_sni</f>
        <v>6.9608</v>
      </c>
      <c r="D214" s="21" t="n">
        <f aca="false">a26_sni</f>
        <v>31.133746704</v>
      </c>
      <c r="E214" s="21" t="n">
        <f aca="false">E212*snio</f>
        <v>46.54066792091</v>
      </c>
      <c r="F214" s="21" t="n">
        <f aca="false">F212*snio</f>
        <v>52.3375056578011</v>
      </c>
      <c r="G214" s="21" t="n">
        <f aca="false">G212*snio</f>
        <v>56.3001024792383</v>
      </c>
    </row>
    <row r="215" customFormat="false" ht="17.15" hidden="false" customHeight="false" outlineLevel="0" collapsed="false">
      <c r="A215" s="6" t="s">
        <v>597</v>
      </c>
    </row>
    <row r="216" customFormat="false" ht="15" hidden="false" customHeight="false" outlineLevel="0" collapsed="false">
      <c r="A216" s="4" t="s">
        <v>438</v>
      </c>
      <c r="B216" s="0" t="s">
        <v>147</v>
      </c>
      <c r="C216" s="21" t="n">
        <f aca="false">a25_wgp</f>
        <v>78.454</v>
      </c>
      <c r="D216" s="21" t="n">
        <f aca="false">a26_wgp</f>
        <v>125.0519932</v>
      </c>
      <c r="E216" s="21" t="n">
        <f aca="false">E199*wgm</f>
        <v>182.130378447603</v>
      </c>
      <c r="F216" s="21" t="n">
        <f aca="false">F199*wgm</f>
        <v>218.243281830982</v>
      </c>
      <c r="G216" s="21" t="n">
        <f aca="false">G199*wgm</f>
        <v>234.106838874584</v>
      </c>
    </row>
    <row r="217" customFormat="false" ht="15" hidden="false" customHeight="false" outlineLevel="0" collapsed="false">
      <c r="A217" s="4" t="s">
        <v>440</v>
      </c>
      <c r="B217" s="0" t="s">
        <v>147</v>
      </c>
      <c r="C217" s="21" t="n">
        <f aca="false">a25_woi</f>
        <v>63.918</v>
      </c>
      <c r="D217" s="21" t="n">
        <f aca="false">a26_woi</f>
        <v>98.2471632</v>
      </c>
      <c r="E217" s="21" t="n">
        <f aca="false">E199*wopm</f>
        <v>139.27617175405</v>
      </c>
      <c r="F217" s="21" t="n">
        <f aca="false">F199*wopm</f>
        <v>166.891921400163</v>
      </c>
      <c r="G217" s="21" t="n">
        <f aca="false">G199*wopm</f>
        <v>179.022876786446</v>
      </c>
    </row>
    <row r="218" customFormat="false" ht="15" hidden="false" customHeight="false" outlineLevel="0" collapsed="false">
      <c r="A218" s="4" t="s">
        <v>448</v>
      </c>
      <c r="B218" s="0" t="s">
        <v>147</v>
      </c>
      <c r="C218" s="21" t="n">
        <f aca="false">a25_wni</f>
        <v>51.118</v>
      </c>
      <c r="D218" s="21" t="n">
        <f aca="false">a26_wni</f>
        <v>75.735026884</v>
      </c>
      <c r="E218" s="21" t="n">
        <f aca="false">E217*wnio</f>
        <v>108.635413968159</v>
      </c>
      <c r="F218" s="21" t="n">
        <f aca="false">F217*wnio</f>
        <v>130.175698692127</v>
      </c>
      <c r="G218" s="21" t="n">
        <f aca="false">G217*wnio</f>
        <v>139.637843893428</v>
      </c>
    </row>
    <row r="219" customFormat="false" ht="15" hidden="false" customHeight="false" outlineLevel="0" collapsed="false">
      <c r="A219" s="4" t="s">
        <v>450</v>
      </c>
      <c r="B219" s="0" t="s">
        <v>48</v>
      </c>
      <c r="C219" s="17" t="n">
        <f aca="false">stake25</f>
        <v>0.4</v>
      </c>
      <c r="D219" s="17" t="n">
        <f aca="false">stake</f>
        <v>0.3768</v>
      </c>
      <c r="E219" s="17" t="n">
        <f aca="false">stake</f>
        <v>0.3768</v>
      </c>
      <c r="F219" s="17" t="n">
        <f aca="false">stake</f>
        <v>0.3768</v>
      </c>
      <c r="G219" s="17" t="n">
        <f aca="false">stake</f>
        <v>0.3768</v>
      </c>
    </row>
    <row r="220" customFormat="false" ht="17.15" hidden="false" customHeight="false" outlineLevel="0" collapsed="false">
      <c r="A220" s="6" t="s">
        <v>598</v>
      </c>
    </row>
    <row r="221" customFormat="false" ht="15" hidden="false" customHeight="false" outlineLevel="0" collapsed="false">
      <c r="A221" s="4" t="s">
        <v>424</v>
      </c>
      <c r="B221" s="0" t="s">
        <v>147</v>
      </c>
      <c r="C221" s="21" t="n">
        <f aca="false">C208+C216</f>
        <v>133.983</v>
      </c>
      <c r="D221" s="21" t="n">
        <f aca="false">D208+D216</f>
        <v>228.55837901015</v>
      </c>
      <c r="E221" s="21" t="n">
        <f aca="false">E208+E216</f>
        <v>316.133878417172</v>
      </c>
      <c r="F221" s="21" t="n">
        <f aca="false">F208+F216</f>
        <v>362.629389130281</v>
      </c>
      <c r="G221" s="21" t="n">
        <f aca="false">G208+G216</f>
        <v>385.653739899664</v>
      </c>
    </row>
    <row r="222" customFormat="false" ht="15" hidden="false" customHeight="false" outlineLevel="0" collapsed="false">
      <c r="A222" s="4" t="s">
        <v>427</v>
      </c>
      <c r="B222" s="0" t="s">
        <v>48</v>
      </c>
      <c r="C222" s="17" t="n">
        <f aca="false">C221/C200</f>
        <v>0.0612767393711386</v>
      </c>
      <c r="D222" s="17" t="n">
        <f aca="false">D221/D200</f>
        <v>0.055781973714825</v>
      </c>
      <c r="E222" s="17" t="n">
        <f aca="false">E221/E200</f>
        <v>0.0571801816057502</v>
      </c>
      <c r="F222" s="17" t="n">
        <f aca="false">F221/F200</f>
        <v>0.0608388685666715</v>
      </c>
      <c r="G222" s="17" t="n">
        <f aca="false">G221/G200</f>
        <v>0.0625458629903029</v>
      </c>
    </row>
    <row r="223" customFormat="false" ht="15" hidden="false" customHeight="false" outlineLevel="0" collapsed="false">
      <c r="A223" s="4" t="s">
        <v>428</v>
      </c>
      <c r="B223" s="0" t="s">
        <v>147</v>
      </c>
      <c r="C223" s="21" t="n">
        <f aca="false">C212+C217</f>
        <v>78.553</v>
      </c>
      <c r="D223" s="21" t="n">
        <f aca="false">D212+D217</f>
        <v>154.762139470258</v>
      </c>
      <c r="E223" s="21" t="n">
        <f aca="false">E212+E217</f>
        <v>222.384507327103</v>
      </c>
      <c r="F223" s="21" t="n">
        <f aca="false">F212+F217</f>
        <v>260.351752931951</v>
      </c>
      <c r="G223" s="21" t="n">
        <f aca="false">G212+G217</f>
        <v>279.5587740708</v>
      </c>
    </row>
    <row r="224" customFormat="false" ht="15" hidden="false" customHeight="false" outlineLevel="0" collapsed="false">
      <c r="A224" s="4" t="s">
        <v>431</v>
      </c>
      <c r="B224" s="0" t="s">
        <v>48</v>
      </c>
      <c r="C224" s="17" t="n">
        <f aca="false">C223/C200</f>
        <v>0.0359259884300325</v>
      </c>
      <c r="D224" s="17" t="n">
        <f aca="false">D223/D200</f>
        <v>0.0377712584126992</v>
      </c>
      <c r="E224" s="17" t="n">
        <f aca="false">E223/E200</f>
        <v>0.0402234223643977</v>
      </c>
      <c r="F224" s="17" t="n">
        <f aca="false">F223/F200</f>
        <v>0.0436795983792666</v>
      </c>
      <c r="G224" s="17" t="n">
        <f aca="false">G223/G200</f>
        <v>0.0453392330262854</v>
      </c>
    </row>
    <row r="225" customFormat="false" ht="15" hidden="false" customHeight="false" outlineLevel="0" collapsed="false">
      <c r="A225" s="4" t="s">
        <v>461</v>
      </c>
      <c r="B225" s="0" t="s">
        <v>147</v>
      </c>
      <c r="C225" s="21" t="n">
        <f aca="false">C214+C218</f>
        <v>58.0788</v>
      </c>
      <c r="D225" s="21" t="n">
        <f aca="false">D214+D218</f>
        <v>106.868773588</v>
      </c>
      <c r="E225" s="21" t="n">
        <f aca="false">E214+E218</f>
        <v>155.176081889069</v>
      </c>
      <c r="F225" s="21" t="n">
        <f aca="false">F214+F218</f>
        <v>182.513204349928</v>
      </c>
      <c r="G225" s="21" t="n">
        <f aca="false">G214+G218</f>
        <v>195.937946372666</v>
      </c>
    </row>
    <row r="226" customFormat="false" ht="17.15" hidden="false" customHeight="false" outlineLevel="0" collapsed="false">
      <c r="A226" s="4" t="s">
        <v>599</v>
      </c>
      <c r="B226" s="0" t="s">
        <v>147</v>
      </c>
      <c r="C226" s="21" t="n">
        <f aca="false">(1-C219)*C218</f>
        <v>30.6708</v>
      </c>
      <c r="D226" s="21" t="n">
        <f aca="false">(1-D219)*D218</f>
        <v>47.1980687541088</v>
      </c>
      <c r="E226" s="21" t="n">
        <f aca="false">(1-E219)*E218</f>
        <v>67.7015899849565</v>
      </c>
      <c r="F226" s="21" t="n">
        <f aca="false">(1-F219)*F218</f>
        <v>81.1254954249335</v>
      </c>
      <c r="G226" s="21" t="n">
        <f aca="false">(1-G219)*G218</f>
        <v>87.0223043143844</v>
      </c>
    </row>
    <row r="227" customFormat="false" ht="15" hidden="false" customHeight="false" outlineLevel="0" collapsed="false">
      <c r="A227" s="4" t="s">
        <v>457</v>
      </c>
      <c r="B227" s="0" t="s">
        <v>147</v>
      </c>
      <c r="C227" s="21" t="n">
        <f aca="false">C225-C226</f>
        <v>27.408</v>
      </c>
      <c r="D227" s="21" t="n">
        <f aca="false">D225-D226</f>
        <v>59.6707048338912</v>
      </c>
      <c r="E227" s="21" t="n">
        <f aca="false">E225-E226</f>
        <v>87.4744919041122</v>
      </c>
      <c r="F227" s="21" t="n">
        <f aca="false">F225-F226</f>
        <v>101.387708924995</v>
      </c>
      <c r="G227" s="21" t="n">
        <f aca="false">G225-G226</f>
        <v>108.915642058282</v>
      </c>
      <c r="H227" s="26" t="n">
        <f aca="false">H200*H232</f>
        <v>114.168887626996</v>
      </c>
      <c r="I227" s="26" t="n">
        <f aca="false">I200*I232</f>
        <v>120.649023533204</v>
      </c>
      <c r="J227" s="26" t="n">
        <f aca="false">J200*J232</f>
        <v>128.52571763705</v>
      </c>
    </row>
    <row r="228" customFormat="false" ht="17.15" hidden="false" customHeight="false" outlineLevel="0" collapsed="false">
      <c r="A228" s="4" t="s">
        <v>600</v>
      </c>
      <c r="B228" s="0" t="s">
        <v>48</v>
      </c>
      <c r="C228" s="20" t="n">
        <f aca="false">C219*C218/C227</f>
        <v>0.746030356100409</v>
      </c>
      <c r="D228" s="20" t="n">
        <f aca="false">D219*D218/D227</f>
        <v>0.478240674537551</v>
      </c>
      <c r="E228" s="20" t="n">
        <f aca="false">E219*E218/E227</f>
        <v>0.467951548984967</v>
      </c>
      <c r="F228" s="20" t="n">
        <f aca="false">F219*F218/F227</f>
        <v>0.483788457075011</v>
      </c>
      <c r="G228" s="20" t="n">
        <f aca="false">G219*G218/G227</f>
        <v>0.483085244549984</v>
      </c>
    </row>
    <row r="229" customFormat="false" ht="17.15" hidden="false" customHeight="false" outlineLevel="0" collapsed="false">
      <c r="A229" s="4" t="s">
        <v>601</v>
      </c>
      <c r="B229" s="4" t="s">
        <v>282</v>
      </c>
      <c r="C229" s="31" t="n">
        <f aca="false">a25_sh</f>
        <v>3.03185840707965</v>
      </c>
      <c r="D229" s="31" t="n">
        <f aca="false">a26_sh</f>
        <v>3.23861720409076</v>
      </c>
      <c r="E229" s="31" t="n">
        <f aca="false">q_sh4*(1+sh_g)</f>
        <v>3.43</v>
      </c>
      <c r="F229" s="31" t="n">
        <f aca="false">E229*(1+sh_g)</f>
        <v>3.43</v>
      </c>
      <c r="G229" s="31" t="n">
        <f aca="false">F229*(1+sh_g)</f>
        <v>3.43</v>
      </c>
      <c r="H229" s="32" t="n">
        <f aca="false">G229*(1+sh_g)</f>
        <v>3.43</v>
      </c>
      <c r="I229" s="32" t="n">
        <f aca="false">H229*(1+sh_g)</f>
        <v>3.43</v>
      </c>
      <c r="J229" s="32" t="n">
        <f aca="false">I229*(1+sh_g)</f>
        <v>3.43</v>
      </c>
      <c r="K229" s="8" t="s">
        <v>602</v>
      </c>
    </row>
    <row r="230" customFormat="false" ht="15" hidden="false" customHeight="false" outlineLevel="0" collapsed="false">
      <c r="A230" s="0" t="s">
        <v>464</v>
      </c>
      <c r="B230" s="0" t="s">
        <v>312</v>
      </c>
      <c r="C230" s="18" t="n">
        <f aca="false">C227/C229</f>
        <v>9.04</v>
      </c>
      <c r="D230" s="18" t="n">
        <f aca="false">D227/D229</f>
        <v>18.4247476850676</v>
      </c>
      <c r="E230" s="18" t="n">
        <f aca="false">E227/E229</f>
        <v>25.5027673189832</v>
      </c>
      <c r="F230" s="18" t="n">
        <f aca="false">F227/F229</f>
        <v>29.5590988119518</v>
      </c>
      <c r="G230" s="18" t="n">
        <f aca="false">G227/G229</f>
        <v>31.7538315038723</v>
      </c>
      <c r="H230" s="29" t="n">
        <f aca="false">H227/H229</f>
        <v>33.285389978716</v>
      </c>
      <c r="I230" s="29" t="n">
        <f aca="false">I227/I229</f>
        <v>35.1746424295056</v>
      </c>
      <c r="J230" s="29" t="n">
        <f aca="false">J227/J229</f>
        <v>37.4710547046793</v>
      </c>
    </row>
    <row r="231" customFormat="false" ht="17.15" hidden="false" customHeight="false" outlineLevel="0" collapsed="false">
      <c r="A231" s="0" t="s">
        <v>603</v>
      </c>
      <c r="B231" s="0" t="s">
        <v>48</v>
      </c>
      <c r="D231" s="20" t="n">
        <f aca="false">D230/C230-1</f>
        <v>1.03813580587031</v>
      </c>
      <c r="E231" s="20" t="n">
        <f aca="false">E230/D230-1</f>
        <v>0.384158293774193</v>
      </c>
      <c r="F231" s="20" t="n">
        <f aca="false">F230/E230-1</f>
        <v>0.159054562284669</v>
      </c>
      <c r="G231" s="20" t="n">
        <f aca="false">G230/F230-1</f>
        <v>0.0742489717255224</v>
      </c>
      <c r="H231" s="27" t="n">
        <f aca="false">H230/G230-1</f>
        <v>0.0482322416637171</v>
      </c>
      <c r="I231" s="27" t="n">
        <f aca="false">I230/H230-1</f>
        <v>0.0567592103321488</v>
      </c>
      <c r="J231" s="27" t="n">
        <f aca="false">J230/I230-1</f>
        <v>0.0652860161912394</v>
      </c>
    </row>
    <row r="232" customFormat="false" ht="17.15" hidden="false" customHeight="false" outlineLevel="0" collapsed="false">
      <c r="A232" s="4" t="s">
        <v>604</v>
      </c>
      <c r="B232" s="0" t="s">
        <v>48</v>
      </c>
      <c r="C232" s="17" t="n">
        <f aca="false">C227/C200</f>
        <v>0.0125349699042727</v>
      </c>
      <c r="D232" s="17" t="n">
        <f aca="false">D227/D200</f>
        <v>0.0145632363293992</v>
      </c>
      <c r="E232" s="17" t="n">
        <f aca="false">E227/E200</f>
        <v>0.0158218010609652</v>
      </c>
      <c r="F232" s="17" t="n">
        <f aca="false">F227/F200</f>
        <v>0.017009965773479</v>
      </c>
      <c r="G232" s="17" t="n">
        <f aca="false">G227/G200</f>
        <v>0.0176640911804733</v>
      </c>
      <c r="H232" s="28" t="n">
        <f aca="false">$G232+(fade_mA-$G232)*1/3</f>
        <v>0.0177530660075836</v>
      </c>
      <c r="I232" s="28" t="n">
        <f aca="false">$G232+(fade_mA-$G232)*2/3</f>
        <v>0.0178420408346939</v>
      </c>
      <c r="J232" s="28" t="n">
        <f aca="false">$G232+(fade_mA-$G232)*3/3</f>
        <v>0.0179310156618042</v>
      </c>
    </row>
    <row r="235" customFormat="false" ht="17.15" hidden="false" customHeight="false" outlineLevel="0" collapsed="false">
      <c r="A235" s="1" t="s">
        <v>876</v>
      </c>
    </row>
    <row r="236" customFormat="false" ht="17.15" hidden="false" customHeight="false" outlineLevel="0" collapsed="false">
      <c r="A236" s="5" t="s">
        <v>17</v>
      </c>
      <c r="B236" s="5" t="s">
        <v>18</v>
      </c>
      <c r="C236" s="14" t="s">
        <v>414</v>
      </c>
      <c r="D236" s="14" t="s">
        <v>529</v>
      </c>
      <c r="E236" s="14" t="s">
        <v>530</v>
      </c>
      <c r="F236" s="14" t="s">
        <v>531</v>
      </c>
      <c r="G236" s="14" t="s">
        <v>532</v>
      </c>
      <c r="H236" s="14" t="s">
        <v>533</v>
      </c>
      <c r="I236" s="14" t="s">
        <v>534</v>
      </c>
      <c r="J236" s="14" t="s">
        <v>535</v>
      </c>
      <c r="K236" s="5" t="s">
        <v>496</v>
      </c>
    </row>
    <row r="237" customFormat="false" ht="17.15" hidden="false" customHeight="false" outlineLevel="0" collapsed="false">
      <c r="A237" s="6" t="s">
        <v>550</v>
      </c>
    </row>
    <row r="238" customFormat="false" ht="17.15" hidden="false" customHeight="false" outlineLevel="0" collapsed="false">
      <c r="A238" s="0" t="s">
        <v>551</v>
      </c>
      <c r="B238" s="0" t="s">
        <v>28</v>
      </c>
      <c r="D238" s="21" t="n">
        <f aca="false">itc_26*1</f>
        <v>781.872916666667</v>
      </c>
      <c r="E238" s="21" t="n">
        <f aca="false">itc_27*1*1</f>
        <v>1565.35</v>
      </c>
      <c r="F238" s="21" t="n">
        <f aca="false">itc_28*um28_A*1</f>
        <v>1984.26388888889</v>
      </c>
      <c r="G238" s="21" t="n">
        <f aca="false">itc_29*um29_A*1</f>
        <v>2260.39027777778</v>
      </c>
    </row>
    <row r="239" customFormat="false" ht="17.15" hidden="false" customHeight="false" outlineLevel="0" collapsed="false">
      <c r="A239" s="4" t="s">
        <v>552</v>
      </c>
      <c r="B239" s="0" t="s">
        <v>28</v>
      </c>
      <c r="D239" s="21" t="n">
        <f aca="false">itpg_gb*(1-vr26)+itpg_vr*vr26</f>
        <v>33.41403216</v>
      </c>
      <c r="E239" s="21" t="n">
        <f aca="false">itpg_vr</f>
        <v>37.586352</v>
      </c>
      <c r="F239" s="21" t="n">
        <f aca="false">itpg_vr</f>
        <v>37.586352</v>
      </c>
      <c r="G239" s="21" t="n">
        <f aca="false">itpg_vr</f>
        <v>37.586352</v>
      </c>
    </row>
    <row r="240" customFormat="false" ht="17.15" hidden="false" customHeight="false" outlineLevel="0" collapsed="false">
      <c r="A240" s="4" t="s">
        <v>553</v>
      </c>
      <c r="B240" s="0" t="s">
        <v>498</v>
      </c>
      <c r="D240" s="22" t="n">
        <f aca="false">D238/D239</f>
        <v>23.3995380420639</v>
      </c>
      <c r="E240" s="22" t="n">
        <f aca="false">E238/E239</f>
        <v>41.6467658260637</v>
      </c>
      <c r="F240" s="22" t="n">
        <f aca="false">F238/F239</f>
        <v>52.792138191248</v>
      </c>
      <c r="G240" s="22" t="n">
        <f aca="false">G238/G239</f>
        <v>60.1385917361116</v>
      </c>
    </row>
    <row r="241" customFormat="false" ht="17.15" hidden="false" customHeight="false" outlineLevel="0" collapsed="false">
      <c r="A241" s="4" t="s">
        <v>554</v>
      </c>
      <c r="B241" s="0" t="s">
        <v>555</v>
      </c>
      <c r="D241" s="18" t="n">
        <f aca="false">(racks_gb*odm_gb*(1-vr26)+racks_vr*odm_vr*vr26)/1000</f>
        <v>27.1209</v>
      </c>
      <c r="E241" s="18" t="n">
        <f aca="false">racks_vr*odm_vr/1000</f>
        <v>27.351</v>
      </c>
      <c r="F241" s="18" t="n">
        <f aca="false">$E241*vpg_28</f>
        <v>27.351</v>
      </c>
      <c r="G241" s="18" t="n">
        <f aca="false">$E241*vpg_29</f>
        <v>27.351</v>
      </c>
      <c r="K241" s="4" t="s">
        <v>556</v>
      </c>
    </row>
    <row r="242" customFormat="false" ht="17.15" hidden="false" customHeight="false" outlineLevel="0" collapsed="false">
      <c r="A242" s="0" t="s">
        <v>557</v>
      </c>
      <c r="B242" s="0" t="s">
        <v>28</v>
      </c>
      <c r="D242" s="21" t="n">
        <f aca="false">D240*D241</f>
        <v>634.616531285011</v>
      </c>
      <c r="E242" s="21" t="n">
        <f aca="false">E240*E241</f>
        <v>1139.08069210867</v>
      </c>
      <c r="F242" s="21" t="n">
        <f aca="false">F240*F241</f>
        <v>1443.91777166882</v>
      </c>
      <c r="G242" s="21" t="n">
        <f aca="false">G240*G241</f>
        <v>1644.85062257439</v>
      </c>
    </row>
    <row r="243" customFormat="false" ht="17.15" hidden="false" customHeight="false" outlineLevel="0" collapsed="false">
      <c r="A243" s="0" t="s">
        <v>558</v>
      </c>
      <c r="B243" s="0" t="s">
        <v>147</v>
      </c>
      <c r="D243" s="21" t="n">
        <f aca="false">D242*fx</f>
        <v>20307.7290011204</v>
      </c>
      <c r="E243" s="21" t="n">
        <f aca="false">E242*fx</f>
        <v>36450.5821474774</v>
      </c>
      <c r="F243" s="21" t="n">
        <f aca="false">F242*fx</f>
        <v>46205.3686934024</v>
      </c>
      <c r="G243" s="21" t="n">
        <f aca="false">G242*fx</f>
        <v>52635.2199223804</v>
      </c>
    </row>
    <row r="244" customFormat="false" ht="17.15" hidden="false" customHeight="false" outlineLevel="0" collapsed="false">
      <c r="A244" s="6" t="s">
        <v>559</v>
      </c>
    </row>
    <row r="245" customFormat="false" ht="17.15" hidden="false" customHeight="false" outlineLevel="0" collapsed="false">
      <c r="A245" s="4" t="s">
        <v>560</v>
      </c>
      <c r="B245" s="0" t="s">
        <v>48</v>
      </c>
      <c r="D245" s="20" t="n">
        <f aca="false">a26_ais/D243</f>
        <v>0.0875096501918446</v>
      </c>
      <c r="K245" s="8" t="s">
        <v>561</v>
      </c>
    </row>
    <row r="246" customFormat="false" ht="17.15" hidden="false" customHeight="false" outlineLevel="0" collapsed="false">
      <c r="A246" s="4" t="s">
        <v>562</v>
      </c>
      <c r="B246" s="0" t="s">
        <v>60</v>
      </c>
      <c r="D246" s="18" t="n">
        <f aca="false">1</f>
        <v>1</v>
      </c>
      <c r="E246" s="18" t="n">
        <f aca="false">rel_27_hi</f>
        <v>1.15</v>
      </c>
      <c r="F246" s="18" t="n">
        <f aca="false">rel_28_hi</f>
        <v>1.15</v>
      </c>
      <c r="G246" s="18" t="n">
        <f aca="false">rel_29_hi</f>
        <v>1.15</v>
      </c>
    </row>
    <row r="247" customFormat="false" ht="17.15" hidden="false" customHeight="false" outlineLevel="0" collapsed="false">
      <c r="A247" s="4" t="s">
        <v>563</v>
      </c>
      <c r="B247" s="0" t="s">
        <v>48</v>
      </c>
      <c r="D247" s="20" t="n">
        <f aca="false">$D$245*D246</f>
        <v>0.0875096501918446</v>
      </c>
      <c r="E247" s="20" t="n">
        <f aca="false">$D$245*E246</f>
        <v>0.100636097720621</v>
      </c>
      <c r="F247" s="20" t="n">
        <f aca="false">$D$245*F246</f>
        <v>0.100636097720621</v>
      </c>
      <c r="G247" s="20" t="n">
        <f aca="false">$D$245*G246</f>
        <v>0.100636097720621</v>
      </c>
    </row>
    <row r="248" customFormat="false" ht="17.15" hidden="false" customHeight="false" outlineLevel="0" collapsed="false">
      <c r="A248" s="4" t="s">
        <v>564</v>
      </c>
      <c r="B248" s="0" t="s">
        <v>147</v>
      </c>
      <c r="D248" s="21" t="n">
        <f aca="false">D243*D247</f>
        <v>1777.12226107882</v>
      </c>
      <c r="E248" s="21" t="n">
        <f aca="false">E243*E247</f>
        <v>3668.24434696706</v>
      </c>
      <c r="F248" s="21" t="n">
        <f aca="false">F243*F247</f>
        <v>4649.92799904657</v>
      </c>
      <c r="G248" s="21" t="n">
        <f aca="false">G243*G247</f>
        <v>5297.00313565506</v>
      </c>
    </row>
    <row r="249" customFormat="false" ht="17.15" hidden="false" customHeight="false" outlineLevel="0" collapsed="false">
      <c r="A249" s="4" t="s">
        <v>565</v>
      </c>
      <c r="B249" s="0" t="s">
        <v>48</v>
      </c>
      <c r="D249" s="20" t="n">
        <f aca="false">0</f>
        <v>0</v>
      </c>
      <c r="E249" s="20" t="n">
        <f aca="false">cs_27</f>
        <v>0.1</v>
      </c>
      <c r="F249" s="20" t="n">
        <f aca="false">cs_28</f>
        <v>0.2</v>
      </c>
      <c r="G249" s="20" t="n">
        <f aca="false">cs_29</f>
        <v>0.25</v>
      </c>
      <c r="K249" s="8" t="s">
        <v>566</v>
      </c>
    </row>
    <row r="250" customFormat="false" ht="17.15" hidden="false" customHeight="false" outlineLevel="0" collapsed="false">
      <c r="A250" s="4" t="s">
        <v>567</v>
      </c>
      <c r="B250" s="0" t="s">
        <v>147</v>
      </c>
      <c r="D250" s="21" t="n">
        <f aca="false">D248*(1-D249)</f>
        <v>1777.12226107882</v>
      </c>
      <c r="E250" s="21" t="n">
        <f aca="false">E248*(1-E249)</f>
        <v>3301.41991227036</v>
      </c>
      <c r="F250" s="21" t="n">
        <f aca="false">F248*(1-F249)</f>
        <v>3719.94239923726</v>
      </c>
      <c r="G250" s="21" t="n">
        <f aca="false">G248*(1-G249)</f>
        <v>3972.7523517413</v>
      </c>
    </row>
    <row r="251" customFormat="false" ht="17.15" hidden="false" customHeight="false" outlineLevel="0" collapsed="false">
      <c r="A251" s="6" t="s">
        <v>568</v>
      </c>
    </row>
    <row r="252" customFormat="false" ht="17.15" hidden="false" customHeight="false" outlineLevel="0" collapsed="false">
      <c r="A252" s="0" t="s">
        <v>569</v>
      </c>
      <c r="B252" s="4" t="s">
        <v>81</v>
      </c>
      <c r="D252" s="18" t="n">
        <f aca="false">gu_26*1</f>
        <v>8.35</v>
      </c>
      <c r="E252" s="18" t="n">
        <f aca="false">gu_27*1*1</f>
        <v>11.2</v>
      </c>
      <c r="F252" s="18" t="n">
        <f aca="false">gu_28*um28_A*1</f>
        <v>11.5</v>
      </c>
      <c r="G252" s="18" t="n">
        <f aca="false">gu_29*um29_A*1</f>
        <v>12.9</v>
      </c>
    </row>
    <row r="253" customFormat="false" ht="15" hidden="false" customHeight="false" outlineLevel="0" collapsed="false">
      <c r="A253" s="4" t="s">
        <v>570</v>
      </c>
      <c r="B253" s="0" t="s">
        <v>48</v>
      </c>
      <c r="D253" s="20" t="n">
        <f aca="false">bsh_26</f>
        <v>0.5</v>
      </c>
      <c r="E253" s="20" t="n">
        <f aca="false">bsh_26*brel_27</f>
        <v>0.5</v>
      </c>
      <c r="F253" s="20" t="n">
        <f aca="false">bsh_26*brel_28</f>
        <v>0.475</v>
      </c>
      <c r="G253" s="20" t="n">
        <f aca="false">bsh_26*brel_29</f>
        <v>0.45</v>
      </c>
    </row>
    <row r="254" customFormat="false" ht="17.15" hidden="false" customHeight="false" outlineLevel="0" collapsed="false">
      <c r="A254" s="4" t="s">
        <v>571</v>
      </c>
      <c r="B254" s="0" t="s">
        <v>520</v>
      </c>
      <c r="D254" s="24" t="n">
        <f aca="false">a26_brd/fx/D252/D253*1000</f>
        <v>823.353293413174</v>
      </c>
      <c r="E254" s="24" t="n">
        <f aca="false">$D254*bv_27</f>
        <v>946.85628742515</v>
      </c>
      <c r="F254" s="24" t="n">
        <f aca="false">$D254*bv_28</f>
        <v>988.023952095808</v>
      </c>
      <c r="G254" s="24" t="n">
        <f aca="false">$D254*bv_29</f>
        <v>988.023952095808</v>
      </c>
      <c r="K254" s="8" t="s">
        <v>572</v>
      </c>
    </row>
    <row r="255" customFormat="false" ht="17.15" hidden="false" customHeight="false" outlineLevel="0" collapsed="false">
      <c r="A255" s="0" t="s">
        <v>522</v>
      </c>
      <c r="B255" s="0" t="s">
        <v>147</v>
      </c>
      <c r="D255" s="21" t="n">
        <f aca="false">D252*D253*D254*fx/1000</f>
        <v>110</v>
      </c>
      <c r="E255" s="21" t="n">
        <f aca="false">E252*E253*E254*fx/1000</f>
        <v>169.676646706587</v>
      </c>
      <c r="F255" s="21" t="n">
        <f aca="false">F252*F253*F254*fx/1000</f>
        <v>172.706586826347</v>
      </c>
      <c r="G255" s="21" t="n">
        <f aca="false">G252*G253*G254*fx/1000</f>
        <v>183.535329341317</v>
      </c>
    </row>
    <row r="256" customFormat="false" ht="17.15" hidden="false" customHeight="false" outlineLevel="0" collapsed="false">
      <c r="A256" s="6" t="s">
        <v>573</v>
      </c>
    </row>
    <row r="257" customFormat="false" ht="15" hidden="false" customHeight="false" outlineLevel="0" collapsed="false">
      <c r="A257" s="4" t="s">
        <v>574</v>
      </c>
      <c r="B257" s="0" t="s">
        <v>147</v>
      </c>
      <c r="D257" s="21" t="n">
        <f aca="false">a26_gen</f>
        <v>150</v>
      </c>
      <c r="E257" s="21" t="n">
        <f aca="false">D257*(1+g_gen27)</f>
        <v>180</v>
      </c>
      <c r="F257" s="21" t="n">
        <f aca="false">E257*(1+g_gen28)</f>
        <v>198</v>
      </c>
      <c r="G257" s="21" t="n">
        <f aca="false">F257*(1+g_gen29)</f>
        <v>213.84</v>
      </c>
    </row>
    <row r="258" customFormat="false" ht="15" hidden="false" customHeight="false" outlineLevel="0" collapsed="false">
      <c r="A258" s="4" t="s">
        <v>575</v>
      </c>
      <c r="B258" s="0" t="s">
        <v>147</v>
      </c>
      <c r="D258" s="21" t="n">
        <f aca="false">a26_pc</f>
        <v>614.602793131557</v>
      </c>
      <c r="E258" s="21" t="n">
        <f aca="false">D258*(1+g_pc27)</f>
        <v>596.16470933761</v>
      </c>
      <c r="F258" s="21" t="n">
        <f aca="false">E258*(1+g_pc28)</f>
        <v>596.16470933761</v>
      </c>
      <c r="G258" s="21" t="n">
        <f aca="false">F258*(1+g_pc29)</f>
        <v>596.16470933761</v>
      </c>
    </row>
    <row r="259" customFormat="false" ht="15" hidden="false" customHeight="false" outlineLevel="0" collapsed="false">
      <c r="A259" s="4" t="s">
        <v>576</v>
      </c>
      <c r="B259" s="0" t="s">
        <v>147</v>
      </c>
      <c r="C259" s="21" t="n">
        <f aca="false">a25_srev</f>
        <v>1235.86</v>
      </c>
      <c r="D259" s="21" t="n">
        <f aca="false">D250+D255+D257+D258</f>
        <v>2651.72505421038</v>
      </c>
      <c r="E259" s="21" t="n">
        <f aca="false">E250+E255+E257+E258</f>
        <v>4247.26126831455</v>
      </c>
      <c r="F259" s="21" t="n">
        <f aca="false">F250+F255+F257+F258</f>
        <v>4686.81369540122</v>
      </c>
      <c r="G259" s="21" t="n">
        <f aca="false">G250+G255+G257+G258</f>
        <v>4966.29239042022</v>
      </c>
    </row>
    <row r="260" customFormat="false" ht="17.15" hidden="false" customHeight="false" outlineLevel="0" collapsed="false">
      <c r="A260" s="4" t="s">
        <v>577</v>
      </c>
      <c r="B260" s="0" t="s">
        <v>48</v>
      </c>
      <c r="D260" s="20" t="n">
        <f aca="false">a26_wai/D243</f>
        <v>0.0391523244650416</v>
      </c>
      <c r="K260" s="8" t="s">
        <v>578</v>
      </c>
    </row>
    <row r="261" customFormat="false" ht="17.15" hidden="false" customHeight="false" outlineLevel="0" collapsed="false">
      <c r="A261" s="4" t="s">
        <v>504</v>
      </c>
      <c r="B261" s="0" t="s">
        <v>48</v>
      </c>
      <c r="D261" s="20" t="n">
        <f aca="false">D260</f>
        <v>0.0391523244650416</v>
      </c>
      <c r="E261" s="20" t="n">
        <f aca="false">$D$260*wrel_27</f>
        <v>0.0391523244650416</v>
      </c>
      <c r="F261" s="20" t="n">
        <f aca="false">$D$260*wrel_28</f>
        <v>0.0391523244650416</v>
      </c>
      <c r="G261" s="20" t="n">
        <f aca="false">$D$260*wrel_29</f>
        <v>0.0371947082417896</v>
      </c>
    </row>
    <row r="262" customFormat="false" ht="17.15" hidden="false" customHeight="false" outlineLevel="0" collapsed="false">
      <c r="A262" s="4" t="s">
        <v>524</v>
      </c>
      <c r="B262" s="0" t="s">
        <v>147</v>
      </c>
      <c r="D262" s="21" t="n">
        <f aca="false">D243*D261</f>
        <v>795.094795</v>
      </c>
      <c r="E262" s="21" t="n">
        <f aca="false">E243*E261</f>
        <v>1427.12501917769</v>
      </c>
      <c r="F262" s="21" t="n">
        <f aca="false">F243*F261</f>
        <v>1809.04758711097</v>
      </c>
      <c r="G262" s="21" t="n">
        <f aca="false">G243*G261</f>
        <v>1957.75164825537</v>
      </c>
    </row>
    <row r="263" customFormat="false" ht="17.15" hidden="false" customHeight="false" outlineLevel="0" collapsed="false">
      <c r="A263" s="4" t="s">
        <v>579</v>
      </c>
      <c r="B263" s="0" t="s">
        <v>147</v>
      </c>
      <c r="D263" s="21" t="n">
        <f aca="false">a26_wna</f>
        <v>650.532105</v>
      </c>
      <c r="E263" s="21" t="n">
        <f aca="false">D263*(1+g_wn27)</f>
        <v>715.5853155</v>
      </c>
      <c r="F263" s="21" t="n">
        <f aca="false">E263*(1+g_wn28)</f>
        <v>758.52043443</v>
      </c>
      <c r="G263" s="21" t="n">
        <f aca="false">F263*(1+g_wn29)</f>
        <v>796.4464561515</v>
      </c>
    </row>
    <row r="264" customFormat="false" ht="15" hidden="false" customHeight="false" outlineLevel="0" collapsed="false">
      <c r="A264" s="4" t="s">
        <v>434</v>
      </c>
      <c r="B264" s="0" t="s">
        <v>147</v>
      </c>
      <c r="C264" s="21" t="n">
        <f aca="false">a25_wrev</f>
        <v>950.663</v>
      </c>
      <c r="D264" s="21" t="n">
        <f aca="false">D262+D263</f>
        <v>1445.6269</v>
      </c>
      <c r="E264" s="21" t="n">
        <f aca="false">E262+E263</f>
        <v>2142.71033467769</v>
      </c>
      <c r="F264" s="21" t="n">
        <f aca="false">F262+F263</f>
        <v>2567.56802154097</v>
      </c>
      <c r="G264" s="21" t="n">
        <f aca="false">G262+G263</f>
        <v>2754.19810440687</v>
      </c>
    </row>
    <row r="265" customFormat="false" ht="17.15" hidden="false" customHeight="false" outlineLevel="0" collapsed="false">
      <c r="A265" s="4" t="s">
        <v>420</v>
      </c>
      <c r="B265" s="0" t="s">
        <v>147</v>
      </c>
      <c r="C265" s="21" t="n">
        <f aca="false">C259+C264</f>
        <v>2186.523</v>
      </c>
      <c r="D265" s="21" t="n">
        <f aca="false">D259+D264</f>
        <v>4097.35195421038</v>
      </c>
      <c r="E265" s="21" t="n">
        <f aca="false">E259+E264</f>
        <v>6389.97160299224</v>
      </c>
      <c r="F265" s="21" t="n">
        <f aca="false">F259+F264</f>
        <v>7254.38171694218</v>
      </c>
      <c r="G265" s="21" t="n">
        <f aca="false">G259+G264</f>
        <v>7720.49049482709</v>
      </c>
      <c r="H265" s="26" t="n">
        <f aca="false">G265*(1+H266)</f>
        <v>8205.60511455478</v>
      </c>
      <c r="I265" s="26" t="n">
        <f aca="false">H265*(1+I266)</f>
        <v>8709.57159100277</v>
      </c>
      <c r="J265" s="26" t="n">
        <f aca="false">I265*(1+J266)</f>
        <v>9232.14588646294</v>
      </c>
      <c r="K265" s="8" t="s">
        <v>580</v>
      </c>
    </row>
    <row r="266" customFormat="false" ht="15" hidden="false" customHeight="false" outlineLevel="0" collapsed="false">
      <c r="A266" s="4" t="s">
        <v>581</v>
      </c>
      <c r="B266" s="0" t="s">
        <v>48</v>
      </c>
      <c r="D266" s="20" t="n">
        <f aca="false">D265/C265-1</f>
        <v>0.873912121761526</v>
      </c>
      <c r="E266" s="20" t="n">
        <f aca="false">E265/D265-1</f>
        <v>0.559536909302117</v>
      </c>
      <c r="F266" s="20" t="n">
        <f aca="false">F265/E265-1</f>
        <v>0.135276049356019</v>
      </c>
      <c r="G266" s="20" t="n">
        <f aca="false">G265/F265-1</f>
        <v>0.0642520336083694</v>
      </c>
      <c r="H266" s="27" t="n">
        <f aca="false">$G266+(fade_gA-$G266)*1/3</f>
        <v>0.0628346890722463</v>
      </c>
      <c r="I266" s="27" t="n">
        <f aca="false">$G266+(fade_gA-$G266)*2/3</f>
        <v>0.0614173445361231</v>
      </c>
      <c r="J266" s="27" t="n">
        <f aca="false">$G266+(fade_gA-$G266)*3/3</f>
        <v>0.06</v>
      </c>
    </row>
    <row r="267" customFormat="false" ht="17.15" hidden="false" customHeight="false" outlineLevel="0" collapsed="false">
      <c r="A267" s="0" t="s">
        <v>582</v>
      </c>
      <c r="B267" s="0" t="s">
        <v>48</v>
      </c>
      <c r="D267" s="20" t="n">
        <f aca="false">(D250+D255+D262)/D265</f>
        <v>0.6546220793463</v>
      </c>
      <c r="E267" s="20" t="n">
        <f aca="false">(E250+E255+E262)/E265</f>
        <v>0.766548254433703</v>
      </c>
      <c r="F267" s="20" t="n">
        <f aca="false">(F250+F255+F262)/F265</f>
        <v>0.785965888706765</v>
      </c>
      <c r="G267" s="20" t="n">
        <f aca="false">(G250+G255+G262)/G265</f>
        <v>0.791923691044569</v>
      </c>
    </row>
    <row r="268" customFormat="false" ht="17.15" hidden="false" customHeight="false" outlineLevel="0" collapsed="false">
      <c r="A268" s="4" t="s">
        <v>583</v>
      </c>
      <c r="B268" s="0" t="s">
        <v>48</v>
      </c>
      <c r="C268" s="20" t="n">
        <f aca="false">C264/C265</f>
        <v>0.434782986504144</v>
      </c>
      <c r="D268" s="20" t="n">
        <f aca="false">D264/D265</f>
        <v>0.352819800728736</v>
      </c>
      <c r="E268" s="20" t="n">
        <f aca="false">E264/E265</f>
        <v>0.335323921263487</v>
      </c>
      <c r="F268" s="20" t="n">
        <f aca="false">F264/F265</f>
        <v>0.353933404902662</v>
      </c>
      <c r="G268" s="20" t="n">
        <f aca="false">G264/G265</f>
        <v>0.356738746877837</v>
      </c>
    </row>
    <row r="269" customFormat="false" ht="17.15" hidden="false" customHeight="false" outlineLevel="0" collapsed="false">
      <c r="A269" s="4" t="s">
        <v>584</v>
      </c>
      <c r="B269" s="4" t="s">
        <v>331</v>
      </c>
      <c r="D269" s="21" t="n">
        <f aca="false">D248/fx/(odm_gb*(1-vr26)+odm_vr*vr26)</f>
        <v>12.0597330420658</v>
      </c>
      <c r="E269" s="21" t="n">
        <f aca="false">E248/fx/odm_vr</f>
        <v>16.9826127174401</v>
      </c>
      <c r="F269" s="21" t="n">
        <f aca="false">F248/fx/odm_vr</f>
        <v>21.5274444400304</v>
      </c>
      <c r="G269" s="21" t="n">
        <f aca="false">G248/fx/odm_vr</f>
        <v>24.5231626650697</v>
      </c>
      <c r="K269" s="4" t="s">
        <v>585</v>
      </c>
    </row>
    <row r="270" customFormat="false" ht="17.15" hidden="false" customHeight="false" outlineLevel="0" collapsed="false">
      <c r="A270" s="6" t="s">
        <v>586</v>
      </c>
    </row>
    <row r="271" customFormat="false" ht="17.15" hidden="false" customHeight="false" outlineLevel="0" collapsed="false">
      <c r="A271" s="4" t="s">
        <v>587</v>
      </c>
      <c r="B271" s="0" t="s">
        <v>48</v>
      </c>
      <c r="D271" s="17" t="n">
        <f aca="false">(a26_sgp-d_ai*D250-d_brd*D255-d_gen*D257)/D259</f>
        <v>0.0436423860147897</v>
      </c>
      <c r="K271" s="8" t="s">
        <v>588</v>
      </c>
    </row>
    <row r="272" customFormat="false" ht="17.15" hidden="false" customHeight="false" outlineLevel="0" collapsed="false">
      <c r="A272" s="4" t="s">
        <v>589</v>
      </c>
      <c r="B272" s="0" t="s">
        <v>147</v>
      </c>
      <c r="D272" s="25" t="n">
        <f aca="false">($D$271+d_ai)*D248*(1-D249*(1-keep))</f>
        <v>59.7866331026896</v>
      </c>
      <c r="E272" s="25" t="n">
        <f aca="false">($D$271+d_ai+vrd)*E248*(1-E249*(1-keep))</f>
        <v>114.911283587069</v>
      </c>
      <c r="F272" s="25" t="n">
        <f aca="false">($D$271+d_ai+vrd)*F248*(1-F249*(1-keep))</f>
        <v>144.192120353074</v>
      </c>
      <c r="G272" s="25" t="n">
        <f aca="false">($D$271+d_ai+vrd)*G248*(1-G249*(1-keep))</f>
        <v>163.41957249145</v>
      </c>
    </row>
    <row r="273" customFormat="false" ht="15" hidden="false" customHeight="false" outlineLevel="0" collapsed="false">
      <c r="A273" s="4" t="s">
        <v>590</v>
      </c>
      <c r="B273" s="0" t="s">
        <v>147</v>
      </c>
      <c r="C273" s="21" t="n">
        <f aca="false">a25_sgp</f>
        <v>55.529</v>
      </c>
      <c r="D273" s="21" t="n">
        <f aca="false">a26_sgp</f>
        <v>103.50638581015</v>
      </c>
      <c r="E273" s="21" t="n">
        <f aca="false">$D$271*E258+($D$271+d_brd)*E255+($D$271+d_gen)*E257+E272</f>
        <v>163.9803565575</v>
      </c>
      <c r="F273" s="21" t="n">
        <f aca="false">$D$271*F258+($D$271+d_brd)*F255+($D$271+d_gen)*F257+F272</f>
        <v>194.539888291672</v>
      </c>
      <c r="G273" s="21" t="n">
        <f aca="false">$D$271*G258+($D$271+d_brd)*G255+($D$271+d_gen)*G257+G272</f>
        <v>215.493690260865</v>
      </c>
    </row>
    <row r="274" customFormat="false" ht="15" hidden="false" customHeight="false" outlineLevel="0" collapsed="false">
      <c r="A274" s="4" t="s">
        <v>591</v>
      </c>
      <c r="B274" s="0" t="s">
        <v>48</v>
      </c>
      <c r="C274" s="17" t="n">
        <f aca="false">C273/C259</f>
        <v>0.0449314647290146</v>
      </c>
      <c r="D274" s="17" t="n">
        <f aca="false">D273/D259</f>
        <v>0.0390336040479778</v>
      </c>
      <c r="E274" s="17" t="n">
        <f aca="false">E273/E259</f>
        <v>0.0386084929083188</v>
      </c>
      <c r="F274" s="17" t="n">
        <f aca="false">F273/F259</f>
        <v>0.0415079200785297</v>
      </c>
      <c r="G274" s="17" t="n">
        <f aca="false">G273/G259</f>
        <v>0.0433912611904493</v>
      </c>
    </row>
    <row r="275" customFormat="false" ht="15" hidden="false" customHeight="false" outlineLevel="0" collapsed="false">
      <c r="A275" s="4" t="s">
        <v>592</v>
      </c>
      <c r="B275" s="0" t="s">
        <v>48</v>
      </c>
      <c r="E275" s="20" t="n">
        <f aca="false">MAX(0,phi*(E259/D259-1))</f>
        <v>0.180509236231427</v>
      </c>
      <c r="F275" s="20" t="n">
        <f aca="false">MAX(0,phi*(F259/E259-1))</f>
        <v>0.0310472372184269</v>
      </c>
      <c r="G275" s="20" t="n">
        <f aca="false">MAX(0,phi*(G259/F259-1))</f>
        <v>0.017889255676617</v>
      </c>
    </row>
    <row r="276" customFormat="false" ht="15" hidden="false" customHeight="false" outlineLevel="0" collapsed="false">
      <c r="A276" s="4" t="s">
        <v>593</v>
      </c>
      <c r="B276" s="0" t="s">
        <v>147</v>
      </c>
      <c r="C276" s="21" t="n">
        <f aca="false">a25_sopx</f>
        <v>40.894</v>
      </c>
      <c r="D276" s="21" t="n">
        <f aca="false">a26_sopx</f>
        <v>46.9914095398923</v>
      </c>
      <c r="E276" s="21" t="n">
        <f aca="false">D276*(1+E275)+0*E259</f>
        <v>55.4737929853764</v>
      </c>
      <c r="F276" s="21" t="n">
        <f aca="false">E276*(1+F275)+0*F259</f>
        <v>57.1961009955993</v>
      </c>
      <c r="G276" s="21" t="n">
        <f aca="false">F276*(1+G275)+0*G259</f>
        <v>58.2192966700152</v>
      </c>
    </row>
    <row r="277" customFormat="false" ht="15" hidden="false" customHeight="false" outlineLevel="0" collapsed="false">
      <c r="A277" s="4" t="s">
        <v>594</v>
      </c>
      <c r="B277" s="0" t="s">
        <v>147</v>
      </c>
      <c r="C277" s="21" t="n">
        <f aca="false">C273-C276</f>
        <v>14.635</v>
      </c>
      <c r="D277" s="21" t="n">
        <f aca="false">D273-D276</f>
        <v>56.514976270258</v>
      </c>
      <c r="E277" s="21" t="n">
        <f aca="false">E273-E276</f>
        <v>108.506563572123</v>
      </c>
      <c r="F277" s="21" t="n">
        <f aca="false">F273-F276</f>
        <v>137.343787296073</v>
      </c>
      <c r="G277" s="21" t="n">
        <f aca="false">G273-G276</f>
        <v>157.27439359085</v>
      </c>
    </row>
    <row r="278" customFormat="false" ht="15" hidden="false" customHeight="false" outlineLevel="0" collapsed="false">
      <c r="A278" s="4" t="s">
        <v>595</v>
      </c>
      <c r="B278" s="0" t="s">
        <v>48</v>
      </c>
      <c r="C278" s="17" t="n">
        <f aca="false">C277/C259</f>
        <v>0.011841956208632</v>
      </c>
      <c r="D278" s="17" t="n">
        <f aca="false">D277/D259</f>
        <v>0.0213125324514788</v>
      </c>
      <c r="E278" s="17" t="n">
        <f aca="false">E277/E259</f>
        <v>0.0255474190819398</v>
      </c>
      <c r="F278" s="17" t="n">
        <f aca="false">F277/F259</f>
        <v>0.0293042984471171</v>
      </c>
      <c r="G278" s="17" t="n">
        <f aca="false">G277/G259</f>
        <v>0.0316683717402998</v>
      </c>
    </row>
    <row r="279" customFormat="false" ht="15" hidden="false" customHeight="false" outlineLevel="0" collapsed="false">
      <c r="A279" s="4" t="s">
        <v>596</v>
      </c>
      <c r="B279" s="0" t="s">
        <v>147</v>
      </c>
      <c r="C279" s="21" t="n">
        <f aca="false">a25_sni</f>
        <v>6.9608</v>
      </c>
      <c r="D279" s="21" t="n">
        <f aca="false">a26_sni</f>
        <v>31.133746704</v>
      </c>
      <c r="E279" s="21" t="n">
        <f aca="false">E277*snio</f>
        <v>60.763675600389</v>
      </c>
      <c r="F279" s="21" t="n">
        <f aca="false">F277*snio</f>
        <v>76.9125208858008</v>
      </c>
      <c r="G279" s="21" t="n">
        <f aca="false">G277*snio</f>
        <v>88.0736604108758</v>
      </c>
    </row>
    <row r="280" customFormat="false" ht="17.15" hidden="false" customHeight="false" outlineLevel="0" collapsed="false">
      <c r="A280" s="6" t="s">
        <v>597</v>
      </c>
    </row>
    <row r="281" customFormat="false" ht="15" hidden="false" customHeight="false" outlineLevel="0" collapsed="false">
      <c r="A281" s="4" t="s">
        <v>438</v>
      </c>
      <c r="B281" s="0" t="s">
        <v>147</v>
      </c>
      <c r="C281" s="21" t="n">
        <f aca="false">a25_wgp</f>
        <v>78.454</v>
      </c>
      <c r="D281" s="21" t="n">
        <f aca="false">a26_wgp</f>
        <v>125.0519932</v>
      </c>
      <c r="E281" s="21" t="n">
        <f aca="false">E264*wgm</f>
        <v>182.130378447603</v>
      </c>
      <c r="F281" s="21" t="n">
        <f aca="false">F264*wgm</f>
        <v>218.243281830982</v>
      </c>
      <c r="G281" s="21" t="n">
        <f aca="false">G264*wgm</f>
        <v>234.106838874584</v>
      </c>
    </row>
    <row r="282" customFormat="false" ht="15" hidden="false" customHeight="false" outlineLevel="0" collapsed="false">
      <c r="A282" s="4" t="s">
        <v>440</v>
      </c>
      <c r="B282" s="0" t="s">
        <v>147</v>
      </c>
      <c r="C282" s="21" t="n">
        <f aca="false">a25_woi</f>
        <v>63.918</v>
      </c>
      <c r="D282" s="21" t="n">
        <f aca="false">a26_woi</f>
        <v>98.2471632</v>
      </c>
      <c r="E282" s="21" t="n">
        <f aca="false">E264*wopm</f>
        <v>139.27617175405</v>
      </c>
      <c r="F282" s="21" t="n">
        <f aca="false">F264*wopm</f>
        <v>166.891921400163</v>
      </c>
      <c r="G282" s="21" t="n">
        <f aca="false">G264*wopm</f>
        <v>179.022876786446</v>
      </c>
    </row>
    <row r="283" customFormat="false" ht="15" hidden="false" customHeight="false" outlineLevel="0" collapsed="false">
      <c r="A283" s="4" t="s">
        <v>448</v>
      </c>
      <c r="B283" s="0" t="s">
        <v>147</v>
      </c>
      <c r="C283" s="21" t="n">
        <f aca="false">a25_wni</f>
        <v>51.118</v>
      </c>
      <c r="D283" s="21" t="n">
        <f aca="false">a26_wni</f>
        <v>75.735026884</v>
      </c>
      <c r="E283" s="21" t="n">
        <f aca="false">E282*wnio</f>
        <v>108.635413968159</v>
      </c>
      <c r="F283" s="21" t="n">
        <f aca="false">F282*wnio</f>
        <v>130.175698692127</v>
      </c>
      <c r="G283" s="21" t="n">
        <f aca="false">G282*wnio</f>
        <v>139.637843893428</v>
      </c>
    </row>
    <row r="284" customFormat="false" ht="15" hidden="false" customHeight="false" outlineLevel="0" collapsed="false">
      <c r="A284" s="4" t="s">
        <v>450</v>
      </c>
      <c r="B284" s="0" t="s">
        <v>48</v>
      </c>
      <c r="C284" s="17" t="n">
        <f aca="false">stake25</f>
        <v>0.4</v>
      </c>
      <c r="D284" s="17" t="n">
        <f aca="false">stake</f>
        <v>0.3768</v>
      </c>
      <c r="E284" s="17" t="n">
        <f aca="false">stake</f>
        <v>0.3768</v>
      </c>
      <c r="F284" s="17" t="n">
        <f aca="false">stake</f>
        <v>0.3768</v>
      </c>
      <c r="G284" s="17" t="n">
        <f aca="false">stake</f>
        <v>0.3768</v>
      </c>
    </row>
    <row r="285" customFormat="false" ht="17.15" hidden="false" customHeight="false" outlineLevel="0" collapsed="false">
      <c r="A285" s="6" t="s">
        <v>598</v>
      </c>
    </row>
    <row r="286" customFormat="false" ht="15" hidden="false" customHeight="false" outlineLevel="0" collapsed="false">
      <c r="A286" s="4" t="s">
        <v>424</v>
      </c>
      <c r="B286" s="0" t="s">
        <v>147</v>
      </c>
      <c r="C286" s="21" t="n">
        <f aca="false">C273+C281</f>
        <v>133.983</v>
      </c>
      <c r="D286" s="21" t="n">
        <f aca="false">D273+D281</f>
        <v>228.55837901015</v>
      </c>
      <c r="E286" s="21" t="n">
        <f aca="false">E273+E281</f>
        <v>346.110735005103</v>
      </c>
      <c r="F286" s="21" t="n">
        <f aca="false">F273+F281</f>
        <v>412.783170122654</v>
      </c>
      <c r="G286" s="21" t="n">
        <f aca="false">G273+G281</f>
        <v>449.600529135448</v>
      </c>
    </row>
    <row r="287" customFormat="false" ht="15" hidden="false" customHeight="false" outlineLevel="0" collapsed="false">
      <c r="A287" s="4" t="s">
        <v>427</v>
      </c>
      <c r="B287" s="0" t="s">
        <v>48</v>
      </c>
      <c r="C287" s="17" t="n">
        <f aca="false">C286/C265</f>
        <v>0.0612767393711386</v>
      </c>
      <c r="D287" s="17" t="n">
        <f aca="false">D286/D265</f>
        <v>0.055781973714825</v>
      </c>
      <c r="E287" s="17" t="n">
        <f aca="false">E286/E265</f>
        <v>0.0541646749796242</v>
      </c>
      <c r="F287" s="17" t="n">
        <f aca="false">F286/F265</f>
        <v>0.0569012200114344</v>
      </c>
      <c r="G287" s="17" t="n">
        <f aca="false">G286/G265</f>
        <v>0.0582347105325356</v>
      </c>
    </row>
    <row r="288" customFormat="false" ht="15" hidden="false" customHeight="false" outlineLevel="0" collapsed="false">
      <c r="A288" s="4" t="s">
        <v>428</v>
      </c>
      <c r="B288" s="0" t="s">
        <v>147</v>
      </c>
      <c r="C288" s="21" t="n">
        <f aca="false">C277+C282</f>
        <v>78.553</v>
      </c>
      <c r="D288" s="21" t="n">
        <f aca="false">D277+D282</f>
        <v>154.762139470258</v>
      </c>
      <c r="E288" s="21" t="n">
        <f aca="false">E277+E282</f>
        <v>247.782735326173</v>
      </c>
      <c r="F288" s="21" t="n">
        <f aca="false">F277+F282</f>
        <v>304.235708696236</v>
      </c>
      <c r="G288" s="21" t="n">
        <f aca="false">G277+G282</f>
        <v>336.297270377296</v>
      </c>
    </row>
    <row r="289" customFormat="false" ht="15" hidden="false" customHeight="false" outlineLevel="0" collapsed="false">
      <c r="A289" s="4" t="s">
        <v>431</v>
      </c>
      <c r="B289" s="0" t="s">
        <v>48</v>
      </c>
      <c r="C289" s="17" t="n">
        <f aca="false">C288/C265</f>
        <v>0.0359259884300325</v>
      </c>
      <c r="D289" s="17" t="n">
        <f aca="false">D288/D265</f>
        <v>0.0377712584126992</v>
      </c>
      <c r="E289" s="17" t="n">
        <f aca="false">E288/E265</f>
        <v>0.0387768132193488</v>
      </c>
      <c r="F289" s="17" t="n">
        <f aca="false">F288/F265</f>
        <v>0.0419381996381182</v>
      </c>
      <c r="G289" s="17" t="n">
        <f aca="false">G288/G265</f>
        <v>0.0435590550370631</v>
      </c>
    </row>
    <row r="290" customFormat="false" ht="15" hidden="false" customHeight="false" outlineLevel="0" collapsed="false">
      <c r="A290" s="4" t="s">
        <v>461</v>
      </c>
      <c r="B290" s="0" t="s">
        <v>147</v>
      </c>
      <c r="C290" s="21" t="n">
        <f aca="false">C279+C283</f>
        <v>58.0788</v>
      </c>
      <c r="D290" s="21" t="n">
        <f aca="false">D279+D283</f>
        <v>106.868773588</v>
      </c>
      <c r="E290" s="21" t="n">
        <f aca="false">E279+E283</f>
        <v>169.399089568548</v>
      </c>
      <c r="F290" s="21" t="n">
        <f aca="false">F279+F283</f>
        <v>207.088219577928</v>
      </c>
      <c r="G290" s="21" t="n">
        <f aca="false">G279+G283</f>
        <v>227.711504304304</v>
      </c>
    </row>
    <row r="291" customFormat="false" ht="17.15" hidden="false" customHeight="false" outlineLevel="0" collapsed="false">
      <c r="A291" s="4" t="s">
        <v>599</v>
      </c>
      <c r="B291" s="0" t="s">
        <v>147</v>
      </c>
      <c r="C291" s="21" t="n">
        <f aca="false">(1-C284)*C283</f>
        <v>30.6708</v>
      </c>
      <c r="D291" s="21" t="n">
        <f aca="false">(1-D284)*D283</f>
        <v>47.1980687541088</v>
      </c>
      <c r="E291" s="21" t="n">
        <f aca="false">(1-E284)*E283</f>
        <v>67.7015899849565</v>
      </c>
      <c r="F291" s="21" t="n">
        <f aca="false">(1-F284)*F283</f>
        <v>81.1254954249335</v>
      </c>
      <c r="G291" s="21" t="n">
        <f aca="false">(1-G284)*G283</f>
        <v>87.0223043143844</v>
      </c>
    </row>
    <row r="292" customFormat="false" ht="15" hidden="false" customHeight="false" outlineLevel="0" collapsed="false">
      <c r="A292" s="4" t="s">
        <v>457</v>
      </c>
      <c r="B292" s="0" t="s">
        <v>147</v>
      </c>
      <c r="C292" s="21" t="n">
        <f aca="false">C290-C291</f>
        <v>27.408</v>
      </c>
      <c r="D292" s="21" t="n">
        <f aca="false">D290-D291</f>
        <v>59.6707048338912</v>
      </c>
      <c r="E292" s="21" t="n">
        <f aca="false">E290-E291</f>
        <v>101.697499583591</v>
      </c>
      <c r="F292" s="21" t="n">
        <f aca="false">F290-F291</f>
        <v>125.962724152994</v>
      </c>
      <c r="G292" s="21" t="n">
        <f aca="false">G290-G291</f>
        <v>140.689199989919</v>
      </c>
      <c r="H292" s="26" t="n">
        <f aca="false">H265*H297</f>
        <v>148.73118602596</v>
      </c>
      <c r="I292" s="26" t="n">
        <f aca="false">I265*I297</f>
        <v>157.018662563629</v>
      </c>
      <c r="J292" s="26" t="n">
        <f aca="false">J265*J297</f>
        <v>165.541752482229</v>
      </c>
    </row>
    <row r="293" customFormat="false" ht="17.15" hidden="false" customHeight="false" outlineLevel="0" collapsed="false">
      <c r="A293" s="4" t="s">
        <v>600</v>
      </c>
      <c r="B293" s="0" t="s">
        <v>48</v>
      </c>
      <c r="C293" s="20" t="n">
        <f aca="false">C284*C283/C292</f>
        <v>0.746030356100409</v>
      </c>
      <c r="D293" s="20" t="n">
        <f aca="false">D284*D283/D292</f>
        <v>0.478240674537551</v>
      </c>
      <c r="E293" s="20" t="n">
        <f aca="false">E284*E283/E292</f>
        <v>0.402505707129567</v>
      </c>
      <c r="F293" s="20" t="n">
        <f aca="false">F284*F283/F292</f>
        <v>0.389402528383057</v>
      </c>
      <c r="G293" s="20" t="n">
        <f aca="false">G284*G283/G292</f>
        <v>0.373984211885587</v>
      </c>
    </row>
    <row r="294" customFormat="false" ht="17.15" hidden="false" customHeight="false" outlineLevel="0" collapsed="false">
      <c r="A294" s="4" t="s">
        <v>601</v>
      </c>
      <c r="B294" s="4" t="s">
        <v>282</v>
      </c>
      <c r="C294" s="31" t="n">
        <f aca="false">a25_sh</f>
        <v>3.03185840707965</v>
      </c>
      <c r="D294" s="31" t="n">
        <f aca="false">a26_sh</f>
        <v>3.23861720409076</v>
      </c>
      <c r="E294" s="31" t="n">
        <f aca="false">q_sh4*(1+sh_g)</f>
        <v>3.43</v>
      </c>
      <c r="F294" s="31" t="n">
        <f aca="false">E294*(1+sh_g)</f>
        <v>3.43</v>
      </c>
      <c r="G294" s="31" t="n">
        <f aca="false">F294*(1+sh_g)</f>
        <v>3.43</v>
      </c>
      <c r="H294" s="32" t="n">
        <f aca="false">G294*(1+sh_g)</f>
        <v>3.43</v>
      </c>
      <c r="I294" s="32" t="n">
        <f aca="false">H294*(1+sh_g)</f>
        <v>3.43</v>
      </c>
      <c r="J294" s="32" t="n">
        <f aca="false">I294*(1+sh_g)</f>
        <v>3.43</v>
      </c>
      <c r="K294" s="8" t="s">
        <v>602</v>
      </c>
    </row>
    <row r="295" customFormat="false" ht="15" hidden="false" customHeight="false" outlineLevel="0" collapsed="false">
      <c r="A295" s="0" t="s">
        <v>464</v>
      </c>
      <c r="B295" s="0" t="s">
        <v>312</v>
      </c>
      <c r="C295" s="18" t="n">
        <f aca="false">C292/C294</f>
        <v>9.04</v>
      </c>
      <c r="D295" s="18" t="n">
        <f aca="false">D292/D294</f>
        <v>18.4247476850676</v>
      </c>
      <c r="E295" s="18" t="n">
        <f aca="false">E292/E294</f>
        <v>29.649416788219</v>
      </c>
      <c r="F295" s="18" t="n">
        <f aca="false">F292/F294</f>
        <v>36.7238262836718</v>
      </c>
      <c r="G295" s="18" t="n">
        <f aca="false">G292/G294</f>
        <v>41.0172594722797</v>
      </c>
      <c r="H295" s="29" t="n">
        <f aca="false">H292/H294</f>
        <v>43.3618618151488</v>
      </c>
      <c r="I295" s="29" t="n">
        <f aca="false">I292/I294</f>
        <v>45.7780357328366</v>
      </c>
      <c r="J295" s="29" t="n">
        <f aca="false">J292/J294</f>
        <v>48.2629015983174</v>
      </c>
    </row>
    <row r="296" customFormat="false" ht="17.15" hidden="false" customHeight="false" outlineLevel="0" collapsed="false">
      <c r="A296" s="0" t="s">
        <v>603</v>
      </c>
      <c r="B296" s="0" t="s">
        <v>48</v>
      </c>
      <c r="D296" s="20" t="n">
        <f aca="false">D295/C295-1</f>
        <v>1.03813580587031</v>
      </c>
      <c r="E296" s="20" t="n">
        <f aca="false">E295/D295-1</f>
        <v>0.609216977893734</v>
      </c>
      <c r="F296" s="20" t="n">
        <f aca="false">F295/E295-1</f>
        <v>0.238601978109186</v>
      </c>
      <c r="G296" s="20" t="n">
        <f aca="false">G295/F295-1</f>
        <v>0.116911379425539</v>
      </c>
      <c r="H296" s="27" t="n">
        <f aca="false">H295/G295-1</f>
        <v>0.057161360194081</v>
      </c>
      <c r="I296" s="27" t="n">
        <f aca="false">I295/H295-1</f>
        <v>0.0557211756263583</v>
      </c>
      <c r="J296" s="27" t="n">
        <f aca="false">J295/I295-1</f>
        <v>0.0542807445907598</v>
      </c>
    </row>
    <row r="297" customFormat="false" ht="17.15" hidden="false" customHeight="false" outlineLevel="0" collapsed="false">
      <c r="A297" s="4" t="s">
        <v>604</v>
      </c>
      <c r="B297" s="0" t="s">
        <v>48</v>
      </c>
      <c r="C297" s="17" t="n">
        <f aca="false">C292/C265</f>
        <v>0.0125349699042727</v>
      </c>
      <c r="D297" s="17" t="n">
        <f aca="false">D292/D265</f>
        <v>0.0145632363293992</v>
      </c>
      <c r="E297" s="17" t="n">
        <f aca="false">E292/E265</f>
        <v>0.015915172382921</v>
      </c>
      <c r="F297" s="17" t="n">
        <f aca="false">F292/F265</f>
        <v>0.0173636746821326</v>
      </c>
      <c r="G297" s="17" t="n">
        <f aca="false">G292/G265</f>
        <v>0.018222831837457</v>
      </c>
      <c r="H297" s="28" t="n">
        <f aca="false">$G297+(fade_mA-$G297)*1/3</f>
        <v>0.0181255597789061</v>
      </c>
      <c r="I297" s="28" t="n">
        <f aca="false">$G297+(fade_mA-$G297)*2/3</f>
        <v>0.0180282877203552</v>
      </c>
      <c r="J297" s="28" t="n">
        <f aca="false">$G297+(fade_mA-$G297)*3/3</f>
        <v>0.0179310156618042</v>
      </c>
    </row>
    <row r="300" customFormat="false" ht="17.15" hidden="false" customHeight="false" outlineLevel="0" collapsed="false">
      <c r="A300" s="1" t="s">
        <v>877</v>
      </c>
    </row>
    <row r="301" customFormat="false" ht="17.15" hidden="false" customHeight="false" outlineLevel="0" collapsed="false">
      <c r="A301" s="5" t="s">
        <v>17</v>
      </c>
      <c r="B301" s="5" t="s">
        <v>18</v>
      </c>
      <c r="C301" s="14" t="s">
        <v>414</v>
      </c>
      <c r="D301" s="14" t="s">
        <v>529</v>
      </c>
      <c r="E301" s="14" t="s">
        <v>530</v>
      </c>
      <c r="F301" s="14" t="s">
        <v>531</v>
      </c>
      <c r="G301" s="14" t="s">
        <v>532</v>
      </c>
      <c r="H301" s="14" t="s">
        <v>533</v>
      </c>
      <c r="I301" s="14" t="s">
        <v>534</v>
      </c>
      <c r="J301" s="14" t="s">
        <v>535</v>
      </c>
      <c r="K301" s="5" t="s">
        <v>496</v>
      </c>
    </row>
    <row r="302" customFormat="false" ht="17.15" hidden="false" customHeight="false" outlineLevel="0" collapsed="false">
      <c r="A302" s="6" t="s">
        <v>550</v>
      </c>
    </row>
    <row r="303" customFormat="false" ht="17.15" hidden="false" customHeight="false" outlineLevel="0" collapsed="false">
      <c r="A303" s="0" t="s">
        <v>551</v>
      </c>
      <c r="B303" s="0" t="s">
        <v>28</v>
      </c>
      <c r="D303" s="21" t="n">
        <f aca="false">itc_26*1</f>
        <v>781.872916666667</v>
      </c>
      <c r="E303" s="21" t="n">
        <f aca="false">itc_27*1*1</f>
        <v>1565.35</v>
      </c>
      <c r="F303" s="21" t="n">
        <f aca="false">itc_28*um28_A*1</f>
        <v>1984.26388888889</v>
      </c>
      <c r="G303" s="21" t="n">
        <f aca="false">itc_29*um29_A*1</f>
        <v>2260.39027777778</v>
      </c>
    </row>
    <row r="304" customFormat="false" ht="17.15" hidden="false" customHeight="false" outlineLevel="0" collapsed="false">
      <c r="A304" s="4" t="s">
        <v>552</v>
      </c>
      <c r="B304" s="0" t="s">
        <v>28</v>
      </c>
      <c r="D304" s="21" t="n">
        <f aca="false">itpg_gb*(1-vr26)+itpg_vr*vr26</f>
        <v>33.41403216</v>
      </c>
      <c r="E304" s="21" t="n">
        <f aca="false">itpg_vr</f>
        <v>37.586352</v>
      </c>
      <c r="F304" s="21" t="n">
        <f aca="false">itpg_vr</f>
        <v>37.586352</v>
      </c>
      <c r="G304" s="21" t="n">
        <f aca="false">itpg_vr</f>
        <v>37.586352</v>
      </c>
    </row>
    <row r="305" customFormat="false" ht="17.15" hidden="false" customHeight="false" outlineLevel="0" collapsed="false">
      <c r="A305" s="4" t="s">
        <v>553</v>
      </c>
      <c r="B305" s="0" t="s">
        <v>498</v>
      </c>
      <c r="D305" s="22" t="n">
        <f aca="false">D303/D304</f>
        <v>23.3995380420639</v>
      </c>
      <c r="E305" s="22" t="n">
        <f aca="false">E303/E304</f>
        <v>41.6467658260637</v>
      </c>
      <c r="F305" s="22" t="n">
        <f aca="false">F303/F304</f>
        <v>52.792138191248</v>
      </c>
      <c r="G305" s="22" t="n">
        <f aca="false">G303/G304</f>
        <v>60.1385917361116</v>
      </c>
    </row>
    <row r="306" customFormat="false" ht="17.15" hidden="false" customHeight="false" outlineLevel="0" collapsed="false">
      <c r="A306" s="4" t="s">
        <v>554</v>
      </c>
      <c r="B306" s="0" t="s">
        <v>555</v>
      </c>
      <c r="D306" s="18" t="n">
        <f aca="false">(racks_gb*odm_gb*(1-vr26)+racks_vr*odm_vr*vr26)/1000</f>
        <v>27.1209</v>
      </c>
      <c r="E306" s="18" t="n">
        <f aca="false">racks_vr*odm_vr/1000</f>
        <v>27.351</v>
      </c>
      <c r="F306" s="18" t="n">
        <f aca="false">$E306*vpg_28</f>
        <v>27.351</v>
      </c>
      <c r="G306" s="18" t="n">
        <f aca="false">$E306*vpg_29</f>
        <v>27.351</v>
      </c>
      <c r="K306" s="4" t="s">
        <v>556</v>
      </c>
    </row>
    <row r="307" customFormat="false" ht="17.15" hidden="false" customHeight="false" outlineLevel="0" collapsed="false">
      <c r="A307" s="0" t="s">
        <v>557</v>
      </c>
      <c r="B307" s="0" t="s">
        <v>28</v>
      </c>
      <c r="D307" s="21" t="n">
        <f aca="false">D305*D306</f>
        <v>634.616531285011</v>
      </c>
      <c r="E307" s="21" t="n">
        <f aca="false">E305*E306</f>
        <v>1139.08069210867</v>
      </c>
      <c r="F307" s="21" t="n">
        <f aca="false">F305*F306</f>
        <v>1443.91777166882</v>
      </c>
      <c r="G307" s="21" t="n">
        <f aca="false">G305*G306</f>
        <v>1644.85062257439</v>
      </c>
    </row>
    <row r="308" customFormat="false" ht="17.15" hidden="false" customHeight="false" outlineLevel="0" collapsed="false">
      <c r="A308" s="0" t="s">
        <v>558</v>
      </c>
      <c r="B308" s="0" t="s">
        <v>147</v>
      </c>
      <c r="D308" s="21" t="n">
        <f aca="false">D307*fx</f>
        <v>20307.7290011204</v>
      </c>
      <c r="E308" s="21" t="n">
        <f aca="false">E307*fx</f>
        <v>36450.5821474774</v>
      </c>
      <c r="F308" s="21" t="n">
        <f aca="false">F307*fx</f>
        <v>46205.3686934024</v>
      </c>
      <c r="G308" s="21" t="n">
        <f aca="false">G307*fx</f>
        <v>52635.2199223804</v>
      </c>
    </row>
    <row r="309" customFormat="false" ht="17.15" hidden="false" customHeight="false" outlineLevel="0" collapsed="false">
      <c r="A309" s="6" t="s">
        <v>559</v>
      </c>
    </row>
    <row r="310" customFormat="false" ht="17.15" hidden="false" customHeight="false" outlineLevel="0" collapsed="false">
      <c r="A310" s="4" t="s">
        <v>560</v>
      </c>
      <c r="B310" s="0" t="s">
        <v>48</v>
      </c>
      <c r="D310" s="20" t="n">
        <f aca="false">a26_ais/D308</f>
        <v>0.0875096501918446</v>
      </c>
      <c r="K310" s="8" t="s">
        <v>561</v>
      </c>
    </row>
    <row r="311" customFormat="false" ht="17.15" hidden="false" customHeight="false" outlineLevel="0" collapsed="false">
      <c r="A311" s="4" t="s">
        <v>562</v>
      </c>
      <c r="B311" s="0" t="s">
        <v>60</v>
      </c>
      <c r="D311" s="18" t="n">
        <f aca="false">1</f>
        <v>1</v>
      </c>
      <c r="E311" s="18" t="n">
        <f aca="false">rel_27</f>
        <v>1</v>
      </c>
      <c r="F311" s="18" t="n">
        <f aca="false">rel_28</f>
        <v>0.95</v>
      </c>
      <c r="G311" s="18" t="n">
        <f aca="false">rel_29</f>
        <v>0.9</v>
      </c>
    </row>
    <row r="312" customFormat="false" ht="17.15" hidden="false" customHeight="false" outlineLevel="0" collapsed="false">
      <c r="A312" s="4" t="s">
        <v>563</v>
      </c>
      <c r="B312" s="0" t="s">
        <v>48</v>
      </c>
      <c r="D312" s="20" t="n">
        <f aca="false">$D$310*D311</f>
        <v>0.0875096501918446</v>
      </c>
      <c r="E312" s="20" t="n">
        <f aca="false">$D$310*E311</f>
        <v>0.0875096501918446</v>
      </c>
      <c r="F312" s="20" t="n">
        <f aca="false">$D$310*F311</f>
        <v>0.0831341676822524</v>
      </c>
      <c r="G312" s="20" t="n">
        <f aca="false">$D$310*G311</f>
        <v>0.0787586851726601</v>
      </c>
    </row>
    <row r="313" customFormat="false" ht="17.15" hidden="false" customHeight="false" outlineLevel="0" collapsed="false">
      <c r="A313" s="4" t="s">
        <v>564</v>
      </c>
      <c r="B313" s="0" t="s">
        <v>147</v>
      </c>
      <c r="D313" s="21" t="n">
        <f aca="false">D308*D312</f>
        <v>1777.12226107882</v>
      </c>
      <c r="E313" s="21" t="n">
        <f aca="false">E308*E312</f>
        <v>3189.77769301484</v>
      </c>
      <c r="F313" s="21" t="n">
        <f aca="false">F308*F312</f>
        <v>3841.24486877761</v>
      </c>
      <c r="G313" s="21" t="n">
        <f aca="false">G308*G312</f>
        <v>4145.48071486049</v>
      </c>
    </row>
    <row r="314" customFormat="false" ht="17.15" hidden="false" customHeight="false" outlineLevel="0" collapsed="false">
      <c r="A314" s="4" t="s">
        <v>565</v>
      </c>
      <c r="B314" s="0" t="s">
        <v>48</v>
      </c>
      <c r="D314" s="20" t="n">
        <f aca="false">0</f>
        <v>0</v>
      </c>
      <c r="E314" s="20" t="n">
        <f aca="false">cs_27</f>
        <v>0.1</v>
      </c>
      <c r="F314" s="20" t="n">
        <f aca="false">cs_28</f>
        <v>0.2</v>
      </c>
      <c r="G314" s="20" t="n">
        <f aca="false">cs_29</f>
        <v>0.25</v>
      </c>
      <c r="K314" s="8" t="s">
        <v>566</v>
      </c>
    </row>
    <row r="315" customFormat="false" ht="17.15" hidden="false" customHeight="false" outlineLevel="0" collapsed="false">
      <c r="A315" s="4" t="s">
        <v>567</v>
      </c>
      <c r="B315" s="0" t="s">
        <v>147</v>
      </c>
      <c r="D315" s="21" t="n">
        <f aca="false">D313*(1-D314)</f>
        <v>1777.12226107882</v>
      </c>
      <c r="E315" s="21" t="n">
        <f aca="false">E313*(1-E314)</f>
        <v>2870.79992371336</v>
      </c>
      <c r="F315" s="21" t="n">
        <f aca="false">F313*(1-F314)</f>
        <v>3072.99589502208</v>
      </c>
      <c r="G315" s="21" t="n">
        <f aca="false">G313*(1-G314)</f>
        <v>3109.11053614536</v>
      </c>
    </row>
    <row r="316" customFormat="false" ht="17.15" hidden="false" customHeight="false" outlineLevel="0" collapsed="false">
      <c r="A316" s="6" t="s">
        <v>568</v>
      </c>
    </row>
    <row r="317" customFormat="false" ht="17.15" hidden="false" customHeight="false" outlineLevel="0" collapsed="false">
      <c r="A317" s="0" t="s">
        <v>569</v>
      </c>
      <c r="B317" s="4" t="s">
        <v>81</v>
      </c>
      <c r="D317" s="18" t="n">
        <f aca="false">gu_26*1</f>
        <v>8.35</v>
      </c>
      <c r="E317" s="18" t="n">
        <f aca="false">gu_27*1*1</f>
        <v>11.2</v>
      </c>
      <c r="F317" s="18" t="n">
        <f aca="false">gu_28*um28_A*1</f>
        <v>11.5</v>
      </c>
      <c r="G317" s="18" t="n">
        <f aca="false">gu_29*um29_A*1</f>
        <v>12.9</v>
      </c>
    </row>
    <row r="318" customFormat="false" ht="15" hidden="false" customHeight="false" outlineLevel="0" collapsed="false">
      <c r="A318" s="4" t="s">
        <v>570</v>
      </c>
      <c r="B318" s="0" t="s">
        <v>48</v>
      </c>
      <c r="D318" s="20" t="n">
        <f aca="false">bsh_26</f>
        <v>0.5</v>
      </c>
      <c r="E318" s="20" t="n">
        <f aca="false">bsh_26*brel_27</f>
        <v>0.5</v>
      </c>
      <c r="F318" s="20" t="n">
        <f aca="false">bsh_26*brel_28</f>
        <v>0.475</v>
      </c>
      <c r="G318" s="20" t="n">
        <f aca="false">bsh_26*brel_29</f>
        <v>0.45</v>
      </c>
    </row>
    <row r="319" customFormat="false" ht="17.15" hidden="false" customHeight="false" outlineLevel="0" collapsed="false">
      <c r="A319" s="4" t="s">
        <v>571</v>
      </c>
      <c r="B319" s="0" t="s">
        <v>520</v>
      </c>
      <c r="D319" s="24" t="n">
        <f aca="false">a26_brd/fx/D317/D318*1000</f>
        <v>823.353293413174</v>
      </c>
      <c r="E319" s="24" t="n">
        <f aca="false">$D319*bv_27</f>
        <v>946.85628742515</v>
      </c>
      <c r="F319" s="24" t="n">
        <f aca="false">$D319*bv_28</f>
        <v>988.023952095808</v>
      </c>
      <c r="G319" s="24" t="n">
        <f aca="false">$D319*bv_29</f>
        <v>988.023952095808</v>
      </c>
      <c r="K319" s="8" t="s">
        <v>572</v>
      </c>
    </row>
    <row r="320" customFormat="false" ht="17.15" hidden="false" customHeight="false" outlineLevel="0" collapsed="false">
      <c r="A320" s="0" t="s">
        <v>522</v>
      </c>
      <c r="B320" s="0" t="s">
        <v>147</v>
      </c>
      <c r="D320" s="21" t="n">
        <f aca="false">D317*D318*D319*fx/1000</f>
        <v>110</v>
      </c>
      <c r="E320" s="21" t="n">
        <f aca="false">E317*E318*E319*fx/1000</f>
        <v>169.676646706587</v>
      </c>
      <c r="F320" s="21" t="n">
        <f aca="false">F317*F318*F319*fx/1000</f>
        <v>172.706586826347</v>
      </c>
      <c r="G320" s="21" t="n">
        <f aca="false">G317*G318*G319*fx/1000</f>
        <v>183.535329341317</v>
      </c>
    </row>
    <row r="321" customFormat="false" ht="17.15" hidden="false" customHeight="false" outlineLevel="0" collapsed="false">
      <c r="A321" s="6" t="s">
        <v>573</v>
      </c>
    </row>
    <row r="322" customFormat="false" ht="15" hidden="false" customHeight="false" outlineLevel="0" collapsed="false">
      <c r="A322" s="4" t="s">
        <v>574</v>
      </c>
      <c r="B322" s="0" t="s">
        <v>147</v>
      </c>
      <c r="D322" s="21" t="n">
        <f aca="false">a26_gen</f>
        <v>150</v>
      </c>
      <c r="E322" s="21" t="n">
        <f aca="false">D322*(1+g_gen27)</f>
        <v>180</v>
      </c>
      <c r="F322" s="21" t="n">
        <f aca="false">E322*(1+g_gen28)</f>
        <v>198</v>
      </c>
      <c r="G322" s="21" t="n">
        <f aca="false">F322*(1+g_gen29)</f>
        <v>213.84</v>
      </c>
    </row>
    <row r="323" customFormat="false" ht="15" hidden="false" customHeight="false" outlineLevel="0" collapsed="false">
      <c r="A323" s="4" t="s">
        <v>575</v>
      </c>
      <c r="B323" s="0" t="s">
        <v>147</v>
      </c>
      <c r="D323" s="21" t="n">
        <f aca="false">a26_pc</f>
        <v>614.602793131557</v>
      </c>
      <c r="E323" s="21" t="n">
        <f aca="false">D323*(1+g_pc27)</f>
        <v>596.16470933761</v>
      </c>
      <c r="F323" s="21" t="n">
        <f aca="false">E323*(1+g_pc28)</f>
        <v>596.16470933761</v>
      </c>
      <c r="G323" s="21" t="n">
        <f aca="false">F323*(1+g_pc29)</f>
        <v>596.16470933761</v>
      </c>
    </row>
    <row r="324" customFormat="false" ht="15" hidden="false" customHeight="false" outlineLevel="0" collapsed="false">
      <c r="A324" s="4" t="s">
        <v>576</v>
      </c>
      <c r="B324" s="0" t="s">
        <v>147</v>
      </c>
      <c r="C324" s="21" t="n">
        <f aca="false">a25_srev</f>
        <v>1235.86</v>
      </c>
      <c r="D324" s="21" t="n">
        <f aca="false">D315+D320+D322+D323</f>
        <v>2651.72505421038</v>
      </c>
      <c r="E324" s="21" t="n">
        <f aca="false">E315+E320+E322+E323</f>
        <v>3816.64127975755</v>
      </c>
      <c r="F324" s="21" t="n">
        <f aca="false">F315+F320+F322+F323</f>
        <v>4039.86719118604</v>
      </c>
      <c r="G324" s="21" t="n">
        <f aca="false">G315+G320+G322+G323</f>
        <v>4102.65057482429</v>
      </c>
    </row>
    <row r="325" customFormat="false" ht="17.15" hidden="false" customHeight="false" outlineLevel="0" collapsed="false">
      <c r="A325" s="4" t="s">
        <v>577</v>
      </c>
      <c r="B325" s="0" t="s">
        <v>48</v>
      </c>
      <c r="D325" s="20" t="n">
        <f aca="false">a26_wai/D308</f>
        <v>0.0391523244650416</v>
      </c>
      <c r="K325" s="8" t="s">
        <v>578</v>
      </c>
    </row>
    <row r="326" customFormat="false" ht="17.15" hidden="false" customHeight="false" outlineLevel="0" collapsed="false">
      <c r="A326" s="4" t="s">
        <v>504</v>
      </c>
      <c r="B326" s="0" t="s">
        <v>48</v>
      </c>
      <c r="D326" s="20" t="n">
        <f aca="false">D325</f>
        <v>0.0391523244650416</v>
      </c>
      <c r="E326" s="20" t="n">
        <f aca="false">$D$325*wrel_27_lo</f>
        <v>0.0332794757952854</v>
      </c>
      <c r="F326" s="20" t="n">
        <f aca="false">$D$325*wrel_28_lo</f>
        <v>0.0293642433487812</v>
      </c>
      <c r="G326" s="20" t="n">
        <f aca="false">$D$325*wrel_29_lo</f>
        <v>0.0274066271255291</v>
      </c>
    </row>
    <row r="327" customFormat="false" ht="17.15" hidden="false" customHeight="false" outlineLevel="0" collapsed="false">
      <c r="A327" s="4" t="s">
        <v>524</v>
      </c>
      <c r="B327" s="0" t="s">
        <v>147</v>
      </c>
      <c r="D327" s="21" t="n">
        <f aca="false">D308*D326</f>
        <v>795.094795</v>
      </c>
      <c r="E327" s="21" t="n">
        <f aca="false">E308*E326</f>
        <v>1213.05626630103</v>
      </c>
      <c r="F327" s="21" t="n">
        <f aca="false">F308*F326</f>
        <v>1356.78569033322</v>
      </c>
      <c r="G327" s="21" t="n">
        <f aca="false">G308*G326</f>
        <v>1442.5538460829</v>
      </c>
    </row>
    <row r="328" customFormat="false" ht="17.15" hidden="false" customHeight="false" outlineLevel="0" collapsed="false">
      <c r="A328" s="4" t="s">
        <v>579</v>
      </c>
      <c r="B328" s="0" t="s">
        <v>147</v>
      </c>
      <c r="D328" s="21" t="n">
        <f aca="false">a26_wna</f>
        <v>650.532105</v>
      </c>
      <c r="E328" s="21" t="n">
        <f aca="false">D328*(1+g_wn27)</f>
        <v>715.5853155</v>
      </c>
      <c r="F328" s="21" t="n">
        <f aca="false">E328*(1+g_wn28)</f>
        <v>758.52043443</v>
      </c>
      <c r="G328" s="21" t="n">
        <f aca="false">F328*(1+g_wn29)</f>
        <v>796.4464561515</v>
      </c>
    </row>
    <row r="329" customFormat="false" ht="15" hidden="false" customHeight="false" outlineLevel="0" collapsed="false">
      <c r="A329" s="4" t="s">
        <v>434</v>
      </c>
      <c r="B329" s="0" t="s">
        <v>147</v>
      </c>
      <c r="C329" s="21" t="n">
        <f aca="false">a25_wrev</f>
        <v>950.663</v>
      </c>
      <c r="D329" s="21" t="n">
        <f aca="false">D327+D328</f>
        <v>1445.6269</v>
      </c>
      <c r="E329" s="21" t="n">
        <f aca="false">E327+E328</f>
        <v>1928.64158180103</v>
      </c>
      <c r="F329" s="21" t="n">
        <f aca="false">F327+F328</f>
        <v>2115.30612476322</v>
      </c>
      <c r="G329" s="21" t="n">
        <f aca="false">G327+G328</f>
        <v>2239.0003022344</v>
      </c>
    </row>
    <row r="330" customFormat="false" ht="17.15" hidden="false" customHeight="false" outlineLevel="0" collapsed="false">
      <c r="A330" s="4" t="s">
        <v>420</v>
      </c>
      <c r="B330" s="0" t="s">
        <v>147</v>
      </c>
      <c r="C330" s="21" t="n">
        <f aca="false">C324+C329</f>
        <v>2186.523</v>
      </c>
      <c r="D330" s="21" t="n">
        <f aca="false">D324+D329</f>
        <v>4097.35195421038</v>
      </c>
      <c r="E330" s="21" t="n">
        <f aca="false">E324+E329</f>
        <v>5745.28286155859</v>
      </c>
      <c r="F330" s="21" t="n">
        <f aca="false">F324+F329</f>
        <v>6155.17331594927</v>
      </c>
      <c r="G330" s="21" t="n">
        <f aca="false">G324+G329</f>
        <v>6341.65087705869</v>
      </c>
      <c r="H330" s="26" t="n">
        <f aca="false">G330*(1+H331)</f>
        <v>6596.56862682526</v>
      </c>
      <c r="I330" s="26" t="n">
        <f aca="false">H330*(1+I331)</f>
        <v>6927.048073334</v>
      </c>
      <c r="J330" s="26" t="n">
        <f aca="false">I330*(1+J331)</f>
        <v>7342.67095773404</v>
      </c>
      <c r="K330" s="8" t="s">
        <v>580</v>
      </c>
    </row>
    <row r="331" customFormat="false" ht="15" hidden="false" customHeight="false" outlineLevel="0" collapsed="false">
      <c r="A331" s="4" t="s">
        <v>581</v>
      </c>
      <c r="B331" s="0" t="s">
        <v>48</v>
      </c>
      <c r="D331" s="20" t="n">
        <f aca="false">D330/C330-1</f>
        <v>0.873912121761526</v>
      </c>
      <c r="E331" s="20" t="n">
        <f aca="false">E330/D330-1</f>
        <v>0.402194130688436</v>
      </c>
      <c r="F331" s="20" t="n">
        <f aca="false">F330/E330-1</f>
        <v>0.0713438248851483</v>
      </c>
      <c r="G331" s="20" t="n">
        <f aca="false">G330/F330-1</f>
        <v>0.0302960699134545</v>
      </c>
      <c r="H331" s="27" t="n">
        <f aca="false">$G331+(fade_gA-$G331)*1/3</f>
        <v>0.040197379942303</v>
      </c>
      <c r="I331" s="27" t="n">
        <f aca="false">$G331+(fade_gA-$G331)*2/3</f>
        <v>0.0500986899711515</v>
      </c>
      <c r="J331" s="27" t="n">
        <f aca="false">$G331+(fade_gA-$G331)*3/3</f>
        <v>0.06</v>
      </c>
    </row>
    <row r="332" customFormat="false" ht="17.15" hidden="false" customHeight="false" outlineLevel="0" collapsed="false">
      <c r="A332" s="0" t="s">
        <v>582</v>
      </c>
      <c r="B332" s="0" t="s">
        <v>48</v>
      </c>
      <c r="D332" s="20" t="n">
        <f aca="false">(D315+D320+D327)/D330</f>
        <v>0.6546220793463</v>
      </c>
      <c r="E332" s="20" t="n">
        <f aca="false">(E315+E320+E327)/E330</f>
        <v>0.740352205316323</v>
      </c>
      <c r="F332" s="20" t="n">
        <f aca="false">(F315+F320+F327)/F330</f>
        <v>0.747743066837079</v>
      </c>
      <c r="G332" s="20" t="n">
        <f aca="false">(G315+G320+G327)/G330</f>
        <v>0.746682496934585</v>
      </c>
    </row>
    <row r="333" customFormat="false" ht="17.15" hidden="false" customHeight="false" outlineLevel="0" collapsed="false">
      <c r="A333" s="4" t="s">
        <v>583</v>
      </c>
      <c r="B333" s="0" t="s">
        <v>48</v>
      </c>
      <c r="C333" s="20" t="n">
        <f aca="false">C329/C330</f>
        <v>0.434782986504144</v>
      </c>
      <c r="D333" s="20" t="n">
        <f aca="false">D329/D330</f>
        <v>0.352819800728736</v>
      </c>
      <c r="E333" s="20" t="n">
        <f aca="false">E329/E330</f>
        <v>0.335691318995882</v>
      </c>
      <c r="F333" s="20" t="n">
        <f aca="false">F329/F330</f>
        <v>0.343663129563233</v>
      </c>
      <c r="G333" s="20" t="n">
        <f aca="false">G329/G330</f>
        <v>0.353062687562023</v>
      </c>
    </row>
    <row r="334" customFormat="false" ht="17.15" hidden="false" customHeight="false" outlineLevel="0" collapsed="false">
      <c r="A334" s="4" t="s">
        <v>584</v>
      </c>
      <c r="B334" s="4" t="s">
        <v>331</v>
      </c>
      <c r="D334" s="21" t="n">
        <f aca="false">D313/fx/(odm_gb*(1-vr26)+odm_vr*vr26)</f>
        <v>12.0597330420658</v>
      </c>
      <c r="E334" s="21" t="n">
        <f aca="false">E313/fx/odm_vr</f>
        <v>14.7674893195131</v>
      </c>
      <c r="F334" s="21" t="n">
        <f aca="false">F313/fx/odm_vr</f>
        <v>17.7835410591556</v>
      </c>
      <c r="G334" s="21" t="n">
        <f aca="false">G313/fx/odm_vr</f>
        <v>19.1920403465763</v>
      </c>
      <c r="K334" s="4" t="s">
        <v>585</v>
      </c>
    </row>
    <row r="335" customFormat="false" ht="17.15" hidden="false" customHeight="false" outlineLevel="0" collapsed="false">
      <c r="A335" s="6" t="s">
        <v>586</v>
      </c>
    </row>
    <row r="336" customFormat="false" ht="17.15" hidden="false" customHeight="false" outlineLevel="0" collapsed="false">
      <c r="A336" s="4" t="s">
        <v>587</v>
      </c>
      <c r="B336" s="0" t="s">
        <v>48</v>
      </c>
      <c r="D336" s="17" t="n">
        <f aca="false">(a26_sgp-d_ai*D315-d_brd*D320-d_gen*D322)/D324</f>
        <v>0.0436423860147897</v>
      </c>
      <c r="K336" s="8" t="s">
        <v>588</v>
      </c>
    </row>
    <row r="337" customFormat="false" ht="17.15" hidden="false" customHeight="false" outlineLevel="0" collapsed="false">
      <c r="A337" s="4" t="s">
        <v>589</v>
      </c>
      <c r="B337" s="0" t="s">
        <v>147</v>
      </c>
      <c r="D337" s="25" t="n">
        <f aca="false">($D$336+d_ai)*D313*(1-D314*(1-keep))</f>
        <v>59.7866331026896</v>
      </c>
      <c r="E337" s="25" t="n">
        <f aca="false">($D$336+d_ai+vrd)*E313*(1-E314*(1-keep))</f>
        <v>99.9228552931035</v>
      </c>
      <c r="F337" s="25" t="n">
        <f aca="false">($D$336+d_ai+vrd)*F313*(1-F314*(1-keep))</f>
        <v>119.115229856887</v>
      </c>
      <c r="G337" s="25" t="n">
        <f aca="false">($D$336+d_ai+vrd)*G313*(1-G314*(1-keep))</f>
        <v>127.89357847157</v>
      </c>
    </row>
    <row r="338" customFormat="false" ht="15" hidden="false" customHeight="false" outlineLevel="0" collapsed="false">
      <c r="A338" s="4" t="s">
        <v>590</v>
      </c>
      <c r="B338" s="0" t="s">
        <v>147</v>
      </c>
      <c r="C338" s="21" t="n">
        <f aca="false">a25_sgp</f>
        <v>55.529</v>
      </c>
      <c r="D338" s="21" t="n">
        <f aca="false">a26_sgp</f>
        <v>103.50638581015</v>
      </c>
      <c r="E338" s="21" t="n">
        <f aca="false">$D$336*E323+($D$336+d_brd)*E320+($D$336+d_gen)*E322+E337</f>
        <v>148.991928263534</v>
      </c>
      <c r="F338" s="21" t="n">
        <f aca="false">$D$336*F323+($D$336+d_brd)*F320+($D$336+d_gen)*F322+F337</f>
        <v>169.462997795485</v>
      </c>
      <c r="G338" s="21" t="n">
        <f aca="false">$D$336*G323+($D$336+d_brd)*G320+($D$336+d_gen)*G322+G337</f>
        <v>179.967696240984</v>
      </c>
    </row>
    <row r="339" customFormat="false" ht="15" hidden="false" customHeight="false" outlineLevel="0" collapsed="false">
      <c r="A339" s="4" t="s">
        <v>591</v>
      </c>
      <c r="B339" s="0" t="s">
        <v>48</v>
      </c>
      <c r="C339" s="17" t="n">
        <f aca="false">C338/C324</f>
        <v>0.0449314647290146</v>
      </c>
      <c r="D339" s="17" t="n">
        <f aca="false">D338/D324</f>
        <v>0.0390336040479778</v>
      </c>
      <c r="E339" s="17" t="n">
        <f aca="false">E338/E324</f>
        <v>0.0390374461057547</v>
      </c>
      <c r="F339" s="17" t="n">
        <f aca="false">F338/F324</f>
        <v>0.0419476655483156</v>
      </c>
      <c r="G339" s="17" t="n">
        <f aca="false">G338/G324</f>
        <v>0.0438662013639053</v>
      </c>
    </row>
    <row r="340" customFormat="false" ht="15" hidden="false" customHeight="false" outlineLevel="0" collapsed="false">
      <c r="A340" s="4" t="s">
        <v>592</v>
      </c>
      <c r="B340" s="0" t="s">
        <v>48</v>
      </c>
      <c r="E340" s="20" t="n">
        <f aca="false">MAX(0,phi*(E324/D324-1))</f>
        <v>0.13179151703879</v>
      </c>
      <c r="F340" s="20" t="n">
        <f aca="false">MAX(0,phi*(F324/E324-1))</f>
        <v>0.0175462582202121</v>
      </c>
      <c r="G340" s="20" t="n">
        <f aca="false">MAX(0,phi*(G324/F324-1))</f>
        <v>0.00466228571388885</v>
      </c>
    </row>
    <row r="341" customFormat="false" ht="15" hidden="false" customHeight="false" outlineLevel="0" collapsed="false">
      <c r="A341" s="4" t="s">
        <v>593</v>
      </c>
      <c r="B341" s="0" t="s">
        <v>147</v>
      </c>
      <c r="C341" s="21" t="n">
        <f aca="false">a25_sopx</f>
        <v>40.894</v>
      </c>
      <c r="D341" s="21" t="n">
        <f aca="false">a26_sopx</f>
        <v>46.9914095398923</v>
      </c>
      <c r="E341" s="21" t="n">
        <f aca="false">D341*(1+E340)+0*E324</f>
        <v>53.1844786909457</v>
      </c>
      <c r="F341" s="21" t="n">
        <f aca="false">E341*(1+F340)+0*F324</f>
        <v>54.1176672873644</v>
      </c>
      <c r="G341" s="21" t="n">
        <f aca="false">F341*(1+G340)+0*G324</f>
        <v>54.3699793144273</v>
      </c>
    </row>
    <row r="342" customFormat="false" ht="15" hidden="false" customHeight="false" outlineLevel="0" collapsed="false">
      <c r="A342" s="4" t="s">
        <v>594</v>
      </c>
      <c r="B342" s="0" t="s">
        <v>147</v>
      </c>
      <c r="C342" s="21" t="n">
        <f aca="false">C338-C341</f>
        <v>14.635</v>
      </c>
      <c r="D342" s="21" t="n">
        <f aca="false">D338-D341</f>
        <v>56.514976270258</v>
      </c>
      <c r="E342" s="21" t="n">
        <f aca="false">E338-E341</f>
        <v>95.8074495725884</v>
      </c>
      <c r="F342" s="21" t="n">
        <f aca="false">F338-F341</f>
        <v>115.345330508121</v>
      </c>
      <c r="G342" s="21" t="n">
        <f aca="false">G338-G341</f>
        <v>125.597716926557</v>
      </c>
    </row>
    <row r="343" customFormat="false" ht="15" hidden="false" customHeight="false" outlineLevel="0" collapsed="false">
      <c r="A343" s="4" t="s">
        <v>595</v>
      </c>
      <c r="B343" s="0" t="s">
        <v>48</v>
      </c>
      <c r="C343" s="17" t="n">
        <f aca="false">C342/C324</f>
        <v>0.011841956208632</v>
      </c>
      <c r="D343" s="17" t="n">
        <f aca="false">D342/D324</f>
        <v>0.0213125324514788</v>
      </c>
      <c r="E343" s="17" t="n">
        <f aca="false">E342/E324</f>
        <v>0.0251025555062577</v>
      </c>
      <c r="F343" s="17" t="n">
        <f aca="false">F342/F324</f>
        <v>0.0285517629786878</v>
      </c>
      <c r="G343" s="17" t="n">
        <f aca="false">G342/G324</f>
        <v>0.0306137982350437</v>
      </c>
    </row>
    <row r="344" customFormat="false" ht="15" hidden="false" customHeight="false" outlineLevel="0" collapsed="false">
      <c r="A344" s="4" t="s">
        <v>596</v>
      </c>
      <c r="B344" s="0" t="s">
        <v>147</v>
      </c>
      <c r="C344" s="21" t="n">
        <f aca="false">a25_sni</f>
        <v>6.9608</v>
      </c>
      <c r="D344" s="21" t="n">
        <f aca="false">a26_sni</f>
        <v>31.133746704</v>
      </c>
      <c r="E344" s="21" t="n">
        <f aca="false">E342*snio</f>
        <v>53.6521717606495</v>
      </c>
      <c r="F344" s="21" t="n">
        <f aca="false">F342*snio</f>
        <v>64.5933850845477</v>
      </c>
      <c r="G344" s="21" t="n">
        <f aca="false">G342*snio</f>
        <v>70.3347214788719</v>
      </c>
    </row>
    <row r="345" customFormat="false" ht="17.15" hidden="false" customHeight="false" outlineLevel="0" collapsed="false">
      <c r="A345" s="6" t="s">
        <v>597</v>
      </c>
    </row>
    <row r="346" customFormat="false" ht="15" hidden="false" customHeight="false" outlineLevel="0" collapsed="false">
      <c r="A346" s="4" t="s">
        <v>438</v>
      </c>
      <c r="B346" s="0" t="s">
        <v>147</v>
      </c>
      <c r="C346" s="21" t="n">
        <f aca="false">a25_wgp</f>
        <v>78.454</v>
      </c>
      <c r="D346" s="21" t="n">
        <f aca="false">a26_wgp</f>
        <v>125.0519932</v>
      </c>
      <c r="E346" s="21" t="n">
        <f aca="false">E329*wgm</f>
        <v>163.934534453088</v>
      </c>
      <c r="F346" s="21" t="n">
        <f aca="false">F329*wgm</f>
        <v>179.801020604874</v>
      </c>
      <c r="G346" s="21" t="n">
        <f aca="false">G329*wgm</f>
        <v>190.315025689924</v>
      </c>
    </row>
    <row r="347" customFormat="false" ht="15" hidden="false" customHeight="false" outlineLevel="0" collapsed="false">
      <c r="A347" s="4" t="s">
        <v>440</v>
      </c>
      <c r="B347" s="0" t="s">
        <v>147</v>
      </c>
      <c r="C347" s="21" t="n">
        <f aca="false">a25_woi</f>
        <v>63.918</v>
      </c>
      <c r="D347" s="21" t="n">
        <f aca="false">a26_woi</f>
        <v>98.2471632</v>
      </c>
      <c r="E347" s="21" t="n">
        <f aca="false">E329*wopm</f>
        <v>125.361702817067</v>
      </c>
      <c r="F347" s="21" t="n">
        <f aca="false">F329*wopm</f>
        <v>137.49489810961</v>
      </c>
      <c r="G347" s="21" t="n">
        <f aca="false">G329*wopm</f>
        <v>145.535019645236</v>
      </c>
    </row>
    <row r="348" customFormat="false" ht="15" hidden="false" customHeight="false" outlineLevel="0" collapsed="false">
      <c r="A348" s="4" t="s">
        <v>448</v>
      </c>
      <c r="B348" s="0" t="s">
        <v>147</v>
      </c>
      <c r="C348" s="21" t="n">
        <f aca="false">a25_wni</f>
        <v>51.118</v>
      </c>
      <c r="D348" s="21" t="n">
        <f aca="false">a26_wni</f>
        <v>75.735026884</v>
      </c>
      <c r="E348" s="21" t="n">
        <f aca="false">E347*wnio</f>
        <v>97.7821281973125</v>
      </c>
      <c r="F348" s="21" t="n">
        <f aca="false">F347*wnio</f>
        <v>107.246020525496</v>
      </c>
      <c r="G348" s="21" t="n">
        <f aca="false">G347*wnio</f>
        <v>113.517315323284</v>
      </c>
    </row>
    <row r="349" customFormat="false" ht="15" hidden="false" customHeight="false" outlineLevel="0" collapsed="false">
      <c r="A349" s="4" t="s">
        <v>450</v>
      </c>
      <c r="B349" s="0" t="s">
        <v>48</v>
      </c>
      <c r="C349" s="17" t="n">
        <f aca="false">stake25</f>
        <v>0.4</v>
      </c>
      <c r="D349" s="17" t="n">
        <f aca="false">stake</f>
        <v>0.3768</v>
      </c>
      <c r="E349" s="17" t="n">
        <f aca="false">stake</f>
        <v>0.3768</v>
      </c>
      <c r="F349" s="17" t="n">
        <f aca="false">stake</f>
        <v>0.3768</v>
      </c>
      <c r="G349" s="17" t="n">
        <f aca="false">stake</f>
        <v>0.3768</v>
      </c>
    </row>
    <row r="350" customFormat="false" ht="17.15" hidden="false" customHeight="false" outlineLevel="0" collapsed="false">
      <c r="A350" s="6" t="s">
        <v>598</v>
      </c>
    </row>
    <row r="351" customFormat="false" ht="15" hidden="false" customHeight="false" outlineLevel="0" collapsed="false">
      <c r="A351" s="4" t="s">
        <v>424</v>
      </c>
      <c r="B351" s="0" t="s">
        <v>147</v>
      </c>
      <c r="C351" s="21" t="n">
        <f aca="false">C338+C346</f>
        <v>133.983</v>
      </c>
      <c r="D351" s="21" t="n">
        <f aca="false">D338+D346</f>
        <v>228.55837901015</v>
      </c>
      <c r="E351" s="21" t="n">
        <f aca="false">E338+E346</f>
        <v>312.926462716622</v>
      </c>
      <c r="F351" s="21" t="n">
        <f aca="false">F338+F346</f>
        <v>349.264018400359</v>
      </c>
      <c r="G351" s="21" t="n">
        <f aca="false">G338+G346</f>
        <v>370.282721930908</v>
      </c>
    </row>
    <row r="352" customFormat="false" ht="15" hidden="false" customHeight="false" outlineLevel="0" collapsed="false">
      <c r="A352" s="4" t="s">
        <v>427</v>
      </c>
      <c r="B352" s="0" t="s">
        <v>48</v>
      </c>
      <c r="C352" s="17" t="n">
        <f aca="false">C351/C330</f>
        <v>0.0612767393711386</v>
      </c>
      <c r="D352" s="17" t="n">
        <f aca="false">D351/D330</f>
        <v>0.055781973714825</v>
      </c>
      <c r="E352" s="17" t="n">
        <f aca="false">E351/E330</f>
        <v>0.0544666764469332</v>
      </c>
      <c r="F352" s="17" t="n">
        <f aca="false">F351/F330</f>
        <v>0.0567431655409845</v>
      </c>
      <c r="G352" s="17" t="n">
        <f aca="false">G351/G330</f>
        <v>0.05838901086</v>
      </c>
    </row>
    <row r="353" customFormat="false" ht="15" hidden="false" customHeight="false" outlineLevel="0" collapsed="false">
      <c r="A353" s="4" t="s">
        <v>428</v>
      </c>
      <c r="B353" s="0" t="s">
        <v>147</v>
      </c>
      <c r="C353" s="21" t="n">
        <f aca="false">C342+C347</f>
        <v>78.553</v>
      </c>
      <c r="D353" s="21" t="n">
        <f aca="false">D342+D347</f>
        <v>154.762139470258</v>
      </c>
      <c r="E353" s="21" t="n">
        <f aca="false">E342+E347</f>
        <v>221.169152389656</v>
      </c>
      <c r="F353" s="21" t="n">
        <f aca="false">F342+F347</f>
        <v>252.840228617731</v>
      </c>
      <c r="G353" s="21" t="n">
        <f aca="false">G342+G347</f>
        <v>271.132736571793</v>
      </c>
    </row>
    <row r="354" customFormat="false" ht="15" hidden="false" customHeight="false" outlineLevel="0" collapsed="false">
      <c r="A354" s="4" t="s">
        <v>431</v>
      </c>
      <c r="B354" s="0" t="s">
        <v>48</v>
      </c>
      <c r="C354" s="17" t="n">
        <f aca="false">C353/C330</f>
        <v>0.0359259884300325</v>
      </c>
      <c r="D354" s="17" t="n">
        <f aca="false">D353/D330</f>
        <v>0.0377712584126992</v>
      </c>
      <c r="E354" s="17" t="n">
        <f aca="false">E353/E330</f>
        <v>0.038495781272927</v>
      </c>
      <c r="F354" s="17" t="n">
        <f aca="false">F353/F330</f>
        <v>0.0410776781804944</v>
      </c>
      <c r="G354" s="17" t="n">
        <f aca="false">G353/G330</f>
        <v>0.0427542830452291</v>
      </c>
    </row>
    <row r="355" customFormat="false" ht="15" hidden="false" customHeight="false" outlineLevel="0" collapsed="false">
      <c r="A355" s="4" t="s">
        <v>461</v>
      </c>
      <c r="B355" s="0" t="s">
        <v>147</v>
      </c>
      <c r="C355" s="21" t="n">
        <f aca="false">C344+C348</f>
        <v>58.0788</v>
      </c>
      <c r="D355" s="21" t="n">
        <f aca="false">D344+D348</f>
        <v>106.868773588</v>
      </c>
      <c r="E355" s="21" t="n">
        <f aca="false">E344+E348</f>
        <v>151.434299957962</v>
      </c>
      <c r="F355" s="21" t="n">
        <f aca="false">F344+F348</f>
        <v>171.839405610043</v>
      </c>
      <c r="G355" s="21" t="n">
        <f aca="false">G344+G348</f>
        <v>183.852036802156</v>
      </c>
    </row>
    <row r="356" customFormat="false" ht="17.15" hidden="false" customHeight="false" outlineLevel="0" collapsed="false">
      <c r="A356" s="4" t="s">
        <v>599</v>
      </c>
      <c r="B356" s="0" t="s">
        <v>147</v>
      </c>
      <c r="C356" s="21" t="n">
        <f aca="false">(1-C349)*C348</f>
        <v>30.6708</v>
      </c>
      <c r="D356" s="21" t="n">
        <f aca="false">(1-D349)*D348</f>
        <v>47.1980687541088</v>
      </c>
      <c r="E356" s="21" t="n">
        <f aca="false">(1-E349)*E348</f>
        <v>60.9378222925651</v>
      </c>
      <c r="F356" s="21" t="n">
        <f aca="false">(1-F349)*F348</f>
        <v>66.8357199914888</v>
      </c>
      <c r="G356" s="21" t="n">
        <f aca="false">(1-G349)*G348</f>
        <v>70.7439909094707</v>
      </c>
    </row>
    <row r="357" customFormat="false" ht="15" hidden="false" customHeight="false" outlineLevel="0" collapsed="false">
      <c r="A357" s="4" t="s">
        <v>457</v>
      </c>
      <c r="B357" s="0" t="s">
        <v>147</v>
      </c>
      <c r="C357" s="21" t="n">
        <f aca="false">C355-C356</f>
        <v>27.408</v>
      </c>
      <c r="D357" s="21" t="n">
        <f aca="false">D355-D356</f>
        <v>59.6707048338912</v>
      </c>
      <c r="E357" s="21" t="n">
        <f aca="false">E355-E356</f>
        <v>90.4964776653968</v>
      </c>
      <c r="F357" s="21" t="n">
        <f aca="false">F355-F356</f>
        <v>105.003685618554</v>
      </c>
      <c r="G357" s="21" t="n">
        <f aca="false">G355-G356</f>
        <v>113.108045892685</v>
      </c>
      <c r="H357" s="26" t="n">
        <f aca="false">H330*H362</f>
        <v>117.864187112567</v>
      </c>
      <c r="I357" s="26" t="n">
        <f aca="false">I330*I362</f>
        <v>123.989017987222</v>
      </c>
      <c r="J357" s="26" t="n">
        <f aca="false">J330*J362</f>
        <v>131.661547942604</v>
      </c>
    </row>
    <row r="358" customFormat="false" ht="17.15" hidden="false" customHeight="false" outlineLevel="0" collapsed="false">
      <c r="A358" s="4" t="s">
        <v>600</v>
      </c>
      <c r="B358" s="0" t="s">
        <v>48</v>
      </c>
      <c r="C358" s="20" t="n">
        <f aca="false">C349*C348/C357</f>
        <v>0.746030356100409</v>
      </c>
      <c r="D358" s="20" t="n">
        <f aca="false">D349*D348/D357</f>
        <v>0.478240674537551</v>
      </c>
      <c r="E358" s="20" t="n">
        <f aca="false">E349*E348/E357</f>
        <v>0.407135248301885</v>
      </c>
      <c r="F358" s="20" t="n">
        <f aca="false">F349*F348/F357</f>
        <v>0.384846496539223</v>
      </c>
      <c r="G358" s="20" t="n">
        <f aca="false">G349*G348/G357</f>
        <v>0.378163410712585</v>
      </c>
    </row>
    <row r="359" customFormat="false" ht="17.15" hidden="false" customHeight="false" outlineLevel="0" collapsed="false">
      <c r="A359" s="4" t="s">
        <v>601</v>
      </c>
      <c r="B359" s="4" t="s">
        <v>282</v>
      </c>
      <c r="C359" s="31" t="n">
        <f aca="false">a25_sh</f>
        <v>3.03185840707965</v>
      </c>
      <c r="D359" s="31" t="n">
        <f aca="false">a26_sh</f>
        <v>3.23861720409076</v>
      </c>
      <c r="E359" s="31" t="n">
        <f aca="false">q_sh4*(1+sh_g)</f>
        <v>3.43</v>
      </c>
      <c r="F359" s="31" t="n">
        <f aca="false">E359*(1+sh_g)</f>
        <v>3.43</v>
      </c>
      <c r="G359" s="31" t="n">
        <f aca="false">F359*(1+sh_g)</f>
        <v>3.43</v>
      </c>
      <c r="H359" s="32" t="n">
        <f aca="false">G359*(1+sh_g)</f>
        <v>3.43</v>
      </c>
      <c r="I359" s="32" t="n">
        <f aca="false">H359*(1+sh_g)</f>
        <v>3.43</v>
      </c>
      <c r="J359" s="32" t="n">
        <f aca="false">I359*(1+sh_g)</f>
        <v>3.43</v>
      </c>
      <c r="K359" s="8" t="s">
        <v>602</v>
      </c>
    </row>
    <row r="360" customFormat="false" ht="15" hidden="false" customHeight="false" outlineLevel="0" collapsed="false">
      <c r="A360" s="0" t="s">
        <v>464</v>
      </c>
      <c r="B360" s="0" t="s">
        <v>312</v>
      </c>
      <c r="C360" s="18" t="n">
        <f aca="false">C357/C359</f>
        <v>9.04</v>
      </c>
      <c r="D360" s="18" t="n">
        <f aca="false">D357/D359</f>
        <v>18.4247476850676</v>
      </c>
      <c r="E360" s="18" t="n">
        <f aca="false">E357/E359</f>
        <v>26.3838127304364</v>
      </c>
      <c r="F360" s="18" t="n">
        <f aca="false">F357/F359</f>
        <v>30.6133194223191</v>
      </c>
      <c r="G360" s="18" t="n">
        <f aca="false">G357/G359</f>
        <v>32.9761066742523</v>
      </c>
      <c r="H360" s="29" t="n">
        <f aca="false">H357/H359</f>
        <v>34.3627367675122</v>
      </c>
      <c r="I360" s="29" t="n">
        <f aca="false">I357/I359</f>
        <v>36.1484017455458</v>
      </c>
      <c r="J360" s="29" t="n">
        <f aca="false">J357/J359</f>
        <v>38.3852909453657</v>
      </c>
    </row>
    <row r="361" customFormat="false" ht="17.15" hidden="false" customHeight="false" outlineLevel="0" collapsed="false">
      <c r="A361" s="0" t="s">
        <v>603</v>
      </c>
      <c r="B361" s="0" t="s">
        <v>48</v>
      </c>
      <c r="D361" s="20" t="n">
        <f aca="false">D360/C360-1</f>
        <v>1.03813580587031</v>
      </c>
      <c r="E361" s="20" t="n">
        <f aca="false">E360/D360-1</f>
        <v>0.431976881388681</v>
      </c>
      <c r="F361" s="20" t="n">
        <f aca="false">F360/E360-1</f>
        <v>0.160306879642286</v>
      </c>
      <c r="G361" s="20" t="n">
        <f aca="false">G360/F360-1</f>
        <v>0.0771816743992355</v>
      </c>
      <c r="H361" s="27" t="n">
        <f aca="false">H360/G360-1</f>
        <v>0.0420495392909004</v>
      </c>
      <c r="I361" s="27" t="n">
        <f aca="false">I360/H360-1</f>
        <v>0.0519651560384973</v>
      </c>
      <c r="J361" s="27" t="n">
        <f aca="false">J360/I360-1</f>
        <v>0.0618807220182438</v>
      </c>
    </row>
    <row r="362" customFormat="false" ht="17.15" hidden="false" customHeight="false" outlineLevel="0" collapsed="false">
      <c r="A362" s="4" t="s">
        <v>604</v>
      </c>
      <c r="B362" s="0" t="s">
        <v>48</v>
      </c>
      <c r="C362" s="17" t="n">
        <f aca="false">C357/C330</f>
        <v>0.0125349699042727</v>
      </c>
      <c r="D362" s="17" t="n">
        <f aca="false">D357/D330</f>
        <v>0.0145632363293992</v>
      </c>
      <c r="E362" s="17" t="n">
        <f aca="false">E357/E330</f>
        <v>0.0157514398935698</v>
      </c>
      <c r="F362" s="17" t="n">
        <f aca="false">F357/F330</f>
        <v>0.0170594198130001</v>
      </c>
      <c r="G362" s="17" t="n">
        <f aca="false">G357/G330</f>
        <v>0.0178357415262106</v>
      </c>
      <c r="H362" s="28" t="n">
        <f aca="false">$G362+(fade_mA-$G362)*1/3</f>
        <v>0.0178674995714085</v>
      </c>
      <c r="I362" s="28" t="n">
        <f aca="false">$G362+(fade_mA-$G362)*2/3</f>
        <v>0.0178992576166063</v>
      </c>
      <c r="J362" s="28" t="n">
        <f aca="false">$G362+(fade_mA-$G362)*3/3</f>
        <v>0.0179310156618042</v>
      </c>
    </row>
    <row r="365" customFormat="false" ht="17.15" hidden="false" customHeight="false" outlineLevel="0" collapsed="false">
      <c r="A365" s="1" t="s">
        <v>878</v>
      </c>
    </row>
    <row r="366" customFormat="false" ht="17.15" hidden="false" customHeight="false" outlineLevel="0" collapsed="false">
      <c r="A366" s="5" t="s">
        <v>17</v>
      </c>
      <c r="B366" s="5" t="s">
        <v>18</v>
      </c>
      <c r="C366" s="14" t="s">
        <v>414</v>
      </c>
      <c r="D366" s="14" t="s">
        <v>529</v>
      </c>
      <c r="E366" s="14" t="s">
        <v>530</v>
      </c>
      <c r="F366" s="14" t="s">
        <v>531</v>
      </c>
      <c r="G366" s="14" t="s">
        <v>532</v>
      </c>
      <c r="H366" s="14" t="s">
        <v>533</v>
      </c>
      <c r="I366" s="14" t="s">
        <v>534</v>
      </c>
      <c r="J366" s="14" t="s">
        <v>535</v>
      </c>
      <c r="K366" s="5" t="s">
        <v>496</v>
      </c>
    </row>
    <row r="367" customFormat="false" ht="17.15" hidden="false" customHeight="false" outlineLevel="0" collapsed="false">
      <c r="A367" s="6" t="s">
        <v>550</v>
      </c>
    </row>
    <row r="368" customFormat="false" ht="17.15" hidden="false" customHeight="false" outlineLevel="0" collapsed="false">
      <c r="A368" s="0" t="s">
        <v>551</v>
      </c>
      <c r="B368" s="0" t="s">
        <v>28</v>
      </c>
      <c r="D368" s="21" t="n">
        <f aca="false">itc_26*1</f>
        <v>781.872916666667</v>
      </c>
      <c r="E368" s="21" t="n">
        <f aca="false">itc_27*1*1</f>
        <v>1565.35</v>
      </c>
      <c r="F368" s="21" t="n">
        <f aca="false">itc_28*um28_A*1</f>
        <v>1984.26388888889</v>
      </c>
      <c r="G368" s="21" t="n">
        <f aca="false">itc_29*um29_A*1</f>
        <v>2260.39027777778</v>
      </c>
    </row>
    <row r="369" customFormat="false" ht="17.15" hidden="false" customHeight="false" outlineLevel="0" collapsed="false">
      <c r="A369" s="4" t="s">
        <v>552</v>
      </c>
      <c r="B369" s="0" t="s">
        <v>28</v>
      </c>
      <c r="D369" s="21" t="n">
        <f aca="false">itpg_gb*(1-vr26)+itpg_vr*vr26</f>
        <v>33.41403216</v>
      </c>
      <c r="E369" s="21" t="n">
        <f aca="false">itpg_vr</f>
        <v>37.586352</v>
      </c>
      <c r="F369" s="21" t="n">
        <f aca="false">itpg_vr</f>
        <v>37.586352</v>
      </c>
      <c r="G369" s="21" t="n">
        <f aca="false">itpg_vr</f>
        <v>37.586352</v>
      </c>
    </row>
    <row r="370" customFormat="false" ht="17.15" hidden="false" customHeight="false" outlineLevel="0" collapsed="false">
      <c r="A370" s="4" t="s">
        <v>553</v>
      </c>
      <c r="B370" s="0" t="s">
        <v>498</v>
      </c>
      <c r="D370" s="22" t="n">
        <f aca="false">D368/D369</f>
        <v>23.3995380420639</v>
      </c>
      <c r="E370" s="22" t="n">
        <f aca="false">E368/E369</f>
        <v>41.6467658260637</v>
      </c>
      <c r="F370" s="22" t="n">
        <f aca="false">F368/F369</f>
        <v>52.792138191248</v>
      </c>
      <c r="G370" s="22" t="n">
        <f aca="false">G368/G369</f>
        <v>60.1385917361116</v>
      </c>
    </row>
    <row r="371" customFormat="false" ht="17.15" hidden="false" customHeight="false" outlineLevel="0" collapsed="false">
      <c r="A371" s="4" t="s">
        <v>554</v>
      </c>
      <c r="B371" s="0" t="s">
        <v>555</v>
      </c>
      <c r="D371" s="18" t="n">
        <f aca="false">(racks_gb*odm_gb*(1-vr26)+racks_vr*odm_vr*vr26)/1000</f>
        <v>27.1209</v>
      </c>
      <c r="E371" s="18" t="n">
        <f aca="false">racks_vr*odm_vr/1000</f>
        <v>27.351</v>
      </c>
      <c r="F371" s="18" t="n">
        <f aca="false">$E371*vpg_28</f>
        <v>27.351</v>
      </c>
      <c r="G371" s="18" t="n">
        <f aca="false">$E371*vpg_29</f>
        <v>27.351</v>
      </c>
      <c r="K371" s="4" t="s">
        <v>556</v>
      </c>
    </row>
    <row r="372" customFormat="false" ht="17.15" hidden="false" customHeight="false" outlineLevel="0" collapsed="false">
      <c r="A372" s="0" t="s">
        <v>557</v>
      </c>
      <c r="B372" s="0" t="s">
        <v>28</v>
      </c>
      <c r="D372" s="21" t="n">
        <f aca="false">D370*D371</f>
        <v>634.616531285011</v>
      </c>
      <c r="E372" s="21" t="n">
        <f aca="false">E370*E371</f>
        <v>1139.08069210867</v>
      </c>
      <c r="F372" s="21" t="n">
        <f aca="false">F370*F371</f>
        <v>1443.91777166882</v>
      </c>
      <c r="G372" s="21" t="n">
        <f aca="false">G370*G371</f>
        <v>1644.85062257439</v>
      </c>
    </row>
    <row r="373" customFormat="false" ht="17.15" hidden="false" customHeight="false" outlineLevel="0" collapsed="false">
      <c r="A373" s="0" t="s">
        <v>558</v>
      </c>
      <c r="B373" s="0" t="s">
        <v>147</v>
      </c>
      <c r="D373" s="21" t="n">
        <f aca="false">D372*fx</f>
        <v>20307.7290011204</v>
      </c>
      <c r="E373" s="21" t="n">
        <f aca="false">E372*fx</f>
        <v>36450.5821474774</v>
      </c>
      <c r="F373" s="21" t="n">
        <f aca="false">F372*fx</f>
        <v>46205.3686934024</v>
      </c>
      <c r="G373" s="21" t="n">
        <f aca="false">G372*fx</f>
        <v>52635.2199223804</v>
      </c>
    </row>
    <row r="374" customFormat="false" ht="17.15" hidden="false" customHeight="false" outlineLevel="0" collapsed="false">
      <c r="A374" s="6" t="s">
        <v>559</v>
      </c>
    </row>
    <row r="375" customFormat="false" ht="17.15" hidden="false" customHeight="false" outlineLevel="0" collapsed="false">
      <c r="A375" s="4" t="s">
        <v>560</v>
      </c>
      <c r="B375" s="0" t="s">
        <v>48</v>
      </c>
      <c r="D375" s="20" t="n">
        <f aca="false">a26_ais/D373</f>
        <v>0.0875096501918446</v>
      </c>
      <c r="K375" s="8" t="s">
        <v>561</v>
      </c>
    </row>
    <row r="376" customFormat="false" ht="17.15" hidden="false" customHeight="false" outlineLevel="0" collapsed="false">
      <c r="A376" s="4" t="s">
        <v>562</v>
      </c>
      <c r="B376" s="0" t="s">
        <v>60</v>
      </c>
      <c r="D376" s="18" t="n">
        <f aca="false">1</f>
        <v>1</v>
      </c>
      <c r="E376" s="18" t="n">
        <f aca="false">rel_27</f>
        <v>1</v>
      </c>
      <c r="F376" s="18" t="n">
        <f aca="false">rel_28</f>
        <v>0.95</v>
      </c>
      <c r="G376" s="18" t="n">
        <f aca="false">rel_29</f>
        <v>0.9</v>
      </c>
    </row>
    <row r="377" customFormat="false" ht="17.15" hidden="false" customHeight="false" outlineLevel="0" collapsed="false">
      <c r="A377" s="4" t="s">
        <v>563</v>
      </c>
      <c r="B377" s="0" t="s">
        <v>48</v>
      </c>
      <c r="D377" s="20" t="n">
        <f aca="false">$D$375*D376</f>
        <v>0.0875096501918446</v>
      </c>
      <c r="E377" s="20" t="n">
        <f aca="false">$D$375*E376</f>
        <v>0.0875096501918446</v>
      </c>
      <c r="F377" s="20" t="n">
        <f aca="false">$D$375*F376</f>
        <v>0.0831341676822524</v>
      </c>
      <c r="G377" s="20" t="n">
        <f aca="false">$D$375*G376</f>
        <v>0.0787586851726601</v>
      </c>
    </row>
    <row r="378" customFormat="false" ht="17.15" hidden="false" customHeight="false" outlineLevel="0" collapsed="false">
      <c r="A378" s="4" t="s">
        <v>564</v>
      </c>
      <c r="B378" s="0" t="s">
        <v>147</v>
      </c>
      <c r="D378" s="21" t="n">
        <f aca="false">D373*D377</f>
        <v>1777.12226107882</v>
      </c>
      <c r="E378" s="21" t="n">
        <f aca="false">E373*E377</f>
        <v>3189.77769301484</v>
      </c>
      <c r="F378" s="21" t="n">
        <f aca="false">F373*F377</f>
        <v>3841.24486877761</v>
      </c>
      <c r="G378" s="21" t="n">
        <f aca="false">G373*G377</f>
        <v>4145.48071486049</v>
      </c>
    </row>
    <row r="379" customFormat="false" ht="17.15" hidden="false" customHeight="false" outlineLevel="0" collapsed="false">
      <c r="A379" s="4" t="s">
        <v>565</v>
      </c>
      <c r="B379" s="0" t="s">
        <v>48</v>
      </c>
      <c r="D379" s="20" t="n">
        <f aca="false">0</f>
        <v>0</v>
      </c>
      <c r="E379" s="20" t="n">
        <f aca="false">cs_27</f>
        <v>0.1</v>
      </c>
      <c r="F379" s="20" t="n">
        <f aca="false">cs_28</f>
        <v>0.2</v>
      </c>
      <c r="G379" s="20" t="n">
        <f aca="false">cs_29</f>
        <v>0.25</v>
      </c>
      <c r="K379" s="8" t="s">
        <v>566</v>
      </c>
    </row>
    <row r="380" customFormat="false" ht="17.15" hidden="false" customHeight="false" outlineLevel="0" collapsed="false">
      <c r="A380" s="4" t="s">
        <v>567</v>
      </c>
      <c r="B380" s="0" t="s">
        <v>147</v>
      </c>
      <c r="D380" s="21" t="n">
        <f aca="false">D378*(1-D379)</f>
        <v>1777.12226107882</v>
      </c>
      <c r="E380" s="21" t="n">
        <f aca="false">E378*(1-E379)</f>
        <v>2870.79992371336</v>
      </c>
      <c r="F380" s="21" t="n">
        <f aca="false">F378*(1-F379)</f>
        <v>3072.99589502208</v>
      </c>
      <c r="G380" s="21" t="n">
        <f aca="false">G378*(1-G379)</f>
        <v>3109.11053614536</v>
      </c>
    </row>
    <row r="381" customFormat="false" ht="17.15" hidden="false" customHeight="false" outlineLevel="0" collapsed="false">
      <c r="A381" s="6" t="s">
        <v>568</v>
      </c>
    </row>
    <row r="382" customFormat="false" ht="17.15" hidden="false" customHeight="false" outlineLevel="0" collapsed="false">
      <c r="A382" s="0" t="s">
        <v>569</v>
      </c>
      <c r="B382" s="4" t="s">
        <v>81</v>
      </c>
      <c r="D382" s="18" t="n">
        <f aca="false">gu_26*1</f>
        <v>8.35</v>
      </c>
      <c r="E382" s="18" t="n">
        <f aca="false">gu_27*1*1</f>
        <v>11.2</v>
      </c>
      <c r="F382" s="18" t="n">
        <f aca="false">gu_28*um28_A*1</f>
        <v>11.5</v>
      </c>
      <c r="G382" s="18" t="n">
        <f aca="false">gu_29*um29_A*1</f>
        <v>12.9</v>
      </c>
    </row>
    <row r="383" customFormat="false" ht="15" hidden="false" customHeight="false" outlineLevel="0" collapsed="false">
      <c r="A383" s="4" t="s">
        <v>570</v>
      </c>
      <c r="B383" s="0" t="s">
        <v>48</v>
      </c>
      <c r="D383" s="20" t="n">
        <f aca="false">bsh_26</f>
        <v>0.5</v>
      </c>
      <c r="E383" s="20" t="n">
        <f aca="false">bsh_26*brel_27</f>
        <v>0.5</v>
      </c>
      <c r="F383" s="20" t="n">
        <f aca="false">bsh_26*brel_28</f>
        <v>0.475</v>
      </c>
      <c r="G383" s="20" t="n">
        <f aca="false">bsh_26*brel_29</f>
        <v>0.45</v>
      </c>
    </row>
    <row r="384" customFormat="false" ht="17.15" hidden="false" customHeight="false" outlineLevel="0" collapsed="false">
      <c r="A384" s="4" t="s">
        <v>571</v>
      </c>
      <c r="B384" s="0" t="s">
        <v>520</v>
      </c>
      <c r="D384" s="24" t="n">
        <f aca="false">a26_brd/fx/D382/D383*1000</f>
        <v>823.353293413174</v>
      </c>
      <c r="E384" s="24" t="n">
        <f aca="false">$D384*bv_27</f>
        <v>946.85628742515</v>
      </c>
      <c r="F384" s="24" t="n">
        <f aca="false">$D384*bv_28</f>
        <v>988.023952095808</v>
      </c>
      <c r="G384" s="24" t="n">
        <f aca="false">$D384*bv_29</f>
        <v>988.023952095808</v>
      </c>
      <c r="K384" s="8" t="s">
        <v>572</v>
      </c>
    </row>
    <row r="385" customFormat="false" ht="17.15" hidden="false" customHeight="false" outlineLevel="0" collapsed="false">
      <c r="A385" s="0" t="s">
        <v>522</v>
      </c>
      <c r="B385" s="0" t="s">
        <v>147</v>
      </c>
      <c r="D385" s="21" t="n">
        <f aca="false">D382*D383*D384*fx/1000</f>
        <v>110</v>
      </c>
      <c r="E385" s="21" t="n">
        <f aca="false">E382*E383*E384*fx/1000</f>
        <v>169.676646706587</v>
      </c>
      <c r="F385" s="21" t="n">
        <f aca="false">F382*F383*F384*fx/1000</f>
        <v>172.706586826347</v>
      </c>
      <c r="G385" s="21" t="n">
        <f aca="false">G382*G383*G384*fx/1000</f>
        <v>183.535329341317</v>
      </c>
    </row>
    <row r="386" customFormat="false" ht="17.15" hidden="false" customHeight="false" outlineLevel="0" collapsed="false">
      <c r="A386" s="6" t="s">
        <v>573</v>
      </c>
    </row>
    <row r="387" customFormat="false" ht="15" hidden="false" customHeight="false" outlineLevel="0" collapsed="false">
      <c r="A387" s="4" t="s">
        <v>574</v>
      </c>
      <c r="B387" s="0" t="s">
        <v>147</v>
      </c>
      <c r="D387" s="21" t="n">
        <f aca="false">a26_gen</f>
        <v>150</v>
      </c>
      <c r="E387" s="21" t="n">
        <f aca="false">D387*(1+g_gen27)</f>
        <v>180</v>
      </c>
      <c r="F387" s="21" t="n">
        <f aca="false">E387*(1+g_gen28)</f>
        <v>198</v>
      </c>
      <c r="G387" s="21" t="n">
        <f aca="false">F387*(1+g_gen29)</f>
        <v>213.84</v>
      </c>
    </row>
    <row r="388" customFormat="false" ht="15" hidden="false" customHeight="false" outlineLevel="0" collapsed="false">
      <c r="A388" s="4" t="s">
        <v>575</v>
      </c>
      <c r="B388" s="0" t="s">
        <v>147</v>
      </c>
      <c r="D388" s="21" t="n">
        <f aca="false">a26_pc</f>
        <v>614.602793131557</v>
      </c>
      <c r="E388" s="21" t="n">
        <f aca="false">D388*(1+g_pc27)</f>
        <v>596.16470933761</v>
      </c>
      <c r="F388" s="21" t="n">
        <f aca="false">E388*(1+g_pc28)</f>
        <v>596.16470933761</v>
      </c>
      <c r="G388" s="21" t="n">
        <f aca="false">F388*(1+g_pc29)</f>
        <v>596.16470933761</v>
      </c>
    </row>
    <row r="389" customFormat="false" ht="15" hidden="false" customHeight="false" outlineLevel="0" collapsed="false">
      <c r="A389" s="4" t="s">
        <v>576</v>
      </c>
      <c r="B389" s="0" t="s">
        <v>147</v>
      </c>
      <c r="C389" s="21" t="n">
        <f aca="false">a25_srev</f>
        <v>1235.86</v>
      </c>
      <c r="D389" s="21" t="n">
        <f aca="false">D380+D385+D387+D388</f>
        <v>2651.72505421038</v>
      </c>
      <c r="E389" s="21" t="n">
        <f aca="false">E380+E385+E387+E388</f>
        <v>3816.64127975755</v>
      </c>
      <c r="F389" s="21" t="n">
        <f aca="false">F380+F385+F387+F388</f>
        <v>4039.86719118604</v>
      </c>
      <c r="G389" s="21" t="n">
        <f aca="false">G380+G385+G387+G388</f>
        <v>4102.65057482429</v>
      </c>
    </row>
    <row r="390" customFormat="false" ht="17.15" hidden="false" customHeight="false" outlineLevel="0" collapsed="false">
      <c r="A390" s="4" t="s">
        <v>577</v>
      </c>
      <c r="B390" s="0" t="s">
        <v>48</v>
      </c>
      <c r="D390" s="20" t="n">
        <f aca="false">a26_wai/D373</f>
        <v>0.0391523244650416</v>
      </c>
      <c r="K390" s="8" t="s">
        <v>578</v>
      </c>
    </row>
    <row r="391" customFormat="false" ht="17.15" hidden="false" customHeight="false" outlineLevel="0" collapsed="false">
      <c r="A391" s="4" t="s">
        <v>504</v>
      </c>
      <c r="B391" s="0" t="s">
        <v>48</v>
      </c>
      <c r="D391" s="20" t="n">
        <f aca="false">D390</f>
        <v>0.0391523244650416</v>
      </c>
      <c r="E391" s="20" t="n">
        <f aca="false">$D$390*wrel_27_hi</f>
        <v>0.04698278935805</v>
      </c>
      <c r="F391" s="20" t="n">
        <f aca="false">$D$390*wrel_28_hi</f>
        <v>0.04698278935805</v>
      </c>
      <c r="G391" s="20" t="n">
        <f aca="false">$D$390*wrel_29_hi</f>
        <v>0.04698278935805</v>
      </c>
    </row>
    <row r="392" customFormat="false" ht="17.15" hidden="false" customHeight="false" outlineLevel="0" collapsed="false">
      <c r="A392" s="4" t="s">
        <v>524</v>
      </c>
      <c r="B392" s="0" t="s">
        <v>147</v>
      </c>
      <c r="D392" s="21" t="n">
        <f aca="false">D373*D391</f>
        <v>795.094795</v>
      </c>
      <c r="E392" s="21" t="n">
        <f aca="false">E373*E391</f>
        <v>1712.55002301322</v>
      </c>
      <c r="F392" s="21" t="n">
        <f aca="false">F373*F391</f>
        <v>2170.85710453316</v>
      </c>
      <c r="G392" s="21" t="n">
        <f aca="false">G373*G391</f>
        <v>2472.94945042783</v>
      </c>
    </row>
    <row r="393" customFormat="false" ht="17.15" hidden="false" customHeight="false" outlineLevel="0" collapsed="false">
      <c r="A393" s="4" t="s">
        <v>579</v>
      </c>
      <c r="B393" s="0" t="s">
        <v>147</v>
      </c>
      <c r="D393" s="21" t="n">
        <f aca="false">a26_wna</f>
        <v>650.532105</v>
      </c>
      <c r="E393" s="21" t="n">
        <f aca="false">D393*(1+g_wn27)</f>
        <v>715.5853155</v>
      </c>
      <c r="F393" s="21" t="n">
        <f aca="false">E393*(1+g_wn28)</f>
        <v>758.52043443</v>
      </c>
      <c r="G393" s="21" t="n">
        <f aca="false">F393*(1+g_wn29)</f>
        <v>796.4464561515</v>
      </c>
    </row>
    <row r="394" customFormat="false" ht="15" hidden="false" customHeight="false" outlineLevel="0" collapsed="false">
      <c r="A394" s="4" t="s">
        <v>434</v>
      </c>
      <c r="B394" s="0" t="s">
        <v>147</v>
      </c>
      <c r="C394" s="21" t="n">
        <f aca="false">a25_wrev</f>
        <v>950.663</v>
      </c>
      <c r="D394" s="21" t="n">
        <f aca="false">D392+D393</f>
        <v>1445.6269</v>
      </c>
      <c r="E394" s="21" t="n">
        <f aca="false">E392+E393</f>
        <v>2428.13533851322</v>
      </c>
      <c r="F394" s="21" t="n">
        <f aca="false">F392+F393</f>
        <v>2929.37753896316</v>
      </c>
      <c r="G394" s="21" t="n">
        <f aca="false">G392+G393</f>
        <v>3269.39590657933</v>
      </c>
    </row>
    <row r="395" customFormat="false" ht="17.15" hidden="false" customHeight="false" outlineLevel="0" collapsed="false">
      <c r="A395" s="4" t="s">
        <v>420</v>
      </c>
      <c r="B395" s="0" t="s">
        <v>147</v>
      </c>
      <c r="C395" s="21" t="n">
        <f aca="false">C389+C394</f>
        <v>2186.523</v>
      </c>
      <c r="D395" s="21" t="n">
        <f aca="false">D389+D394</f>
        <v>4097.35195421038</v>
      </c>
      <c r="E395" s="21" t="n">
        <f aca="false">E389+E394</f>
        <v>6244.77661827078</v>
      </c>
      <c r="F395" s="21" t="n">
        <f aca="false">F389+F394</f>
        <v>6969.2447301492</v>
      </c>
      <c r="G395" s="21" t="n">
        <f aca="false">G389+G394</f>
        <v>7372.04648140362</v>
      </c>
      <c r="H395" s="26" t="n">
        <f aca="false">G395*(1+H396)</f>
        <v>7803.54241249571</v>
      </c>
      <c r="I395" s="26" t="n">
        <f aca="false">H395*(1+I396)</f>
        <v>8266.0246729758</v>
      </c>
      <c r="J395" s="26" t="n">
        <f aca="false">I395*(1+J396)</f>
        <v>8761.98615335435</v>
      </c>
      <c r="K395" s="8" t="s">
        <v>580</v>
      </c>
    </row>
    <row r="396" customFormat="false" ht="15" hidden="false" customHeight="false" outlineLevel="0" collapsed="false">
      <c r="A396" s="4" t="s">
        <v>581</v>
      </c>
      <c r="B396" s="0" t="s">
        <v>48</v>
      </c>
      <c r="D396" s="20" t="n">
        <f aca="false">D395/C395-1</f>
        <v>0.873912121761526</v>
      </c>
      <c r="E396" s="20" t="n">
        <f aca="false">E395/D395-1</f>
        <v>0.524100611335997</v>
      </c>
      <c r="F396" s="20" t="n">
        <f aca="false">F395/E395-1</f>
        <v>0.116011853772126</v>
      </c>
      <c r="G396" s="20" t="n">
        <f aca="false">G395/F395-1</f>
        <v>0.0577970449956919</v>
      </c>
      <c r="H396" s="27" t="n">
        <f aca="false">$G396+(fade_gA-$G396)*1/3</f>
        <v>0.0585313633304613</v>
      </c>
      <c r="I396" s="27" t="n">
        <f aca="false">$G396+(fade_gA-$G396)*2/3</f>
        <v>0.0592656816652306</v>
      </c>
      <c r="J396" s="27" t="n">
        <f aca="false">$G396+(fade_gA-$G396)*3/3</f>
        <v>0.06</v>
      </c>
    </row>
    <row r="397" customFormat="false" ht="17.15" hidden="false" customHeight="false" outlineLevel="0" collapsed="false">
      <c r="A397" s="0" t="s">
        <v>582</v>
      </c>
      <c r="B397" s="0" t="s">
        <v>48</v>
      </c>
      <c r="D397" s="20" t="n">
        <f aca="false">(D380+D385+D392)/D395</f>
        <v>0.6546220793463</v>
      </c>
      <c r="E397" s="20" t="n">
        <f aca="false">(E380+E385+E392)/E395</f>
        <v>0.761120354493851</v>
      </c>
      <c r="F397" s="20" t="n">
        <f aca="false">(F380+F385+F392)/F395</f>
        <v>0.777208979754917</v>
      </c>
      <c r="G397" s="20" t="n">
        <f aca="false">(G380+G385+G392)/G395</f>
        <v>0.782088844726974</v>
      </c>
    </row>
    <row r="398" customFormat="false" ht="17.15" hidden="false" customHeight="false" outlineLevel="0" collapsed="false">
      <c r="A398" s="4" t="s">
        <v>583</v>
      </c>
      <c r="B398" s="0" t="s">
        <v>48</v>
      </c>
      <c r="C398" s="20" t="n">
        <f aca="false">C394/C395</f>
        <v>0.434782986504144</v>
      </c>
      <c r="D398" s="20" t="n">
        <f aca="false">D394/D395</f>
        <v>0.352819800728736</v>
      </c>
      <c r="E398" s="20" t="n">
        <f aca="false">E394/E395</f>
        <v>0.388826612533915</v>
      </c>
      <c r="F398" s="20" t="n">
        <f aca="false">F394/F395</f>
        <v>0.420329268434292</v>
      </c>
      <c r="G398" s="20" t="n">
        <f aca="false">G394/G395</f>
        <v>0.443485525332288</v>
      </c>
    </row>
    <row r="399" customFormat="false" ht="17.15" hidden="false" customHeight="false" outlineLevel="0" collapsed="false">
      <c r="A399" s="4" t="s">
        <v>584</v>
      </c>
      <c r="B399" s="4" t="s">
        <v>331</v>
      </c>
      <c r="D399" s="21" t="n">
        <f aca="false">D378/fx/(odm_gb*(1-vr26)+odm_vr*vr26)</f>
        <v>12.0597330420658</v>
      </c>
      <c r="E399" s="21" t="n">
        <f aca="false">E378/fx/odm_vr</f>
        <v>14.7674893195131</v>
      </c>
      <c r="F399" s="21" t="n">
        <f aca="false">F378/fx/odm_vr</f>
        <v>17.7835410591556</v>
      </c>
      <c r="G399" s="21" t="n">
        <f aca="false">G378/fx/odm_vr</f>
        <v>19.1920403465763</v>
      </c>
      <c r="K399" s="4" t="s">
        <v>585</v>
      </c>
    </row>
    <row r="400" customFormat="false" ht="17.15" hidden="false" customHeight="false" outlineLevel="0" collapsed="false">
      <c r="A400" s="6" t="s">
        <v>586</v>
      </c>
    </row>
    <row r="401" customFormat="false" ht="17.15" hidden="false" customHeight="false" outlineLevel="0" collapsed="false">
      <c r="A401" s="4" t="s">
        <v>587</v>
      </c>
      <c r="B401" s="0" t="s">
        <v>48</v>
      </c>
      <c r="D401" s="17" t="n">
        <f aca="false">(a26_sgp-d_ai*D380-d_brd*D385-d_gen*D387)/D389</f>
        <v>0.0436423860147897</v>
      </c>
      <c r="K401" s="8" t="s">
        <v>588</v>
      </c>
    </row>
    <row r="402" customFormat="false" ht="17.15" hidden="false" customHeight="false" outlineLevel="0" collapsed="false">
      <c r="A402" s="4" t="s">
        <v>589</v>
      </c>
      <c r="B402" s="0" t="s">
        <v>147</v>
      </c>
      <c r="D402" s="25" t="n">
        <f aca="false">($D$401+d_ai)*D378*(1-D379*(1-keep))</f>
        <v>59.7866331026896</v>
      </c>
      <c r="E402" s="25" t="n">
        <f aca="false">($D$401+d_ai+vrd)*E378*(1-E379*(1-keep))</f>
        <v>99.9228552931035</v>
      </c>
      <c r="F402" s="25" t="n">
        <f aca="false">($D$401+d_ai+vrd)*F378*(1-F379*(1-keep))</f>
        <v>119.115229856887</v>
      </c>
      <c r="G402" s="25" t="n">
        <f aca="false">($D$401+d_ai+vrd)*G378*(1-G379*(1-keep))</f>
        <v>127.89357847157</v>
      </c>
    </row>
    <row r="403" customFormat="false" ht="15" hidden="false" customHeight="false" outlineLevel="0" collapsed="false">
      <c r="A403" s="4" t="s">
        <v>590</v>
      </c>
      <c r="B403" s="0" t="s">
        <v>147</v>
      </c>
      <c r="C403" s="21" t="n">
        <f aca="false">a25_sgp</f>
        <v>55.529</v>
      </c>
      <c r="D403" s="21" t="n">
        <f aca="false">a26_sgp</f>
        <v>103.50638581015</v>
      </c>
      <c r="E403" s="21" t="n">
        <f aca="false">$D$401*E388+($D$401+d_brd)*E385+($D$401+d_gen)*E387+E402</f>
        <v>148.991928263534</v>
      </c>
      <c r="F403" s="21" t="n">
        <f aca="false">$D$401*F388+($D$401+d_brd)*F385+($D$401+d_gen)*F387+F402</f>
        <v>169.462997795485</v>
      </c>
      <c r="G403" s="21" t="n">
        <f aca="false">$D$401*G388+($D$401+d_brd)*G385+($D$401+d_gen)*G387+G402</f>
        <v>179.967696240984</v>
      </c>
    </row>
    <row r="404" customFormat="false" ht="15" hidden="false" customHeight="false" outlineLevel="0" collapsed="false">
      <c r="A404" s="4" t="s">
        <v>591</v>
      </c>
      <c r="B404" s="0" t="s">
        <v>48</v>
      </c>
      <c r="C404" s="17" t="n">
        <f aca="false">C403/C389</f>
        <v>0.0449314647290146</v>
      </c>
      <c r="D404" s="17" t="n">
        <f aca="false">D403/D389</f>
        <v>0.0390336040479778</v>
      </c>
      <c r="E404" s="17" t="n">
        <f aca="false">E403/E389</f>
        <v>0.0390374461057547</v>
      </c>
      <c r="F404" s="17" t="n">
        <f aca="false">F403/F389</f>
        <v>0.0419476655483156</v>
      </c>
      <c r="G404" s="17" t="n">
        <f aca="false">G403/G389</f>
        <v>0.0438662013639053</v>
      </c>
    </row>
    <row r="405" customFormat="false" ht="15" hidden="false" customHeight="false" outlineLevel="0" collapsed="false">
      <c r="A405" s="4" t="s">
        <v>592</v>
      </c>
      <c r="B405" s="0" t="s">
        <v>48</v>
      </c>
      <c r="E405" s="20" t="n">
        <f aca="false">MAX(0,phi*(E389/D389-1))</f>
        <v>0.13179151703879</v>
      </c>
      <c r="F405" s="20" t="n">
        <f aca="false">MAX(0,phi*(F389/E389-1))</f>
        <v>0.0175462582202121</v>
      </c>
      <c r="G405" s="20" t="n">
        <f aca="false">MAX(0,phi*(G389/F389-1))</f>
        <v>0.00466228571388885</v>
      </c>
    </row>
    <row r="406" customFormat="false" ht="15" hidden="false" customHeight="false" outlineLevel="0" collapsed="false">
      <c r="A406" s="4" t="s">
        <v>593</v>
      </c>
      <c r="B406" s="0" t="s">
        <v>147</v>
      </c>
      <c r="C406" s="21" t="n">
        <f aca="false">a25_sopx</f>
        <v>40.894</v>
      </c>
      <c r="D406" s="21" t="n">
        <f aca="false">a26_sopx</f>
        <v>46.9914095398923</v>
      </c>
      <c r="E406" s="21" t="n">
        <f aca="false">D406*(1+E405)+0*E389</f>
        <v>53.1844786909457</v>
      </c>
      <c r="F406" s="21" t="n">
        <f aca="false">E406*(1+F405)+0*F389</f>
        <v>54.1176672873644</v>
      </c>
      <c r="G406" s="21" t="n">
        <f aca="false">F406*(1+G405)+0*G389</f>
        <v>54.3699793144273</v>
      </c>
    </row>
    <row r="407" customFormat="false" ht="15" hidden="false" customHeight="false" outlineLevel="0" collapsed="false">
      <c r="A407" s="4" t="s">
        <v>594</v>
      </c>
      <c r="B407" s="0" t="s">
        <v>147</v>
      </c>
      <c r="C407" s="21" t="n">
        <f aca="false">C403-C406</f>
        <v>14.635</v>
      </c>
      <c r="D407" s="21" t="n">
        <f aca="false">D403-D406</f>
        <v>56.514976270258</v>
      </c>
      <c r="E407" s="21" t="n">
        <f aca="false">E403-E406</f>
        <v>95.8074495725884</v>
      </c>
      <c r="F407" s="21" t="n">
        <f aca="false">F403-F406</f>
        <v>115.345330508121</v>
      </c>
      <c r="G407" s="21" t="n">
        <f aca="false">G403-G406</f>
        <v>125.597716926557</v>
      </c>
    </row>
    <row r="408" customFormat="false" ht="15" hidden="false" customHeight="false" outlineLevel="0" collapsed="false">
      <c r="A408" s="4" t="s">
        <v>595</v>
      </c>
      <c r="B408" s="0" t="s">
        <v>48</v>
      </c>
      <c r="C408" s="17" t="n">
        <f aca="false">C407/C389</f>
        <v>0.011841956208632</v>
      </c>
      <c r="D408" s="17" t="n">
        <f aca="false">D407/D389</f>
        <v>0.0213125324514788</v>
      </c>
      <c r="E408" s="17" t="n">
        <f aca="false">E407/E389</f>
        <v>0.0251025555062577</v>
      </c>
      <c r="F408" s="17" t="n">
        <f aca="false">F407/F389</f>
        <v>0.0285517629786878</v>
      </c>
      <c r="G408" s="17" t="n">
        <f aca="false">G407/G389</f>
        <v>0.0306137982350437</v>
      </c>
    </row>
    <row r="409" customFormat="false" ht="15" hidden="false" customHeight="false" outlineLevel="0" collapsed="false">
      <c r="A409" s="4" t="s">
        <v>596</v>
      </c>
      <c r="B409" s="0" t="s">
        <v>147</v>
      </c>
      <c r="C409" s="21" t="n">
        <f aca="false">a25_sni</f>
        <v>6.9608</v>
      </c>
      <c r="D409" s="21" t="n">
        <f aca="false">a26_sni</f>
        <v>31.133746704</v>
      </c>
      <c r="E409" s="21" t="n">
        <f aca="false">E407*snio</f>
        <v>53.6521717606495</v>
      </c>
      <c r="F409" s="21" t="n">
        <f aca="false">F407*snio</f>
        <v>64.5933850845477</v>
      </c>
      <c r="G409" s="21" t="n">
        <f aca="false">G407*snio</f>
        <v>70.3347214788719</v>
      </c>
    </row>
    <row r="410" customFormat="false" ht="17.15" hidden="false" customHeight="false" outlineLevel="0" collapsed="false">
      <c r="A410" s="6" t="s">
        <v>597</v>
      </c>
    </row>
    <row r="411" customFormat="false" ht="15" hidden="false" customHeight="false" outlineLevel="0" collapsed="false">
      <c r="A411" s="4" t="s">
        <v>438</v>
      </c>
      <c r="B411" s="0" t="s">
        <v>147</v>
      </c>
      <c r="C411" s="21" t="n">
        <f aca="false">a25_wgp</f>
        <v>78.454</v>
      </c>
      <c r="D411" s="21" t="n">
        <f aca="false">a26_wgp</f>
        <v>125.0519932</v>
      </c>
      <c r="E411" s="21" t="n">
        <f aca="false">E394*wgm</f>
        <v>206.391503773624</v>
      </c>
      <c r="F411" s="21" t="n">
        <f aca="false">F394*wgm</f>
        <v>248.997090811869</v>
      </c>
      <c r="G411" s="21" t="n">
        <f aca="false">G394*wgm</f>
        <v>277.898652059243</v>
      </c>
    </row>
    <row r="412" customFormat="false" ht="15" hidden="false" customHeight="false" outlineLevel="0" collapsed="false">
      <c r="A412" s="4" t="s">
        <v>440</v>
      </c>
      <c r="B412" s="0" t="s">
        <v>147</v>
      </c>
      <c r="C412" s="21" t="n">
        <f aca="false">a25_woi</f>
        <v>63.918</v>
      </c>
      <c r="D412" s="21" t="n">
        <f aca="false">a26_woi</f>
        <v>98.2471632</v>
      </c>
      <c r="E412" s="21" t="n">
        <f aca="false">E394*wopm</f>
        <v>157.82879700336</v>
      </c>
      <c r="F412" s="21" t="n">
        <f aca="false">F394*wopm</f>
        <v>190.409540032605</v>
      </c>
      <c r="G412" s="21" t="n">
        <f aca="false">G394*wopm</f>
        <v>212.510733927657</v>
      </c>
    </row>
    <row r="413" customFormat="false" ht="15" hidden="false" customHeight="false" outlineLevel="0" collapsed="false">
      <c r="A413" s="4" t="s">
        <v>448</v>
      </c>
      <c r="B413" s="0" t="s">
        <v>147</v>
      </c>
      <c r="C413" s="21" t="n">
        <f aca="false">a25_wni</f>
        <v>51.118</v>
      </c>
      <c r="D413" s="21" t="n">
        <f aca="false">a26_wni</f>
        <v>75.735026884</v>
      </c>
      <c r="E413" s="21" t="n">
        <f aca="false">E412*wnio</f>
        <v>123.106461662621</v>
      </c>
      <c r="F413" s="21" t="n">
        <f aca="false">F412*wnio</f>
        <v>148.519441225432</v>
      </c>
      <c r="G413" s="21" t="n">
        <f aca="false">G412*wnio</f>
        <v>165.758372463572</v>
      </c>
    </row>
    <row r="414" customFormat="false" ht="15" hidden="false" customHeight="false" outlineLevel="0" collapsed="false">
      <c r="A414" s="4" t="s">
        <v>450</v>
      </c>
      <c r="B414" s="0" t="s">
        <v>48</v>
      </c>
      <c r="C414" s="17" t="n">
        <f aca="false">stake25</f>
        <v>0.4</v>
      </c>
      <c r="D414" s="17" t="n">
        <f aca="false">stake</f>
        <v>0.3768</v>
      </c>
      <c r="E414" s="17" t="n">
        <f aca="false">stake</f>
        <v>0.3768</v>
      </c>
      <c r="F414" s="17" t="n">
        <f aca="false">stake</f>
        <v>0.3768</v>
      </c>
      <c r="G414" s="17" t="n">
        <f aca="false">stake</f>
        <v>0.3768</v>
      </c>
    </row>
    <row r="415" customFormat="false" ht="17.15" hidden="false" customHeight="false" outlineLevel="0" collapsed="false">
      <c r="A415" s="6" t="s">
        <v>598</v>
      </c>
    </row>
    <row r="416" customFormat="false" ht="15" hidden="false" customHeight="false" outlineLevel="0" collapsed="false">
      <c r="A416" s="4" t="s">
        <v>424</v>
      </c>
      <c r="B416" s="0" t="s">
        <v>147</v>
      </c>
      <c r="C416" s="21" t="n">
        <f aca="false">C403+C411</f>
        <v>133.983</v>
      </c>
      <c r="D416" s="21" t="n">
        <f aca="false">D403+D411</f>
        <v>228.55837901015</v>
      </c>
      <c r="E416" s="21" t="n">
        <f aca="false">E403+E411</f>
        <v>355.383432037158</v>
      </c>
      <c r="F416" s="21" t="n">
        <f aca="false">F403+F411</f>
        <v>418.460088607354</v>
      </c>
      <c r="G416" s="21" t="n">
        <f aca="false">G403+G411</f>
        <v>457.866348300227</v>
      </c>
    </row>
    <row r="417" customFormat="false" ht="15" hidden="false" customHeight="false" outlineLevel="0" collapsed="false">
      <c r="A417" s="4" t="s">
        <v>427</v>
      </c>
      <c r="B417" s="0" t="s">
        <v>48</v>
      </c>
      <c r="C417" s="17" t="n">
        <f aca="false">C416/C395</f>
        <v>0.0612767393711386</v>
      </c>
      <c r="D417" s="17" t="n">
        <f aca="false">D416/D395</f>
        <v>0.055781973714825</v>
      </c>
      <c r="E417" s="17" t="n">
        <f aca="false">E416/E395</f>
        <v>0.0569089102398616</v>
      </c>
      <c r="F417" s="17" t="n">
        <f aca="false">F416/F395</f>
        <v>0.0600438217927806</v>
      </c>
      <c r="G417" s="17" t="n">
        <f aca="false">G416/G395</f>
        <v>0.0621084456609463</v>
      </c>
    </row>
    <row r="418" customFormat="false" ht="15" hidden="false" customHeight="false" outlineLevel="0" collapsed="false">
      <c r="A418" s="4" t="s">
        <v>428</v>
      </c>
      <c r="B418" s="0" t="s">
        <v>147</v>
      </c>
      <c r="C418" s="21" t="n">
        <f aca="false">C407+C412</f>
        <v>78.553</v>
      </c>
      <c r="D418" s="21" t="n">
        <f aca="false">D407+D412</f>
        <v>154.762139470258</v>
      </c>
      <c r="E418" s="21" t="n">
        <f aca="false">E407+E412</f>
        <v>253.636246575948</v>
      </c>
      <c r="F418" s="21" t="n">
        <f aca="false">F407+F412</f>
        <v>305.754870540726</v>
      </c>
      <c r="G418" s="21" t="n">
        <f aca="false">G407+G412</f>
        <v>338.108450854214</v>
      </c>
    </row>
    <row r="419" customFormat="false" ht="15" hidden="false" customHeight="false" outlineLevel="0" collapsed="false">
      <c r="A419" s="4" t="s">
        <v>431</v>
      </c>
      <c r="B419" s="0" t="s">
        <v>48</v>
      </c>
      <c r="C419" s="17" t="n">
        <f aca="false">C418/C395</f>
        <v>0.0359259884300325</v>
      </c>
      <c r="D419" s="17" t="n">
        <f aca="false">D418/D395</f>
        <v>0.0377712584126992</v>
      </c>
      <c r="E419" s="17" t="n">
        <f aca="false">E418/E395</f>
        <v>0.0406157436975194</v>
      </c>
      <c r="F419" s="17" t="n">
        <f aca="false">F418/F395</f>
        <v>0.0438720237815756</v>
      </c>
      <c r="G419" s="17" t="n">
        <f aca="false">G418/G395</f>
        <v>0.0458635809889574</v>
      </c>
    </row>
    <row r="420" customFormat="false" ht="15" hidden="false" customHeight="false" outlineLevel="0" collapsed="false">
      <c r="A420" s="4" t="s">
        <v>461</v>
      </c>
      <c r="B420" s="0" t="s">
        <v>147</v>
      </c>
      <c r="C420" s="21" t="n">
        <f aca="false">C409+C413</f>
        <v>58.0788</v>
      </c>
      <c r="D420" s="21" t="n">
        <f aca="false">D409+D413</f>
        <v>106.868773588</v>
      </c>
      <c r="E420" s="21" t="n">
        <f aca="false">E409+E413</f>
        <v>176.75863342327</v>
      </c>
      <c r="F420" s="21" t="n">
        <f aca="false">F409+F413</f>
        <v>213.11282630998</v>
      </c>
      <c r="G420" s="21" t="n">
        <f aca="false">G409+G413</f>
        <v>236.093093942444</v>
      </c>
    </row>
    <row r="421" customFormat="false" ht="17.15" hidden="false" customHeight="false" outlineLevel="0" collapsed="false">
      <c r="A421" s="4" t="s">
        <v>599</v>
      </c>
      <c r="B421" s="0" t="s">
        <v>147</v>
      </c>
      <c r="C421" s="21" t="n">
        <f aca="false">(1-C414)*C413</f>
        <v>30.6708</v>
      </c>
      <c r="D421" s="21" t="n">
        <f aca="false">(1-D414)*D413</f>
        <v>47.1980687541088</v>
      </c>
      <c r="E421" s="21" t="n">
        <f aca="false">(1-E414)*E413</f>
        <v>76.7199469081451</v>
      </c>
      <c r="F421" s="21" t="n">
        <f aca="false">(1-F414)*F413</f>
        <v>92.5573157716893</v>
      </c>
      <c r="G421" s="21" t="n">
        <f aca="false">(1-G414)*G413</f>
        <v>103.300617719298</v>
      </c>
    </row>
    <row r="422" customFormat="false" ht="15" hidden="false" customHeight="false" outlineLevel="0" collapsed="false">
      <c r="A422" s="4" t="s">
        <v>457</v>
      </c>
      <c r="B422" s="0" t="s">
        <v>147</v>
      </c>
      <c r="C422" s="21" t="n">
        <f aca="false">C420-C421</f>
        <v>27.408</v>
      </c>
      <c r="D422" s="21" t="n">
        <f aca="false">D420-D421</f>
        <v>59.6707048338912</v>
      </c>
      <c r="E422" s="21" t="n">
        <f aca="false">E420-E421</f>
        <v>100.038686515125</v>
      </c>
      <c r="F422" s="21" t="n">
        <f aca="false">F420-F421</f>
        <v>120.555510538291</v>
      </c>
      <c r="G422" s="21" t="n">
        <f aca="false">G420-G421</f>
        <v>132.792476223146</v>
      </c>
      <c r="H422" s="26" t="n">
        <f aca="false">H395*H427</f>
        <v>140.351814336348</v>
      </c>
      <c r="I422" s="26" t="n">
        <f aca="false">I395*I427</f>
        <v>148.444039078966</v>
      </c>
      <c r="J422" s="26" t="n">
        <f aca="false">J395*J427</f>
        <v>157.111310944309</v>
      </c>
    </row>
    <row r="423" customFormat="false" ht="17.15" hidden="false" customHeight="false" outlineLevel="0" collapsed="false">
      <c r="A423" s="4" t="s">
        <v>600</v>
      </c>
      <c r="B423" s="0" t="s">
        <v>48</v>
      </c>
      <c r="C423" s="20" t="n">
        <f aca="false">C414*C413/C422</f>
        <v>0.746030356100409</v>
      </c>
      <c r="D423" s="20" t="n">
        <f aca="false">D414*D413/D422</f>
        <v>0.478240674537551</v>
      </c>
      <c r="E423" s="20" t="n">
        <f aca="false">E414*E413/E422</f>
        <v>0.463685763681655</v>
      </c>
      <c r="F423" s="20" t="n">
        <f aca="false">F414*F413/F422</f>
        <v>0.464202135629199</v>
      </c>
      <c r="G423" s="20" t="n">
        <f aca="false">G414*G413/G422</f>
        <v>0.470341065402827</v>
      </c>
    </row>
    <row r="424" customFormat="false" ht="17.15" hidden="false" customHeight="false" outlineLevel="0" collapsed="false">
      <c r="A424" s="4" t="s">
        <v>601</v>
      </c>
      <c r="B424" s="4" t="s">
        <v>282</v>
      </c>
      <c r="C424" s="31" t="n">
        <f aca="false">a25_sh</f>
        <v>3.03185840707965</v>
      </c>
      <c r="D424" s="31" t="n">
        <f aca="false">a26_sh</f>
        <v>3.23861720409076</v>
      </c>
      <c r="E424" s="31" t="n">
        <f aca="false">q_sh4*(1+sh_g)</f>
        <v>3.43</v>
      </c>
      <c r="F424" s="31" t="n">
        <f aca="false">E424*(1+sh_g)</f>
        <v>3.43</v>
      </c>
      <c r="G424" s="31" t="n">
        <f aca="false">F424*(1+sh_g)</f>
        <v>3.43</v>
      </c>
      <c r="H424" s="32" t="n">
        <f aca="false">G424*(1+sh_g)</f>
        <v>3.43</v>
      </c>
      <c r="I424" s="32" t="n">
        <f aca="false">H424*(1+sh_g)</f>
        <v>3.43</v>
      </c>
      <c r="J424" s="32" t="n">
        <f aca="false">I424*(1+sh_g)</f>
        <v>3.43</v>
      </c>
      <c r="K424" s="8" t="s">
        <v>602</v>
      </c>
    </row>
    <row r="425" customFormat="false" ht="15" hidden="false" customHeight="false" outlineLevel="0" collapsed="false">
      <c r="A425" s="0" t="s">
        <v>464</v>
      </c>
      <c r="B425" s="0" t="s">
        <v>312</v>
      </c>
      <c r="C425" s="18" t="n">
        <f aca="false">C422/C424</f>
        <v>9.04</v>
      </c>
      <c r="D425" s="18" t="n">
        <f aca="false">D422/D424</f>
        <v>18.4247476850676</v>
      </c>
      <c r="E425" s="18" t="n">
        <f aca="false">E422/E424</f>
        <v>29.1657978178207</v>
      </c>
      <c r="F425" s="18" t="n">
        <f aca="false">F422/F424</f>
        <v>35.1473791656824</v>
      </c>
      <c r="G425" s="18" t="n">
        <f aca="false">G422/G424</f>
        <v>38.715007645232</v>
      </c>
      <c r="H425" s="29" t="n">
        <f aca="false">H422/H424</f>
        <v>40.9188963079731</v>
      </c>
      <c r="I425" s="29" t="n">
        <f aca="false">I422/I424</f>
        <v>43.2781455040718</v>
      </c>
      <c r="J425" s="29" t="n">
        <f aca="false">J422/J424</f>
        <v>45.805046922539</v>
      </c>
    </row>
    <row r="426" customFormat="false" ht="17.15" hidden="false" customHeight="false" outlineLevel="0" collapsed="false">
      <c r="A426" s="0" t="s">
        <v>603</v>
      </c>
      <c r="B426" s="0" t="s">
        <v>48</v>
      </c>
      <c r="D426" s="20" t="n">
        <f aca="false">D425/C425-1</f>
        <v>1.03813580587031</v>
      </c>
      <c r="E426" s="20" t="n">
        <f aca="false">E425/D425-1</f>
        <v>0.582968641761006</v>
      </c>
      <c r="F426" s="20" t="n">
        <f aca="false">F425/E425-1</f>
        <v>0.205088898483925</v>
      </c>
      <c r="G426" s="20" t="n">
        <f aca="false">G425/F425-1</f>
        <v>0.101504822386104</v>
      </c>
      <c r="H426" s="27" t="n">
        <f aca="false">H425/G425-1</f>
        <v>0.0569259518927792</v>
      </c>
      <c r="I426" s="27" t="n">
        <f aca="false">I425/H425-1</f>
        <v>0.0576567163088177</v>
      </c>
      <c r="J426" s="27" t="n">
        <f aca="false">J425/I425-1</f>
        <v>0.0583874699120239</v>
      </c>
    </row>
    <row r="427" customFormat="false" ht="17.15" hidden="false" customHeight="false" outlineLevel="0" collapsed="false">
      <c r="A427" s="4" t="s">
        <v>604</v>
      </c>
      <c r="B427" s="0" t="s">
        <v>48</v>
      </c>
      <c r="C427" s="17" t="n">
        <f aca="false">C422/C395</f>
        <v>0.0125349699042727</v>
      </c>
      <c r="D427" s="17" t="n">
        <f aca="false">D422/D395</f>
        <v>0.0145632363293992</v>
      </c>
      <c r="E427" s="17" t="n">
        <f aca="false">E422/E395</f>
        <v>0.0160195780618373</v>
      </c>
      <c r="F427" s="17" t="n">
        <f aca="false">F422/F395</f>
        <v>0.0172982174118184</v>
      </c>
      <c r="G427" s="17" t="n">
        <f aca="false">G422/G395</f>
        <v>0.0180129732711428</v>
      </c>
      <c r="H427" s="28" t="n">
        <f aca="false">$G427+(fade_mA-$G427)*1/3</f>
        <v>0.01798565406803</v>
      </c>
      <c r="I427" s="28" t="n">
        <f aca="false">$G427+(fade_mA-$G427)*2/3</f>
        <v>0.0179583348649171</v>
      </c>
      <c r="J427" s="28" t="n">
        <f aca="false">$G427+(fade_mA-$G427)*3/3</f>
        <v>0.0179310156618042</v>
      </c>
    </row>
    <row r="430" customFormat="false" ht="17.15" hidden="false" customHeight="false" outlineLevel="0" collapsed="false">
      <c r="A430" s="1" t="s">
        <v>879</v>
      </c>
    </row>
    <row r="431" customFormat="false" ht="17.15" hidden="false" customHeight="false" outlineLevel="0" collapsed="false">
      <c r="A431" s="5" t="s">
        <v>17</v>
      </c>
      <c r="B431" s="5" t="s">
        <v>18</v>
      </c>
      <c r="C431" s="14" t="s">
        <v>414</v>
      </c>
      <c r="D431" s="14" t="s">
        <v>529</v>
      </c>
      <c r="E431" s="14" t="s">
        <v>530</v>
      </c>
      <c r="F431" s="14" t="s">
        <v>531</v>
      </c>
      <c r="G431" s="14" t="s">
        <v>532</v>
      </c>
      <c r="H431" s="14" t="s">
        <v>533</v>
      </c>
      <c r="I431" s="14" t="s">
        <v>534</v>
      </c>
      <c r="J431" s="14" t="s">
        <v>535</v>
      </c>
      <c r="K431" s="5" t="s">
        <v>496</v>
      </c>
    </row>
    <row r="432" customFormat="false" ht="17.15" hidden="false" customHeight="false" outlineLevel="0" collapsed="false">
      <c r="A432" s="6" t="s">
        <v>550</v>
      </c>
    </row>
    <row r="433" customFormat="false" ht="17.15" hidden="false" customHeight="false" outlineLevel="0" collapsed="false">
      <c r="A433" s="0" t="s">
        <v>551</v>
      </c>
      <c r="B433" s="0" t="s">
        <v>28</v>
      </c>
      <c r="D433" s="21" t="n">
        <f aca="false">itc_26*1</f>
        <v>781.872916666667</v>
      </c>
      <c r="E433" s="21" t="n">
        <f aca="false">itc_27*1*1</f>
        <v>1565.35</v>
      </c>
      <c r="F433" s="21" t="n">
        <f aca="false">itc_28*um28_A*1</f>
        <v>1984.26388888889</v>
      </c>
      <c r="G433" s="21" t="n">
        <f aca="false">itc_29*um29_A*1</f>
        <v>2260.39027777778</v>
      </c>
    </row>
    <row r="434" customFormat="false" ht="17.15" hidden="false" customHeight="false" outlineLevel="0" collapsed="false">
      <c r="A434" s="4" t="s">
        <v>552</v>
      </c>
      <c r="B434" s="0" t="s">
        <v>28</v>
      </c>
      <c r="D434" s="21" t="n">
        <f aca="false">itpg_gb*(1-vr26)+itpg_vr*vr26</f>
        <v>33.41403216</v>
      </c>
      <c r="E434" s="21" t="n">
        <f aca="false">itpg_vr</f>
        <v>37.586352</v>
      </c>
      <c r="F434" s="21" t="n">
        <f aca="false">itpg_vr</f>
        <v>37.586352</v>
      </c>
      <c r="G434" s="21" t="n">
        <f aca="false">itpg_vr</f>
        <v>37.586352</v>
      </c>
    </row>
    <row r="435" customFormat="false" ht="17.15" hidden="false" customHeight="false" outlineLevel="0" collapsed="false">
      <c r="A435" s="4" t="s">
        <v>553</v>
      </c>
      <c r="B435" s="0" t="s">
        <v>498</v>
      </c>
      <c r="D435" s="22" t="n">
        <f aca="false">D433/D434</f>
        <v>23.3995380420639</v>
      </c>
      <c r="E435" s="22" t="n">
        <f aca="false">E433/E434</f>
        <v>41.6467658260637</v>
      </c>
      <c r="F435" s="22" t="n">
        <f aca="false">F433/F434</f>
        <v>52.792138191248</v>
      </c>
      <c r="G435" s="22" t="n">
        <f aca="false">G433/G434</f>
        <v>60.1385917361116</v>
      </c>
    </row>
    <row r="436" customFormat="false" ht="17.15" hidden="false" customHeight="false" outlineLevel="0" collapsed="false">
      <c r="A436" s="4" t="s">
        <v>554</v>
      </c>
      <c r="B436" s="0" t="s">
        <v>555</v>
      </c>
      <c r="D436" s="18" t="n">
        <f aca="false">(racks_gb*odm_gb*(1-vr26)+racks_vr*odm_vr*vr26)/1000</f>
        <v>27.1209</v>
      </c>
      <c r="E436" s="18" t="n">
        <f aca="false">racks_vr*odm_vr/1000</f>
        <v>27.351</v>
      </c>
      <c r="F436" s="18" t="n">
        <f aca="false">$E436*vpg_28</f>
        <v>27.351</v>
      </c>
      <c r="G436" s="18" t="n">
        <f aca="false">$E436*vpg_29</f>
        <v>27.351</v>
      </c>
      <c r="K436" s="4" t="s">
        <v>556</v>
      </c>
    </row>
    <row r="437" customFormat="false" ht="17.15" hidden="false" customHeight="false" outlineLevel="0" collapsed="false">
      <c r="A437" s="0" t="s">
        <v>557</v>
      </c>
      <c r="B437" s="0" t="s">
        <v>28</v>
      </c>
      <c r="D437" s="21" t="n">
        <f aca="false">D435*D436</f>
        <v>634.616531285011</v>
      </c>
      <c r="E437" s="21" t="n">
        <f aca="false">E435*E436</f>
        <v>1139.08069210867</v>
      </c>
      <c r="F437" s="21" t="n">
        <f aca="false">F435*F436</f>
        <v>1443.91777166882</v>
      </c>
      <c r="G437" s="21" t="n">
        <f aca="false">G435*G436</f>
        <v>1644.85062257439</v>
      </c>
    </row>
    <row r="438" customFormat="false" ht="17.15" hidden="false" customHeight="false" outlineLevel="0" collapsed="false">
      <c r="A438" s="0" t="s">
        <v>558</v>
      </c>
      <c r="B438" s="0" t="s">
        <v>147</v>
      </c>
      <c r="D438" s="21" t="n">
        <f aca="false">D437*fx</f>
        <v>20307.7290011204</v>
      </c>
      <c r="E438" s="21" t="n">
        <f aca="false">E437*fx</f>
        <v>36450.5821474774</v>
      </c>
      <c r="F438" s="21" t="n">
        <f aca="false">F437*fx</f>
        <v>46205.3686934024</v>
      </c>
      <c r="G438" s="21" t="n">
        <f aca="false">G437*fx</f>
        <v>52635.2199223804</v>
      </c>
    </row>
    <row r="439" customFormat="false" ht="17.15" hidden="false" customHeight="false" outlineLevel="0" collapsed="false">
      <c r="A439" s="6" t="s">
        <v>559</v>
      </c>
    </row>
    <row r="440" customFormat="false" ht="17.15" hidden="false" customHeight="false" outlineLevel="0" collapsed="false">
      <c r="A440" s="4" t="s">
        <v>560</v>
      </c>
      <c r="B440" s="0" t="s">
        <v>48</v>
      </c>
      <c r="D440" s="20" t="n">
        <f aca="false">a26_ais/D438</f>
        <v>0.0875096501918446</v>
      </c>
      <c r="K440" s="8" t="s">
        <v>561</v>
      </c>
    </row>
    <row r="441" customFormat="false" ht="17.15" hidden="false" customHeight="false" outlineLevel="0" collapsed="false">
      <c r="A441" s="4" t="s">
        <v>562</v>
      </c>
      <c r="B441" s="0" t="s">
        <v>60</v>
      </c>
      <c r="D441" s="18" t="n">
        <f aca="false">1</f>
        <v>1</v>
      </c>
      <c r="E441" s="18" t="n">
        <f aca="false">rel_27</f>
        <v>1</v>
      </c>
      <c r="F441" s="18" t="n">
        <f aca="false">rel_28</f>
        <v>0.95</v>
      </c>
      <c r="G441" s="18" t="n">
        <f aca="false">rel_29</f>
        <v>0.9</v>
      </c>
    </row>
    <row r="442" customFormat="false" ht="17.15" hidden="false" customHeight="false" outlineLevel="0" collapsed="false">
      <c r="A442" s="4" t="s">
        <v>563</v>
      </c>
      <c r="B442" s="0" t="s">
        <v>48</v>
      </c>
      <c r="D442" s="20" t="n">
        <f aca="false">$D$440*D441</f>
        <v>0.0875096501918446</v>
      </c>
      <c r="E442" s="20" t="n">
        <f aca="false">$D$440*E441</f>
        <v>0.0875096501918446</v>
      </c>
      <c r="F442" s="20" t="n">
        <f aca="false">$D$440*F441</f>
        <v>0.0831341676822524</v>
      </c>
      <c r="G442" s="20" t="n">
        <f aca="false">$D$440*G441</f>
        <v>0.0787586851726601</v>
      </c>
    </row>
    <row r="443" customFormat="false" ht="17.15" hidden="false" customHeight="false" outlineLevel="0" collapsed="false">
      <c r="A443" s="4" t="s">
        <v>564</v>
      </c>
      <c r="B443" s="0" t="s">
        <v>147</v>
      </c>
      <c r="D443" s="21" t="n">
        <f aca="false">D438*D442</f>
        <v>1777.12226107882</v>
      </c>
      <c r="E443" s="21" t="n">
        <f aca="false">E438*E442</f>
        <v>3189.77769301484</v>
      </c>
      <c r="F443" s="21" t="n">
        <f aca="false">F438*F442</f>
        <v>3841.24486877761</v>
      </c>
      <c r="G443" s="21" t="n">
        <f aca="false">G438*G442</f>
        <v>4145.48071486049</v>
      </c>
    </row>
    <row r="444" customFormat="false" ht="17.15" hidden="false" customHeight="false" outlineLevel="0" collapsed="false">
      <c r="A444" s="4" t="s">
        <v>565</v>
      </c>
      <c r="B444" s="0" t="s">
        <v>48</v>
      </c>
      <c r="D444" s="20" t="n">
        <f aca="false">0</f>
        <v>0</v>
      </c>
      <c r="E444" s="20" t="n">
        <f aca="false">cs_27_hi</f>
        <v>0.25</v>
      </c>
      <c r="F444" s="20" t="n">
        <f aca="false">cs_28_hi</f>
        <v>0.4</v>
      </c>
      <c r="G444" s="20" t="n">
        <f aca="false">cs_29_hi</f>
        <v>0.5</v>
      </c>
      <c r="K444" s="8" t="s">
        <v>566</v>
      </c>
    </row>
    <row r="445" customFormat="false" ht="17.15" hidden="false" customHeight="false" outlineLevel="0" collapsed="false">
      <c r="A445" s="4" t="s">
        <v>567</v>
      </c>
      <c r="B445" s="0" t="s">
        <v>147</v>
      </c>
      <c r="D445" s="21" t="n">
        <f aca="false">D443*(1-D444)</f>
        <v>1777.12226107882</v>
      </c>
      <c r="E445" s="21" t="n">
        <f aca="false">E443*(1-E444)</f>
        <v>2392.33326976113</v>
      </c>
      <c r="F445" s="21" t="n">
        <f aca="false">F443*(1-F444)</f>
        <v>2304.74692126656</v>
      </c>
      <c r="G445" s="21" t="n">
        <f aca="false">G443*(1-G444)</f>
        <v>2072.74035743024</v>
      </c>
    </row>
    <row r="446" customFormat="false" ht="17.15" hidden="false" customHeight="false" outlineLevel="0" collapsed="false">
      <c r="A446" s="6" t="s">
        <v>568</v>
      </c>
    </row>
    <row r="447" customFormat="false" ht="17.15" hidden="false" customHeight="false" outlineLevel="0" collapsed="false">
      <c r="A447" s="0" t="s">
        <v>569</v>
      </c>
      <c r="B447" s="4" t="s">
        <v>81</v>
      </c>
      <c r="D447" s="18" t="n">
        <f aca="false">gu_26*1</f>
        <v>8.35</v>
      </c>
      <c r="E447" s="18" t="n">
        <f aca="false">gu_27*1*1</f>
        <v>11.2</v>
      </c>
      <c r="F447" s="18" t="n">
        <f aca="false">gu_28*um28_A*1</f>
        <v>11.5</v>
      </c>
      <c r="G447" s="18" t="n">
        <f aca="false">gu_29*um29_A*1</f>
        <v>12.9</v>
      </c>
    </row>
    <row r="448" customFormat="false" ht="15" hidden="false" customHeight="false" outlineLevel="0" collapsed="false">
      <c r="A448" s="4" t="s">
        <v>570</v>
      </c>
      <c r="B448" s="0" t="s">
        <v>48</v>
      </c>
      <c r="D448" s="20" t="n">
        <f aca="false">bsh_26</f>
        <v>0.5</v>
      </c>
      <c r="E448" s="20" t="n">
        <f aca="false">bsh_26*brel_27</f>
        <v>0.5</v>
      </c>
      <c r="F448" s="20" t="n">
        <f aca="false">bsh_26*brel_28</f>
        <v>0.475</v>
      </c>
      <c r="G448" s="20" t="n">
        <f aca="false">bsh_26*brel_29</f>
        <v>0.45</v>
      </c>
    </row>
    <row r="449" customFormat="false" ht="17.15" hidden="false" customHeight="false" outlineLevel="0" collapsed="false">
      <c r="A449" s="4" t="s">
        <v>571</v>
      </c>
      <c r="B449" s="0" t="s">
        <v>520</v>
      </c>
      <c r="D449" s="24" t="n">
        <f aca="false">a26_brd/fx/D447/D448*1000</f>
        <v>823.353293413174</v>
      </c>
      <c r="E449" s="24" t="n">
        <f aca="false">$D449*bv_27</f>
        <v>946.85628742515</v>
      </c>
      <c r="F449" s="24" t="n">
        <f aca="false">$D449*bv_28</f>
        <v>988.023952095808</v>
      </c>
      <c r="G449" s="24" t="n">
        <f aca="false">$D449*bv_29</f>
        <v>988.023952095808</v>
      </c>
      <c r="K449" s="8" t="s">
        <v>572</v>
      </c>
    </row>
    <row r="450" customFormat="false" ht="17.15" hidden="false" customHeight="false" outlineLevel="0" collapsed="false">
      <c r="A450" s="0" t="s">
        <v>522</v>
      </c>
      <c r="B450" s="0" t="s">
        <v>147</v>
      </c>
      <c r="D450" s="21" t="n">
        <f aca="false">D447*D448*D449*fx/1000</f>
        <v>110</v>
      </c>
      <c r="E450" s="21" t="n">
        <f aca="false">E447*E448*E449*fx/1000</f>
        <v>169.676646706587</v>
      </c>
      <c r="F450" s="21" t="n">
        <f aca="false">F447*F448*F449*fx/1000</f>
        <v>172.706586826347</v>
      </c>
      <c r="G450" s="21" t="n">
        <f aca="false">G447*G448*G449*fx/1000</f>
        <v>183.535329341317</v>
      </c>
    </row>
    <row r="451" customFormat="false" ht="17.15" hidden="false" customHeight="false" outlineLevel="0" collapsed="false">
      <c r="A451" s="6" t="s">
        <v>573</v>
      </c>
    </row>
    <row r="452" customFormat="false" ht="15" hidden="false" customHeight="false" outlineLevel="0" collapsed="false">
      <c r="A452" s="4" t="s">
        <v>574</v>
      </c>
      <c r="B452" s="0" t="s">
        <v>147</v>
      </c>
      <c r="D452" s="21" t="n">
        <f aca="false">a26_gen</f>
        <v>150</v>
      </c>
      <c r="E452" s="21" t="n">
        <f aca="false">D452*(1+g_gen27)</f>
        <v>180</v>
      </c>
      <c r="F452" s="21" t="n">
        <f aca="false">E452*(1+g_gen28)</f>
        <v>198</v>
      </c>
      <c r="G452" s="21" t="n">
        <f aca="false">F452*(1+g_gen29)</f>
        <v>213.84</v>
      </c>
    </row>
    <row r="453" customFormat="false" ht="15" hidden="false" customHeight="false" outlineLevel="0" collapsed="false">
      <c r="A453" s="4" t="s">
        <v>575</v>
      </c>
      <c r="B453" s="0" t="s">
        <v>147</v>
      </c>
      <c r="D453" s="21" t="n">
        <f aca="false">a26_pc</f>
        <v>614.602793131557</v>
      </c>
      <c r="E453" s="21" t="n">
        <f aca="false">D453*(1+g_pc27)</f>
        <v>596.16470933761</v>
      </c>
      <c r="F453" s="21" t="n">
        <f aca="false">E453*(1+g_pc28)</f>
        <v>596.16470933761</v>
      </c>
      <c r="G453" s="21" t="n">
        <f aca="false">F453*(1+g_pc29)</f>
        <v>596.16470933761</v>
      </c>
    </row>
    <row r="454" customFormat="false" ht="15" hidden="false" customHeight="false" outlineLevel="0" collapsed="false">
      <c r="A454" s="4" t="s">
        <v>576</v>
      </c>
      <c r="B454" s="0" t="s">
        <v>147</v>
      </c>
      <c r="C454" s="21" t="n">
        <f aca="false">a25_srev</f>
        <v>1235.86</v>
      </c>
      <c r="D454" s="21" t="n">
        <f aca="false">D445+D450+D452+D453</f>
        <v>2651.72505421038</v>
      </c>
      <c r="E454" s="21" t="n">
        <f aca="false">E445+E450+E452+E453</f>
        <v>3338.17462580533</v>
      </c>
      <c r="F454" s="21" t="n">
        <f aca="false">F445+F450+F452+F453</f>
        <v>3271.61821743052</v>
      </c>
      <c r="G454" s="21" t="n">
        <f aca="false">G445+G450+G452+G453</f>
        <v>3066.28039610917</v>
      </c>
    </row>
    <row r="455" customFormat="false" ht="17.15" hidden="false" customHeight="false" outlineLevel="0" collapsed="false">
      <c r="A455" s="4" t="s">
        <v>577</v>
      </c>
      <c r="B455" s="0" t="s">
        <v>48</v>
      </c>
      <c r="D455" s="20" t="n">
        <f aca="false">a26_wai/D438</f>
        <v>0.0391523244650416</v>
      </c>
      <c r="K455" s="8" t="s">
        <v>578</v>
      </c>
    </row>
    <row r="456" customFormat="false" ht="17.15" hidden="false" customHeight="false" outlineLevel="0" collapsed="false">
      <c r="A456" s="4" t="s">
        <v>504</v>
      </c>
      <c r="B456" s="0" t="s">
        <v>48</v>
      </c>
      <c r="D456" s="20" t="n">
        <f aca="false">D455</f>
        <v>0.0391523244650416</v>
      </c>
      <c r="E456" s="20" t="n">
        <f aca="false">$D$455*wrel_27</f>
        <v>0.0391523244650416</v>
      </c>
      <c r="F456" s="20" t="n">
        <f aca="false">$D$455*wrel_28</f>
        <v>0.0391523244650416</v>
      </c>
      <c r="G456" s="20" t="n">
        <f aca="false">$D$455*wrel_29</f>
        <v>0.0371947082417896</v>
      </c>
    </row>
    <row r="457" customFormat="false" ht="17.15" hidden="false" customHeight="false" outlineLevel="0" collapsed="false">
      <c r="A457" s="4" t="s">
        <v>524</v>
      </c>
      <c r="B457" s="0" t="s">
        <v>147</v>
      </c>
      <c r="D457" s="21" t="n">
        <f aca="false">D438*D456</f>
        <v>795.094795</v>
      </c>
      <c r="E457" s="21" t="n">
        <f aca="false">E438*E456</f>
        <v>1427.12501917769</v>
      </c>
      <c r="F457" s="21" t="n">
        <f aca="false">F438*F456</f>
        <v>1809.04758711097</v>
      </c>
      <c r="G457" s="21" t="n">
        <f aca="false">G438*G456</f>
        <v>1957.75164825537</v>
      </c>
    </row>
    <row r="458" customFormat="false" ht="17.15" hidden="false" customHeight="false" outlineLevel="0" collapsed="false">
      <c r="A458" s="4" t="s">
        <v>579</v>
      </c>
      <c r="B458" s="0" t="s">
        <v>147</v>
      </c>
      <c r="D458" s="21" t="n">
        <f aca="false">a26_wna</f>
        <v>650.532105</v>
      </c>
      <c r="E458" s="21" t="n">
        <f aca="false">D458*(1+g_wn27)</f>
        <v>715.5853155</v>
      </c>
      <c r="F458" s="21" t="n">
        <f aca="false">E458*(1+g_wn28)</f>
        <v>758.52043443</v>
      </c>
      <c r="G458" s="21" t="n">
        <f aca="false">F458*(1+g_wn29)</f>
        <v>796.4464561515</v>
      </c>
    </row>
    <row r="459" customFormat="false" ht="15" hidden="false" customHeight="false" outlineLevel="0" collapsed="false">
      <c r="A459" s="4" t="s">
        <v>434</v>
      </c>
      <c r="B459" s="0" t="s">
        <v>147</v>
      </c>
      <c r="C459" s="21" t="n">
        <f aca="false">a25_wrev</f>
        <v>950.663</v>
      </c>
      <c r="D459" s="21" t="n">
        <f aca="false">D457+D458</f>
        <v>1445.6269</v>
      </c>
      <c r="E459" s="21" t="n">
        <f aca="false">E457+E458</f>
        <v>2142.71033467769</v>
      </c>
      <c r="F459" s="21" t="n">
        <f aca="false">F457+F458</f>
        <v>2567.56802154097</v>
      </c>
      <c r="G459" s="21" t="n">
        <f aca="false">G457+G458</f>
        <v>2754.19810440687</v>
      </c>
    </row>
    <row r="460" customFormat="false" ht="17.15" hidden="false" customHeight="false" outlineLevel="0" collapsed="false">
      <c r="A460" s="4" t="s">
        <v>420</v>
      </c>
      <c r="B460" s="0" t="s">
        <v>147</v>
      </c>
      <c r="C460" s="21" t="n">
        <f aca="false">C454+C459</f>
        <v>2186.523</v>
      </c>
      <c r="D460" s="21" t="n">
        <f aca="false">D454+D459</f>
        <v>4097.35195421038</v>
      </c>
      <c r="E460" s="21" t="n">
        <f aca="false">E454+E459</f>
        <v>5480.88496048301</v>
      </c>
      <c r="F460" s="21" t="n">
        <f aca="false">F454+F459</f>
        <v>5839.18623897149</v>
      </c>
      <c r="G460" s="21" t="n">
        <f aca="false">G454+G459</f>
        <v>5820.47850051604</v>
      </c>
      <c r="H460" s="26" t="n">
        <f aca="false">G460*(1+H461)</f>
        <v>5924.4562024524</v>
      </c>
      <c r="I460" s="26" t="n">
        <f aca="false">H460*(1+I461)</f>
        <v>6155.10747434809</v>
      </c>
      <c r="J460" s="26" t="n">
        <f aca="false">I460*(1+J461)</f>
        <v>6524.41392280897</v>
      </c>
      <c r="K460" s="8" t="s">
        <v>580</v>
      </c>
    </row>
    <row r="461" customFormat="false" ht="15" hidden="false" customHeight="false" outlineLevel="0" collapsed="false">
      <c r="A461" s="4" t="s">
        <v>581</v>
      </c>
      <c r="B461" s="0" t="s">
        <v>48</v>
      </c>
      <c r="D461" s="20" t="n">
        <f aca="false">D460/C460-1</f>
        <v>0.873912121761526</v>
      </c>
      <c r="E461" s="20" t="n">
        <f aca="false">E460/D460-1</f>
        <v>0.337665160751187</v>
      </c>
      <c r="F461" s="20" t="n">
        <f aca="false">F460/E460-1</f>
        <v>0.0653728879682409</v>
      </c>
      <c r="G461" s="20" t="n">
        <f aca="false">G460/F460-1</f>
        <v>-0.00320382630212956</v>
      </c>
      <c r="H461" s="27" t="n">
        <f aca="false">$G461+(fade_gA-$G461)*1/3</f>
        <v>0.0178641157985803</v>
      </c>
      <c r="I461" s="27" t="n">
        <f aca="false">$G461+(fade_gA-$G461)*2/3</f>
        <v>0.0389320578992901</v>
      </c>
      <c r="J461" s="27" t="n">
        <f aca="false">$G461+(fade_gA-$G461)*3/3</f>
        <v>0.06</v>
      </c>
    </row>
    <row r="462" customFormat="false" ht="17.15" hidden="false" customHeight="false" outlineLevel="0" collapsed="false">
      <c r="A462" s="0" t="s">
        <v>582</v>
      </c>
      <c r="B462" s="0" t="s">
        <v>48</v>
      </c>
      <c r="D462" s="20" t="n">
        <f aca="false">(D445+D450+D457)/D460</f>
        <v>0.6546220793463</v>
      </c>
      <c r="E462" s="20" t="n">
        <f aca="false">(E445+E450+E457)/E460</f>
        <v>0.727826795199484</v>
      </c>
      <c r="F462" s="20" t="n">
        <f aca="false">(F445+F450+F457)/F460</f>
        <v>0.734092203909376</v>
      </c>
      <c r="G462" s="20" t="n">
        <f aca="false">(G445+G450+G457)/G460</f>
        <v>0.724000154738707</v>
      </c>
    </row>
    <row r="463" customFormat="false" ht="17.15" hidden="false" customHeight="false" outlineLevel="0" collapsed="false">
      <c r="A463" s="4" t="s">
        <v>583</v>
      </c>
      <c r="B463" s="0" t="s">
        <v>48</v>
      </c>
      <c r="C463" s="20" t="n">
        <f aca="false">C459/C460</f>
        <v>0.434782986504144</v>
      </c>
      <c r="D463" s="20" t="n">
        <f aca="false">D459/D460</f>
        <v>0.352819800728736</v>
      </c>
      <c r="E463" s="20" t="n">
        <f aca="false">E459/E460</f>
        <v>0.390942402573043</v>
      </c>
      <c r="F463" s="20" t="n">
        <f aca="false">F459/F460</f>
        <v>0.439713329300012</v>
      </c>
      <c r="G463" s="20" t="n">
        <f aca="false">G459/G460</f>
        <v>0.473191010698293</v>
      </c>
    </row>
    <row r="464" customFormat="false" ht="17.15" hidden="false" customHeight="false" outlineLevel="0" collapsed="false">
      <c r="A464" s="4" t="s">
        <v>584</v>
      </c>
      <c r="B464" s="4" t="s">
        <v>331</v>
      </c>
      <c r="D464" s="21" t="n">
        <f aca="false">D443/fx/(odm_gb*(1-vr26)+odm_vr*vr26)</f>
        <v>12.0597330420658</v>
      </c>
      <c r="E464" s="21" t="n">
        <f aca="false">E443/fx/odm_vr</f>
        <v>14.7674893195131</v>
      </c>
      <c r="F464" s="21" t="n">
        <f aca="false">F443/fx/odm_vr</f>
        <v>17.7835410591556</v>
      </c>
      <c r="G464" s="21" t="n">
        <f aca="false">G443/fx/odm_vr</f>
        <v>19.1920403465763</v>
      </c>
      <c r="K464" s="4" t="s">
        <v>585</v>
      </c>
    </row>
    <row r="465" customFormat="false" ht="17.15" hidden="false" customHeight="false" outlineLevel="0" collapsed="false">
      <c r="A465" s="6" t="s">
        <v>586</v>
      </c>
    </row>
    <row r="466" customFormat="false" ht="17.15" hidden="false" customHeight="false" outlineLevel="0" collapsed="false">
      <c r="A466" s="4" t="s">
        <v>587</v>
      </c>
      <c r="B466" s="0" t="s">
        <v>48</v>
      </c>
      <c r="D466" s="17" t="n">
        <f aca="false">(a26_sgp-d_ai*D445-d_brd*D450-d_gen*D452)/D454</f>
        <v>0.0436423860147897</v>
      </c>
      <c r="K466" s="8" t="s">
        <v>588</v>
      </c>
    </row>
    <row r="467" customFormat="false" ht="17.15" hidden="false" customHeight="false" outlineLevel="0" collapsed="false">
      <c r="A467" s="4" t="s">
        <v>589</v>
      </c>
      <c r="B467" s="0" t="s">
        <v>147</v>
      </c>
      <c r="D467" s="25" t="n">
        <f aca="false">($D$466+d_ai)*D443*(1-D444*(1-keep))</f>
        <v>59.7866331026896</v>
      </c>
      <c r="E467" s="25" t="n">
        <f aca="false">($D$466+d_ai+vrd)*E443*(1-E444*(1-keep))</f>
        <v>98.4088726371474</v>
      </c>
      <c r="F467" s="25" t="n">
        <f aca="false">($D$466+d_ai+vrd)*F443*(1-F444*(1-keep))</f>
        <v>116.684306798584</v>
      </c>
      <c r="G467" s="25" t="n">
        <f aca="false">($D$466+d_ai+vrd)*G443*(1-G444*(1-keep))</f>
        <v>124.614255946658</v>
      </c>
    </row>
    <row r="468" customFormat="false" ht="15" hidden="false" customHeight="false" outlineLevel="0" collapsed="false">
      <c r="A468" s="4" t="s">
        <v>590</v>
      </c>
      <c r="B468" s="0" t="s">
        <v>147</v>
      </c>
      <c r="C468" s="21" t="n">
        <f aca="false">a25_sgp</f>
        <v>55.529</v>
      </c>
      <c r="D468" s="21" t="n">
        <f aca="false">a26_sgp</f>
        <v>103.50638581015</v>
      </c>
      <c r="E468" s="21" t="n">
        <f aca="false">$D$466*E453+($D$466+d_brd)*E450+($D$466+d_gen)*E452+E467</f>
        <v>147.477945607578</v>
      </c>
      <c r="F468" s="21" t="n">
        <f aca="false">$D$466*F453+($D$466+d_brd)*F450+($D$466+d_gen)*F452+F467</f>
        <v>167.032074737182</v>
      </c>
      <c r="G468" s="21" t="n">
        <f aca="false">$D$466*G453+($D$466+d_brd)*G450+($D$466+d_gen)*G452+G467</f>
        <v>176.688373716072</v>
      </c>
    </row>
    <row r="469" customFormat="false" ht="15" hidden="false" customHeight="false" outlineLevel="0" collapsed="false">
      <c r="A469" s="4" t="s">
        <v>591</v>
      </c>
      <c r="B469" s="0" t="s">
        <v>48</v>
      </c>
      <c r="C469" s="17" t="n">
        <f aca="false">C468/C454</f>
        <v>0.0449314647290146</v>
      </c>
      <c r="D469" s="17" t="n">
        <f aca="false">D468/D454</f>
        <v>0.0390336040479778</v>
      </c>
      <c r="E469" s="17" t="n">
        <f aca="false">E468/E454</f>
        <v>0.0441792183271417</v>
      </c>
      <c r="F469" s="17" t="n">
        <f aca="false">F468/F454</f>
        <v>0.0510548797678373</v>
      </c>
      <c r="G469" s="17" t="n">
        <f aca="false">G468/G454</f>
        <v>0.0576230321076551</v>
      </c>
    </row>
    <row r="470" customFormat="false" ht="15" hidden="false" customHeight="false" outlineLevel="0" collapsed="false">
      <c r="A470" s="4" t="s">
        <v>592</v>
      </c>
      <c r="B470" s="0" t="s">
        <v>48</v>
      </c>
      <c r="E470" s="20" t="n">
        <f aca="false">MAX(0,phi*(E454/D454-1))</f>
        <v>0.0776607179358597</v>
      </c>
      <c r="F470" s="20" t="n">
        <f aca="false">MAX(0,phi*(F454/E454-1))</f>
        <v>0</v>
      </c>
      <c r="G470" s="20" t="n">
        <f aca="false">MAX(0,phi*(G454/F454-1))</f>
        <v>0</v>
      </c>
    </row>
    <row r="471" customFormat="false" ht="15" hidden="false" customHeight="false" outlineLevel="0" collapsed="false">
      <c r="A471" s="4" t="s">
        <v>593</v>
      </c>
      <c r="B471" s="0" t="s">
        <v>147</v>
      </c>
      <c r="C471" s="21" t="n">
        <f aca="false">a25_sopx</f>
        <v>40.894</v>
      </c>
      <c r="D471" s="21" t="n">
        <f aca="false">a26_sopx</f>
        <v>46.9914095398923</v>
      </c>
      <c r="E471" s="21" t="n">
        <f aca="false">D471*(1+E470)+0*E454</f>
        <v>50.6407961415783</v>
      </c>
      <c r="F471" s="21" t="n">
        <f aca="false">E471*(1+F470)+0*F454</f>
        <v>50.6407961415783</v>
      </c>
      <c r="G471" s="21" t="n">
        <f aca="false">F471*(1+G470)+0*G454</f>
        <v>50.6407961415783</v>
      </c>
    </row>
    <row r="472" customFormat="false" ht="15" hidden="false" customHeight="false" outlineLevel="0" collapsed="false">
      <c r="A472" s="4" t="s">
        <v>594</v>
      </c>
      <c r="B472" s="0" t="s">
        <v>147</v>
      </c>
      <c r="C472" s="21" t="n">
        <f aca="false">C468-C471</f>
        <v>14.635</v>
      </c>
      <c r="D472" s="21" t="n">
        <f aca="false">D468-D471</f>
        <v>56.514976270258</v>
      </c>
      <c r="E472" s="21" t="n">
        <f aca="false">E468-E471</f>
        <v>96.8371494659997</v>
      </c>
      <c r="F472" s="21" t="n">
        <f aca="false">F468-F471</f>
        <v>116.391278595603</v>
      </c>
      <c r="G472" s="21" t="n">
        <f aca="false">G468-G471</f>
        <v>126.047577574494</v>
      </c>
    </row>
    <row r="473" customFormat="false" ht="15" hidden="false" customHeight="false" outlineLevel="0" collapsed="false">
      <c r="A473" s="4" t="s">
        <v>595</v>
      </c>
      <c r="B473" s="0" t="s">
        <v>48</v>
      </c>
      <c r="C473" s="17" t="n">
        <f aca="false">C472/C454</f>
        <v>0.011841956208632</v>
      </c>
      <c r="D473" s="17" t="n">
        <f aca="false">D472/D454</f>
        <v>0.0213125324514788</v>
      </c>
      <c r="E473" s="17" t="n">
        <f aca="false">E472/E454</f>
        <v>0.0290090125056409</v>
      </c>
      <c r="F473" s="17" t="n">
        <f aca="false">F472/F454</f>
        <v>0.0355760577366558</v>
      </c>
      <c r="G473" s="17" t="n">
        <f aca="false">G472/G454</f>
        <v>0.0411076487768166</v>
      </c>
    </row>
    <row r="474" customFormat="false" ht="15" hidden="false" customHeight="false" outlineLevel="0" collapsed="false">
      <c r="A474" s="4" t="s">
        <v>596</v>
      </c>
      <c r="B474" s="0" t="s">
        <v>147</v>
      </c>
      <c r="C474" s="21" t="n">
        <f aca="false">a25_sni</f>
        <v>6.9608</v>
      </c>
      <c r="D474" s="21" t="n">
        <f aca="false">a26_sni</f>
        <v>31.133746704</v>
      </c>
      <c r="E474" s="21" t="n">
        <f aca="false">E472*snio</f>
        <v>54.2288037009598</v>
      </c>
      <c r="F474" s="21" t="n">
        <f aca="false">F472*snio</f>
        <v>65.1791160135378</v>
      </c>
      <c r="G474" s="21" t="n">
        <f aca="false">G472*snio</f>
        <v>70.5866434417166</v>
      </c>
    </row>
    <row r="475" customFormat="false" ht="17.15" hidden="false" customHeight="false" outlineLevel="0" collapsed="false">
      <c r="A475" s="6" t="s">
        <v>597</v>
      </c>
    </row>
    <row r="476" customFormat="false" ht="15" hidden="false" customHeight="false" outlineLevel="0" collapsed="false">
      <c r="A476" s="4" t="s">
        <v>438</v>
      </c>
      <c r="B476" s="0" t="s">
        <v>147</v>
      </c>
      <c r="C476" s="21" t="n">
        <f aca="false">a25_wgp</f>
        <v>78.454</v>
      </c>
      <c r="D476" s="21" t="n">
        <f aca="false">a26_wgp</f>
        <v>125.0519932</v>
      </c>
      <c r="E476" s="21" t="n">
        <f aca="false">E459*wgm</f>
        <v>182.130378447603</v>
      </c>
      <c r="F476" s="21" t="n">
        <f aca="false">F459*wgm</f>
        <v>218.243281830982</v>
      </c>
      <c r="G476" s="21" t="n">
        <f aca="false">G459*wgm</f>
        <v>234.106838874584</v>
      </c>
    </row>
    <row r="477" customFormat="false" ht="15" hidden="false" customHeight="false" outlineLevel="0" collapsed="false">
      <c r="A477" s="4" t="s">
        <v>440</v>
      </c>
      <c r="B477" s="0" t="s">
        <v>147</v>
      </c>
      <c r="C477" s="21" t="n">
        <f aca="false">a25_woi</f>
        <v>63.918</v>
      </c>
      <c r="D477" s="21" t="n">
        <f aca="false">a26_woi</f>
        <v>98.2471632</v>
      </c>
      <c r="E477" s="21" t="n">
        <f aca="false">E459*wopm</f>
        <v>139.27617175405</v>
      </c>
      <c r="F477" s="21" t="n">
        <f aca="false">F459*wopm</f>
        <v>166.891921400163</v>
      </c>
      <c r="G477" s="21" t="n">
        <f aca="false">G459*wopm</f>
        <v>179.022876786446</v>
      </c>
    </row>
    <row r="478" customFormat="false" ht="15" hidden="false" customHeight="false" outlineLevel="0" collapsed="false">
      <c r="A478" s="4" t="s">
        <v>448</v>
      </c>
      <c r="B478" s="0" t="s">
        <v>147</v>
      </c>
      <c r="C478" s="21" t="n">
        <f aca="false">a25_wni</f>
        <v>51.118</v>
      </c>
      <c r="D478" s="21" t="n">
        <f aca="false">a26_wni</f>
        <v>75.735026884</v>
      </c>
      <c r="E478" s="21" t="n">
        <f aca="false">E477*wnio</f>
        <v>108.635413968159</v>
      </c>
      <c r="F478" s="21" t="n">
        <f aca="false">F477*wnio</f>
        <v>130.175698692127</v>
      </c>
      <c r="G478" s="21" t="n">
        <f aca="false">G477*wnio</f>
        <v>139.637843893428</v>
      </c>
    </row>
    <row r="479" customFormat="false" ht="15" hidden="false" customHeight="false" outlineLevel="0" collapsed="false">
      <c r="A479" s="4" t="s">
        <v>450</v>
      </c>
      <c r="B479" s="0" t="s">
        <v>48</v>
      </c>
      <c r="C479" s="17" t="n">
        <f aca="false">stake25</f>
        <v>0.4</v>
      </c>
      <c r="D479" s="17" t="n">
        <f aca="false">stake</f>
        <v>0.3768</v>
      </c>
      <c r="E479" s="17" t="n">
        <f aca="false">stake</f>
        <v>0.3768</v>
      </c>
      <c r="F479" s="17" t="n">
        <f aca="false">stake</f>
        <v>0.3768</v>
      </c>
      <c r="G479" s="17" t="n">
        <f aca="false">stake</f>
        <v>0.3768</v>
      </c>
    </row>
    <row r="480" customFormat="false" ht="17.15" hidden="false" customHeight="false" outlineLevel="0" collapsed="false">
      <c r="A480" s="6" t="s">
        <v>598</v>
      </c>
    </row>
    <row r="481" customFormat="false" ht="15" hidden="false" customHeight="false" outlineLevel="0" collapsed="false">
      <c r="A481" s="4" t="s">
        <v>424</v>
      </c>
      <c r="B481" s="0" t="s">
        <v>147</v>
      </c>
      <c r="C481" s="21" t="n">
        <f aca="false">C468+C476</f>
        <v>133.983</v>
      </c>
      <c r="D481" s="21" t="n">
        <f aca="false">D468+D476</f>
        <v>228.55837901015</v>
      </c>
      <c r="E481" s="21" t="n">
        <f aca="false">E468+E476</f>
        <v>329.608324055181</v>
      </c>
      <c r="F481" s="21" t="n">
        <f aca="false">F468+F476</f>
        <v>385.275356568164</v>
      </c>
      <c r="G481" s="21" t="n">
        <f aca="false">G468+G476</f>
        <v>410.795212590656</v>
      </c>
    </row>
    <row r="482" customFormat="false" ht="15" hidden="false" customHeight="false" outlineLevel="0" collapsed="false">
      <c r="A482" s="4" t="s">
        <v>427</v>
      </c>
      <c r="B482" s="0" t="s">
        <v>48</v>
      </c>
      <c r="C482" s="17" t="n">
        <f aca="false">C481/C460</f>
        <v>0.0612767393711386</v>
      </c>
      <c r="D482" s="17" t="n">
        <f aca="false">D481/D460</f>
        <v>0.055781973714825</v>
      </c>
      <c r="E482" s="17" t="n">
        <f aca="false">E481/E460</f>
        <v>0.0601377927892386</v>
      </c>
      <c r="F482" s="17" t="n">
        <f aca="false">F481/F460</f>
        <v>0.0659810015986108</v>
      </c>
      <c r="G482" s="17" t="n">
        <f aca="false">G481/G460</f>
        <v>0.0705775672144885</v>
      </c>
    </row>
    <row r="483" customFormat="false" ht="15" hidden="false" customHeight="false" outlineLevel="0" collapsed="false">
      <c r="A483" s="4" t="s">
        <v>428</v>
      </c>
      <c r="B483" s="0" t="s">
        <v>147</v>
      </c>
      <c r="C483" s="21" t="n">
        <f aca="false">C472+C477</f>
        <v>78.553</v>
      </c>
      <c r="D483" s="21" t="n">
        <f aca="false">D472+D477</f>
        <v>154.762139470258</v>
      </c>
      <c r="E483" s="21" t="n">
        <f aca="false">E472+E477</f>
        <v>236.113321220049</v>
      </c>
      <c r="F483" s="21" t="n">
        <f aca="false">F472+F477</f>
        <v>283.283199995766</v>
      </c>
      <c r="G483" s="21" t="n">
        <f aca="false">G472+G477</f>
        <v>305.07045436094</v>
      </c>
    </row>
    <row r="484" customFormat="false" ht="15" hidden="false" customHeight="false" outlineLevel="0" collapsed="false">
      <c r="A484" s="4" t="s">
        <v>431</v>
      </c>
      <c r="B484" s="0" t="s">
        <v>48</v>
      </c>
      <c r="C484" s="17" t="n">
        <f aca="false">C483/C460</f>
        <v>0.0359259884300325</v>
      </c>
      <c r="D484" s="17" t="n">
        <f aca="false">D483/D460</f>
        <v>0.0377712584126992</v>
      </c>
      <c r="E484" s="17" t="n">
        <f aca="false">E483/E460</f>
        <v>0.043079415627662</v>
      </c>
      <c r="F484" s="17" t="n">
        <f aca="false">F483/F460</f>
        <v>0.0485141573504022</v>
      </c>
      <c r="G484" s="17" t="n">
        <f aca="false">G483/G460</f>
        <v>0.0524132946000733</v>
      </c>
    </row>
    <row r="485" customFormat="false" ht="15" hidden="false" customHeight="false" outlineLevel="0" collapsed="false">
      <c r="A485" s="4" t="s">
        <v>461</v>
      </c>
      <c r="B485" s="0" t="s">
        <v>147</v>
      </c>
      <c r="C485" s="21" t="n">
        <f aca="false">C474+C478</f>
        <v>58.0788</v>
      </c>
      <c r="D485" s="21" t="n">
        <f aca="false">D474+D478</f>
        <v>106.868773588</v>
      </c>
      <c r="E485" s="21" t="n">
        <f aca="false">E474+E478</f>
        <v>162.864217669119</v>
      </c>
      <c r="F485" s="21" t="n">
        <f aca="false">F474+F478</f>
        <v>195.354814705665</v>
      </c>
      <c r="G485" s="21" t="n">
        <f aca="false">G474+G478</f>
        <v>210.224487335145</v>
      </c>
    </row>
    <row r="486" customFormat="false" ht="17.15" hidden="false" customHeight="false" outlineLevel="0" collapsed="false">
      <c r="A486" s="4" t="s">
        <v>599</v>
      </c>
      <c r="B486" s="0" t="s">
        <v>147</v>
      </c>
      <c r="C486" s="21" t="n">
        <f aca="false">(1-C479)*C478</f>
        <v>30.6708</v>
      </c>
      <c r="D486" s="21" t="n">
        <f aca="false">(1-D479)*D478</f>
        <v>47.1980687541088</v>
      </c>
      <c r="E486" s="21" t="n">
        <f aca="false">(1-E479)*E478</f>
        <v>67.7015899849565</v>
      </c>
      <c r="F486" s="21" t="n">
        <f aca="false">(1-F479)*F478</f>
        <v>81.1254954249335</v>
      </c>
      <c r="G486" s="21" t="n">
        <f aca="false">(1-G479)*G478</f>
        <v>87.0223043143844</v>
      </c>
    </row>
    <row r="487" customFormat="false" ht="15" hidden="false" customHeight="false" outlineLevel="0" collapsed="false">
      <c r="A487" s="4" t="s">
        <v>457</v>
      </c>
      <c r="B487" s="0" t="s">
        <v>147</v>
      </c>
      <c r="C487" s="21" t="n">
        <f aca="false">C485-C486</f>
        <v>27.408</v>
      </c>
      <c r="D487" s="21" t="n">
        <f aca="false">D485-D486</f>
        <v>59.6707048338912</v>
      </c>
      <c r="E487" s="21" t="n">
        <f aca="false">E485-E486</f>
        <v>95.1626276841621</v>
      </c>
      <c r="F487" s="21" t="n">
        <f aca="false">F485-F486</f>
        <v>114.229319280731</v>
      </c>
      <c r="G487" s="21" t="n">
        <f aca="false">G485-G486</f>
        <v>123.20218302076</v>
      </c>
      <c r="H487" s="26" t="n">
        <f aca="false">H460*H492</f>
        <v>119.01255970787</v>
      </c>
      <c r="I487" s="26" t="n">
        <f aca="false">I460*I492</f>
        <v>117.006646047892</v>
      </c>
      <c r="J487" s="26" t="n">
        <f aca="false">J460*J492</f>
        <v>116.989368233981</v>
      </c>
    </row>
    <row r="488" customFormat="false" ht="17.15" hidden="false" customHeight="false" outlineLevel="0" collapsed="false">
      <c r="A488" s="4" t="s">
        <v>600</v>
      </c>
      <c r="B488" s="0" t="s">
        <v>48</v>
      </c>
      <c r="C488" s="20" t="n">
        <f aca="false">C479*C478/C487</f>
        <v>0.746030356100409</v>
      </c>
      <c r="D488" s="20" t="n">
        <f aca="false">D479*D478/D487</f>
        <v>0.478240674537551</v>
      </c>
      <c r="E488" s="20" t="n">
        <f aca="false">E479*E478/E487</f>
        <v>0.430146003524185</v>
      </c>
      <c r="F488" s="20" t="n">
        <f aca="false">F479*F478/F487</f>
        <v>0.429401169297412</v>
      </c>
      <c r="G488" s="20" t="n">
        <f aca="false">G479*G478/G487</f>
        <v>0.427066617562919</v>
      </c>
    </row>
    <row r="489" customFormat="false" ht="17.15" hidden="false" customHeight="false" outlineLevel="0" collapsed="false">
      <c r="A489" s="4" t="s">
        <v>601</v>
      </c>
      <c r="B489" s="4" t="s">
        <v>282</v>
      </c>
      <c r="C489" s="31" t="n">
        <f aca="false">a25_sh</f>
        <v>3.03185840707965</v>
      </c>
      <c r="D489" s="31" t="n">
        <f aca="false">a26_sh</f>
        <v>3.23861720409076</v>
      </c>
      <c r="E489" s="31" t="n">
        <f aca="false">q_sh4*(1+sh_g)</f>
        <v>3.43</v>
      </c>
      <c r="F489" s="31" t="n">
        <f aca="false">E489*(1+sh_g)</f>
        <v>3.43</v>
      </c>
      <c r="G489" s="31" t="n">
        <f aca="false">F489*(1+sh_g)</f>
        <v>3.43</v>
      </c>
      <c r="H489" s="32" t="n">
        <f aca="false">G489*(1+sh_g)</f>
        <v>3.43</v>
      </c>
      <c r="I489" s="32" t="n">
        <f aca="false">H489*(1+sh_g)</f>
        <v>3.43</v>
      </c>
      <c r="J489" s="32" t="n">
        <f aca="false">I489*(1+sh_g)</f>
        <v>3.43</v>
      </c>
      <c r="K489" s="8" t="s">
        <v>602</v>
      </c>
    </row>
    <row r="490" customFormat="false" ht="15" hidden="false" customHeight="false" outlineLevel="0" collapsed="false">
      <c r="A490" s="0" t="s">
        <v>464</v>
      </c>
      <c r="B490" s="0" t="s">
        <v>312</v>
      </c>
      <c r="C490" s="18" t="n">
        <f aca="false">C487/C489</f>
        <v>9.04</v>
      </c>
      <c r="D490" s="18" t="n">
        <f aca="false">D487/D489</f>
        <v>18.4247476850676</v>
      </c>
      <c r="E490" s="18" t="n">
        <f aca="false">E487/E489</f>
        <v>27.7442063219131</v>
      </c>
      <c r="F490" s="18" t="n">
        <f aca="false">F487/F489</f>
        <v>33.3030085366563</v>
      </c>
      <c r="G490" s="18" t="n">
        <f aca="false">G487/G489</f>
        <v>35.91900379614</v>
      </c>
      <c r="H490" s="29" t="n">
        <f aca="false">H487/H489</f>
        <v>34.6975392734314</v>
      </c>
      <c r="I490" s="29" t="n">
        <f aca="false">I487/I489</f>
        <v>34.1127247953037</v>
      </c>
      <c r="J490" s="29" t="n">
        <f aca="false">J487/J489</f>
        <v>34.107687531773</v>
      </c>
    </row>
    <row r="491" customFormat="false" ht="17.15" hidden="false" customHeight="false" outlineLevel="0" collapsed="false">
      <c r="A491" s="0" t="s">
        <v>603</v>
      </c>
      <c r="B491" s="0" t="s">
        <v>48</v>
      </c>
      <c r="D491" s="20" t="n">
        <f aca="false">D490/C490-1</f>
        <v>1.03813580587031</v>
      </c>
      <c r="E491" s="20" t="n">
        <f aca="false">E490/D490-1</f>
        <v>0.505812008725555</v>
      </c>
      <c r="F491" s="20" t="n">
        <f aca="false">F490/E490-1</f>
        <v>0.200359028124467</v>
      </c>
      <c r="G491" s="20" t="n">
        <f aca="false">G490/F490-1</f>
        <v>0.0785513193681673</v>
      </c>
      <c r="H491" s="27" t="n">
        <f aca="false">H490/G490-1</f>
        <v>-0.0340060801697362</v>
      </c>
      <c r="I491" s="27" t="n">
        <f aca="false">I490/H490-1</f>
        <v>-0.0168546384087692</v>
      </c>
      <c r="J491" s="27" t="n">
        <f aca="false">J490/I490-1</f>
        <v>-0.000147665235214034</v>
      </c>
    </row>
    <row r="492" customFormat="false" ht="17.15" hidden="false" customHeight="false" outlineLevel="0" collapsed="false">
      <c r="A492" s="4" t="s">
        <v>604</v>
      </c>
      <c r="B492" s="0" t="s">
        <v>48</v>
      </c>
      <c r="C492" s="17" t="n">
        <f aca="false">C487/C460</f>
        <v>0.0125349699042727</v>
      </c>
      <c r="D492" s="17" t="n">
        <f aca="false">D487/D460</f>
        <v>0.0145632363293992</v>
      </c>
      <c r="E492" s="17" t="n">
        <f aca="false">E487/E460</f>
        <v>0.0173626391304107</v>
      </c>
      <c r="F492" s="17" t="n">
        <f aca="false">F487/F460</f>
        <v>0.0195625408414532</v>
      </c>
      <c r="G492" s="17" t="n">
        <f aca="false">G487/G460</f>
        <v>0.0211670196891608</v>
      </c>
      <c r="H492" s="28" t="n">
        <f aca="false">$G492+(fade_mA-$G492)*1/3</f>
        <v>0.020088351680042</v>
      </c>
      <c r="I492" s="28" t="n">
        <f aca="false">$G492+(fade_mA-$G492)*2/3</f>
        <v>0.0190096836709231</v>
      </c>
      <c r="J492" s="28" t="n">
        <f aca="false">$G492+(fade_mA-$G492)*3/3</f>
        <v>0.0179310156618042</v>
      </c>
    </row>
    <row r="495" customFormat="false" ht="17.15" hidden="false" customHeight="false" outlineLevel="0" collapsed="false">
      <c r="A495" s="1" t="s">
        <v>880</v>
      </c>
    </row>
    <row r="496" customFormat="false" ht="17.15" hidden="false" customHeight="false" outlineLevel="0" collapsed="false">
      <c r="A496" s="5" t="s">
        <v>17</v>
      </c>
      <c r="B496" s="5" t="s">
        <v>18</v>
      </c>
      <c r="C496" s="14" t="s">
        <v>414</v>
      </c>
      <c r="D496" s="14" t="s">
        <v>529</v>
      </c>
      <c r="E496" s="14" t="s">
        <v>530</v>
      </c>
      <c r="F496" s="14" t="s">
        <v>531</v>
      </c>
      <c r="G496" s="14" t="s">
        <v>532</v>
      </c>
      <c r="H496" s="14" t="s">
        <v>533</v>
      </c>
      <c r="I496" s="14" t="s">
        <v>534</v>
      </c>
      <c r="J496" s="14" t="s">
        <v>535</v>
      </c>
      <c r="K496" s="5" t="s">
        <v>496</v>
      </c>
    </row>
    <row r="497" customFormat="false" ht="17.15" hidden="false" customHeight="false" outlineLevel="0" collapsed="false">
      <c r="A497" s="6" t="s">
        <v>550</v>
      </c>
    </row>
    <row r="498" customFormat="false" ht="17.15" hidden="false" customHeight="false" outlineLevel="0" collapsed="false">
      <c r="A498" s="0" t="s">
        <v>551</v>
      </c>
      <c r="B498" s="0" t="s">
        <v>28</v>
      </c>
      <c r="D498" s="21" t="n">
        <f aca="false">itc_26*1</f>
        <v>781.872916666667</v>
      </c>
      <c r="E498" s="21" t="n">
        <f aca="false">itc_27*1*1</f>
        <v>1565.35</v>
      </c>
      <c r="F498" s="21" t="n">
        <f aca="false">itc_28*um28_A*1</f>
        <v>1984.26388888889</v>
      </c>
      <c r="G498" s="21" t="n">
        <f aca="false">itc_29*um29_A*1</f>
        <v>2260.39027777778</v>
      </c>
    </row>
    <row r="499" customFormat="false" ht="17.15" hidden="false" customHeight="false" outlineLevel="0" collapsed="false">
      <c r="A499" s="4" t="s">
        <v>552</v>
      </c>
      <c r="B499" s="0" t="s">
        <v>28</v>
      </c>
      <c r="D499" s="21" t="n">
        <f aca="false">itpg_gb*(1-vr26)+itpg_vr*vr26</f>
        <v>33.41403216</v>
      </c>
      <c r="E499" s="21" t="n">
        <f aca="false">itpg_vr</f>
        <v>37.586352</v>
      </c>
      <c r="F499" s="21" t="n">
        <f aca="false">itpg_vr</f>
        <v>37.586352</v>
      </c>
      <c r="G499" s="21" t="n">
        <f aca="false">itpg_vr</f>
        <v>37.586352</v>
      </c>
    </row>
    <row r="500" customFormat="false" ht="17.15" hidden="false" customHeight="false" outlineLevel="0" collapsed="false">
      <c r="A500" s="4" t="s">
        <v>553</v>
      </c>
      <c r="B500" s="0" t="s">
        <v>498</v>
      </c>
      <c r="D500" s="22" t="n">
        <f aca="false">D498/D499</f>
        <v>23.3995380420639</v>
      </c>
      <c r="E500" s="22" t="n">
        <f aca="false">E498/E499</f>
        <v>41.6467658260637</v>
      </c>
      <c r="F500" s="22" t="n">
        <f aca="false">F498/F499</f>
        <v>52.792138191248</v>
      </c>
      <c r="G500" s="22" t="n">
        <f aca="false">G498/G499</f>
        <v>60.1385917361116</v>
      </c>
    </row>
    <row r="501" customFormat="false" ht="17.15" hidden="false" customHeight="false" outlineLevel="0" collapsed="false">
      <c r="A501" s="4" t="s">
        <v>554</v>
      </c>
      <c r="B501" s="0" t="s">
        <v>555</v>
      </c>
      <c r="D501" s="18" t="n">
        <f aca="false">(racks_gb*odm_gb*(1-vr26)+racks_vr*odm_vr*vr26)/1000</f>
        <v>27.1209</v>
      </c>
      <c r="E501" s="18" t="n">
        <f aca="false">racks_vr*odm_vr/1000</f>
        <v>27.351</v>
      </c>
      <c r="F501" s="18" t="n">
        <f aca="false">$E501*vpg_28</f>
        <v>27.351</v>
      </c>
      <c r="G501" s="18" t="n">
        <f aca="false">$E501*vpg_29</f>
        <v>27.351</v>
      </c>
      <c r="K501" s="4" t="s">
        <v>556</v>
      </c>
    </row>
    <row r="502" customFormat="false" ht="17.15" hidden="false" customHeight="false" outlineLevel="0" collapsed="false">
      <c r="A502" s="0" t="s">
        <v>557</v>
      </c>
      <c r="B502" s="0" t="s">
        <v>28</v>
      </c>
      <c r="D502" s="21" t="n">
        <f aca="false">D500*D501</f>
        <v>634.616531285011</v>
      </c>
      <c r="E502" s="21" t="n">
        <f aca="false">E500*E501</f>
        <v>1139.08069210867</v>
      </c>
      <c r="F502" s="21" t="n">
        <f aca="false">F500*F501</f>
        <v>1443.91777166882</v>
      </c>
      <c r="G502" s="21" t="n">
        <f aca="false">G500*G501</f>
        <v>1644.85062257439</v>
      </c>
    </row>
    <row r="503" customFormat="false" ht="17.15" hidden="false" customHeight="false" outlineLevel="0" collapsed="false">
      <c r="A503" s="0" t="s">
        <v>558</v>
      </c>
      <c r="B503" s="0" t="s">
        <v>147</v>
      </c>
      <c r="D503" s="21" t="n">
        <f aca="false">D502*fx</f>
        <v>20307.7290011204</v>
      </c>
      <c r="E503" s="21" t="n">
        <f aca="false">E502*fx</f>
        <v>36450.5821474774</v>
      </c>
      <c r="F503" s="21" t="n">
        <f aca="false">F502*fx</f>
        <v>46205.3686934024</v>
      </c>
      <c r="G503" s="21" t="n">
        <f aca="false">G502*fx</f>
        <v>52635.2199223804</v>
      </c>
    </row>
    <row r="504" customFormat="false" ht="17.15" hidden="false" customHeight="false" outlineLevel="0" collapsed="false">
      <c r="A504" s="6" t="s">
        <v>559</v>
      </c>
    </row>
    <row r="505" customFormat="false" ht="17.15" hidden="false" customHeight="false" outlineLevel="0" collapsed="false">
      <c r="A505" s="4" t="s">
        <v>560</v>
      </c>
      <c r="B505" s="0" t="s">
        <v>48</v>
      </c>
      <c r="D505" s="20" t="n">
        <f aca="false">a26_ais/D503</f>
        <v>0.0875096501918446</v>
      </c>
      <c r="K505" s="8" t="s">
        <v>561</v>
      </c>
    </row>
    <row r="506" customFormat="false" ht="17.15" hidden="false" customHeight="false" outlineLevel="0" collapsed="false">
      <c r="A506" s="4" t="s">
        <v>562</v>
      </c>
      <c r="B506" s="0" t="s">
        <v>60</v>
      </c>
      <c r="D506" s="18" t="n">
        <f aca="false">1</f>
        <v>1</v>
      </c>
      <c r="E506" s="18" t="n">
        <f aca="false">rel_27</f>
        <v>1</v>
      </c>
      <c r="F506" s="18" t="n">
        <f aca="false">rel_28</f>
        <v>0.95</v>
      </c>
      <c r="G506" s="18" t="n">
        <f aca="false">rel_29</f>
        <v>0.9</v>
      </c>
    </row>
    <row r="507" customFormat="false" ht="17.15" hidden="false" customHeight="false" outlineLevel="0" collapsed="false">
      <c r="A507" s="4" t="s">
        <v>563</v>
      </c>
      <c r="B507" s="0" t="s">
        <v>48</v>
      </c>
      <c r="D507" s="20" t="n">
        <f aca="false">$D$505*D506</f>
        <v>0.0875096501918446</v>
      </c>
      <c r="E507" s="20" t="n">
        <f aca="false">$D$505*E506</f>
        <v>0.0875096501918446</v>
      </c>
      <c r="F507" s="20" t="n">
        <f aca="false">$D$505*F506</f>
        <v>0.0831341676822524</v>
      </c>
      <c r="G507" s="20" t="n">
        <f aca="false">$D$505*G506</f>
        <v>0.0787586851726601</v>
      </c>
    </row>
    <row r="508" customFormat="false" ht="17.15" hidden="false" customHeight="false" outlineLevel="0" collapsed="false">
      <c r="A508" s="4" t="s">
        <v>564</v>
      </c>
      <c r="B508" s="0" t="s">
        <v>147</v>
      </c>
      <c r="D508" s="21" t="n">
        <f aca="false">D503*D507</f>
        <v>1777.12226107882</v>
      </c>
      <c r="E508" s="21" t="n">
        <f aca="false">E503*E507</f>
        <v>3189.77769301484</v>
      </c>
      <c r="F508" s="21" t="n">
        <f aca="false">F503*F507</f>
        <v>3841.24486877761</v>
      </c>
      <c r="G508" s="21" t="n">
        <f aca="false">G503*G507</f>
        <v>4145.48071486049</v>
      </c>
    </row>
    <row r="509" customFormat="false" ht="17.15" hidden="false" customHeight="false" outlineLevel="0" collapsed="false">
      <c r="A509" s="4" t="s">
        <v>565</v>
      </c>
      <c r="B509" s="0" t="s">
        <v>48</v>
      </c>
      <c r="D509" s="20" t="n">
        <f aca="false">0</f>
        <v>0</v>
      </c>
      <c r="E509" s="20" t="n">
        <f aca="false">cs_27</f>
        <v>0.1</v>
      </c>
      <c r="F509" s="20" t="n">
        <f aca="false">cs_28</f>
        <v>0.2</v>
      </c>
      <c r="G509" s="20" t="n">
        <f aca="false">cs_29</f>
        <v>0.25</v>
      </c>
      <c r="K509" s="8" t="s">
        <v>566</v>
      </c>
    </row>
    <row r="510" customFormat="false" ht="17.15" hidden="false" customHeight="false" outlineLevel="0" collapsed="false">
      <c r="A510" s="4" t="s">
        <v>567</v>
      </c>
      <c r="B510" s="0" t="s">
        <v>147</v>
      </c>
      <c r="D510" s="21" t="n">
        <f aca="false">D508*(1-D509)</f>
        <v>1777.12226107882</v>
      </c>
      <c r="E510" s="21" t="n">
        <f aca="false">E508*(1-E509)</f>
        <v>2870.79992371336</v>
      </c>
      <c r="F510" s="21" t="n">
        <f aca="false">F508*(1-F509)</f>
        <v>3072.99589502208</v>
      </c>
      <c r="G510" s="21" t="n">
        <f aca="false">G508*(1-G509)</f>
        <v>3109.11053614536</v>
      </c>
    </row>
    <row r="511" customFormat="false" ht="17.15" hidden="false" customHeight="false" outlineLevel="0" collapsed="false">
      <c r="A511" s="6" t="s">
        <v>568</v>
      </c>
    </row>
    <row r="512" customFormat="false" ht="17.15" hidden="false" customHeight="false" outlineLevel="0" collapsed="false">
      <c r="A512" s="0" t="s">
        <v>569</v>
      </c>
      <c r="B512" s="4" t="s">
        <v>81</v>
      </c>
      <c r="D512" s="18" t="n">
        <f aca="false">gu_26*1</f>
        <v>8.35</v>
      </c>
      <c r="E512" s="18" t="n">
        <f aca="false">gu_27*1*1</f>
        <v>11.2</v>
      </c>
      <c r="F512" s="18" t="n">
        <f aca="false">gu_28*um28_A*1</f>
        <v>11.5</v>
      </c>
      <c r="G512" s="18" t="n">
        <f aca="false">gu_29*um29_A*1</f>
        <v>12.9</v>
      </c>
    </row>
    <row r="513" customFormat="false" ht="15" hidden="false" customHeight="false" outlineLevel="0" collapsed="false">
      <c r="A513" s="4" t="s">
        <v>570</v>
      </c>
      <c r="B513" s="0" t="s">
        <v>48</v>
      </c>
      <c r="D513" s="20" t="n">
        <f aca="false">bsh_26</f>
        <v>0.5</v>
      </c>
      <c r="E513" s="20" t="n">
        <f aca="false">bsh_26*brel_27</f>
        <v>0.5</v>
      </c>
      <c r="F513" s="20" t="n">
        <f aca="false">bsh_26*brel_28</f>
        <v>0.475</v>
      </c>
      <c r="G513" s="20" t="n">
        <f aca="false">bsh_26*brel_29</f>
        <v>0.45</v>
      </c>
    </row>
    <row r="514" customFormat="false" ht="17.15" hidden="false" customHeight="false" outlineLevel="0" collapsed="false">
      <c r="A514" s="4" t="s">
        <v>571</v>
      </c>
      <c r="B514" s="0" t="s">
        <v>520</v>
      </c>
      <c r="D514" s="24" t="n">
        <f aca="false">a26_brd/fx/D512/D513*1000</f>
        <v>823.353293413174</v>
      </c>
      <c r="E514" s="24" t="n">
        <f aca="false">$D514*bv_27</f>
        <v>946.85628742515</v>
      </c>
      <c r="F514" s="24" t="n">
        <f aca="false">$D514*bv_28</f>
        <v>988.023952095808</v>
      </c>
      <c r="G514" s="24" t="n">
        <f aca="false">$D514*bv_29</f>
        <v>988.023952095808</v>
      </c>
      <c r="K514" s="8" t="s">
        <v>572</v>
      </c>
    </row>
    <row r="515" customFormat="false" ht="17.15" hidden="false" customHeight="false" outlineLevel="0" collapsed="false">
      <c r="A515" s="0" t="s">
        <v>522</v>
      </c>
      <c r="B515" s="0" t="s">
        <v>147</v>
      </c>
      <c r="D515" s="21" t="n">
        <f aca="false">D512*D513*D514*fx/1000</f>
        <v>110</v>
      </c>
      <c r="E515" s="21" t="n">
        <f aca="false">E512*E513*E514*fx/1000</f>
        <v>169.676646706587</v>
      </c>
      <c r="F515" s="21" t="n">
        <f aca="false">F512*F513*F514*fx/1000</f>
        <v>172.706586826347</v>
      </c>
      <c r="G515" s="21" t="n">
        <f aca="false">G512*G513*G514*fx/1000</f>
        <v>183.535329341317</v>
      </c>
    </row>
    <row r="516" customFormat="false" ht="17.15" hidden="false" customHeight="false" outlineLevel="0" collapsed="false">
      <c r="A516" s="6" t="s">
        <v>573</v>
      </c>
    </row>
    <row r="517" customFormat="false" ht="15" hidden="false" customHeight="false" outlineLevel="0" collapsed="false">
      <c r="A517" s="4" t="s">
        <v>574</v>
      </c>
      <c r="B517" s="0" t="s">
        <v>147</v>
      </c>
      <c r="D517" s="21" t="n">
        <f aca="false">a26_gen</f>
        <v>150</v>
      </c>
      <c r="E517" s="21" t="n">
        <f aca="false">D517*(1+g_gen27)</f>
        <v>180</v>
      </c>
      <c r="F517" s="21" t="n">
        <f aca="false">E517*(1+g_gen28)</f>
        <v>198</v>
      </c>
      <c r="G517" s="21" t="n">
        <f aca="false">F517*(1+g_gen29)</f>
        <v>213.84</v>
      </c>
    </row>
    <row r="518" customFormat="false" ht="15" hidden="false" customHeight="false" outlineLevel="0" collapsed="false">
      <c r="A518" s="4" t="s">
        <v>575</v>
      </c>
      <c r="B518" s="0" t="s">
        <v>147</v>
      </c>
      <c r="D518" s="21" t="n">
        <f aca="false">a26_pc</f>
        <v>614.602793131557</v>
      </c>
      <c r="E518" s="21" t="n">
        <f aca="false">D518*(1+g_pc27)</f>
        <v>596.16470933761</v>
      </c>
      <c r="F518" s="21" t="n">
        <f aca="false">E518*(1+g_pc28)</f>
        <v>596.16470933761</v>
      </c>
      <c r="G518" s="21" t="n">
        <f aca="false">F518*(1+g_pc29)</f>
        <v>596.16470933761</v>
      </c>
    </row>
    <row r="519" customFormat="false" ht="15" hidden="false" customHeight="false" outlineLevel="0" collapsed="false">
      <c r="A519" s="4" t="s">
        <v>576</v>
      </c>
      <c r="B519" s="0" t="s">
        <v>147</v>
      </c>
      <c r="C519" s="21" t="n">
        <f aca="false">a25_srev</f>
        <v>1235.86</v>
      </c>
      <c r="D519" s="21" t="n">
        <f aca="false">D510+D515+D517+D518</f>
        <v>2651.72505421038</v>
      </c>
      <c r="E519" s="21" t="n">
        <f aca="false">E510+E515+E517+E518</f>
        <v>3816.64127975755</v>
      </c>
      <c r="F519" s="21" t="n">
        <f aca="false">F510+F515+F517+F518</f>
        <v>4039.86719118604</v>
      </c>
      <c r="G519" s="21" t="n">
        <f aca="false">G510+G515+G517+G518</f>
        <v>4102.65057482429</v>
      </c>
    </row>
    <row r="520" customFormat="false" ht="17.15" hidden="false" customHeight="false" outlineLevel="0" collapsed="false">
      <c r="A520" s="4" t="s">
        <v>577</v>
      </c>
      <c r="B520" s="0" t="s">
        <v>48</v>
      </c>
      <c r="D520" s="20" t="n">
        <f aca="false">a26_wai/D503</f>
        <v>0.0391523244650416</v>
      </c>
      <c r="K520" s="8" t="s">
        <v>578</v>
      </c>
    </row>
    <row r="521" customFormat="false" ht="17.15" hidden="false" customHeight="false" outlineLevel="0" collapsed="false">
      <c r="A521" s="4" t="s">
        <v>504</v>
      </c>
      <c r="B521" s="0" t="s">
        <v>48</v>
      </c>
      <c r="D521" s="20" t="n">
        <f aca="false">D520</f>
        <v>0.0391523244650416</v>
      </c>
      <c r="E521" s="20" t="n">
        <f aca="false">$D$520*wrel_27</f>
        <v>0.0391523244650416</v>
      </c>
      <c r="F521" s="20" t="n">
        <f aca="false">$D$520*wrel_28</f>
        <v>0.0391523244650416</v>
      </c>
      <c r="G521" s="20" t="n">
        <f aca="false">$D$520*wrel_29</f>
        <v>0.0371947082417896</v>
      </c>
    </row>
    <row r="522" customFormat="false" ht="17.15" hidden="false" customHeight="false" outlineLevel="0" collapsed="false">
      <c r="A522" s="4" t="s">
        <v>524</v>
      </c>
      <c r="B522" s="0" t="s">
        <v>147</v>
      </c>
      <c r="D522" s="21" t="n">
        <f aca="false">D503*D521</f>
        <v>795.094795</v>
      </c>
      <c r="E522" s="21" t="n">
        <f aca="false">E503*E521</f>
        <v>1427.12501917769</v>
      </c>
      <c r="F522" s="21" t="n">
        <f aca="false">F503*F521</f>
        <v>1809.04758711097</v>
      </c>
      <c r="G522" s="21" t="n">
        <f aca="false">G503*G521</f>
        <v>1957.75164825537</v>
      </c>
    </row>
    <row r="523" customFormat="false" ht="17.15" hidden="false" customHeight="false" outlineLevel="0" collapsed="false">
      <c r="A523" s="4" t="s">
        <v>579</v>
      </c>
      <c r="B523" s="0" t="s">
        <v>147</v>
      </c>
      <c r="D523" s="21" t="n">
        <f aca="false">a26_wna</f>
        <v>650.532105</v>
      </c>
      <c r="E523" s="21" t="n">
        <f aca="false">D523*(1+g_wn27)</f>
        <v>715.5853155</v>
      </c>
      <c r="F523" s="21" t="n">
        <f aca="false">E523*(1+g_wn28)</f>
        <v>758.52043443</v>
      </c>
      <c r="G523" s="21" t="n">
        <f aca="false">F523*(1+g_wn29)</f>
        <v>796.4464561515</v>
      </c>
    </row>
    <row r="524" customFormat="false" ht="15" hidden="false" customHeight="false" outlineLevel="0" collapsed="false">
      <c r="A524" s="4" t="s">
        <v>434</v>
      </c>
      <c r="B524" s="0" t="s">
        <v>147</v>
      </c>
      <c r="C524" s="21" t="n">
        <f aca="false">a25_wrev</f>
        <v>950.663</v>
      </c>
      <c r="D524" s="21" t="n">
        <f aca="false">D522+D523</f>
        <v>1445.6269</v>
      </c>
      <c r="E524" s="21" t="n">
        <f aca="false">E522+E523</f>
        <v>2142.71033467769</v>
      </c>
      <c r="F524" s="21" t="n">
        <f aca="false">F522+F523</f>
        <v>2567.56802154097</v>
      </c>
      <c r="G524" s="21" t="n">
        <f aca="false">G522+G523</f>
        <v>2754.19810440687</v>
      </c>
    </row>
    <row r="525" customFormat="false" ht="17.15" hidden="false" customHeight="false" outlineLevel="0" collapsed="false">
      <c r="A525" s="4" t="s">
        <v>420</v>
      </c>
      <c r="B525" s="0" t="s">
        <v>147</v>
      </c>
      <c r="C525" s="21" t="n">
        <f aca="false">C519+C524</f>
        <v>2186.523</v>
      </c>
      <c r="D525" s="21" t="n">
        <f aca="false">D519+D524</f>
        <v>4097.35195421038</v>
      </c>
      <c r="E525" s="21" t="n">
        <f aca="false">E519+E524</f>
        <v>5959.35161443524</v>
      </c>
      <c r="F525" s="21" t="n">
        <f aca="false">F519+F524</f>
        <v>6607.43521272701</v>
      </c>
      <c r="G525" s="21" t="n">
        <f aca="false">G519+G524</f>
        <v>6856.84867923116</v>
      </c>
      <c r="H525" s="26" t="n">
        <f aca="false">G525*(1+H526)</f>
        <v>7166.53776956726</v>
      </c>
      <c r="I525" s="26" t="n">
        <f aca="false">H525*(1+I526)</f>
        <v>7543.37199085936</v>
      </c>
      <c r="J525" s="26" t="n">
        <f aca="false">I525*(1+J526)</f>
        <v>7995.97431031092</v>
      </c>
      <c r="K525" s="8" t="s">
        <v>580</v>
      </c>
    </row>
    <row r="526" customFormat="false" ht="15" hidden="false" customHeight="false" outlineLevel="0" collapsed="false">
      <c r="A526" s="4" t="s">
        <v>581</v>
      </c>
      <c r="B526" s="0" t="s">
        <v>48</v>
      </c>
      <c r="D526" s="20" t="n">
        <f aca="false">D525/C525-1</f>
        <v>0.873912121761526</v>
      </c>
      <c r="E526" s="20" t="n">
        <f aca="false">E525/D525-1</f>
        <v>0.454439765251677</v>
      </c>
      <c r="F526" s="20" t="n">
        <f aca="false">F525/E525-1</f>
        <v>0.108750689709586</v>
      </c>
      <c r="G526" s="20" t="n">
        <f aca="false">G525/F525-1</f>
        <v>0.0377473949383174</v>
      </c>
      <c r="H526" s="27" t="n">
        <f aca="false">$G526+(fade_gA-$G526)*1/3</f>
        <v>0.0451649299588782</v>
      </c>
      <c r="I526" s="27" t="n">
        <f aca="false">$G526+(fade_gA-$G526)*2/3</f>
        <v>0.0525824649794391</v>
      </c>
      <c r="J526" s="27" t="n">
        <f aca="false">$G526+(fade_gA-$G526)*3/3</f>
        <v>0.06</v>
      </c>
    </row>
    <row r="527" customFormat="false" ht="17.15" hidden="false" customHeight="false" outlineLevel="0" collapsed="false">
      <c r="A527" s="0" t="s">
        <v>582</v>
      </c>
      <c r="B527" s="0" t="s">
        <v>48</v>
      </c>
      <c r="D527" s="20" t="n">
        <f aca="false">(D510+D515+D522)/D525</f>
        <v>0.6546220793463</v>
      </c>
      <c r="E527" s="20" t="n">
        <f aca="false">(E510+E515+E522)/E525</f>
        <v>0.749679139384196</v>
      </c>
      <c r="F527" s="20" t="n">
        <f aca="false">(F510+F515+F522)/F525</f>
        <v>0.76500940322852</v>
      </c>
      <c r="G527" s="20" t="n">
        <f aca="false">(G510+G515+G522)/G525</f>
        <v>0.765715820686707</v>
      </c>
    </row>
    <row r="528" customFormat="false" ht="17.15" hidden="false" customHeight="false" outlineLevel="0" collapsed="false">
      <c r="A528" s="4" t="s">
        <v>583</v>
      </c>
      <c r="B528" s="0" t="s">
        <v>48</v>
      </c>
      <c r="C528" s="20" t="n">
        <f aca="false">C524/C525</f>
        <v>0.434782986504144</v>
      </c>
      <c r="D528" s="20" t="n">
        <f aca="false">D524/D525</f>
        <v>0.352819800728736</v>
      </c>
      <c r="E528" s="20" t="n">
        <f aca="false">E524/E525</f>
        <v>0.359554272563384</v>
      </c>
      <c r="F528" s="20" t="n">
        <f aca="false">F524/F525</f>
        <v>0.388587695358012</v>
      </c>
      <c r="G528" s="20" t="n">
        <f aca="false">G524/G525</f>
        <v>0.40167112229691</v>
      </c>
    </row>
    <row r="529" customFormat="false" ht="17.15" hidden="false" customHeight="false" outlineLevel="0" collapsed="false">
      <c r="A529" s="4" t="s">
        <v>584</v>
      </c>
      <c r="B529" s="4" t="s">
        <v>331</v>
      </c>
      <c r="D529" s="21" t="n">
        <f aca="false">D508/fx/(odm_gb*(1-vr26)+odm_vr*vr26)</f>
        <v>12.0597330420658</v>
      </c>
      <c r="E529" s="21" t="n">
        <f aca="false">E508/fx/odm_vr</f>
        <v>14.7674893195131</v>
      </c>
      <c r="F529" s="21" t="n">
        <f aca="false">F508/fx/odm_vr</f>
        <v>17.7835410591556</v>
      </c>
      <c r="G529" s="21" t="n">
        <f aca="false">G508/fx/odm_vr</f>
        <v>19.1920403465763</v>
      </c>
      <c r="K529" s="4" t="s">
        <v>585</v>
      </c>
    </row>
    <row r="530" customFormat="false" ht="17.15" hidden="false" customHeight="false" outlineLevel="0" collapsed="false">
      <c r="A530" s="6" t="s">
        <v>586</v>
      </c>
    </row>
    <row r="531" customFormat="false" ht="17.15" hidden="false" customHeight="false" outlineLevel="0" collapsed="false">
      <c r="A531" s="4" t="s">
        <v>587</v>
      </c>
      <c r="B531" s="0" t="s">
        <v>48</v>
      </c>
      <c r="D531" s="17" t="n">
        <f aca="false">(a26_sgp-d_ai*D510-d_brd*D515-d_gen*D517)/D519</f>
        <v>0.0436423860147897</v>
      </c>
      <c r="K531" s="8" t="s">
        <v>588</v>
      </c>
    </row>
    <row r="532" customFormat="false" ht="17.15" hidden="false" customHeight="false" outlineLevel="0" collapsed="false">
      <c r="A532" s="4" t="s">
        <v>589</v>
      </c>
      <c r="B532" s="0" t="s">
        <v>147</v>
      </c>
      <c r="D532" s="25" t="n">
        <f aca="false">($D$531+d_ai)*D508*(1-D509*(1-keep_lo))</f>
        <v>59.7866331026896</v>
      </c>
      <c r="E532" s="25" t="n">
        <f aca="false">($D$531+d_ai+vrd)*E508*(1-E509*(1-keep_lo))</f>
        <v>97.9042117518287</v>
      </c>
      <c r="F532" s="25" t="n">
        <f aca="false">($D$531+d_ai+vrd)*F508*(1-F509*(1-keep_lo))</f>
        <v>114.25338374028</v>
      </c>
      <c r="G532" s="25" t="n">
        <f aca="false">($D$531+d_ai+vrd)*G508*(1-G509*(1-keep_lo))</f>
        <v>121.334933421746</v>
      </c>
    </row>
    <row r="533" customFormat="false" ht="15" hidden="false" customHeight="false" outlineLevel="0" collapsed="false">
      <c r="A533" s="4" t="s">
        <v>590</v>
      </c>
      <c r="B533" s="0" t="s">
        <v>147</v>
      </c>
      <c r="C533" s="21" t="n">
        <f aca="false">a25_sgp</f>
        <v>55.529</v>
      </c>
      <c r="D533" s="21" t="n">
        <f aca="false">a26_sgp</f>
        <v>103.50638581015</v>
      </c>
      <c r="E533" s="21" t="n">
        <f aca="false">$D$531*E518+($D$531+d_brd)*E515+($D$531+d_gen)*E517+E532</f>
        <v>146.973284722259</v>
      </c>
      <c r="F533" s="21" t="n">
        <f aca="false">$D$531*F518+($D$531+d_brd)*F515+($D$531+d_gen)*F517+F532</f>
        <v>164.601151678878</v>
      </c>
      <c r="G533" s="21" t="n">
        <f aca="false">$D$531*G518+($D$531+d_brd)*G515+($D$531+d_gen)*G517+G532</f>
        <v>173.40905119116</v>
      </c>
    </row>
    <row r="534" customFormat="false" ht="15" hidden="false" customHeight="false" outlineLevel="0" collapsed="false">
      <c r="A534" s="4" t="s">
        <v>591</v>
      </c>
      <c r="B534" s="0" t="s">
        <v>48</v>
      </c>
      <c r="C534" s="17" t="n">
        <f aca="false">C533/C519</f>
        <v>0.0449314647290146</v>
      </c>
      <c r="D534" s="17" t="n">
        <f aca="false">D533/D519</f>
        <v>0.0390336040479778</v>
      </c>
      <c r="E534" s="17" t="n">
        <f aca="false">E533/E519</f>
        <v>0.0385085403498009</v>
      </c>
      <c r="F534" s="17" t="n">
        <f aca="false">F533/F519</f>
        <v>0.0407441987296007</v>
      </c>
      <c r="G534" s="17" t="n">
        <f aca="false">G533/G519</f>
        <v>0.042267565328443</v>
      </c>
    </row>
    <row r="535" customFormat="false" ht="15" hidden="false" customHeight="false" outlineLevel="0" collapsed="false">
      <c r="A535" s="4" t="s">
        <v>592</v>
      </c>
      <c r="B535" s="0" t="s">
        <v>48</v>
      </c>
      <c r="E535" s="20" t="n">
        <f aca="false">MAX(0,phi*(E519/D519-1))</f>
        <v>0.13179151703879</v>
      </c>
      <c r="F535" s="20" t="n">
        <f aca="false">MAX(0,phi*(F519/E519-1))</f>
        <v>0.0175462582202121</v>
      </c>
      <c r="G535" s="20" t="n">
        <f aca="false">MAX(0,phi*(G519/F519-1))</f>
        <v>0.00466228571388885</v>
      </c>
    </row>
    <row r="536" customFormat="false" ht="15" hidden="false" customHeight="false" outlineLevel="0" collapsed="false">
      <c r="A536" s="4" t="s">
        <v>593</v>
      </c>
      <c r="B536" s="0" t="s">
        <v>147</v>
      </c>
      <c r="C536" s="21" t="n">
        <f aca="false">a25_sopx</f>
        <v>40.894</v>
      </c>
      <c r="D536" s="21" t="n">
        <f aca="false">a26_sopx</f>
        <v>46.9914095398923</v>
      </c>
      <c r="E536" s="21" t="n">
        <f aca="false">D536*(1+E535)+0*E519</f>
        <v>53.1844786909457</v>
      </c>
      <c r="F536" s="21" t="n">
        <f aca="false">E536*(1+F535)+0*F519</f>
        <v>54.1176672873644</v>
      </c>
      <c r="G536" s="21" t="n">
        <f aca="false">F536*(1+G535)+0*G519</f>
        <v>54.3699793144273</v>
      </c>
    </row>
    <row r="537" customFormat="false" ht="15" hidden="false" customHeight="false" outlineLevel="0" collapsed="false">
      <c r="A537" s="4" t="s">
        <v>594</v>
      </c>
      <c r="B537" s="0" t="s">
        <v>147</v>
      </c>
      <c r="C537" s="21" t="n">
        <f aca="false">C533-C536</f>
        <v>14.635</v>
      </c>
      <c r="D537" s="21" t="n">
        <f aca="false">D533-D536</f>
        <v>56.514976270258</v>
      </c>
      <c r="E537" s="21" t="n">
        <f aca="false">E533-E536</f>
        <v>93.7888060313136</v>
      </c>
      <c r="F537" s="21" t="n">
        <f aca="false">F533-F536</f>
        <v>110.483484391513</v>
      </c>
      <c r="G537" s="21" t="n">
        <f aca="false">G533-G536</f>
        <v>119.039071876733</v>
      </c>
    </row>
    <row r="538" customFormat="false" ht="15" hidden="false" customHeight="false" outlineLevel="0" collapsed="false">
      <c r="A538" s="4" t="s">
        <v>595</v>
      </c>
      <c r="B538" s="0" t="s">
        <v>48</v>
      </c>
      <c r="C538" s="17" t="n">
        <f aca="false">C537/C519</f>
        <v>0.011841956208632</v>
      </c>
      <c r="D538" s="17" t="n">
        <f aca="false">D537/D519</f>
        <v>0.0213125324514788</v>
      </c>
      <c r="E538" s="17" t="n">
        <f aca="false">E537/E519</f>
        <v>0.0245736497503039</v>
      </c>
      <c r="F538" s="17" t="n">
        <f aca="false">F537/F519</f>
        <v>0.0273482961599728</v>
      </c>
      <c r="G538" s="17" t="n">
        <f aca="false">G537/G519</f>
        <v>0.0290151621995814</v>
      </c>
    </row>
    <row r="539" customFormat="false" ht="15" hidden="false" customHeight="false" outlineLevel="0" collapsed="false">
      <c r="A539" s="4" t="s">
        <v>596</v>
      </c>
      <c r="B539" s="0" t="s">
        <v>147</v>
      </c>
      <c r="C539" s="21" t="n">
        <f aca="false">a25_sni</f>
        <v>6.9608</v>
      </c>
      <c r="D539" s="21" t="n">
        <f aca="false">a26_sni</f>
        <v>31.133746704</v>
      </c>
      <c r="E539" s="21" t="n">
        <f aca="false">E537*snio</f>
        <v>52.5217313775356</v>
      </c>
      <c r="F539" s="21" t="n">
        <f aca="false">F537*snio</f>
        <v>61.8707512592474</v>
      </c>
      <c r="G539" s="21" t="n">
        <f aca="false">G537*snio</f>
        <v>66.6618802509704</v>
      </c>
    </row>
    <row r="540" customFormat="false" ht="17.15" hidden="false" customHeight="false" outlineLevel="0" collapsed="false">
      <c r="A540" s="6" t="s">
        <v>597</v>
      </c>
    </row>
    <row r="541" customFormat="false" ht="15" hidden="false" customHeight="false" outlineLevel="0" collapsed="false">
      <c r="A541" s="4" t="s">
        <v>438</v>
      </c>
      <c r="B541" s="0" t="s">
        <v>147</v>
      </c>
      <c r="C541" s="21" t="n">
        <f aca="false">a25_wgp</f>
        <v>78.454</v>
      </c>
      <c r="D541" s="21" t="n">
        <f aca="false">a26_wgp</f>
        <v>125.0519932</v>
      </c>
      <c r="E541" s="21" t="n">
        <f aca="false">E524*wgm</f>
        <v>182.130378447603</v>
      </c>
      <c r="F541" s="21" t="n">
        <f aca="false">F524*wgm</f>
        <v>218.243281830982</v>
      </c>
      <c r="G541" s="21" t="n">
        <f aca="false">G524*wgm</f>
        <v>234.106838874584</v>
      </c>
    </row>
    <row r="542" customFormat="false" ht="15" hidden="false" customHeight="false" outlineLevel="0" collapsed="false">
      <c r="A542" s="4" t="s">
        <v>440</v>
      </c>
      <c r="B542" s="0" t="s">
        <v>147</v>
      </c>
      <c r="C542" s="21" t="n">
        <f aca="false">a25_woi</f>
        <v>63.918</v>
      </c>
      <c r="D542" s="21" t="n">
        <f aca="false">a26_woi</f>
        <v>98.2471632</v>
      </c>
      <c r="E542" s="21" t="n">
        <f aca="false">E524*wopm</f>
        <v>139.27617175405</v>
      </c>
      <c r="F542" s="21" t="n">
        <f aca="false">F524*wopm</f>
        <v>166.891921400163</v>
      </c>
      <c r="G542" s="21" t="n">
        <f aca="false">G524*wopm</f>
        <v>179.022876786446</v>
      </c>
    </row>
    <row r="543" customFormat="false" ht="15" hidden="false" customHeight="false" outlineLevel="0" collapsed="false">
      <c r="A543" s="4" t="s">
        <v>448</v>
      </c>
      <c r="B543" s="0" t="s">
        <v>147</v>
      </c>
      <c r="C543" s="21" t="n">
        <f aca="false">a25_wni</f>
        <v>51.118</v>
      </c>
      <c r="D543" s="21" t="n">
        <f aca="false">a26_wni</f>
        <v>75.735026884</v>
      </c>
      <c r="E543" s="21" t="n">
        <f aca="false">E542*wnio</f>
        <v>108.635413968159</v>
      </c>
      <c r="F543" s="21" t="n">
        <f aca="false">F542*wnio</f>
        <v>130.175698692127</v>
      </c>
      <c r="G543" s="21" t="n">
        <f aca="false">G542*wnio</f>
        <v>139.637843893428</v>
      </c>
    </row>
    <row r="544" customFormat="false" ht="15" hidden="false" customHeight="false" outlineLevel="0" collapsed="false">
      <c r="A544" s="4" t="s">
        <v>450</v>
      </c>
      <c r="B544" s="0" t="s">
        <v>48</v>
      </c>
      <c r="C544" s="17" t="n">
        <f aca="false">stake25</f>
        <v>0.4</v>
      </c>
      <c r="D544" s="17" t="n">
        <f aca="false">stake</f>
        <v>0.3768</v>
      </c>
      <c r="E544" s="17" t="n">
        <f aca="false">stake</f>
        <v>0.3768</v>
      </c>
      <c r="F544" s="17" t="n">
        <f aca="false">stake</f>
        <v>0.3768</v>
      </c>
      <c r="G544" s="17" t="n">
        <f aca="false">stake</f>
        <v>0.3768</v>
      </c>
    </row>
    <row r="545" customFormat="false" ht="17.15" hidden="false" customHeight="false" outlineLevel="0" collapsed="false">
      <c r="A545" s="6" t="s">
        <v>598</v>
      </c>
    </row>
    <row r="546" customFormat="false" ht="15" hidden="false" customHeight="false" outlineLevel="0" collapsed="false">
      <c r="A546" s="4" t="s">
        <v>424</v>
      </c>
      <c r="B546" s="0" t="s">
        <v>147</v>
      </c>
      <c r="C546" s="21" t="n">
        <f aca="false">C533+C541</f>
        <v>133.983</v>
      </c>
      <c r="D546" s="21" t="n">
        <f aca="false">D533+D541</f>
        <v>228.55837901015</v>
      </c>
      <c r="E546" s="21" t="n">
        <f aca="false">E533+E541</f>
        <v>329.103663169863</v>
      </c>
      <c r="F546" s="21" t="n">
        <f aca="false">F533+F541</f>
        <v>382.84443350986</v>
      </c>
      <c r="G546" s="21" t="n">
        <f aca="false">G533+G541</f>
        <v>407.515890065744</v>
      </c>
    </row>
    <row r="547" customFormat="false" ht="15" hidden="false" customHeight="false" outlineLevel="0" collapsed="false">
      <c r="A547" s="4" t="s">
        <v>427</v>
      </c>
      <c r="B547" s="0" t="s">
        <v>48</v>
      </c>
      <c r="C547" s="17" t="n">
        <f aca="false">C546/C525</f>
        <v>0.0612767393711386</v>
      </c>
      <c r="D547" s="17" t="n">
        <f aca="false">D546/D525</f>
        <v>0.055781973714825</v>
      </c>
      <c r="E547" s="17" t="n">
        <f aca="false">E546/E525</f>
        <v>0.0552247433047381</v>
      </c>
      <c r="F547" s="17" t="n">
        <f aca="false">F546/F525</f>
        <v>0.0579414585514873</v>
      </c>
      <c r="G547" s="17" t="n">
        <f aca="false">G546/G525</f>
        <v>0.0594319503214467</v>
      </c>
    </row>
    <row r="548" customFormat="false" ht="15" hidden="false" customHeight="false" outlineLevel="0" collapsed="false">
      <c r="A548" s="4" t="s">
        <v>428</v>
      </c>
      <c r="B548" s="0" t="s">
        <v>147</v>
      </c>
      <c r="C548" s="21" t="n">
        <f aca="false">C537+C542</f>
        <v>78.553</v>
      </c>
      <c r="D548" s="21" t="n">
        <f aca="false">D537+D542</f>
        <v>154.762139470258</v>
      </c>
      <c r="E548" s="21" t="n">
        <f aca="false">E537+E542</f>
        <v>233.064977785363</v>
      </c>
      <c r="F548" s="21" t="n">
        <f aca="false">F537+F542</f>
        <v>277.375405791676</v>
      </c>
      <c r="G548" s="21" t="n">
        <f aca="false">G537+G542</f>
        <v>298.061948663179</v>
      </c>
    </row>
    <row r="549" customFormat="false" ht="15" hidden="false" customHeight="false" outlineLevel="0" collapsed="false">
      <c r="A549" s="4" t="s">
        <v>431</v>
      </c>
      <c r="B549" s="0" t="s">
        <v>48</v>
      </c>
      <c r="C549" s="17" t="n">
        <f aca="false">C548/C525</f>
        <v>0.0359259884300325</v>
      </c>
      <c r="D549" s="17" t="n">
        <f aca="false">D548/D525</f>
        <v>0.0377712584126992</v>
      </c>
      <c r="E549" s="17" t="n">
        <f aca="false">E548/E525</f>
        <v>0.0391091167067259</v>
      </c>
      <c r="F549" s="17" t="n">
        <f aca="false">F548/F525</f>
        <v>0.0419792849814714</v>
      </c>
      <c r="G549" s="17" t="n">
        <f aca="false">G548/G525</f>
        <v>0.0434692323845479</v>
      </c>
    </row>
    <row r="550" customFormat="false" ht="15" hidden="false" customHeight="false" outlineLevel="0" collapsed="false">
      <c r="A550" s="4" t="s">
        <v>461</v>
      </c>
      <c r="B550" s="0" t="s">
        <v>147</v>
      </c>
      <c r="C550" s="21" t="n">
        <f aca="false">C539+C543</f>
        <v>58.0788</v>
      </c>
      <c r="D550" s="21" t="n">
        <f aca="false">D539+D543</f>
        <v>106.868773588</v>
      </c>
      <c r="E550" s="21" t="n">
        <f aca="false">E539+E543</f>
        <v>161.157145345694</v>
      </c>
      <c r="F550" s="21" t="n">
        <f aca="false">F539+F543</f>
        <v>192.046449951374</v>
      </c>
      <c r="G550" s="21" t="n">
        <f aca="false">G539+G543</f>
        <v>206.299724144399</v>
      </c>
    </row>
    <row r="551" customFormat="false" ht="17.15" hidden="false" customHeight="false" outlineLevel="0" collapsed="false">
      <c r="A551" s="4" t="s">
        <v>599</v>
      </c>
      <c r="B551" s="0" t="s">
        <v>147</v>
      </c>
      <c r="C551" s="21" t="n">
        <f aca="false">(1-C544)*C543</f>
        <v>30.6708</v>
      </c>
      <c r="D551" s="21" t="n">
        <f aca="false">(1-D544)*D543</f>
        <v>47.1980687541088</v>
      </c>
      <c r="E551" s="21" t="n">
        <f aca="false">(1-E544)*E543</f>
        <v>67.7015899849565</v>
      </c>
      <c r="F551" s="21" t="n">
        <f aca="false">(1-F544)*F543</f>
        <v>81.1254954249335</v>
      </c>
      <c r="G551" s="21" t="n">
        <f aca="false">(1-G544)*G543</f>
        <v>87.0223043143844</v>
      </c>
    </row>
    <row r="552" customFormat="false" ht="15" hidden="false" customHeight="false" outlineLevel="0" collapsed="false">
      <c r="A552" s="4" t="s">
        <v>457</v>
      </c>
      <c r="B552" s="0" t="s">
        <v>147</v>
      </c>
      <c r="C552" s="21" t="n">
        <f aca="false">C550-C551</f>
        <v>27.408</v>
      </c>
      <c r="D552" s="21" t="n">
        <f aca="false">D550-D551</f>
        <v>59.6707048338912</v>
      </c>
      <c r="E552" s="21" t="n">
        <f aca="false">E550-E551</f>
        <v>93.4555553607378</v>
      </c>
      <c r="F552" s="21" t="n">
        <f aca="false">F550-F551</f>
        <v>110.920954526441</v>
      </c>
      <c r="G552" s="21" t="n">
        <f aca="false">G550-G551</f>
        <v>119.277419830014</v>
      </c>
      <c r="H552" s="26" t="n">
        <f aca="false">H525*H557</f>
        <v>125.944151090549</v>
      </c>
      <c r="I552" s="26" t="n">
        <f aca="false">I525*I557</f>
        <v>133.913463157774</v>
      </c>
      <c r="J552" s="26" t="n">
        <f aca="false">J525*J557</f>
        <v>143.375940589569</v>
      </c>
    </row>
    <row r="553" customFormat="false" ht="17.15" hidden="false" customHeight="false" outlineLevel="0" collapsed="false">
      <c r="A553" s="4" t="s">
        <v>600</v>
      </c>
      <c r="B553" s="0" t="s">
        <v>48</v>
      </c>
      <c r="C553" s="20" t="n">
        <f aca="false">C544*C543/C552</f>
        <v>0.746030356100409</v>
      </c>
      <c r="D553" s="20" t="n">
        <f aca="false">D544*D543/D552</f>
        <v>0.478240674537551</v>
      </c>
      <c r="E553" s="20" t="n">
        <f aca="false">E544*E543/E552</f>
        <v>0.438003110946138</v>
      </c>
      <c r="F553" s="20" t="n">
        <f aca="false">F544*F543/F552</f>
        <v>0.442208629348759</v>
      </c>
      <c r="G553" s="20" t="n">
        <f aca="false">G544*G543/G552</f>
        <v>0.441119028681436</v>
      </c>
    </row>
    <row r="554" customFormat="false" ht="17.15" hidden="false" customHeight="false" outlineLevel="0" collapsed="false">
      <c r="A554" s="4" t="s">
        <v>601</v>
      </c>
      <c r="B554" s="4" t="s">
        <v>282</v>
      </c>
      <c r="C554" s="31" t="n">
        <f aca="false">a25_sh</f>
        <v>3.03185840707965</v>
      </c>
      <c r="D554" s="31" t="n">
        <f aca="false">a26_sh</f>
        <v>3.23861720409076</v>
      </c>
      <c r="E554" s="31" t="n">
        <f aca="false">q_sh4*(1+sh_g)</f>
        <v>3.43</v>
      </c>
      <c r="F554" s="31" t="n">
        <f aca="false">E554*(1+sh_g)</f>
        <v>3.43</v>
      </c>
      <c r="G554" s="31" t="n">
        <f aca="false">F554*(1+sh_g)</f>
        <v>3.43</v>
      </c>
      <c r="H554" s="32" t="n">
        <f aca="false">G554*(1+sh_g)</f>
        <v>3.43</v>
      </c>
      <c r="I554" s="32" t="n">
        <f aca="false">H554*(1+sh_g)</f>
        <v>3.43</v>
      </c>
      <c r="J554" s="32" t="n">
        <f aca="false">I554*(1+sh_g)</f>
        <v>3.43</v>
      </c>
      <c r="K554" s="8" t="s">
        <v>602</v>
      </c>
    </row>
    <row r="555" customFormat="false" ht="15" hidden="false" customHeight="false" outlineLevel="0" collapsed="false">
      <c r="A555" s="0" t="s">
        <v>464</v>
      </c>
      <c r="B555" s="0" t="s">
        <v>312</v>
      </c>
      <c r="C555" s="18" t="n">
        <f aca="false">C552/C554</f>
        <v>9.04</v>
      </c>
      <c r="D555" s="18" t="n">
        <f aca="false">D552/D554</f>
        <v>18.4247476850676</v>
      </c>
      <c r="E555" s="18" t="n">
        <f aca="false">E552/E554</f>
        <v>27.2465175978828</v>
      </c>
      <c r="F555" s="18" t="n">
        <f aca="false">F552/F554</f>
        <v>32.3384707074172</v>
      </c>
      <c r="G555" s="18" t="n">
        <f aca="false">G552/G554</f>
        <v>34.7747579679342</v>
      </c>
      <c r="H555" s="29" t="n">
        <f aca="false">H552/H554</f>
        <v>36.7184113966615</v>
      </c>
      <c r="I555" s="29" t="n">
        <f aca="false">I552/I554</f>
        <v>39.0418259935201</v>
      </c>
      <c r="J555" s="29" t="n">
        <f aca="false">J552/J554</f>
        <v>41.8005657695538</v>
      </c>
    </row>
    <row r="556" customFormat="false" ht="17.15" hidden="false" customHeight="false" outlineLevel="0" collapsed="false">
      <c r="A556" s="0" t="s">
        <v>603</v>
      </c>
      <c r="B556" s="0" t="s">
        <v>48</v>
      </c>
      <c r="D556" s="20" t="n">
        <f aca="false">D555/C555-1</f>
        <v>1.03813580587031</v>
      </c>
      <c r="E556" s="20" t="n">
        <f aca="false">E555/D555-1</f>
        <v>0.478800039143267</v>
      </c>
      <c r="F556" s="20" t="n">
        <f aca="false">F555/E555-1</f>
        <v>0.186884547401026</v>
      </c>
      <c r="G556" s="20" t="n">
        <f aca="false">G555/F555-1</f>
        <v>0.0753371203777487</v>
      </c>
      <c r="H556" s="27" t="n">
        <f aca="false">H555/G555-1</f>
        <v>0.0558926515180815</v>
      </c>
      <c r="I556" s="27" t="n">
        <f aca="false">I555/H555-1</f>
        <v>0.0632765555066954</v>
      </c>
      <c r="J556" s="27" t="n">
        <f aca="false">J555/I555-1</f>
        <v>0.0706611359953195</v>
      </c>
    </row>
    <row r="557" customFormat="false" ht="17.15" hidden="false" customHeight="false" outlineLevel="0" collapsed="false">
      <c r="A557" s="4" t="s">
        <v>604</v>
      </c>
      <c r="B557" s="0" t="s">
        <v>48</v>
      </c>
      <c r="C557" s="17" t="n">
        <f aca="false">C552/C525</f>
        <v>0.0125349699042727</v>
      </c>
      <c r="D557" s="17" t="n">
        <f aca="false">D552/D525</f>
        <v>0.0145632363293992</v>
      </c>
      <c r="E557" s="17" t="n">
        <f aca="false">E552/E525</f>
        <v>0.0156821683644848</v>
      </c>
      <c r="F557" s="17" t="n">
        <f aca="false">F552/F525</f>
        <v>0.0167872935496649</v>
      </c>
      <c r="G557" s="17" t="n">
        <f aca="false">G552/G525</f>
        <v>0.0173953700030301</v>
      </c>
      <c r="H557" s="28" t="n">
        <f aca="false">$G557+(fade_mA-$G557)*1/3</f>
        <v>0.0175739185559548</v>
      </c>
      <c r="I557" s="28" t="n">
        <f aca="false">$G557+(fade_mA-$G557)*2/3</f>
        <v>0.0177524671088795</v>
      </c>
      <c r="J557" s="28" t="n">
        <f aca="false">$G557+(fade_mA-$G557)*3/3</f>
        <v>0.0179310156618042</v>
      </c>
    </row>
    <row r="560" customFormat="false" ht="17.15" hidden="false" customHeight="false" outlineLevel="0" collapsed="false">
      <c r="A560" s="1" t="s">
        <v>881</v>
      </c>
    </row>
    <row r="561" customFormat="false" ht="17.15" hidden="false" customHeight="false" outlineLevel="0" collapsed="false">
      <c r="A561" s="5" t="s">
        <v>17</v>
      </c>
      <c r="B561" s="5" t="s">
        <v>18</v>
      </c>
      <c r="C561" s="14" t="s">
        <v>414</v>
      </c>
      <c r="D561" s="14" t="s">
        <v>529</v>
      </c>
      <c r="E561" s="14" t="s">
        <v>530</v>
      </c>
      <c r="F561" s="14" t="s">
        <v>531</v>
      </c>
      <c r="G561" s="14" t="s">
        <v>532</v>
      </c>
      <c r="H561" s="14" t="s">
        <v>533</v>
      </c>
      <c r="I561" s="14" t="s">
        <v>534</v>
      </c>
      <c r="J561" s="14" t="s">
        <v>535</v>
      </c>
      <c r="K561" s="5" t="s">
        <v>496</v>
      </c>
    </row>
    <row r="562" customFormat="false" ht="17.15" hidden="false" customHeight="false" outlineLevel="0" collapsed="false">
      <c r="A562" s="6" t="s">
        <v>550</v>
      </c>
    </row>
    <row r="563" customFormat="false" ht="17.15" hidden="false" customHeight="false" outlineLevel="0" collapsed="false">
      <c r="A563" s="0" t="s">
        <v>551</v>
      </c>
      <c r="B563" s="0" t="s">
        <v>28</v>
      </c>
      <c r="D563" s="21" t="n">
        <f aca="false">itc_26*1</f>
        <v>781.872916666667</v>
      </c>
      <c r="E563" s="21" t="n">
        <f aca="false">itc_27*1*1</f>
        <v>1565.35</v>
      </c>
      <c r="F563" s="21" t="n">
        <f aca="false">itc_28*um28_A*1</f>
        <v>1984.26388888889</v>
      </c>
      <c r="G563" s="21" t="n">
        <f aca="false">itc_29*um29_A*1</f>
        <v>2260.39027777778</v>
      </c>
    </row>
    <row r="564" customFormat="false" ht="17.15" hidden="false" customHeight="false" outlineLevel="0" collapsed="false">
      <c r="A564" s="4" t="s">
        <v>552</v>
      </c>
      <c r="B564" s="0" t="s">
        <v>28</v>
      </c>
      <c r="D564" s="21" t="n">
        <f aca="false">itpg_gb*(1-vr26)+itpg_vr*vr26</f>
        <v>33.41403216</v>
      </c>
      <c r="E564" s="21" t="n">
        <f aca="false">itpg_vr</f>
        <v>37.586352</v>
      </c>
      <c r="F564" s="21" t="n">
        <f aca="false">itpg_vr</f>
        <v>37.586352</v>
      </c>
      <c r="G564" s="21" t="n">
        <f aca="false">itpg_vr</f>
        <v>37.586352</v>
      </c>
    </row>
    <row r="565" customFormat="false" ht="17.15" hidden="false" customHeight="false" outlineLevel="0" collapsed="false">
      <c r="A565" s="4" t="s">
        <v>553</v>
      </c>
      <c r="B565" s="0" t="s">
        <v>498</v>
      </c>
      <c r="D565" s="22" t="n">
        <f aca="false">D563/D564</f>
        <v>23.3995380420639</v>
      </c>
      <c r="E565" s="22" t="n">
        <f aca="false">E563/E564</f>
        <v>41.6467658260637</v>
      </c>
      <c r="F565" s="22" t="n">
        <f aca="false">F563/F564</f>
        <v>52.792138191248</v>
      </c>
      <c r="G565" s="22" t="n">
        <f aca="false">G563/G564</f>
        <v>60.1385917361116</v>
      </c>
    </row>
    <row r="566" customFormat="false" ht="17.15" hidden="false" customHeight="false" outlineLevel="0" collapsed="false">
      <c r="A566" s="4" t="s">
        <v>554</v>
      </c>
      <c r="B566" s="0" t="s">
        <v>555</v>
      </c>
      <c r="D566" s="18" t="n">
        <f aca="false">(racks_gb*odm_gb*(1-vr26)+racks_vr*odm_vr*vr26)/1000</f>
        <v>27.1209</v>
      </c>
      <c r="E566" s="18" t="n">
        <f aca="false">racks_vr*odm_vr/1000</f>
        <v>27.351</v>
      </c>
      <c r="F566" s="18" t="n">
        <f aca="false">$E566*vpg_28_lo</f>
        <v>23.24835</v>
      </c>
      <c r="G566" s="18" t="n">
        <f aca="false">$E566*vpg_29_lo</f>
        <v>23.24835</v>
      </c>
      <c r="K566" s="4" t="s">
        <v>556</v>
      </c>
    </row>
    <row r="567" customFormat="false" ht="17.15" hidden="false" customHeight="false" outlineLevel="0" collapsed="false">
      <c r="A567" s="0" t="s">
        <v>557</v>
      </c>
      <c r="B567" s="0" t="s">
        <v>28</v>
      </c>
      <c r="D567" s="21" t="n">
        <f aca="false">D565*D566</f>
        <v>634.616531285011</v>
      </c>
      <c r="E567" s="21" t="n">
        <f aca="false">E565*E566</f>
        <v>1139.08069210867</v>
      </c>
      <c r="F567" s="21" t="n">
        <f aca="false">F565*F566</f>
        <v>1227.3301059185</v>
      </c>
      <c r="G567" s="21" t="n">
        <f aca="false">G565*G566</f>
        <v>1398.12302918823</v>
      </c>
    </row>
    <row r="568" customFormat="false" ht="17.15" hidden="false" customHeight="false" outlineLevel="0" collapsed="false">
      <c r="A568" s="0" t="s">
        <v>558</v>
      </c>
      <c r="B568" s="0" t="s">
        <v>147</v>
      </c>
      <c r="D568" s="21" t="n">
        <f aca="false">D567*fx</f>
        <v>20307.7290011204</v>
      </c>
      <c r="E568" s="21" t="n">
        <f aca="false">E567*fx</f>
        <v>36450.5821474774</v>
      </c>
      <c r="F568" s="21" t="n">
        <f aca="false">F567*fx</f>
        <v>39274.563389392</v>
      </c>
      <c r="G568" s="21" t="n">
        <f aca="false">G567*fx</f>
        <v>44739.9369340233</v>
      </c>
    </row>
    <row r="569" customFormat="false" ht="17.15" hidden="false" customHeight="false" outlineLevel="0" collapsed="false">
      <c r="A569" s="6" t="s">
        <v>559</v>
      </c>
    </row>
    <row r="570" customFormat="false" ht="17.15" hidden="false" customHeight="false" outlineLevel="0" collapsed="false">
      <c r="A570" s="4" t="s">
        <v>560</v>
      </c>
      <c r="B570" s="0" t="s">
        <v>48</v>
      </c>
      <c r="D570" s="20" t="n">
        <f aca="false">a26_ais/D568</f>
        <v>0.0875096501918446</v>
      </c>
      <c r="K570" s="8" t="s">
        <v>561</v>
      </c>
    </row>
    <row r="571" customFormat="false" ht="17.15" hidden="false" customHeight="false" outlineLevel="0" collapsed="false">
      <c r="A571" s="4" t="s">
        <v>562</v>
      </c>
      <c r="B571" s="0" t="s">
        <v>60</v>
      </c>
      <c r="D571" s="18" t="n">
        <f aca="false">1</f>
        <v>1</v>
      </c>
      <c r="E571" s="18" t="n">
        <f aca="false">rel_27</f>
        <v>1</v>
      </c>
      <c r="F571" s="18" t="n">
        <f aca="false">rel_28</f>
        <v>0.95</v>
      </c>
      <c r="G571" s="18" t="n">
        <f aca="false">rel_29</f>
        <v>0.9</v>
      </c>
    </row>
    <row r="572" customFormat="false" ht="17.15" hidden="false" customHeight="false" outlineLevel="0" collapsed="false">
      <c r="A572" s="4" t="s">
        <v>563</v>
      </c>
      <c r="B572" s="0" t="s">
        <v>48</v>
      </c>
      <c r="D572" s="20" t="n">
        <f aca="false">$D$570*D571</f>
        <v>0.0875096501918446</v>
      </c>
      <c r="E572" s="20" t="n">
        <f aca="false">$D$570*E571</f>
        <v>0.0875096501918446</v>
      </c>
      <c r="F572" s="20" t="n">
        <f aca="false">$D$570*F571</f>
        <v>0.0831341676822524</v>
      </c>
      <c r="G572" s="20" t="n">
        <f aca="false">$D$570*G571</f>
        <v>0.0787586851726601</v>
      </c>
    </row>
    <row r="573" customFormat="false" ht="17.15" hidden="false" customHeight="false" outlineLevel="0" collapsed="false">
      <c r="A573" s="4" t="s">
        <v>564</v>
      </c>
      <c r="B573" s="0" t="s">
        <v>147</v>
      </c>
      <c r="D573" s="21" t="n">
        <f aca="false">D568*D572</f>
        <v>1777.12226107882</v>
      </c>
      <c r="E573" s="21" t="n">
        <f aca="false">E568*E572</f>
        <v>3189.77769301484</v>
      </c>
      <c r="F573" s="21" t="n">
        <f aca="false">F568*F572</f>
        <v>3265.05813846096</v>
      </c>
      <c r="G573" s="21" t="n">
        <f aca="false">G568*G572</f>
        <v>3523.65860763141</v>
      </c>
    </row>
    <row r="574" customFormat="false" ht="17.15" hidden="false" customHeight="false" outlineLevel="0" collapsed="false">
      <c r="A574" s="4" t="s">
        <v>565</v>
      </c>
      <c r="B574" s="0" t="s">
        <v>48</v>
      </c>
      <c r="D574" s="20" t="n">
        <f aca="false">0</f>
        <v>0</v>
      </c>
      <c r="E574" s="20" t="n">
        <f aca="false">cs_27</f>
        <v>0.1</v>
      </c>
      <c r="F574" s="20" t="n">
        <f aca="false">cs_28</f>
        <v>0.2</v>
      </c>
      <c r="G574" s="20" t="n">
        <f aca="false">cs_29</f>
        <v>0.25</v>
      </c>
      <c r="K574" s="8" t="s">
        <v>566</v>
      </c>
    </row>
    <row r="575" customFormat="false" ht="17.15" hidden="false" customHeight="false" outlineLevel="0" collapsed="false">
      <c r="A575" s="4" t="s">
        <v>567</v>
      </c>
      <c r="B575" s="0" t="s">
        <v>147</v>
      </c>
      <c r="D575" s="21" t="n">
        <f aca="false">D573*(1-D574)</f>
        <v>1777.12226107882</v>
      </c>
      <c r="E575" s="21" t="n">
        <f aca="false">E573*(1-E574)</f>
        <v>2870.79992371336</v>
      </c>
      <c r="F575" s="21" t="n">
        <f aca="false">F573*(1-F574)</f>
        <v>2612.04651076877</v>
      </c>
      <c r="G575" s="21" t="n">
        <f aca="false">G573*(1-G574)</f>
        <v>2642.74395572356</v>
      </c>
    </row>
    <row r="576" customFormat="false" ht="17.15" hidden="false" customHeight="false" outlineLevel="0" collapsed="false">
      <c r="A576" s="6" t="s">
        <v>568</v>
      </c>
    </row>
    <row r="577" customFormat="false" ht="17.15" hidden="false" customHeight="false" outlineLevel="0" collapsed="false">
      <c r="A577" s="0" t="s">
        <v>569</v>
      </c>
      <c r="B577" s="4" t="s">
        <v>81</v>
      </c>
      <c r="D577" s="18" t="n">
        <f aca="false">gu_26*1</f>
        <v>8.35</v>
      </c>
      <c r="E577" s="18" t="n">
        <f aca="false">gu_27*1*1</f>
        <v>11.2</v>
      </c>
      <c r="F577" s="18" t="n">
        <f aca="false">gu_28*um28_A*1</f>
        <v>11.5</v>
      </c>
      <c r="G577" s="18" t="n">
        <f aca="false">gu_29*um29_A*1</f>
        <v>12.9</v>
      </c>
    </row>
    <row r="578" customFormat="false" ht="15" hidden="false" customHeight="false" outlineLevel="0" collapsed="false">
      <c r="A578" s="4" t="s">
        <v>570</v>
      </c>
      <c r="B578" s="0" t="s">
        <v>48</v>
      </c>
      <c r="D578" s="20" t="n">
        <f aca="false">bsh_26</f>
        <v>0.5</v>
      </c>
      <c r="E578" s="20" t="n">
        <f aca="false">bsh_26*brel_27</f>
        <v>0.5</v>
      </c>
      <c r="F578" s="20" t="n">
        <f aca="false">bsh_26*brel_28</f>
        <v>0.475</v>
      </c>
      <c r="G578" s="20" t="n">
        <f aca="false">bsh_26*brel_29</f>
        <v>0.45</v>
      </c>
    </row>
    <row r="579" customFormat="false" ht="17.15" hidden="false" customHeight="false" outlineLevel="0" collapsed="false">
      <c r="A579" s="4" t="s">
        <v>571</v>
      </c>
      <c r="B579" s="0" t="s">
        <v>520</v>
      </c>
      <c r="D579" s="24" t="n">
        <f aca="false">a26_brd/fx/D577/D578*1000</f>
        <v>823.353293413174</v>
      </c>
      <c r="E579" s="24" t="n">
        <f aca="false">$D579*bv_27</f>
        <v>946.85628742515</v>
      </c>
      <c r="F579" s="24" t="n">
        <f aca="false">$D579*bv_28</f>
        <v>988.023952095808</v>
      </c>
      <c r="G579" s="24" t="n">
        <f aca="false">$D579*bv_29</f>
        <v>988.023952095808</v>
      </c>
      <c r="K579" s="8" t="s">
        <v>572</v>
      </c>
    </row>
    <row r="580" customFormat="false" ht="17.15" hidden="false" customHeight="false" outlineLevel="0" collapsed="false">
      <c r="A580" s="0" t="s">
        <v>522</v>
      </c>
      <c r="B580" s="0" t="s">
        <v>147</v>
      </c>
      <c r="D580" s="21" t="n">
        <f aca="false">D577*D578*D579*fx/1000</f>
        <v>110</v>
      </c>
      <c r="E580" s="21" t="n">
        <f aca="false">E577*E578*E579*fx/1000</f>
        <v>169.676646706587</v>
      </c>
      <c r="F580" s="21" t="n">
        <f aca="false">F577*F578*F579*fx/1000</f>
        <v>172.706586826347</v>
      </c>
      <c r="G580" s="21" t="n">
        <f aca="false">G577*G578*G579*fx/1000</f>
        <v>183.535329341317</v>
      </c>
    </row>
    <row r="581" customFormat="false" ht="17.15" hidden="false" customHeight="false" outlineLevel="0" collapsed="false">
      <c r="A581" s="6" t="s">
        <v>573</v>
      </c>
    </row>
    <row r="582" customFormat="false" ht="15" hidden="false" customHeight="false" outlineLevel="0" collapsed="false">
      <c r="A582" s="4" t="s">
        <v>574</v>
      </c>
      <c r="B582" s="0" t="s">
        <v>147</v>
      </c>
      <c r="D582" s="21" t="n">
        <f aca="false">a26_gen</f>
        <v>150</v>
      </c>
      <c r="E582" s="21" t="n">
        <f aca="false">D582*(1+g_gen27)</f>
        <v>180</v>
      </c>
      <c r="F582" s="21" t="n">
        <f aca="false">E582*(1+g_gen28)</f>
        <v>198</v>
      </c>
      <c r="G582" s="21" t="n">
        <f aca="false">F582*(1+g_gen29)</f>
        <v>213.84</v>
      </c>
    </row>
    <row r="583" customFormat="false" ht="15" hidden="false" customHeight="false" outlineLevel="0" collapsed="false">
      <c r="A583" s="4" t="s">
        <v>575</v>
      </c>
      <c r="B583" s="0" t="s">
        <v>147</v>
      </c>
      <c r="D583" s="21" t="n">
        <f aca="false">a26_pc</f>
        <v>614.602793131557</v>
      </c>
      <c r="E583" s="21" t="n">
        <f aca="false">D583*(1+g_pc27)</f>
        <v>596.16470933761</v>
      </c>
      <c r="F583" s="21" t="n">
        <f aca="false">E583*(1+g_pc28)</f>
        <v>596.16470933761</v>
      </c>
      <c r="G583" s="21" t="n">
        <f aca="false">F583*(1+g_pc29)</f>
        <v>596.16470933761</v>
      </c>
    </row>
    <row r="584" customFormat="false" ht="15" hidden="false" customHeight="false" outlineLevel="0" collapsed="false">
      <c r="A584" s="4" t="s">
        <v>576</v>
      </c>
      <c r="B584" s="0" t="s">
        <v>147</v>
      </c>
      <c r="C584" s="21" t="n">
        <f aca="false">a25_srev</f>
        <v>1235.86</v>
      </c>
      <c r="D584" s="21" t="n">
        <f aca="false">D575+D580+D582+D583</f>
        <v>2651.72505421038</v>
      </c>
      <c r="E584" s="21" t="n">
        <f aca="false">E575+E580+E582+E583</f>
        <v>3816.64127975755</v>
      </c>
      <c r="F584" s="21" t="n">
        <f aca="false">F575+F580+F582+F583</f>
        <v>3578.91780693273</v>
      </c>
      <c r="G584" s="21" t="n">
        <f aca="false">G575+G580+G582+G583</f>
        <v>3636.28399440249</v>
      </c>
    </row>
    <row r="585" customFormat="false" ht="17.15" hidden="false" customHeight="false" outlineLevel="0" collapsed="false">
      <c r="A585" s="4" t="s">
        <v>577</v>
      </c>
      <c r="B585" s="0" t="s">
        <v>48</v>
      </c>
      <c r="D585" s="20" t="n">
        <f aca="false">a26_wai/D568</f>
        <v>0.0391523244650416</v>
      </c>
      <c r="K585" s="8" t="s">
        <v>578</v>
      </c>
    </row>
    <row r="586" customFormat="false" ht="17.15" hidden="false" customHeight="false" outlineLevel="0" collapsed="false">
      <c r="A586" s="4" t="s">
        <v>504</v>
      </c>
      <c r="B586" s="0" t="s">
        <v>48</v>
      </c>
      <c r="D586" s="20" t="n">
        <f aca="false">D585</f>
        <v>0.0391523244650416</v>
      </c>
      <c r="E586" s="20" t="n">
        <f aca="false">$D$585*wrel_27</f>
        <v>0.0391523244650416</v>
      </c>
      <c r="F586" s="20" t="n">
        <f aca="false">$D$585*wrel_28</f>
        <v>0.0391523244650416</v>
      </c>
      <c r="G586" s="20" t="n">
        <f aca="false">$D$585*wrel_29</f>
        <v>0.0371947082417896</v>
      </c>
    </row>
    <row r="587" customFormat="false" ht="17.15" hidden="false" customHeight="false" outlineLevel="0" collapsed="false">
      <c r="A587" s="4" t="s">
        <v>524</v>
      </c>
      <c r="B587" s="0" t="s">
        <v>147</v>
      </c>
      <c r="D587" s="21" t="n">
        <f aca="false">D568*D586</f>
        <v>795.094795</v>
      </c>
      <c r="E587" s="21" t="n">
        <f aca="false">E568*E586</f>
        <v>1427.12501917769</v>
      </c>
      <c r="F587" s="21" t="n">
        <f aca="false">F568*F586</f>
        <v>1537.69044904432</v>
      </c>
      <c r="G587" s="21" t="n">
        <f aca="false">G568*G586</f>
        <v>1664.08890101706</v>
      </c>
    </row>
    <row r="588" customFormat="false" ht="17.15" hidden="false" customHeight="false" outlineLevel="0" collapsed="false">
      <c r="A588" s="4" t="s">
        <v>579</v>
      </c>
      <c r="B588" s="0" t="s">
        <v>147</v>
      </c>
      <c r="D588" s="21" t="n">
        <f aca="false">a26_wna</f>
        <v>650.532105</v>
      </c>
      <c r="E588" s="21" t="n">
        <f aca="false">D588*(1+g_wn27)</f>
        <v>715.5853155</v>
      </c>
      <c r="F588" s="21" t="n">
        <f aca="false">E588*(1+g_wn28)</f>
        <v>758.52043443</v>
      </c>
      <c r="G588" s="21" t="n">
        <f aca="false">F588*(1+g_wn29)</f>
        <v>796.4464561515</v>
      </c>
    </row>
    <row r="589" customFormat="false" ht="15" hidden="false" customHeight="false" outlineLevel="0" collapsed="false">
      <c r="A589" s="4" t="s">
        <v>434</v>
      </c>
      <c r="B589" s="0" t="s">
        <v>147</v>
      </c>
      <c r="C589" s="21" t="n">
        <f aca="false">a25_wrev</f>
        <v>950.663</v>
      </c>
      <c r="D589" s="21" t="n">
        <f aca="false">D587+D588</f>
        <v>1445.6269</v>
      </c>
      <c r="E589" s="21" t="n">
        <f aca="false">E587+E588</f>
        <v>2142.71033467769</v>
      </c>
      <c r="F589" s="21" t="n">
        <f aca="false">F587+F588</f>
        <v>2296.21088347432</v>
      </c>
      <c r="G589" s="21" t="n">
        <f aca="false">G587+G588</f>
        <v>2460.53535716856</v>
      </c>
    </row>
    <row r="590" customFormat="false" ht="17.15" hidden="false" customHeight="false" outlineLevel="0" collapsed="false">
      <c r="A590" s="4" t="s">
        <v>420</v>
      </c>
      <c r="B590" s="0" t="s">
        <v>147</v>
      </c>
      <c r="C590" s="21" t="n">
        <f aca="false">C584+C589</f>
        <v>2186.523</v>
      </c>
      <c r="D590" s="21" t="n">
        <f aca="false">D584+D589</f>
        <v>4097.35195421038</v>
      </c>
      <c r="E590" s="21" t="n">
        <f aca="false">E584+E589</f>
        <v>5959.35161443524</v>
      </c>
      <c r="F590" s="21" t="n">
        <f aca="false">F584+F589</f>
        <v>5875.12869040705</v>
      </c>
      <c r="G590" s="21" t="n">
        <f aca="false">G584+G589</f>
        <v>6096.81935157105</v>
      </c>
      <c r="H590" s="26" t="n">
        <f aca="false">G590*(1+H591)</f>
        <v>6372.12632663789</v>
      </c>
      <c r="I590" s="26" t="n">
        <f aca="false">H590*(1+I591)</f>
        <v>6707.15946228523</v>
      </c>
      <c r="J590" s="26" t="n">
        <f aca="false">I590*(1+J591)</f>
        <v>7109.58903002235</v>
      </c>
      <c r="K590" s="8" t="s">
        <v>580</v>
      </c>
    </row>
    <row r="591" customFormat="false" ht="15" hidden="false" customHeight="false" outlineLevel="0" collapsed="false">
      <c r="A591" s="4" t="s">
        <v>581</v>
      </c>
      <c r="B591" s="0" t="s">
        <v>48</v>
      </c>
      <c r="D591" s="20" t="n">
        <f aca="false">D590/C590-1</f>
        <v>0.873912121761526</v>
      </c>
      <c r="E591" s="20" t="n">
        <f aca="false">E590/D590-1</f>
        <v>0.454439765251677</v>
      </c>
      <c r="F591" s="20" t="n">
        <f aca="false">F590/E590-1</f>
        <v>-0.0141329006035115</v>
      </c>
      <c r="G591" s="20" t="n">
        <f aca="false">G590/F590-1</f>
        <v>0.0377337540752045</v>
      </c>
      <c r="H591" s="27" t="n">
        <f aca="false">$G591+(fade_gA-$G591)*1/3</f>
        <v>0.0451558360501363</v>
      </c>
      <c r="I591" s="27" t="n">
        <f aca="false">$G591+(fade_gA-$G591)*2/3</f>
        <v>0.0525779180250682</v>
      </c>
      <c r="J591" s="27" t="n">
        <f aca="false">$G591+(fade_gA-$G591)*3/3</f>
        <v>0.06</v>
      </c>
    </row>
    <row r="592" customFormat="false" ht="17.15" hidden="false" customHeight="false" outlineLevel="0" collapsed="false">
      <c r="A592" s="0" t="s">
        <v>582</v>
      </c>
      <c r="B592" s="0" t="s">
        <v>48</v>
      </c>
      <c r="D592" s="20" t="n">
        <f aca="false">(D575+D580+D587)/D590</f>
        <v>0.6546220793463</v>
      </c>
      <c r="E592" s="20" t="n">
        <f aca="false">(E575+E580+E587)/E590</f>
        <v>0.749679139384196</v>
      </c>
      <c r="F592" s="20" t="n">
        <f aca="false">(F575+F580+F587)/F590</f>
        <v>0.735718956028513</v>
      </c>
      <c r="G592" s="20" t="n">
        <f aca="false">(G575+G580+G587)/G590</f>
        <v>0.736509961530162</v>
      </c>
    </row>
    <row r="593" customFormat="false" ht="17.15" hidden="false" customHeight="false" outlineLevel="0" collapsed="false">
      <c r="A593" s="4" t="s">
        <v>583</v>
      </c>
      <c r="B593" s="0" t="s">
        <v>48</v>
      </c>
      <c r="C593" s="20" t="n">
        <f aca="false">C589/C590</f>
        <v>0.434782986504144</v>
      </c>
      <c r="D593" s="20" t="n">
        <f aca="false">D589/D590</f>
        <v>0.352819800728736</v>
      </c>
      <c r="E593" s="20" t="n">
        <f aca="false">E589/E590</f>
        <v>0.359554272563384</v>
      </c>
      <c r="F593" s="20" t="n">
        <f aca="false">F589/F590</f>
        <v>0.390835844536238</v>
      </c>
      <c r="G593" s="20" t="n">
        <f aca="false">G589/G590</f>
        <v>0.40357688415592</v>
      </c>
    </row>
    <row r="594" customFormat="false" ht="17.15" hidden="false" customHeight="false" outlineLevel="0" collapsed="false">
      <c r="A594" s="4" t="s">
        <v>584</v>
      </c>
      <c r="B594" s="4" t="s">
        <v>331</v>
      </c>
      <c r="D594" s="21" t="n">
        <f aca="false">D573/fx/(odm_gb*(1-vr26)+odm_vr*vr26)</f>
        <v>12.0597330420658</v>
      </c>
      <c r="E594" s="21" t="n">
        <f aca="false">E573/fx/odm_vr</f>
        <v>14.7674893195131</v>
      </c>
      <c r="F594" s="21" t="n">
        <f aca="false">F573/fx/odm_vr</f>
        <v>15.1160099002822</v>
      </c>
      <c r="G594" s="21" t="n">
        <f aca="false">G573/fx/odm_vr</f>
        <v>16.3132342945899</v>
      </c>
      <c r="K594" s="4" t="s">
        <v>585</v>
      </c>
    </row>
    <row r="595" customFormat="false" ht="17.15" hidden="false" customHeight="false" outlineLevel="0" collapsed="false">
      <c r="A595" s="6" t="s">
        <v>586</v>
      </c>
    </row>
    <row r="596" customFormat="false" ht="17.15" hidden="false" customHeight="false" outlineLevel="0" collapsed="false">
      <c r="A596" s="4" t="s">
        <v>587</v>
      </c>
      <c r="B596" s="0" t="s">
        <v>48</v>
      </c>
      <c r="D596" s="17" t="n">
        <f aca="false">(a26_sgp-d_ai*D575-d_brd*D580-d_gen*D582)/D584</f>
        <v>0.0436423860147897</v>
      </c>
      <c r="K596" s="8" t="s">
        <v>588</v>
      </c>
    </row>
    <row r="597" customFormat="false" ht="17.15" hidden="false" customHeight="false" outlineLevel="0" collapsed="false">
      <c r="A597" s="4" t="s">
        <v>589</v>
      </c>
      <c r="B597" s="0" t="s">
        <v>147</v>
      </c>
      <c r="D597" s="25" t="n">
        <f aca="false">($D$596+d_ai)*D573*(1-D574*(1-keep))</f>
        <v>59.7866331026896</v>
      </c>
      <c r="E597" s="25" t="n">
        <f aca="false">($D$596+d_ai+vrd)*E573*(1-E574*(1-keep))</f>
        <v>99.9228552931035</v>
      </c>
      <c r="F597" s="25" t="n">
        <f aca="false">($D$596+d_ai+vrd)*F573*(1-F574*(1-keep))</f>
        <v>101.247945378354</v>
      </c>
      <c r="G597" s="25" t="n">
        <f aca="false">($D$596+d_ai+vrd)*G573*(1-G574*(1-keep))</f>
        <v>108.709541700834</v>
      </c>
    </row>
    <row r="598" customFormat="false" ht="15" hidden="false" customHeight="false" outlineLevel="0" collapsed="false">
      <c r="A598" s="4" t="s">
        <v>590</v>
      </c>
      <c r="B598" s="0" t="s">
        <v>147</v>
      </c>
      <c r="C598" s="21" t="n">
        <f aca="false">a25_sgp</f>
        <v>55.529</v>
      </c>
      <c r="D598" s="21" t="n">
        <f aca="false">a26_sgp</f>
        <v>103.50638581015</v>
      </c>
      <c r="E598" s="21" t="n">
        <f aca="false">$D$596*E583+($D$596+d_brd)*E580+($D$596+d_gen)*E582+E597</f>
        <v>148.991928263534</v>
      </c>
      <c r="F598" s="21" t="n">
        <f aca="false">$D$596*F583+($D$596+d_brd)*F580+($D$596+d_gen)*F582+F597</f>
        <v>151.595713316952</v>
      </c>
      <c r="G598" s="21" t="n">
        <f aca="false">$D$596*G583+($D$596+d_brd)*G580+($D$596+d_gen)*G582+G597</f>
        <v>160.783659470249</v>
      </c>
    </row>
    <row r="599" customFormat="false" ht="15" hidden="false" customHeight="false" outlineLevel="0" collapsed="false">
      <c r="A599" s="4" t="s">
        <v>591</v>
      </c>
      <c r="B599" s="0" t="s">
        <v>48</v>
      </c>
      <c r="C599" s="17" t="n">
        <f aca="false">C598/C584</f>
        <v>0.0449314647290146</v>
      </c>
      <c r="D599" s="17" t="n">
        <f aca="false">D598/D584</f>
        <v>0.0390336040479778</v>
      </c>
      <c r="E599" s="17" t="n">
        <f aca="false">E598/E584</f>
        <v>0.0390374461057547</v>
      </c>
      <c r="F599" s="17" t="n">
        <f aca="false">F598/F584</f>
        <v>0.0423579756493138</v>
      </c>
      <c r="G599" s="17" t="n">
        <f aca="false">G598/G584</f>
        <v>0.0442164747631789</v>
      </c>
    </row>
    <row r="600" customFormat="false" ht="15" hidden="false" customHeight="false" outlineLevel="0" collapsed="false">
      <c r="A600" s="4" t="s">
        <v>592</v>
      </c>
      <c r="B600" s="0" t="s">
        <v>48</v>
      </c>
      <c r="E600" s="20" t="n">
        <f aca="false">MAX(0,phi*(E584/D584-1))</f>
        <v>0.13179151703879</v>
      </c>
      <c r="F600" s="20" t="n">
        <f aca="false">MAX(0,phi*(F584/E584-1))</f>
        <v>0</v>
      </c>
      <c r="G600" s="20" t="n">
        <f aca="false">MAX(0,phi*(G584/F584-1))</f>
        <v>0.00480867602144701</v>
      </c>
    </row>
    <row r="601" customFormat="false" ht="15" hidden="false" customHeight="false" outlineLevel="0" collapsed="false">
      <c r="A601" s="4" t="s">
        <v>593</v>
      </c>
      <c r="B601" s="0" t="s">
        <v>147</v>
      </c>
      <c r="C601" s="21" t="n">
        <f aca="false">a25_sopx</f>
        <v>40.894</v>
      </c>
      <c r="D601" s="21" t="n">
        <f aca="false">a26_sopx</f>
        <v>46.9914095398923</v>
      </c>
      <c r="E601" s="21" t="n">
        <f aca="false">D601*(1+E600)+0*E584</f>
        <v>53.1844786909457</v>
      </c>
      <c r="F601" s="21" t="n">
        <f aca="false">E601*(1+F600)+0*F584</f>
        <v>53.1844786909457</v>
      </c>
      <c r="G601" s="21" t="n">
        <f aca="false">F601*(1+G600)+0*G584</f>
        <v>53.44022561834</v>
      </c>
    </row>
    <row r="602" customFormat="false" ht="15" hidden="false" customHeight="false" outlineLevel="0" collapsed="false">
      <c r="A602" s="4" t="s">
        <v>594</v>
      </c>
      <c r="B602" s="0" t="s">
        <v>147</v>
      </c>
      <c r="C602" s="21" t="n">
        <f aca="false">C598-C601</f>
        <v>14.635</v>
      </c>
      <c r="D602" s="21" t="n">
        <f aca="false">D598-D601</f>
        <v>56.514976270258</v>
      </c>
      <c r="E602" s="21" t="n">
        <f aca="false">E598-E601</f>
        <v>95.8074495725884</v>
      </c>
      <c r="F602" s="21" t="n">
        <f aca="false">F598-F601</f>
        <v>98.4112346260065</v>
      </c>
      <c r="G602" s="21" t="n">
        <f aca="false">G598-G601</f>
        <v>107.343433851909</v>
      </c>
    </row>
    <row r="603" customFormat="false" ht="15" hidden="false" customHeight="false" outlineLevel="0" collapsed="false">
      <c r="A603" s="4" t="s">
        <v>595</v>
      </c>
      <c r="B603" s="0" t="s">
        <v>48</v>
      </c>
      <c r="C603" s="17" t="n">
        <f aca="false">C602/C584</f>
        <v>0.011841956208632</v>
      </c>
      <c r="D603" s="17" t="n">
        <f aca="false">D602/D584</f>
        <v>0.0213125324514788</v>
      </c>
      <c r="E603" s="17" t="n">
        <f aca="false">E602/E584</f>
        <v>0.0251025555062577</v>
      </c>
      <c r="F603" s="17" t="n">
        <f aca="false">F602/F584</f>
        <v>0.0274974838582138</v>
      </c>
      <c r="G603" s="17" t="n">
        <f aca="false">G602/G584</f>
        <v>0.0295200908447052</v>
      </c>
    </row>
    <row r="604" customFormat="false" ht="15" hidden="false" customHeight="false" outlineLevel="0" collapsed="false">
      <c r="A604" s="4" t="s">
        <v>596</v>
      </c>
      <c r="B604" s="0" t="s">
        <v>147</v>
      </c>
      <c r="C604" s="21" t="n">
        <f aca="false">a25_sni</f>
        <v>6.9608</v>
      </c>
      <c r="D604" s="21" t="n">
        <f aca="false">a26_sni</f>
        <v>31.133746704</v>
      </c>
      <c r="E604" s="21" t="n">
        <f aca="false">E602*snio</f>
        <v>53.6521717606495</v>
      </c>
      <c r="F604" s="21" t="n">
        <f aca="false">F602*snio</f>
        <v>55.1102913905636</v>
      </c>
      <c r="G604" s="21" t="n">
        <f aca="false">G602*snio</f>
        <v>60.1123229570689</v>
      </c>
    </row>
    <row r="605" customFormat="false" ht="17.15" hidden="false" customHeight="false" outlineLevel="0" collapsed="false">
      <c r="A605" s="6" t="s">
        <v>597</v>
      </c>
    </row>
    <row r="606" customFormat="false" ht="15" hidden="false" customHeight="false" outlineLevel="0" collapsed="false">
      <c r="A606" s="4" t="s">
        <v>438</v>
      </c>
      <c r="B606" s="0" t="s">
        <v>147</v>
      </c>
      <c r="C606" s="21" t="n">
        <f aca="false">a25_wgp</f>
        <v>78.454</v>
      </c>
      <c r="D606" s="21" t="n">
        <f aca="false">a26_wgp</f>
        <v>125.0519932</v>
      </c>
      <c r="E606" s="21" t="n">
        <f aca="false">E589*wgm</f>
        <v>182.130378447603</v>
      </c>
      <c r="F606" s="21" t="n">
        <f aca="false">F589*wgm</f>
        <v>195.177925095317</v>
      </c>
      <c r="G606" s="21" t="n">
        <f aca="false">G589*wgm</f>
        <v>209.145505359328</v>
      </c>
    </row>
    <row r="607" customFormat="false" ht="15" hidden="false" customHeight="false" outlineLevel="0" collapsed="false">
      <c r="A607" s="4" t="s">
        <v>440</v>
      </c>
      <c r="B607" s="0" t="s">
        <v>147</v>
      </c>
      <c r="C607" s="21" t="n">
        <f aca="false">a25_woi</f>
        <v>63.918</v>
      </c>
      <c r="D607" s="21" t="n">
        <f aca="false">a26_woi</f>
        <v>98.2471632</v>
      </c>
      <c r="E607" s="21" t="n">
        <f aca="false">E589*wopm</f>
        <v>139.27617175405</v>
      </c>
      <c r="F607" s="21" t="n">
        <f aca="false">F589*wopm</f>
        <v>149.253707425831</v>
      </c>
      <c r="G607" s="21" t="n">
        <f aca="false">G589*wopm</f>
        <v>159.934798215957</v>
      </c>
    </row>
    <row r="608" customFormat="false" ht="15" hidden="false" customHeight="false" outlineLevel="0" collapsed="false">
      <c r="A608" s="4" t="s">
        <v>448</v>
      </c>
      <c r="B608" s="0" t="s">
        <v>147</v>
      </c>
      <c r="C608" s="21" t="n">
        <f aca="false">a25_wni</f>
        <v>51.118</v>
      </c>
      <c r="D608" s="21" t="n">
        <f aca="false">a26_wni</f>
        <v>75.735026884</v>
      </c>
      <c r="E608" s="21" t="n">
        <f aca="false">E607*wnio</f>
        <v>108.635413968159</v>
      </c>
      <c r="F608" s="21" t="n">
        <f aca="false">F607*wnio</f>
        <v>116.417891792148</v>
      </c>
      <c r="G608" s="21" t="n">
        <f aca="false">G607*wnio</f>
        <v>124.749142608446</v>
      </c>
    </row>
    <row r="609" customFormat="false" ht="15" hidden="false" customHeight="false" outlineLevel="0" collapsed="false">
      <c r="A609" s="4" t="s">
        <v>450</v>
      </c>
      <c r="B609" s="0" t="s">
        <v>48</v>
      </c>
      <c r="C609" s="17" t="n">
        <f aca="false">stake25</f>
        <v>0.4</v>
      </c>
      <c r="D609" s="17" t="n">
        <f aca="false">stake</f>
        <v>0.3768</v>
      </c>
      <c r="E609" s="17" t="n">
        <f aca="false">stake</f>
        <v>0.3768</v>
      </c>
      <c r="F609" s="17" t="n">
        <f aca="false">stake</f>
        <v>0.3768</v>
      </c>
      <c r="G609" s="17" t="n">
        <f aca="false">stake</f>
        <v>0.3768</v>
      </c>
    </row>
    <row r="610" customFormat="false" ht="17.15" hidden="false" customHeight="false" outlineLevel="0" collapsed="false">
      <c r="A610" s="6" t="s">
        <v>598</v>
      </c>
    </row>
    <row r="611" customFormat="false" ht="15" hidden="false" customHeight="false" outlineLevel="0" collapsed="false">
      <c r="A611" s="4" t="s">
        <v>424</v>
      </c>
      <c r="B611" s="0" t="s">
        <v>147</v>
      </c>
      <c r="C611" s="21" t="n">
        <f aca="false">C598+C606</f>
        <v>133.983</v>
      </c>
      <c r="D611" s="21" t="n">
        <f aca="false">D598+D606</f>
        <v>228.55837901015</v>
      </c>
      <c r="E611" s="21" t="n">
        <f aca="false">E598+E606</f>
        <v>331.122306711138</v>
      </c>
      <c r="F611" s="21" t="n">
        <f aca="false">F598+F606</f>
        <v>346.77363841227</v>
      </c>
      <c r="G611" s="21" t="n">
        <f aca="false">G598+G606</f>
        <v>369.929164829577</v>
      </c>
    </row>
    <row r="612" customFormat="false" ht="15" hidden="false" customHeight="false" outlineLevel="0" collapsed="false">
      <c r="A612" s="4" t="s">
        <v>427</v>
      </c>
      <c r="B612" s="0" t="s">
        <v>48</v>
      </c>
      <c r="C612" s="17" t="n">
        <f aca="false">C611/C590</f>
        <v>0.0612767393711386</v>
      </c>
      <c r="D612" s="17" t="n">
        <f aca="false">D611/D590</f>
        <v>0.055781973714825</v>
      </c>
      <c r="E612" s="17" t="n">
        <f aca="false">E611/E590</f>
        <v>0.0555634787363554</v>
      </c>
      <c r="F612" s="17" t="n">
        <f aca="false">F611/F590</f>
        <v>0.0590240072491491</v>
      </c>
      <c r="G612" s="17" t="n">
        <f aca="false">G611/G590</f>
        <v>0.0606757628031495</v>
      </c>
    </row>
    <row r="613" customFormat="false" ht="15" hidden="false" customHeight="false" outlineLevel="0" collapsed="false">
      <c r="A613" s="4" t="s">
        <v>428</v>
      </c>
      <c r="B613" s="0" t="s">
        <v>147</v>
      </c>
      <c r="C613" s="21" t="n">
        <f aca="false">C602+C607</f>
        <v>78.553</v>
      </c>
      <c r="D613" s="21" t="n">
        <f aca="false">D602+D607</f>
        <v>154.762139470258</v>
      </c>
      <c r="E613" s="21" t="n">
        <f aca="false">E602+E607</f>
        <v>235.083621326638</v>
      </c>
      <c r="F613" s="21" t="n">
        <f aca="false">F602+F607</f>
        <v>247.664942051837</v>
      </c>
      <c r="G613" s="21" t="n">
        <f aca="false">G602+G607</f>
        <v>267.278232067865</v>
      </c>
    </row>
    <row r="614" customFormat="false" ht="15" hidden="false" customHeight="false" outlineLevel="0" collapsed="false">
      <c r="A614" s="4" t="s">
        <v>431</v>
      </c>
      <c r="B614" s="0" t="s">
        <v>48</v>
      </c>
      <c r="C614" s="17" t="n">
        <f aca="false">C613/C590</f>
        <v>0.0359259884300325</v>
      </c>
      <c r="D614" s="17" t="n">
        <f aca="false">D613/D590</f>
        <v>0.0377712584126992</v>
      </c>
      <c r="E614" s="17" t="n">
        <f aca="false">E613/E590</f>
        <v>0.0394478521383432</v>
      </c>
      <c r="F614" s="17" t="n">
        <f aca="false">F613/F590</f>
        <v>0.0421548114267227</v>
      </c>
      <c r="G614" s="17" t="n">
        <f aca="false">G613/G590</f>
        <v>0.0438389620317342</v>
      </c>
    </row>
    <row r="615" customFormat="false" ht="15" hidden="false" customHeight="false" outlineLevel="0" collapsed="false">
      <c r="A615" s="4" t="s">
        <v>461</v>
      </c>
      <c r="B615" s="0" t="s">
        <v>147</v>
      </c>
      <c r="C615" s="21" t="n">
        <f aca="false">C604+C608</f>
        <v>58.0788</v>
      </c>
      <c r="D615" s="21" t="n">
        <f aca="false">D604+D608</f>
        <v>106.868773588</v>
      </c>
      <c r="E615" s="21" t="n">
        <f aca="false">E604+E608</f>
        <v>162.287585728808</v>
      </c>
      <c r="F615" s="21" t="n">
        <f aca="false">F604+F608</f>
        <v>171.528183182712</v>
      </c>
      <c r="G615" s="21" t="n">
        <f aca="false">G604+G608</f>
        <v>184.861465565515</v>
      </c>
    </row>
    <row r="616" customFormat="false" ht="17.15" hidden="false" customHeight="false" outlineLevel="0" collapsed="false">
      <c r="A616" s="4" t="s">
        <v>599</v>
      </c>
      <c r="B616" s="0" t="s">
        <v>147</v>
      </c>
      <c r="C616" s="21" t="n">
        <f aca="false">(1-C609)*C608</f>
        <v>30.6708</v>
      </c>
      <c r="D616" s="21" t="n">
        <f aca="false">(1-D609)*D608</f>
        <v>47.1980687541088</v>
      </c>
      <c r="E616" s="21" t="n">
        <f aca="false">(1-E609)*E608</f>
        <v>67.7015899849565</v>
      </c>
      <c r="F616" s="21" t="n">
        <f aca="false">(1-F609)*F608</f>
        <v>72.5516301648667</v>
      </c>
      <c r="G616" s="21" t="n">
        <f aca="false">(1-G609)*G608</f>
        <v>77.7436656735836</v>
      </c>
    </row>
    <row r="617" customFormat="false" ht="15" hidden="false" customHeight="false" outlineLevel="0" collapsed="false">
      <c r="A617" s="4" t="s">
        <v>457</v>
      </c>
      <c r="B617" s="0" t="s">
        <v>147</v>
      </c>
      <c r="C617" s="21" t="n">
        <f aca="false">C615-C616</f>
        <v>27.408</v>
      </c>
      <c r="D617" s="21" t="n">
        <f aca="false">D615-D616</f>
        <v>59.6707048338912</v>
      </c>
      <c r="E617" s="21" t="n">
        <f aca="false">E615-E616</f>
        <v>94.5859957438517</v>
      </c>
      <c r="F617" s="21" t="n">
        <f aca="false">F615-F616</f>
        <v>98.976553017845</v>
      </c>
      <c r="G617" s="21" t="n">
        <f aca="false">G615-G616</f>
        <v>107.117799891931</v>
      </c>
      <c r="H617" s="26" t="n">
        <f aca="false">H590*H622</f>
        <v>112.722761455248</v>
      </c>
      <c r="I617" s="26" t="n">
        <f aca="false">I590*I622</f>
        <v>119.457835465528</v>
      </c>
      <c r="J617" s="26" t="n">
        <f aca="false">J590*J622</f>
        <v>127.482152246322</v>
      </c>
    </row>
    <row r="618" customFormat="false" ht="17.15" hidden="false" customHeight="false" outlineLevel="0" collapsed="false">
      <c r="A618" s="4" t="s">
        <v>600</v>
      </c>
      <c r="B618" s="0" t="s">
        <v>48</v>
      </c>
      <c r="C618" s="20" t="n">
        <f aca="false">C609*C608/C617</f>
        <v>0.746030356100409</v>
      </c>
      <c r="D618" s="20" t="n">
        <f aca="false">D609*D608/D617</f>
        <v>0.478240674537551</v>
      </c>
      <c r="E618" s="20" t="n">
        <f aca="false">E609*E608/E617</f>
        <v>0.432768335960168</v>
      </c>
      <c r="F618" s="20" t="n">
        <f aca="false">F609*F608/F617</f>
        <v>0.443198518131587</v>
      </c>
      <c r="G618" s="20" t="n">
        <f aca="false">G609*G608/G617</f>
        <v>0.438820410634696</v>
      </c>
    </row>
    <row r="619" customFormat="false" ht="17.15" hidden="false" customHeight="false" outlineLevel="0" collapsed="false">
      <c r="A619" s="4" t="s">
        <v>601</v>
      </c>
      <c r="B619" s="4" t="s">
        <v>282</v>
      </c>
      <c r="C619" s="31" t="n">
        <f aca="false">a25_sh</f>
        <v>3.03185840707965</v>
      </c>
      <c r="D619" s="31" t="n">
        <f aca="false">a26_sh</f>
        <v>3.23861720409076</v>
      </c>
      <c r="E619" s="31" t="n">
        <f aca="false">q_sh4*(1+sh_g)</f>
        <v>3.43</v>
      </c>
      <c r="F619" s="31" t="n">
        <f aca="false">E619*(1+sh_g)</f>
        <v>3.43</v>
      </c>
      <c r="G619" s="31" t="n">
        <f aca="false">F619*(1+sh_g)</f>
        <v>3.43</v>
      </c>
      <c r="H619" s="32" t="n">
        <f aca="false">G619*(1+sh_g)</f>
        <v>3.43</v>
      </c>
      <c r="I619" s="32" t="n">
        <f aca="false">H619*(1+sh_g)</f>
        <v>3.43</v>
      </c>
      <c r="J619" s="32" t="n">
        <f aca="false">I619*(1+sh_g)</f>
        <v>3.43</v>
      </c>
      <c r="K619" s="8" t="s">
        <v>602</v>
      </c>
    </row>
    <row r="620" customFormat="false" ht="15" hidden="false" customHeight="false" outlineLevel="0" collapsed="false">
      <c r="A620" s="0" t="s">
        <v>464</v>
      </c>
      <c r="B620" s="0" t="s">
        <v>312</v>
      </c>
      <c r="C620" s="18" t="n">
        <f aca="false">C617/C619</f>
        <v>9.04</v>
      </c>
      <c r="D620" s="18" t="n">
        <f aca="false">D617/D619</f>
        <v>18.4247476850676</v>
      </c>
      <c r="E620" s="18" t="n">
        <f aca="false">E617/E619</f>
        <v>27.5760920536011</v>
      </c>
      <c r="F620" s="18" t="n">
        <f aca="false">F617/F619</f>
        <v>28.8561379060773</v>
      </c>
      <c r="G620" s="18" t="n">
        <f aca="false">G617/G619</f>
        <v>31.2296792687847</v>
      </c>
      <c r="H620" s="29" t="n">
        <f aca="false">H617/H619</f>
        <v>32.8637788499266</v>
      </c>
      <c r="I620" s="29" t="n">
        <f aca="false">I617/I619</f>
        <v>34.8273572785797</v>
      </c>
      <c r="J620" s="29" t="n">
        <f aca="false">J617/J619</f>
        <v>37.1668082350794</v>
      </c>
    </row>
    <row r="621" customFormat="false" ht="17.15" hidden="false" customHeight="false" outlineLevel="0" collapsed="false">
      <c r="A621" s="0" t="s">
        <v>603</v>
      </c>
      <c r="B621" s="0" t="s">
        <v>48</v>
      </c>
      <c r="D621" s="20" t="n">
        <f aca="false">D620/C620-1</f>
        <v>1.03813580587031</v>
      </c>
      <c r="E621" s="20" t="n">
        <f aca="false">E620/D620-1</f>
        <v>0.496687635833963</v>
      </c>
      <c r="F621" s="20" t="n">
        <f aca="false">F620/E620-1</f>
        <v>0.0464186821681656</v>
      </c>
      <c r="G621" s="20" t="n">
        <f aca="false">G620/F620-1</f>
        <v>0.0822542978701077</v>
      </c>
      <c r="H621" s="27" t="n">
        <f aca="false">H620/G620-1</f>
        <v>0.0523252117665927</v>
      </c>
      <c r="I621" s="27" t="n">
        <f aca="false">I620/H620-1</f>
        <v>0.0597490154014191</v>
      </c>
      <c r="J621" s="27" t="n">
        <f aca="false">J620/I620-1</f>
        <v>0.0671727957360289</v>
      </c>
    </row>
    <row r="622" customFormat="false" ht="17.15" hidden="false" customHeight="false" outlineLevel="0" collapsed="false">
      <c r="A622" s="4" t="s">
        <v>604</v>
      </c>
      <c r="B622" s="0" t="s">
        <v>48</v>
      </c>
      <c r="C622" s="17" t="n">
        <f aca="false">C617/C590</f>
        <v>0.0125349699042727</v>
      </c>
      <c r="D622" s="17" t="n">
        <f aca="false">D617/D590</f>
        <v>0.0145632363293992</v>
      </c>
      <c r="E622" s="17" t="n">
        <f aca="false">E617/E590</f>
        <v>0.0158718602061905</v>
      </c>
      <c r="F622" s="17" t="n">
        <f aca="false">F617/F590</f>
        <v>0.0168467038312632</v>
      </c>
      <c r="G622" s="17" t="n">
        <f aca="false">G617/G590</f>
        <v>0.0175694560909581</v>
      </c>
      <c r="H622" s="28" t="n">
        <f aca="false">$G622+(fade_mA-$G622)*1/3</f>
        <v>0.0176899759479068</v>
      </c>
      <c r="I622" s="28" t="n">
        <f aca="false">$G622+(fade_mA-$G622)*2/3</f>
        <v>0.0178104958048555</v>
      </c>
      <c r="J622" s="28" t="n">
        <f aca="false">$G622+(fade_mA-$G622)*3/3</f>
        <v>0.0179310156618042</v>
      </c>
    </row>
    <row r="625" customFormat="false" ht="17.15" hidden="false" customHeight="false" outlineLevel="0" collapsed="false">
      <c r="A625" s="1" t="s">
        <v>882</v>
      </c>
    </row>
    <row r="626" customFormat="false" ht="17.15" hidden="false" customHeight="false" outlineLevel="0" collapsed="false">
      <c r="A626" s="5" t="s">
        <v>17</v>
      </c>
      <c r="B626" s="5" t="s">
        <v>18</v>
      </c>
      <c r="C626" s="14" t="s">
        <v>414</v>
      </c>
      <c r="D626" s="14" t="s">
        <v>529</v>
      </c>
      <c r="E626" s="14" t="s">
        <v>530</v>
      </c>
      <c r="F626" s="14" t="s">
        <v>531</v>
      </c>
      <c r="G626" s="14" t="s">
        <v>532</v>
      </c>
      <c r="H626" s="14" t="s">
        <v>533</v>
      </c>
      <c r="I626" s="14" t="s">
        <v>534</v>
      </c>
      <c r="J626" s="14" t="s">
        <v>535</v>
      </c>
      <c r="K626" s="5" t="s">
        <v>496</v>
      </c>
    </row>
    <row r="627" customFormat="false" ht="17.15" hidden="false" customHeight="false" outlineLevel="0" collapsed="false">
      <c r="A627" s="6" t="s">
        <v>550</v>
      </c>
    </row>
    <row r="628" customFormat="false" ht="17.15" hidden="false" customHeight="false" outlineLevel="0" collapsed="false">
      <c r="A628" s="0" t="s">
        <v>551</v>
      </c>
      <c r="B628" s="0" t="s">
        <v>28</v>
      </c>
      <c r="D628" s="21" t="n">
        <f aca="false">itc_26*1</f>
        <v>781.872916666667</v>
      </c>
      <c r="E628" s="21" t="n">
        <f aca="false">itc_27*1*1</f>
        <v>1565.35</v>
      </c>
      <c r="F628" s="21" t="n">
        <f aca="false">itc_28*um28_A*1</f>
        <v>1984.26388888889</v>
      </c>
      <c r="G628" s="21" t="n">
        <f aca="false">itc_29*um29_A*1</f>
        <v>2260.39027777778</v>
      </c>
    </row>
    <row r="629" customFormat="false" ht="17.15" hidden="false" customHeight="false" outlineLevel="0" collapsed="false">
      <c r="A629" s="4" t="s">
        <v>552</v>
      </c>
      <c r="B629" s="0" t="s">
        <v>28</v>
      </c>
      <c r="D629" s="21" t="n">
        <f aca="false">itpg_gb*(1-vr26)+itpg_vr*vr26</f>
        <v>33.41403216</v>
      </c>
      <c r="E629" s="21" t="n">
        <f aca="false">itpg_vr</f>
        <v>37.586352</v>
      </c>
      <c r="F629" s="21" t="n">
        <f aca="false">itpg_vr</f>
        <v>37.586352</v>
      </c>
      <c r="G629" s="21" t="n">
        <f aca="false">itpg_vr</f>
        <v>37.586352</v>
      </c>
    </row>
    <row r="630" customFormat="false" ht="17.15" hidden="false" customHeight="false" outlineLevel="0" collapsed="false">
      <c r="A630" s="4" t="s">
        <v>553</v>
      </c>
      <c r="B630" s="0" t="s">
        <v>498</v>
      </c>
      <c r="D630" s="22" t="n">
        <f aca="false">D628/D629</f>
        <v>23.3995380420639</v>
      </c>
      <c r="E630" s="22" t="n">
        <f aca="false">E628/E629</f>
        <v>41.6467658260637</v>
      </c>
      <c r="F630" s="22" t="n">
        <f aca="false">F628/F629</f>
        <v>52.792138191248</v>
      </c>
      <c r="G630" s="22" t="n">
        <f aca="false">G628/G629</f>
        <v>60.1385917361116</v>
      </c>
    </row>
    <row r="631" customFormat="false" ht="17.15" hidden="false" customHeight="false" outlineLevel="0" collapsed="false">
      <c r="A631" s="4" t="s">
        <v>554</v>
      </c>
      <c r="B631" s="0" t="s">
        <v>555</v>
      </c>
      <c r="D631" s="18" t="n">
        <f aca="false">(racks_gb*odm_gb*(1-vr26)+racks_vr*odm_vr*vr26)/1000</f>
        <v>27.1209</v>
      </c>
      <c r="E631" s="18" t="n">
        <f aca="false">racks_vr*odm_vr/1000</f>
        <v>27.351</v>
      </c>
      <c r="F631" s="18" t="n">
        <f aca="false">$E631*vpg_28_hi</f>
        <v>32.8212</v>
      </c>
      <c r="G631" s="18" t="n">
        <f aca="false">$E631*vpg_29_hi</f>
        <v>32.8212</v>
      </c>
      <c r="K631" s="4" t="s">
        <v>556</v>
      </c>
    </row>
    <row r="632" customFormat="false" ht="17.15" hidden="false" customHeight="false" outlineLevel="0" collapsed="false">
      <c r="A632" s="0" t="s">
        <v>557</v>
      </c>
      <c r="B632" s="0" t="s">
        <v>28</v>
      </c>
      <c r="D632" s="21" t="n">
        <f aca="false">D630*D631</f>
        <v>634.616531285011</v>
      </c>
      <c r="E632" s="21" t="n">
        <f aca="false">E630*E631</f>
        <v>1139.08069210867</v>
      </c>
      <c r="F632" s="21" t="n">
        <f aca="false">F630*F631</f>
        <v>1732.70132600259</v>
      </c>
      <c r="G632" s="21" t="n">
        <f aca="false">G630*G631</f>
        <v>1973.82074708926</v>
      </c>
    </row>
    <row r="633" customFormat="false" ht="17.15" hidden="false" customHeight="false" outlineLevel="0" collapsed="false">
      <c r="A633" s="0" t="s">
        <v>558</v>
      </c>
      <c r="B633" s="0" t="s">
        <v>147</v>
      </c>
      <c r="D633" s="21" t="n">
        <f aca="false">D632*fx</f>
        <v>20307.7290011204</v>
      </c>
      <c r="E633" s="21" t="n">
        <f aca="false">E632*fx</f>
        <v>36450.5821474774</v>
      </c>
      <c r="F633" s="21" t="n">
        <f aca="false">F632*fx</f>
        <v>55446.4424320828</v>
      </c>
      <c r="G633" s="21" t="n">
        <f aca="false">G632*fx</f>
        <v>63162.2639068565</v>
      </c>
    </row>
    <row r="634" customFormat="false" ht="17.15" hidden="false" customHeight="false" outlineLevel="0" collapsed="false">
      <c r="A634" s="6" t="s">
        <v>559</v>
      </c>
    </row>
    <row r="635" customFormat="false" ht="17.15" hidden="false" customHeight="false" outlineLevel="0" collapsed="false">
      <c r="A635" s="4" t="s">
        <v>560</v>
      </c>
      <c r="B635" s="0" t="s">
        <v>48</v>
      </c>
      <c r="D635" s="20" t="n">
        <f aca="false">a26_ais/D633</f>
        <v>0.0875096501918446</v>
      </c>
      <c r="K635" s="8" t="s">
        <v>561</v>
      </c>
    </row>
    <row r="636" customFormat="false" ht="17.15" hidden="false" customHeight="false" outlineLevel="0" collapsed="false">
      <c r="A636" s="4" t="s">
        <v>562</v>
      </c>
      <c r="B636" s="0" t="s">
        <v>60</v>
      </c>
      <c r="D636" s="18" t="n">
        <f aca="false">1</f>
        <v>1</v>
      </c>
      <c r="E636" s="18" t="n">
        <f aca="false">rel_27</f>
        <v>1</v>
      </c>
      <c r="F636" s="18" t="n">
        <f aca="false">rel_28</f>
        <v>0.95</v>
      </c>
      <c r="G636" s="18" t="n">
        <f aca="false">rel_29</f>
        <v>0.9</v>
      </c>
    </row>
    <row r="637" customFormat="false" ht="17.15" hidden="false" customHeight="false" outlineLevel="0" collapsed="false">
      <c r="A637" s="4" t="s">
        <v>563</v>
      </c>
      <c r="B637" s="0" t="s">
        <v>48</v>
      </c>
      <c r="D637" s="20" t="n">
        <f aca="false">$D$635*D636</f>
        <v>0.0875096501918446</v>
      </c>
      <c r="E637" s="20" t="n">
        <f aca="false">$D$635*E636</f>
        <v>0.0875096501918446</v>
      </c>
      <c r="F637" s="20" t="n">
        <f aca="false">$D$635*F636</f>
        <v>0.0831341676822524</v>
      </c>
      <c r="G637" s="20" t="n">
        <f aca="false">$D$635*G636</f>
        <v>0.0787586851726601</v>
      </c>
    </row>
    <row r="638" customFormat="false" ht="17.15" hidden="false" customHeight="false" outlineLevel="0" collapsed="false">
      <c r="A638" s="4" t="s">
        <v>564</v>
      </c>
      <c r="B638" s="0" t="s">
        <v>147</v>
      </c>
      <c r="D638" s="21" t="n">
        <f aca="false">D633*D637</f>
        <v>1777.12226107882</v>
      </c>
      <c r="E638" s="21" t="n">
        <f aca="false">E633*E637</f>
        <v>3189.77769301484</v>
      </c>
      <c r="F638" s="21" t="n">
        <f aca="false">F633*F637</f>
        <v>4609.49384253313</v>
      </c>
      <c r="G638" s="21" t="n">
        <f aca="false">G633*G637</f>
        <v>4974.57685783258</v>
      </c>
    </row>
    <row r="639" customFormat="false" ht="17.15" hidden="false" customHeight="false" outlineLevel="0" collapsed="false">
      <c r="A639" s="4" t="s">
        <v>565</v>
      </c>
      <c r="B639" s="0" t="s">
        <v>48</v>
      </c>
      <c r="D639" s="20" t="n">
        <f aca="false">0</f>
        <v>0</v>
      </c>
      <c r="E639" s="20" t="n">
        <f aca="false">cs_27</f>
        <v>0.1</v>
      </c>
      <c r="F639" s="20" t="n">
        <f aca="false">cs_28</f>
        <v>0.2</v>
      </c>
      <c r="G639" s="20" t="n">
        <f aca="false">cs_29</f>
        <v>0.25</v>
      </c>
      <c r="K639" s="8" t="s">
        <v>566</v>
      </c>
    </row>
    <row r="640" customFormat="false" ht="17.15" hidden="false" customHeight="false" outlineLevel="0" collapsed="false">
      <c r="A640" s="4" t="s">
        <v>567</v>
      </c>
      <c r="B640" s="0" t="s">
        <v>147</v>
      </c>
      <c r="D640" s="21" t="n">
        <f aca="false">D638*(1-D639)</f>
        <v>1777.12226107882</v>
      </c>
      <c r="E640" s="21" t="n">
        <f aca="false">E638*(1-E639)</f>
        <v>2870.79992371336</v>
      </c>
      <c r="F640" s="21" t="n">
        <f aca="false">F638*(1-F639)</f>
        <v>3687.5950740265</v>
      </c>
      <c r="G640" s="21" t="n">
        <f aca="false">G638*(1-G639)</f>
        <v>3730.93264337444</v>
      </c>
    </row>
    <row r="641" customFormat="false" ht="17.15" hidden="false" customHeight="false" outlineLevel="0" collapsed="false">
      <c r="A641" s="6" t="s">
        <v>568</v>
      </c>
    </row>
    <row r="642" customFormat="false" ht="17.15" hidden="false" customHeight="false" outlineLevel="0" collapsed="false">
      <c r="A642" s="0" t="s">
        <v>569</v>
      </c>
      <c r="B642" s="4" t="s">
        <v>81</v>
      </c>
      <c r="D642" s="18" t="n">
        <f aca="false">gu_26*1</f>
        <v>8.35</v>
      </c>
      <c r="E642" s="18" t="n">
        <f aca="false">gu_27*1*1</f>
        <v>11.2</v>
      </c>
      <c r="F642" s="18" t="n">
        <f aca="false">gu_28*um28_A*1</f>
        <v>11.5</v>
      </c>
      <c r="G642" s="18" t="n">
        <f aca="false">gu_29*um29_A*1</f>
        <v>12.9</v>
      </c>
    </row>
    <row r="643" customFormat="false" ht="15" hidden="false" customHeight="false" outlineLevel="0" collapsed="false">
      <c r="A643" s="4" t="s">
        <v>570</v>
      </c>
      <c r="B643" s="0" t="s">
        <v>48</v>
      </c>
      <c r="D643" s="20" t="n">
        <f aca="false">bsh_26</f>
        <v>0.5</v>
      </c>
      <c r="E643" s="20" t="n">
        <f aca="false">bsh_26*brel_27</f>
        <v>0.5</v>
      </c>
      <c r="F643" s="20" t="n">
        <f aca="false">bsh_26*brel_28</f>
        <v>0.475</v>
      </c>
      <c r="G643" s="20" t="n">
        <f aca="false">bsh_26*brel_29</f>
        <v>0.45</v>
      </c>
    </row>
    <row r="644" customFormat="false" ht="17.15" hidden="false" customHeight="false" outlineLevel="0" collapsed="false">
      <c r="A644" s="4" t="s">
        <v>571</v>
      </c>
      <c r="B644" s="0" t="s">
        <v>520</v>
      </c>
      <c r="D644" s="24" t="n">
        <f aca="false">a26_brd/fx/D642/D643*1000</f>
        <v>823.353293413174</v>
      </c>
      <c r="E644" s="24" t="n">
        <f aca="false">$D644*bv_27</f>
        <v>946.85628742515</v>
      </c>
      <c r="F644" s="24" t="n">
        <f aca="false">$D644*bv_28</f>
        <v>988.023952095808</v>
      </c>
      <c r="G644" s="24" t="n">
        <f aca="false">$D644*bv_29</f>
        <v>988.023952095808</v>
      </c>
      <c r="K644" s="8" t="s">
        <v>572</v>
      </c>
    </row>
    <row r="645" customFormat="false" ht="17.15" hidden="false" customHeight="false" outlineLevel="0" collapsed="false">
      <c r="A645" s="0" t="s">
        <v>522</v>
      </c>
      <c r="B645" s="0" t="s">
        <v>147</v>
      </c>
      <c r="D645" s="21" t="n">
        <f aca="false">D642*D643*D644*fx/1000</f>
        <v>110</v>
      </c>
      <c r="E645" s="21" t="n">
        <f aca="false">E642*E643*E644*fx/1000</f>
        <v>169.676646706587</v>
      </c>
      <c r="F645" s="21" t="n">
        <f aca="false">F642*F643*F644*fx/1000</f>
        <v>172.706586826347</v>
      </c>
      <c r="G645" s="21" t="n">
        <f aca="false">G642*G643*G644*fx/1000</f>
        <v>183.535329341317</v>
      </c>
    </row>
    <row r="646" customFormat="false" ht="17.15" hidden="false" customHeight="false" outlineLevel="0" collapsed="false">
      <c r="A646" s="6" t="s">
        <v>573</v>
      </c>
    </row>
    <row r="647" customFormat="false" ht="15" hidden="false" customHeight="false" outlineLevel="0" collapsed="false">
      <c r="A647" s="4" t="s">
        <v>574</v>
      </c>
      <c r="B647" s="0" t="s">
        <v>147</v>
      </c>
      <c r="D647" s="21" t="n">
        <f aca="false">a26_gen</f>
        <v>150</v>
      </c>
      <c r="E647" s="21" t="n">
        <f aca="false">D647*(1+g_gen27)</f>
        <v>180</v>
      </c>
      <c r="F647" s="21" t="n">
        <f aca="false">E647*(1+g_gen28)</f>
        <v>198</v>
      </c>
      <c r="G647" s="21" t="n">
        <f aca="false">F647*(1+g_gen29)</f>
        <v>213.84</v>
      </c>
    </row>
    <row r="648" customFormat="false" ht="15" hidden="false" customHeight="false" outlineLevel="0" collapsed="false">
      <c r="A648" s="4" t="s">
        <v>575</v>
      </c>
      <c r="B648" s="0" t="s">
        <v>147</v>
      </c>
      <c r="D648" s="21" t="n">
        <f aca="false">a26_pc</f>
        <v>614.602793131557</v>
      </c>
      <c r="E648" s="21" t="n">
        <f aca="false">D648*(1+g_pc27)</f>
        <v>596.16470933761</v>
      </c>
      <c r="F648" s="21" t="n">
        <f aca="false">E648*(1+g_pc28)</f>
        <v>596.16470933761</v>
      </c>
      <c r="G648" s="21" t="n">
        <f aca="false">F648*(1+g_pc29)</f>
        <v>596.16470933761</v>
      </c>
    </row>
    <row r="649" customFormat="false" ht="15" hidden="false" customHeight="false" outlineLevel="0" collapsed="false">
      <c r="A649" s="4" t="s">
        <v>576</v>
      </c>
      <c r="B649" s="0" t="s">
        <v>147</v>
      </c>
      <c r="C649" s="21" t="n">
        <f aca="false">a25_srev</f>
        <v>1235.86</v>
      </c>
      <c r="D649" s="21" t="n">
        <f aca="false">D640+D645+D647+D648</f>
        <v>2651.72505421038</v>
      </c>
      <c r="E649" s="21" t="n">
        <f aca="false">E640+E645+E647+E648</f>
        <v>3816.64127975755</v>
      </c>
      <c r="F649" s="21" t="n">
        <f aca="false">F640+F645+F647+F648</f>
        <v>4654.46637019046</v>
      </c>
      <c r="G649" s="21" t="n">
        <f aca="false">G640+G645+G647+G648</f>
        <v>4724.47268205336</v>
      </c>
    </row>
    <row r="650" customFormat="false" ht="17.15" hidden="false" customHeight="false" outlineLevel="0" collapsed="false">
      <c r="A650" s="4" t="s">
        <v>577</v>
      </c>
      <c r="B650" s="0" t="s">
        <v>48</v>
      </c>
      <c r="D650" s="20" t="n">
        <f aca="false">a26_wai/D633</f>
        <v>0.0391523244650416</v>
      </c>
      <c r="K650" s="8" t="s">
        <v>578</v>
      </c>
    </row>
    <row r="651" customFormat="false" ht="17.15" hidden="false" customHeight="false" outlineLevel="0" collapsed="false">
      <c r="A651" s="4" t="s">
        <v>504</v>
      </c>
      <c r="B651" s="0" t="s">
        <v>48</v>
      </c>
      <c r="D651" s="20" t="n">
        <f aca="false">D650</f>
        <v>0.0391523244650416</v>
      </c>
      <c r="E651" s="20" t="n">
        <f aca="false">$D$650*wrel_27</f>
        <v>0.0391523244650416</v>
      </c>
      <c r="F651" s="20" t="n">
        <f aca="false">$D$650*wrel_28</f>
        <v>0.0391523244650416</v>
      </c>
      <c r="G651" s="20" t="n">
        <f aca="false">$D$650*wrel_29</f>
        <v>0.0371947082417896</v>
      </c>
    </row>
    <row r="652" customFormat="false" ht="17.15" hidden="false" customHeight="false" outlineLevel="0" collapsed="false">
      <c r="A652" s="4" t="s">
        <v>524</v>
      </c>
      <c r="B652" s="0" t="s">
        <v>147</v>
      </c>
      <c r="D652" s="21" t="n">
        <f aca="false">D633*D651</f>
        <v>795.094795</v>
      </c>
      <c r="E652" s="21" t="n">
        <f aca="false">E633*E651</f>
        <v>1427.12501917769</v>
      </c>
      <c r="F652" s="21" t="n">
        <f aca="false">F633*F651</f>
        <v>2170.85710453316</v>
      </c>
      <c r="G652" s="21" t="n">
        <f aca="false">G633*G651</f>
        <v>2349.30197790644</v>
      </c>
    </row>
    <row r="653" customFormat="false" ht="17.15" hidden="false" customHeight="false" outlineLevel="0" collapsed="false">
      <c r="A653" s="4" t="s">
        <v>579</v>
      </c>
      <c r="B653" s="0" t="s">
        <v>147</v>
      </c>
      <c r="D653" s="21" t="n">
        <f aca="false">a26_wna</f>
        <v>650.532105</v>
      </c>
      <c r="E653" s="21" t="n">
        <f aca="false">D653*(1+g_wn27)</f>
        <v>715.5853155</v>
      </c>
      <c r="F653" s="21" t="n">
        <f aca="false">E653*(1+g_wn28)</f>
        <v>758.52043443</v>
      </c>
      <c r="G653" s="21" t="n">
        <f aca="false">F653*(1+g_wn29)</f>
        <v>796.4464561515</v>
      </c>
    </row>
    <row r="654" customFormat="false" ht="15" hidden="false" customHeight="false" outlineLevel="0" collapsed="false">
      <c r="A654" s="4" t="s">
        <v>434</v>
      </c>
      <c r="B654" s="0" t="s">
        <v>147</v>
      </c>
      <c r="C654" s="21" t="n">
        <f aca="false">a25_wrev</f>
        <v>950.663</v>
      </c>
      <c r="D654" s="21" t="n">
        <f aca="false">D652+D653</f>
        <v>1445.6269</v>
      </c>
      <c r="E654" s="21" t="n">
        <f aca="false">E652+E653</f>
        <v>2142.71033467769</v>
      </c>
      <c r="F654" s="21" t="n">
        <f aca="false">F652+F653</f>
        <v>2929.37753896316</v>
      </c>
      <c r="G654" s="21" t="n">
        <f aca="false">G652+G653</f>
        <v>3145.74843405794</v>
      </c>
    </row>
    <row r="655" customFormat="false" ht="17.15" hidden="false" customHeight="false" outlineLevel="0" collapsed="false">
      <c r="A655" s="4" t="s">
        <v>420</v>
      </c>
      <c r="B655" s="0" t="s">
        <v>147</v>
      </c>
      <c r="C655" s="21" t="n">
        <f aca="false">C649+C654</f>
        <v>2186.523</v>
      </c>
      <c r="D655" s="21" t="n">
        <f aca="false">D649+D654</f>
        <v>4097.35195421038</v>
      </c>
      <c r="E655" s="21" t="n">
        <f aca="false">E649+E654</f>
        <v>5959.35161443524</v>
      </c>
      <c r="F655" s="21" t="n">
        <f aca="false">F649+F654</f>
        <v>7583.84390915362</v>
      </c>
      <c r="G655" s="21" t="n">
        <f aca="false">G649+G654</f>
        <v>7870.2211161113</v>
      </c>
      <c r="H655" s="26" t="n">
        <f aca="false">G655*(1+H656)</f>
        <v>8225.75302878188</v>
      </c>
      <c r="I655" s="26" t="n">
        <f aca="false">H655*(1+I656)</f>
        <v>8658.32203275321</v>
      </c>
      <c r="J655" s="26" t="n">
        <f aca="false">I655*(1+J656)</f>
        <v>9177.8213547184</v>
      </c>
      <c r="K655" s="8" t="s">
        <v>580</v>
      </c>
    </row>
    <row r="656" customFormat="false" ht="15" hidden="false" customHeight="false" outlineLevel="0" collapsed="false">
      <c r="A656" s="4" t="s">
        <v>581</v>
      </c>
      <c r="B656" s="0" t="s">
        <v>48</v>
      </c>
      <c r="D656" s="20" t="n">
        <f aca="false">D655/C655-1</f>
        <v>0.873912121761526</v>
      </c>
      <c r="E656" s="20" t="n">
        <f aca="false">E655/D655-1</f>
        <v>0.454439765251677</v>
      </c>
      <c r="F656" s="20" t="n">
        <f aca="false">F655/E655-1</f>
        <v>0.272595476793716</v>
      </c>
      <c r="G656" s="20" t="n">
        <f aca="false">G655/F655-1</f>
        <v>0.0377614848602084</v>
      </c>
      <c r="H656" s="27" t="n">
        <f aca="false">$G656+(fade_gA-$G656)*1/3</f>
        <v>0.0451743232401389</v>
      </c>
      <c r="I656" s="27" t="n">
        <f aca="false">$G656+(fade_gA-$G656)*2/3</f>
        <v>0.0525871616200695</v>
      </c>
      <c r="J656" s="27" t="n">
        <f aca="false">$G656+(fade_gA-$G656)*3/3</f>
        <v>0.06</v>
      </c>
    </row>
    <row r="657" customFormat="false" ht="17.15" hidden="false" customHeight="false" outlineLevel="0" collapsed="false">
      <c r="A657" s="0" t="s">
        <v>582</v>
      </c>
      <c r="B657" s="0" t="s">
        <v>48</v>
      </c>
      <c r="D657" s="20" t="n">
        <f aca="false">(D640+D645+D652)/D655</f>
        <v>0.6546220793463</v>
      </c>
      <c r="E657" s="20" t="n">
        <f aca="false">(E640+E645+E652)/E655</f>
        <v>0.749679139384196</v>
      </c>
      <c r="F657" s="20" t="n">
        <f aca="false">(F640+F645+F652)/F655</f>
        <v>0.795264095310093</v>
      </c>
      <c r="G657" s="20" t="n">
        <f aca="false">(G640+G645+G652)/G655</f>
        <v>0.795882333953679</v>
      </c>
    </row>
    <row r="658" customFormat="false" ht="17.15" hidden="false" customHeight="false" outlineLevel="0" collapsed="false">
      <c r="A658" s="4" t="s">
        <v>583</v>
      </c>
      <c r="B658" s="0" t="s">
        <v>48</v>
      </c>
      <c r="C658" s="20" t="n">
        <f aca="false">C654/C655</f>
        <v>0.434782986504144</v>
      </c>
      <c r="D658" s="20" t="n">
        <f aca="false">D654/D655</f>
        <v>0.352819800728736</v>
      </c>
      <c r="E658" s="20" t="n">
        <f aca="false">E654/E655</f>
        <v>0.359554272563384</v>
      </c>
      <c r="F658" s="20" t="n">
        <f aca="false">F654/F655</f>
        <v>0.386265536850967</v>
      </c>
      <c r="G658" s="20" t="n">
        <f aca="false">G654/G655</f>
        <v>0.399702675140627</v>
      </c>
    </row>
    <row r="659" customFormat="false" ht="17.15" hidden="false" customHeight="false" outlineLevel="0" collapsed="false">
      <c r="A659" s="4" t="s">
        <v>584</v>
      </c>
      <c r="B659" s="4" t="s">
        <v>331</v>
      </c>
      <c r="D659" s="21" t="n">
        <f aca="false">D638/fx/(odm_gb*(1-vr26)+odm_vr*vr26)</f>
        <v>12.0597330420658</v>
      </c>
      <c r="E659" s="21" t="n">
        <f aca="false">E638/fx/odm_vr</f>
        <v>14.7674893195131</v>
      </c>
      <c r="F659" s="21" t="n">
        <f aca="false">F638/fx/odm_vr</f>
        <v>21.3402492709867</v>
      </c>
      <c r="G659" s="21" t="n">
        <f aca="false">G638/fx/odm_vr</f>
        <v>23.0304484158916</v>
      </c>
      <c r="K659" s="4" t="s">
        <v>585</v>
      </c>
    </row>
    <row r="660" customFormat="false" ht="17.15" hidden="false" customHeight="false" outlineLevel="0" collapsed="false">
      <c r="A660" s="6" t="s">
        <v>586</v>
      </c>
    </row>
    <row r="661" customFormat="false" ht="17.15" hidden="false" customHeight="false" outlineLevel="0" collapsed="false">
      <c r="A661" s="4" t="s">
        <v>587</v>
      </c>
      <c r="B661" s="0" t="s">
        <v>48</v>
      </c>
      <c r="D661" s="17" t="n">
        <f aca="false">(a26_sgp-d_ai*D640-d_brd*D645-d_gen*D647)/D649</f>
        <v>0.0436423860147897</v>
      </c>
      <c r="K661" s="8" t="s">
        <v>588</v>
      </c>
    </row>
    <row r="662" customFormat="false" ht="17.15" hidden="false" customHeight="false" outlineLevel="0" collapsed="false">
      <c r="A662" s="4" t="s">
        <v>589</v>
      </c>
      <c r="B662" s="0" t="s">
        <v>147</v>
      </c>
      <c r="D662" s="25" t="n">
        <f aca="false">($D$661+d_ai)*D638*(1-D639*(1-keep))</f>
        <v>59.7866331026896</v>
      </c>
      <c r="E662" s="25" t="n">
        <f aca="false">($D$661+d_ai+vrd)*E638*(1-E639*(1-keep))</f>
        <v>99.9228552931035</v>
      </c>
      <c r="F662" s="25" t="n">
        <f aca="false">($D$661+d_ai+vrd)*F638*(1-F639*(1-keep))</f>
        <v>142.938275828265</v>
      </c>
      <c r="G662" s="25" t="n">
        <f aca="false">($D$661+d_ai+vrd)*G638*(1-G639*(1-keep))</f>
        <v>153.472294165884</v>
      </c>
    </row>
    <row r="663" customFormat="false" ht="15" hidden="false" customHeight="false" outlineLevel="0" collapsed="false">
      <c r="A663" s="4" t="s">
        <v>590</v>
      </c>
      <c r="B663" s="0" t="s">
        <v>147</v>
      </c>
      <c r="C663" s="21" t="n">
        <f aca="false">a25_sgp</f>
        <v>55.529</v>
      </c>
      <c r="D663" s="21" t="n">
        <f aca="false">a26_sgp</f>
        <v>103.50638581015</v>
      </c>
      <c r="E663" s="21" t="n">
        <f aca="false">$D$661*E648+($D$661+d_brd)*E645+($D$661+d_gen)*E647+E662</f>
        <v>148.991928263534</v>
      </c>
      <c r="F663" s="21" t="n">
        <f aca="false">$D$661*F648+($D$661+d_brd)*F645+($D$661+d_gen)*F647+F662</f>
        <v>193.286043766863</v>
      </c>
      <c r="G663" s="21" t="n">
        <f aca="false">$D$661*G648+($D$661+d_brd)*G645+($D$661+d_gen)*G647+G662</f>
        <v>205.546411935298</v>
      </c>
    </row>
    <row r="664" customFormat="false" ht="15" hidden="false" customHeight="false" outlineLevel="0" collapsed="false">
      <c r="A664" s="4" t="s">
        <v>591</v>
      </c>
      <c r="B664" s="0" t="s">
        <v>48</v>
      </c>
      <c r="C664" s="17" t="n">
        <f aca="false">C663/C649</f>
        <v>0.0449314647290146</v>
      </c>
      <c r="D664" s="17" t="n">
        <f aca="false">D663/D649</f>
        <v>0.0390336040479778</v>
      </c>
      <c r="E664" s="17" t="n">
        <f aca="false">E663/E649</f>
        <v>0.0390374461057547</v>
      </c>
      <c r="F664" s="17" t="n">
        <f aca="false">F663/F649</f>
        <v>0.0415270040417015</v>
      </c>
      <c r="G664" s="17" t="n">
        <f aca="false">G663/G649</f>
        <v>0.0435067415494004</v>
      </c>
    </row>
    <row r="665" customFormat="false" ht="15" hidden="false" customHeight="false" outlineLevel="0" collapsed="false">
      <c r="A665" s="4" t="s">
        <v>592</v>
      </c>
      <c r="B665" s="0" t="s">
        <v>48</v>
      </c>
      <c r="E665" s="20" t="n">
        <f aca="false">MAX(0,phi*(E649/D649-1))</f>
        <v>0.13179151703879</v>
      </c>
      <c r="F665" s="20" t="n">
        <f aca="false">MAX(0,phi*(F649/E649-1))</f>
        <v>0.0658556853280795</v>
      </c>
      <c r="G665" s="20" t="n">
        <f aca="false">MAX(0,phi*(G649/F649-1))</f>
        <v>0.00451220223512163</v>
      </c>
    </row>
    <row r="666" customFormat="false" ht="15" hidden="false" customHeight="false" outlineLevel="0" collapsed="false">
      <c r="A666" s="4" t="s">
        <v>593</v>
      </c>
      <c r="B666" s="0" t="s">
        <v>147</v>
      </c>
      <c r="C666" s="21" t="n">
        <f aca="false">a25_sopx</f>
        <v>40.894</v>
      </c>
      <c r="D666" s="21" t="n">
        <f aca="false">a26_sopx</f>
        <v>46.9914095398923</v>
      </c>
      <c r="E666" s="21" t="n">
        <f aca="false">D666*(1+E665)+0*E649</f>
        <v>53.1844786909457</v>
      </c>
      <c r="F666" s="21" t="n">
        <f aca="false">E666*(1+F665)+0*F649</f>
        <v>56.6869789839546</v>
      </c>
      <c r="G666" s="21" t="n">
        <f aca="false">F666*(1+G665)+0*G649</f>
        <v>56.9427620972283</v>
      </c>
    </row>
    <row r="667" customFormat="false" ht="15" hidden="false" customHeight="false" outlineLevel="0" collapsed="false">
      <c r="A667" s="4" t="s">
        <v>594</v>
      </c>
      <c r="B667" s="0" t="s">
        <v>147</v>
      </c>
      <c r="C667" s="21" t="n">
        <f aca="false">C663-C666</f>
        <v>14.635</v>
      </c>
      <c r="D667" s="21" t="n">
        <f aca="false">D663-D666</f>
        <v>56.514976270258</v>
      </c>
      <c r="E667" s="21" t="n">
        <f aca="false">E663-E666</f>
        <v>95.8074495725884</v>
      </c>
      <c r="F667" s="21" t="n">
        <f aca="false">F663-F666</f>
        <v>136.599064782908</v>
      </c>
      <c r="G667" s="21" t="n">
        <f aca="false">G663-G666</f>
        <v>148.60364983807</v>
      </c>
    </row>
    <row r="668" customFormat="false" ht="15" hidden="false" customHeight="false" outlineLevel="0" collapsed="false">
      <c r="A668" s="4" t="s">
        <v>595</v>
      </c>
      <c r="B668" s="0" t="s">
        <v>48</v>
      </c>
      <c r="C668" s="17" t="n">
        <f aca="false">C667/C649</f>
        <v>0.011841956208632</v>
      </c>
      <c r="D668" s="17" t="n">
        <f aca="false">D667/D649</f>
        <v>0.0213125324514788</v>
      </c>
      <c r="E668" s="17" t="n">
        <f aca="false">E667/E649</f>
        <v>0.0251025555062577</v>
      </c>
      <c r="F668" s="17" t="n">
        <f aca="false">F667/F649</f>
        <v>0.0293479539690645</v>
      </c>
      <c r="G668" s="17" t="n">
        <f aca="false">G667/G649</f>
        <v>0.031454018223571</v>
      </c>
    </row>
    <row r="669" customFormat="false" ht="15" hidden="false" customHeight="false" outlineLevel="0" collapsed="false">
      <c r="A669" s="4" t="s">
        <v>596</v>
      </c>
      <c r="B669" s="0" t="s">
        <v>147</v>
      </c>
      <c r="C669" s="21" t="n">
        <f aca="false">a25_sni</f>
        <v>6.9608</v>
      </c>
      <c r="D669" s="21" t="n">
        <f aca="false">a26_sni</f>
        <v>31.133746704</v>
      </c>
      <c r="E669" s="21" t="n">
        <f aca="false">E667*snio</f>
        <v>53.6521717606495</v>
      </c>
      <c r="F669" s="21" t="n">
        <f aca="false">F667*snio</f>
        <v>76.4954762784286</v>
      </c>
      <c r="G669" s="21" t="n">
        <f aca="false">G667*snio</f>
        <v>83.2180439093191</v>
      </c>
    </row>
    <row r="670" customFormat="false" ht="17.15" hidden="false" customHeight="false" outlineLevel="0" collapsed="false">
      <c r="A670" s="6" t="s">
        <v>597</v>
      </c>
    </row>
    <row r="671" customFormat="false" ht="15" hidden="false" customHeight="false" outlineLevel="0" collapsed="false">
      <c r="A671" s="4" t="s">
        <v>438</v>
      </c>
      <c r="B671" s="0" t="s">
        <v>147</v>
      </c>
      <c r="C671" s="21" t="n">
        <f aca="false">a25_wgp</f>
        <v>78.454</v>
      </c>
      <c r="D671" s="21" t="n">
        <f aca="false">a26_wgp</f>
        <v>125.0519932</v>
      </c>
      <c r="E671" s="21" t="n">
        <f aca="false">E654*wgm</f>
        <v>182.130378447603</v>
      </c>
      <c r="F671" s="21" t="n">
        <f aca="false">F654*wgm</f>
        <v>248.997090811869</v>
      </c>
      <c r="G671" s="21" t="n">
        <f aca="false">G654*wgm</f>
        <v>267.388616894925</v>
      </c>
    </row>
    <row r="672" customFormat="false" ht="15" hidden="false" customHeight="false" outlineLevel="0" collapsed="false">
      <c r="A672" s="4" t="s">
        <v>440</v>
      </c>
      <c r="B672" s="0" t="s">
        <v>147</v>
      </c>
      <c r="C672" s="21" t="n">
        <f aca="false">a25_woi</f>
        <v>63.918</v>
      </c>
      <c r="D672" s="21" t="n">
        <f aca="false">a26_woi</f>
        <v>98.2471632</v>
      </c>
      <c r="E672" s="21" t="n">
        <f aca="false">E654*wopm</f>
        <v>139.27617175405</v>
      </c>
      <c r="F672" s="21" t="n">
        <f aca="false">F654*wopm</f>
        <v>190.409540032605</v>
      </c>
      <c r="G672" s="21" t="n">
        <f aca="false">G654*wopm</f>
        <v>204.473648213766</v>
      </c>
    </row>
    <row r="673" customFormat="false" ht="15" hidden="false" customHeight="false" outlineLevel="0" collapsed="false">
      <c r="A673" s="4" t="s">
        <v>448</v>
      </c>
      <c r="B673" s="0" t="s">
        <v>147</v>
      </c>
      <c r="C673" s="21" t="n">
        <f aca="false">a25_wni</f>
        <v>51.118</v>
      </c>
      <c r="D673" s="21" t="n">
        <f aca="false">a26_wni</f>
        <v>75.735026884</v>
      </c>
      <c r="E673" s="21" t="n">
        <f aca="false">E672*wnio</f>
        <v>108.635413968159</v>
      </c>
      <c r="F673" s="21" t="n">
        <f aca="false">F672*wnio</f>
        <v>148.519441225432</v>
      </c>
      <c r="G673" s="21" t="n">
        <f aca="false">G672*wnio</f>
        <v>159.489445606738</v>
      </c>
    </row>
    <row r="674" customFormat="false" ht="15" hidden="false" customHeight="false" outlineLevel="0" collapsed="false">
      <c r="A674" s="4" t="s">
        <v>450</v>
      </c>
      <c r="B674" s="0" t="s">
        <v>48</v>
      </c>
      <c r="C674" s="17" t="n">
        <f aca="false">stake25</f>
        <v>0.4</v>
      </c>
      <c r="D674" s="17" t="n">
        <f aca="false">stake</f>
        <v>0.3768</v>
      </c>
      <c r="E674" s="17" t="n">
        <f aca="false">stake</f>
        <v>0.3768</v>
      </c>
      <c r="F674" s="17" t="n">
        <f aca="false">stake</f>
        <v>0.3768</v>
      </c>
      <c r="G674" s="17" t="n">
        <f aca="false">stake</f>
        <v>0.3768</v>
      </c>
    </row>
    <row r="675" customFormat="false" ht="17.15" hidden="false" customHeight="false" outlineLevel="0" collapsed="false">
      <c r="A675" s="6" t="s">
        <v>598</v>
      </c>
    </row>
    <row r="676" customFormat="false" ht="15" hidden="false" customHeight="false" outlineLevel="0" collapsed="false">
      <c r="A676" s="4" t="s">
        <v>424</v>
      </c>
      <c r="B676" s="0" t="s">
        <v>147</v>
      </c>
      <c r="C676" s="21" t="n">
        <f aca="false">C663+C671</f>
        <v>133.983</v>
      </c>
      <c r="D676" s="21" t="n">
        <f aca="false">D663+D671</f>
        <v>228.55837901015</v>
      </c>
      <c r="E676" s="21" t="n">
        <f aca="false">E663+E671</f>
        <v>331.122306711138</v>
      </c>
      <c r="F676" s="21" t="n">
        <f aca="false">F663+F671</f>
        <v>442.283134578731</v>
      </c>
      <c r="G676" s="21" t="n">
        <f aca="false">G663+G671</f>
        <v>472.935028830223</v>
      </c>
    </row>
    <row r="677" customFormat="false" ht="15" hidden="false" customHeight="false" outlineLevel="0" collapsed="false">
      <c r="A677" s="4" t="s">
        <v>427</v>
      </c>
      <c r="B677" s="0" t="s">
        <v>48</v>
      </c>
      <c r="C677" s="17" t="n">
        <f aca="false">C676/C655</f>
        <v>0.0612767393711386</v>
      </c>
      <c r="D677" s="17" t="n">
        <f aca="false">D676/D655</f>
        <v>0.055781973714825</v>
      </c>
      <c r="E677" s="17" t="n">
        <f aca="false">E676/E655</f>
        <v>0.0555634787363554</v>
      </c>
      <c r="F677" s="17" t="n">
        <f aca="false">F676/F655</f>
        <v>0.0583191241640536</v>
      </c>
      <c r="G677" s="17" t="n">
        <f aca="false">G676/G655</f>
        <v>0.0600917079524065</v>
      </c>
    </row>
    <row r="678" customFormat="false" ht="15" hidden="false" customHeight="false" outlineLevel="0" collapsed="false">
      <c r="A678" s="4" t="s">
        <v>428</v>
      </c>
      <c r="B678" s="0" t="s">
        <v>147</v>
      </c>
      <c r="C678" s="21" t="n">
        <f aca="false">C667+C672</f>
        <v>78.553</v>
      </c>
      <c r="D678" s="21" t="n">
        <f aca="false">D667+D672</f>
        <v>154.762139470258</v>
      </c>
      <c r="E678" s="21" t="n">
        <f aca="false">E667+E672</f>
        <v>235.083621326638</v>
      </c>
      <c r="F678" s="21" t="n">
        <f aca="false">F667+F672</f>
        <v>327.008604815514</v>
      </c>
      <c r="G678" s="21" t="n">
        <f aca="false">G667+G672</f>
        <v>353.077298051836</v>
      </c>
    </row>
    <row r="679" customFormat="false" ht="15" hidden="false" customHeight="false" outlineLevel="0" collapsed="false">
      <c r="A679" s="4" t="s">
        <v>431</v>
      </c>
      <c r="B679" s="0" t="s">
        <v>48</v>
      </c>
      <c r="C679" s="17" t="n">
        <f aca="false">C678/C655</f>
        <v>0.0359259884300325</v>
      </c>
      <c r="D679" s="17" t="n">
        <f aca="false">D678/D655</f>
        <v>0.0377712584126992</v>
      </c>
      <c r="E679" s="17" t="n">
        <f aca="false">E678/E655</f>
        <v>0.0394478521383432</v>
      </c>
      <c r="F679" s="17" t="n">
        <f aca="false">F678/F655</f>
        <v>0.0431191106690392</v>
      </c>
      <c r="G679" s="17" t="n">
        <f aca="false">G678/G655</f>
        <v>0.0448624368798284</v>
      </c>
    </row>
    <row r="680" customFormat="false" ht="15" hidden="false" customHeight="false" outlineLevel="0" collapsed="false">
      <c r="A680" s="4" t="s">
        <v>461</v>
      </c>
      <c r="B680" s="0" t="s">
        <v>147</v>
      </c>
      <c r="C680" s="21" t="n">
        <f aca="false">C669+C673</f>
        <v>58.0788</v>
      </c>
      <c r="D680" s="21" t="n">
        <f aca="false">D669+D673</f>
        <v>106.868773588</v>
      </c>
      <c r="E680" s="21" t="n">
        <f aca="false">E669+E673</f>
        <v>162.287585728808</v>
      </c>
      <c r="F680" s="21" t="n">
        <f aca="false">F669+F673</f>
        <v>225.014917503861</v>
      </c>
      <c r="G680" s="21" t="n">
        <f aca="false">G669+G673</f>
        <v>242.707489516057</v>
      </c>
    </row>
    <row r="681" customFormat="false" ht="17.15" hidden="false" customHeight="false" outlineLevel="0" collapsed="false">
      <c r="A681" s="4" t="s">
        <v>599</v>
      </c>
      <c r="B681" s="0" t="s">
        <v>147</v>
      </c>
      <c r="C681" s="21" t="n">
        <f aca="false">(1-C674)*C673</f>
        <v>30.6708</v>
      </c>
      <c r="D681" s="21" t="n">
        <f aca="false">(1-D674)*D673</f>
        <v>47.1980687541088</v>
      </c>
      <c r="E681" s="21" t="n">
        <f aca="false">(1-E674)*E673</f>
        <v>67.7015899849565</v>
      </c>
      <c r="F681" s="21" t="n">
        <f aca="false">(1-F674)*F673</f>
        <v>92.5573157716893</v>
      </c>
      <c r="G681" s="21" t="n">
        <f aca="false">(1-G674)*G673</f>
        <v>99.3938225021189</v>
      </c>
    </row>
    <row r="682" customFormat="false" ht="15" hidden="false" customHeight="false" outlineLevel="0" collapsed="false">
      <c r="A682" s="4" t="s">
        <v>457</v>
      </c>
      <c r="B682" s="0" t="s">
        <v>147</v>
      </c>
      <c r="C682" s="21" t="n">
        <f aca="false">C680-C681</f>
        <v>27.408</v>
      </c>
      <c r="D682" s="21" t="n">
        <f aca="false">D680-D681</f>
        <v>59.6707048338912</v>
      </c>
      <c r="E682" s="21" t="n">
        <f aca="false">E680-E681</f>
        <v>94.5859957438517</v>
      </c>
      <c r="F682" s="21" t="n">
        <f aca="false">F680-F681</f>
        <v>132.457601732171</v>
      </c>
      <c r="G682" s="21" t="n">
        <f aca="false">G680-G681</f>
        <v>143.313667013938</v>
      </c>
      <c r="H682" s="26" t="n">
        <f aca="false">H655*H687</f>
        <v>149.023878751311</v>
      </c>
      <c r="I682" s="26" t="n">
        <f aca="false">I655*I687</f>
        <v>156.056564761349</v>
      </c>
      <c r="J682" s="26" t="n">
        <f aca="false">J655*J687</f>
        <v>164.567658452697</v>
      </c>
    </row>
    <row r="683" customFormat="false" ht="17.15" hidden="false" customHeight="false" outlineLevel="0" collapsed="false">
      <c r="A683" s="4" t="s">
        <v>600</v>
      </c>
      <c r="B683" s="0" t="s">
        <v>48</v>
      </c>
      <c r="C683" s="20" t="n">
        <f aca="false">C674*C673/C682</f>
        <v>0.746030356100409</v>
      </c>
      <c r="D683" s="20" t="n">
        <f aca="false">D674*D673/D682</f>
        <v>0.478240674537551</v>
      </c>
      <c r="E683" s="20" t="n">
        <f aca="false">E674*E673/E682</f>
        <v>0.432768335960168</v>
      </c>
      <c r="F683" s="20" t="n">
        <f aca="false">F674*F673/F682</f>
        <v>0.422490855352326</v>
      </c>
      <c r="G683" s="20" t="n">
        <f aca="false">G674*G673/G682</f>
        <v>0.419329323970017</v>
      </c>
    </row>
    <row r="684" customFormat="false" ht="17.15" hidden="false" customHeight="false" outlineLevel="0" collapsed="false">
      <c r="A684" s="4" t="s">
        <v>601</v>
      </c>
      <c r="B684" s="4" t="s">
        <v>282</v>
      </c>
      <c r="C684" s="31" t="n">
        <f aca="false">a25_sh</f>
        <v>3.03185840707965</v>
      </c>
      <c r="D684" s="31" t="n">
        <f aca="false">a26_sh</f>
        <v>3.23861720409076</v>
      </c>
      <c r="E684" s="31" t="n">
        <f aca="false">q_sh4*(1+sh_g)</f>
        <v>3.43</v>
      </c>
      <c r="F684" s="31" t="n">
        <f aca="false">E684*(1+sh_g)</f>
        <v>3.43</v>
      </c>
      <c r="G684" s="31" t="n">
        <f aca="false">F684*(1+sh_g)</f>
        <v>3.43</v>
      </c>
      <c r="H684" s="32" t="n">
        <f aca="false">G684*(1+sh_g)</f>
        <v>3.43</v>
      </c>
      <c r="I684" s="32" t="n">
        <f aca="false">H684*(1+sh_g)</f>
        <v>3.43</v>
      </c>
      <c r="J684" s="32" t="n">
        <f aca="false">I684*(1+sh_g)</f>
        <v>3.43</v>
      </c>
      <c r="K684" s="8" t="s">
        <v>602</v>
      </c>
    </row>
    <row r="685" customFormat="false" ht="15" hidden="false" customHeight="false" outlineLevel="0" collapsed="false">
      <c r="A685" s="0" t="s">
        <v>464</v>
      </c>
      <c r="B685" s="0" t="s">
        <v>312</v>
      </c>
      <c r="C685" s="18" t="n">
        <f aca="false">C682/C684</f>
        <v>9.04</v>
      </c>
      <c r="D685" s="18" t="n">
        <f aca="false">D682/D684</f>
        <v>18.4247476850676</v>
      </c>
      <c r="E685" s="18" t="n">
        <f aca="false">E682/E684</f>
        <v>27.5760920536011</v>
      </c>
      <c r="F685" s="18" t="n">
        <f aca="false">F682/F684</f>
        <v>38.6173765983007</v>
      </c>
      <c r="G685" s="18" t="n">
        <f aca="false">G682/G684</f>
        <v>41.7824102081451</v>
      </c>
      <c r="H685" s="29" t="n">
        <f aca="false">H682/H684</f>
        <v>43.4471949712276</v>
      </c>
      <c r="I685" s="29" t="n">
        <f aca="false">I682/I684</f>
        <v>45.497540746749</v>
      </c>
      <c r="J685" s="29" t="n">
        <f aca="false">J682/J684</f>
        <v>47.9789091698825</v>
      </c>
    </row>
    <row r="686" customFormat="false" ht="17.15" hidden="false" customHeight="false" outlineLevel="0" collapsed="false">
      <c r="A686" s="0" t="s">
        <v>603</v>
      </c>
      <c r="B686" s="0" t="s">
        <v>48</v>
      </c>
      <c r="D686" s="20" t="n">
        <f aca="false">D685/C685-1</f>
        <v>1.03813580587031</v>
      </c>
      <c r="E686" s="20" t="n">
        <f aca="false">E685/D685-1</f>
        <v>0.496687635833963</v>
      </c>
      <c r="F686" s="20" t="n">
        <f aca="false">F685/E685-1</f>
        <v>0.400393374203934</v>
      </c>
      <c r="G686" s="20" t="n">
        <f aca="false">G685/F685-1</f>
        <v>0.0819587939068784</v>
      </c>
      <c r="H686" s="27" t="n">
        <f aca="false">H685/G685-1</f>
        <v>0.0398441534317691</v>
      </c>
      <c r="I686" s="27" t="n">
        <f aca="false">I685/H685-1</f>
        <v>0.047191672025759</v>
      </c>
      <c r="J686" s="27" t="n">
        <f aca="false">J685/I685-1</f>
        <v>0.0545385175200019</v>
      </c>
    </row>
    <row r="687" customFormat="false" ht="17.15" hidden="false" customHeight="false" outlineLevel="0" collapsed="false">
      <c r="A687" s="4" t="s">
        <v>604</v>
      </c>
      <c r="B687" s="0" t="s">
        <v>48</v>
      </c>
      <c r="C687" s="17" t="n">
        <f aca="false">C682/C655</f>
        <v>0.0125349699042727</v>
      </c>
      <c r="D687" s="17" t="n">
        <f aca="false">D682/D655</f>
        <v>0.0145632363293992</v>
      </c>
      <c r="E687" s="17" t="n">
        <f aca="false">E682/E655</f>
        <v>0.0158718602061905</v>
      </c>
      <c r="F687" s="17" t="n">
        <f aca="false">F682/F655</f>
        <v>0.0174657605455588</v>
      </c>
      <c r="G687" s="17" t="n">
        <f aca="false">G682/G655</f>
        <v>0.0182096112548296</v>
      </c>
      <c r="H687" s="28" t="n">
        <f aca="false">$G687+(fade_mA-$G687)*1/3</f>
        <v>0.0181167460571545</v>
      </c>
      <c r="I687" s="28" t="n">
        <f aca="false">$G687+(fade_mA-$G687)*2/3</f>
        <v>0.0180238808594794</v>
      </c>
      <c r="J687" s="28" t="n">
        <f aca="false">$G687+(fade_mA-$G687)*3/3</f>
        <v>0.0179310156618042</v>
      </c>
    </row>
    <row r="690" customFormat="false" ht="17.15" hidden="false" customHeight="false" outlineLevel="0" collapsed="false">
      <c r="A690" s="1" t="s">
        <v>883</v>
      </c>
    </row>
    <row r="691" customFormat="false" ht="17.15" hidden="false" customHeight="false" outlineLevel="0" collapsed="false">
      <c r="A691" s="5" t="s">
        <v>17</v>
      </c>
      <c r="B691" s="5" t="s">
        <v>18</v>
      </c>
      <c r="C691" s="14" t="s">
        <v>414</v>
      </c>
      <c r="D691" s="14" t="s">
        <v>529</v>
      </c>
      <c r="E691" s="14" t="s">
        <v>530</v>
      </c>
      <c r="F691" s="14" t="s">
        <v>531</v>
      </c>
      <c r="G691" s="14" t="s">
        <v>532</v>
      </c>
      <c r="H691" s="14" t="s">
        <v>533</v>
      </c>
      <c r="I691" s="14" t="s">
        <v>534</v>
      </c>
      <c r="J691" s="14" t="s">
        <v>535</v>
      </c>
      <c r="K691" s="5" t="s">
        <v>496</v>
      </c>
    </row>
    <row r="692" customFormat="false" ht="17.15" hidden="false" customHeight="false" outlineLevel="0" collapsed="false">
      <c r="A692" s="6" t="s">
        <v>550</v>
      </c>
    </row>
    <row r="693" customFormat="false" ht="17.15" hidden="false" customHeight="false" outlineLevel="0" collapsed="false">
      <c r="A693" s="0" t="s">
        <v>551</v>
      </c>
      <c r="B693" s="0" t="s">
        <v>28</v>
      </c>
      <c r="D693" s="21" t="n">
        <f aca="false">itc_26*1</f>
        <v>781.872916666667</v>
      </c>
      <c r="E693" s="21" t="n">
        <f aca="false">itc_27*1*1</f>
        <v>1565.35</v>
      </c>
      <c r="F693" s="21" t="n">
        <f aca="false">itc_28*um28_A*1</f>
        <v>1984.26388888889</v>
      </c>
      <c r="G693" s="21" t="n">
        <f aca="false">itc_29*um29_A*1</f>
        <v>2260.39027777778</v>
      </c>
    </row>
    <row r="694" customFormat="false" ht="17.15" hidden="false" customHeight="false" outlineLevel="0" collapsed="false">
      <c r="A694" s="4" t="s">
        <v>552</v>
      </c>
      <c r="B694" s="0" t="s">
        <v>28</v>
      </c>
      <c r="D694" s="21" t="n">
        <f aca="false">itpg_gb*(1-vr26)+itpg_vr*vr26</f>
        <v>33.41403216</v>
      </c>
      <c r="E694" s="21" t="n">
        <f aca="false">itpg_vr</f>
        <v>37.586352</v>
      </c>
      <c r="F694" s="21" t="n">
        <f aca="false">itpg_vr</f>
        <v>37.586352</v>
      </c>
      <c r="G694" s="21" t="n">
        <f aca="false">itpg_vr</f>
        <v>37.586352</v>
      </c>
    </row>
    <row r="695" customFormat="false" ht="17.15" hidden="false" customHeight="false" outlineLevel="0" collapsed="false">
      <c r="A695" s="4" t="s">
        <v>553</v>
      </c>
      <c r="B695" s="0" t="s">
        <v>498</v>
      </c>
      <c r="D695" s="22" t="n">
        <f aca="false">D693/D694</f>
        <v>23.3995380420639</v>
      </c>
      <c r="E695" s="22" t="n">
        <f aca="false">E693/E694</f>
        <v>41.6467658260637</v>
      </c>
      <c r="F695" s="22" t="n">
        <f aca="false">F693/F694</f>
        <v>52.792138191248</v>
      </c>
      <c r="G695" s="22" t="n">
        <f aca="false">G693/G694</f>
        <v>60.1385917361116</v>
      </c>
    </row>
    <row r="696" customFormat="false" ht="17.15" hidden="false" customHeight="false" outlineLevel="0" collapsed="false">
      <c r="A696" s="4" t="s">
        <v>554</v>
      </c>
      <c r="B696" s="0" t="s">
        <v>555</v>
      </c>
      <c r="D696" s="18" t="n">
        <f aca="false">(racks_gb*odm_gb*(1-vr26)+racks_vr*odm_vr*vr26)/1000</f>
        <v>27.1209</v>
      </c>
      <c r="E696" s="18" t="n">
        <f aca="false">racks_vr*odm_vr/1000</f>
        <v>27.351</v>
      </c>
      <c r="F696" s="18" t="n">
        <f aca="false">$E696*vpg_28</f>
        <v>27.351</v>
      </c>
      <c r="G696" s="18" t="n">
        <f aca="false">$E696*vpg_29</f>
        <v>27.351</v>
      </c>
      <c r="K696" s="4" t="s">
        <v>556</v>
      </c>
    </row>
    <row r="697" customFormat="false" ht="17.15" hidden="false" customHeight="false" outlineLevel="0" collapsed="false">
      <c r="A697" s="0" t="s">
        <v>557</v>
      </c>
      <c r="B697" s="0" t="s">
        <v>28</v>
      </c>
      <c r="D697" s="21" t="n">
        <f aca="false">D695*D696</f>
        <v>634.616531285011</v>
      </c>
      <c r="E697" s="21" t="n">
        <f aca="false">E695*E696</f>
        <v>1139.08069210867</v>
      </c>
      <c r="F697" s="21" t="n">
        <f aca="false">F695*F696</f>
        <v>1443.91777166882</v>
      </c>
      <c r="G697" s="21" t="n">
        <f aca="false">G695*G696</f>
        <v>1644.85062257439</v>
      </c>
    </row>
    <row r="698" customFormat="false" ht="17.15" hidden="false" customHeight="false" outlineLevel="0" collapsed="false">
      <c r="A698" s="0" t="s">
        <v>558</v>
      </c>
      <c r="B698" s="0" t="s">
        <v>147</v>
      </c>
      <c r="D698" s="21" t="n">
        <f aca="false">D697*fx</f>
        <v>20307.7290011204</v>
      </c>
      <c r="E698" s="21" t="n">
        <f aca="false">E697*fx</f>
        <v>36450.5821474774</v>
      </c>
      <c r="F698" s="21" t="n">
        <f aca="false">F697*fx</f>
        <v>46205.3686934024</v>
      </c>
      <c r="G698" s="21" t="n">
        <f aca="false">G697*fx</f>
        <v>52635.2199223804</v>
      </c>
    </row>
    <row r="699" customFormat="false" ht="17.15" hidden="false" customHeight="false" outlineLevel="0" collapsed="false">
      <c r="A699" s="6" t="s">
        <v>559</v>
      </c>
    </row>
    <row r="700" customFormat="false" ht="17.15" hidden="false" customHeight="false" outlineLevel="0" collapsed="false">
      <c r="A700" s="4" t="s">
        <v>560</v>
      </c>
      <c r="B700" s="0" t="s">
        <v>48</v>
      </c>
      <c r="D700" s="20" t="n">
        <f aca="false">a26_ais/D698</f>
        <v>0.0875096501918446</v>
      </c>
      <c r="K700" s="8" t="s">
        <v>561</v>
      </c>
    </row>
    <row r="701" customFormat="false" ht="17.15" hidden="false" customHeight="false" outlineLevel="0" collapsed="false">
      <c r="A701" s="4" t="s">
        <v>562</v>
      </c>
      <c r="B701" s="0" t="s">
        <v>60</v>
      </c>
      <c r="D701" s="18" t="n">
        <f aca="false">1</f>
        <v>1</v>
      </c>
      <c r="E701" s="18" t="n">
        <f aca="false">rel_27</f>
        <v>1</v>
      </c>
      <c r="F701" s="18" t="n">
        <f aca="false">rel_28</f>
        <v>0.95</v>
      </c>
      <c r="G701" s="18" t="n">
        <f aca="false">rel_29</f>
        <v>0.9</v>
      </c>
    </row>
    <row r="702" customFormat="false" ht="17.15" hidden="false" customHeight="false" outlineLevel="0" collapsed="false">
      <c r="A702" s="4" t="s">
        <v>563</v>
      </c>
      <c r="B702" s="0" t="s">
        <v>48</v>
      </c>
      <c r="D702" s="20" t="n">
        <f aca="false">$D$700*D701</f>
        <v>0.0875096501918446</v>
      </c>
      <c r="E702" s="20" t="n">
        <f aca="false">$D$700*E701</f>
        <v>0.0875096501918446</v>
      </c>
      <c r="F702" s="20" t="n">
        <f aca="false">$D$700*F701</f>
        <v>0.0831341676822524</v>
      </c>
      <c r="G702" s="20" t="n">
        <f aca="false">$D$700*G701</f>
        <v>0.0787586851726601</v>
      </c>
    </row>
    <row r="703" customFormat="false" ht="17.15" hidden="false" customHeight="false" outlineLevel="0" collapsed="false">
      <c r="A703" s="4" t="s">
        <v>564</v>
      </c>
      <c r="B703" s="0" t="s">
        <v>147</v>
      </c>
      <c r="D703" s="21" t="n">
        <f aca="false">D698*D702</f>
        <v>1777.12226107882</v>
      </c>
      <c r="E703" s="21" t="n">
        <f aca="false">E698*E702</f>
        <v>3189.77769301484</v>
      </c>
      <c r="F703" s="21" t="n">
        <f aca="false">F698*F702</f>
        <v>3841.24486877761</v>
      </c>
      <c r="G703" s="21" t="n">
        <f aca="false">G698*G702</f>
        <v>4145.48071486049</v>
      </c>
    </row>
    <row r="704" customFormat="false" ht="17.15" hidden="false" customHeight="false" outlineLevel="0" collapsed="false">
      <c r="A704" s="4" t="s">
        <v>565</v>
      </c>
      <c r="B704" s="0" t="s">
        <v>48</v>
      </c>
      <c r="D704" s="20" t="n">
        <f aca="false">0</f>
        <v>0</v>
      </c>
      <c r="E704" s="20" t="n">
        <f aca="false">cs_27</f>
        <v>0.1</v>
      </c>
      <c r="F704" s="20" t="n">
        <f aca="false">cs_28</f>
        <v>0.2</v>
      </c>
      <c r="G704" s="20" t="n">
        <f aca="false">cs_29</f>
        <v>0.25</v>
      </c>
      <c r="K704" s="8" t="s">
        <v>566</v>
      </c>
    </row>
    <row r="705" customFormat="false" ht="17.15" hidden="false" customHeight="false" outlineLevel="0" collapsed="false">
      <c r="A705" s="4" t="s">
        <v>567</v>
      </c>
      <c r="B705" s="0" t="s">
        <v>147</v>
      </c>
      <c r="D705" s="21" t="n">
        <f aca="false">D703*(1-D704)</f>
        <v>1777.12226107882</v>
      </c>
      <c r="E705" s="21" t="n">
        <f aca="false">E703*(1-E704)</f>
        <v>2870.79992371336</v>
      </c>
      <c r="F705" s="21" t="n">
        <f aca="false">F703*(1-F704)</f>
        <v>3072.99589502208</v>
      </c>
      <c r="G705" s="21" t="n">
        <f aca="false">G703*(1-G704)</f>
        <v>3109.11053614536</v>
      </c>
    </row>
    <row r="706" customFormat="false" ht="17.15" hidden="false" customHeight="false" outlineLevel="0" collapsed="false">
      <c r="A706" s="6" t="s">
        <v>568</v>
      </c>
    </row>
    <row r="707" customFormat="false" ht="17.15" hidden="false" customHeight="false" outlineLevel="0" collapsed="false">
      <c r="A707" s="0" t="s">
        <v>569</v>
      </c>
      <c r="B707" s="4" t="s">
        <v>81</v>
      </c>
      <c r="D707" s="18" t="n">
        <f aca="false">gu_26*1</f>
        <v>8.35</v>
      </c>
      <c r="E707" s="18" t="n">
        <f aca="false">gu_27*1*1</f>
        <v>11.2</v>
      </c>
      <c r="F707" s="18" t="n">
        <f aca="false">gu_28*um28_A*1</f>
        <v>11.5</v>
      </c>
      <c r="G707" s="18" t="n">
        <f aca="false">gu_29*um29_A*1</f>
        <v>12.9</v>
      </c>
    </row>
    <row r="708" customFormat="false" ht="15" hidden="false" customHeight="false" outlineLevel="0" collapsed="false">
      <c r="A708" s="4" t="s">
        <v>570</v>
      </c>
      <c r="B708" s="0" t="s">
        <v>48</v>
      </c>
      <c r="D708" s="20" t="n">
        <f aca="false">bsh_26</f>
        <v>0.5</v>
      </c>
      <c r="E708" s="20" t="n">
        <f aca="false">bsh_26*brel_27_lo</f>
        <v>0.4</v>
      </c>
      <c r="F708" s="20" t="n">
        <f aca="false">bsh_26*brel_28_lo</f>
        <v>0.35</v>
      </c>
      <c r="G708" s="20" t="n">
        <f aca="false">bsh_26*brel_29_lo</f>
        <v>0.325</v>
      </c>
    </row>
    <row r="709" customFormat="false" ht="17.15" hidden="false" customHeight="false" outlineLevel="0" collapsed="false">
      <c r="A709" s="4" t="s">
        <v>571</v>
      </c>
      <c r="B709" s="0" t="s">
        <v>520</v>
      </c>
      <c r="D709" s="24" t="n">
        <f aca="false">a26_brd/fx/D707/D708*1000</f>
        <v>823.353293413174</v>
      </c>
      <c r="E709" s="24" t="n">
        <f aca="false">$D709*bv_27</f>
        <v>946.85628742515</v>
      </c>
      <c r="F709" s="24" t="n">
        <f aca="false">$D709*bv_28</f>
        <v>988.023952095808</v>
      </c>
      <c r="G709" s="24" t="n">
        <f aca="false">$D709*bv_29</f>
        <v>988.023952095808</v>
      </c>
      <c r="K709" s="8" t="s">
        <v>572</v>
      </c>
    </row>
    <row r="710" customFormat="false" ht="17.15" hidden="false" customHeight="false" outlineLevel="0" collapsed="false">
      <c r="A710" s="0" t="s">
        <v>522</v>
      </c>
      <c r="B710" s="0" t="s">
        <v>147</v>
      </c>
      <c r="D710" s="21" t="n">
        <f aca="false">D707*D708*D709*fx/1000</f>
        <v>110</v>
      </c>
      <c r="E710" s="21" t="n">
        <f aca="false">E707*E708*E709*fx/1000</f>
        <v>135.741317365269</v>
      </c>
      <c r="F710" s="21" t="n">
        <f aca="false">F707*F708*F709*fx/1000</f>
        <v>127.25748502994</v>
      </c>
      <c r="G710" s="21" t="n">
        <f aca="false">G707*G708*G709*fx/1000</f>
        <v>132.553293413174</v>
      </c>
    </row>
    <row r="711" customFormat="false" ht="17.15" hidden="false" customHeight="false" outlineLevel="0" collapsed="false">
      <c r="A711" s="6" t="s">
        <v>573</v>
      </c>
    </row>
    <row r="712" customFormat="false" ht="15" hidden="false" customHeight="false" outlineLevel="0" collapsed="false">
      <c r="A712" s="4" t="s">
        <v>574</v>
      </c>
      <c r="B712" s="0" t="s">
        <v>147</v>
      </c>
      <c r="D712" s="21" t="n">
        <f aca="false">a26_gen</f>
        <v>150</v>
      </c>
      <c r="E712" s="21" t="n">
        <f aca="false">D712*(1+g_gen27)</f>
        <v>180</v>
      </c>
      <c r="F712" s="21" t="n">
        <f aca="false">E712*(1+g_gen28)</f>
        <v>198</v>
      </c>
      <c r="G712" s="21" t="n">
        <f aca="false">F712*(1+g_gen29)</f>
        <v>213.84</v>
      </c>
    </row>
    <row r="713" customFormat="false" ht="15" hidden="false" customHeight="false" outlineLevel="0" collapsed="false">
      <c r="A713" s="4" t="s">
        <v>575</v>
      </c>
      <c r="B713" s="0" t="s">
        <v>147</v>
      </c>
      <c r="D713" s="21" t="n">
        <f aca="false">a26_pc</f>
        <v>614.602793131557</v>
      </c>
      <c r="E713" s="21" t="n">
        <f aca="false">D713*(1+g_pc27)</f>
        <v>596.16470933761</v>
      </c>
      <c r="F713" s="21" t="n">
        <f aca="false">E713*(1+g_pc28)</f>
        <v>596.16470933761</v>
      </c>
      <c r="G713" s="21" t="n">
        <f aca="false">F713*(1+g_pc29)</f>
        <v>596.16470933761</v>
      </c>
    </row>
    <row r="714" customFormat="false" ht="15" hidden="false" customHeight="false" outlineLevel="0" collapsed="false">
      <c r="A714" s="4" t="s">
        <v>576</v>
      </c>
      <c r="B714" s="0" t="s">
        <v>147</v>
      </c>
      <c r="C714" s="21" t="n">
        <f aca="false">a25_srev</f>
        <v>1235.86</v>
      </c>
      <c r="D714" s="21" t="n">
        <f aca="false">D705+D710+D712+D713</f>
        <v>2651.72505421038</v>
      </c>
      <c r="E714" s="21" t="n">
        <f aca="false">E705+E710+E712+E713</f>
        <v>3782.70595041623</v>
      </c>
      <c r="F714" s="21" t="n">
        <f aca="false">F705+F710+F712+F713</f>
        <v>3994.41808938963</v>
      </c>
      <c r="G714" s="21" t="n">
        <f aca="false">G705+G710+G712+G713</f>
        <v>4051.66853889615</v>
      </c>
    </row>
    <row r="715" customFormat="false" ht="17.15" hidden="false" customHeight="false" outlineLevel="0" collapsed="false">
      <c r="A715" s="4" t="s">
        <v>577</v>
      </c>
      <c r="B715" s="0" t="s">
        <v>48</v>
      </c>
      <c r="D715" s="20" t="n">
        <f aca="false">a26_wai/D698</f>
        <v>0.0391523244650416</v>
      </c>
      <c r="K715" s="8" t="s">
        <v>578</v>
      </c>
    </row>
    <row r="716" customFormat="false" ht="17.15" hidden="false" customHeight="false" outlineLevel="0" collapsed="false">
      <c r="A716" s="4" t="s">
        <v>504</v>
      </c>
      <c r="B716" s="0" t="s">
        <v>48</v>
      </c>
      <c r="D716" s="20" t="n">
        <f aca="false">D715</f>
        <v>0.0391523244650416</v>
      </c>
      <c r="E716" s="20" t="n">
        <f aca="false">$D$715*wrel_27</f>
        <v>0.0391523244650416</v>
      </c>
      <c r="F716" s="20" t="n">
        <f aca="false">$D$715*wrel_28</f>
        <v>0.0391523244650416</v>
      </c>
      <c r="G716" s="20" t="n">
        <f aca="false">$D$715*wrel_29</f>
        <v>0.0371947082417896</v>
      </c>
    </row>
    <row r="717" customFormat="false" ht="17.15" hidden="false" customHeight="false" outlineLevel="0" collapsed="false">
      <c r="A717" s="4" t="s">
        <v>524</v>
      </c>
      <c r="B717" s="0" t="s">
        <v>147</v>
      </c>
      <c r="D717" s="21" t="n">
        <f aca="false">D698*D716</f>
        <v>795.094795</v>
      </c>
      <c r="E717" s="21" t="n">
        <f aca="false">E698*E716</f>
        <v>1427.12501917769</v>
      </c>
      <c r="F717" s="21" t="n">
        <f aca="false">F698*F716</f>
        <v>1809.04758711097</v>
      </c>
      <c r="G717" s="21" t="n">
        <f aca="false">G698*G716</f>
        <v>1957.75164825537</v>
      </c>
    </row>
    <row r="718" customFormat="false" ht="17.15" hidden="false" customHeight="false" outlineLevel="0" collapsed="false">
      <c r="A718" s="4" t="s">
        <v>579</v>
      </c>
      <c r="B718" s="0" t="s">
        <v>147</v>
      </c>
      <c r="D718" s="21" t="n">
        <f aca="false">a26_wna</f>
        <v>650.532105</v>
      </c>
      <c r="E718" s="21" t="n">
        <f aca="false">D718*(1+g_wn27)</f>
        <v>715.5853155</v>
      </c>
      <c r="F718" s="21" t="n">
        <f aca="false">E718*(1+g_wn28)</f>
        <v>758.52043443</v>
      </c>
      <c r="G718" s="21" t="n">
        <f aca="false">F718*(1+g_wn29)</f>
        <v>796.4464561515</v>
      </c>
    </row>
    <row r="719" customFormat="false" ht="15" hidden="false" customHeight="false" outlineLevel="0" collapsed="false">
      <c r="A719" s="4" t="s">
        <v>434</v>
      </c>
      <c r="B719" s="0" t="s">
        <v>147</v>
      </c>
      <c r="C719" s="21" t="n">
        <f aca="false">a25_wrev</f>
        <v>950.663</v>
      </c>
      <c r="D719" s="21" t="n">
        <f aca="false">D717+D718</f>
        <v>1445.6269</v>
      </c>
      <c r="E719" s="21" t="n">
        <f aca="false">E717+E718</f>
        <v>2142.71033467769</v>
      </c>
      <c r="F719" s="21" t="n">
        <f aca="false">F717+F718</f>
        <v>2567.56802154097</v>
      </c>
      <c r="G719" s="21" t="n">
        <f aca="false">G717+G718</f>
        <v>2754.19810440687</v>
      </c>
    </row>
    <row r="720" customFormat="false" ht="17.15" hidden="false" customHeight="false" outlineLevel="0" collapsed="false">
      <c r="A720" s="4" t="s">
        <v>420</v>
      </c>
      <c r="B720" s="0" t="s">
        <v>147</v>
      </c>
      <c r="C720" s="21" t="n">
        <f aca="false">C714+C719</f>
        <v>2186.523</v>
      </c>
      <c r="D720" s="21" t="n">
        <f aca="false">D714+D719</f>
        <v>4097.35195421038</v>
      </c>
      <c r="E720" s="21" t="n">
        <f aca="false">E714+E719</f>
        <v>5925.41628509392</v>
      </c>
      <c r="F720" s="21" t="n">
        <f aca="false">F714+F719</f>
        <v>6561.9861109306</v>
      </c>
      <c r="G720" s="21" t="n">
        <f aca="false">G714+G719</f>
        <v>6805.86664330302</v>
      </c>
      <c r="H720" s="26" t="n">
        <f aca="false">G720*(1+H721)</f>
        <v>7110.61365140917</v>
      </c>
      <c r="I720" s="26" t="n">
        <f aca="false">H720*(1+I721)</f>
        <v>7483.12840945749</v>
      </c>
      <c r="J720" s="26" t="n">
        <f aca="false">I720*(1+J721)</f>
        <v>7932.11611402494</v>
      </c>
      <c r="K720" s="8" t="s">
        <v>580</v>
      </c>
    </row>
    <row r="721" customFormat="false" ht="15" hidden="false" customHeight="false" outlineLevel="0" collapsed="false">
      <c r="A721" s="4" t="s">
        <v>581</v>
      </c>
      <c r="B721" s="0" t="s">
        <v>48</v>
      </c>
      <c r="D721" s="20" t="n">
        <f aca="false">D720/C720-1</f>
        <v>0.873912121761526</v>
      </c>
      <c r="E721" s="20" t="n">
        <f aca="false">E720/D720-1</f>
        <v>0.446157506436579</v>
      </c>
      <c r="F721" s="20" t="n">
        <f aca="false">F720/E720-1</f>
        <v>0.107430397327196</v>
      </c>
      <c r="G721" s="20" t="n">
        <f aca="false">G720/F720-1</f>
        <v>0.037165658117772</v>
      </c>
      <c r="H721" s="27" t="n">
        <f aca="false">$G721+(fade_gA-$G721)*1/3</f>
        <v>0.044777105411848</v>
      </c>
      <c r="I721" s="27" t="n">
        <f aca="false">$G721+(fade_gA-$G721)*2/3</f>
        <v>0.052388552705924</v>
      </c>
      <c r="J721" s="27" t="n">
        <f aca="false">$G721+(fade_gA-$G721)*3/3</f>
        <v>0.06</v>
      </c>
    </row>
    <row r="722" customFormat="false" ht="17.15" hidden="false" customHeight="false" outlineLevel="0" collapsed="false">
      <c r="A722" s="0" t="s">
        <v>582</v>
      </c>
      <c r="B722" s="0" t="s">
        <v>48</v>
      </c>
      <c r="D722" s="20" t="n">
        <f aca="false">(D705+D710+D717)/D720</f>
        <v>0.6546220793463</v>
      </c>
      <c r="E722" s="20" t="n">
        <f aca="false">(E705+E710+E717)/E720</f>
        <v>0.748245531948484</v>
      </c>
      <c r="F722" s="20" t="n">
        <f aca="false">(F705+F710+F717)/F720</f>
        <v>0.7633818302082</v>
      </c>
      <c r="G722" s="20" t="n">
        <f aca="false">(G705+G710+G717)/G720</f>
        <v>0.763960822378167</v>
      </c>
    </row>
    <row r="723" customFormat="false" ht="17.15" hidden="false" customHeight="false" outlineLevel="0" collapsed="false">
      <c r="A723" s="4" t="s">
        <v>583</v>
      </c>
      <c r="B723" s="0" t="s">
        <v>48</v>
      </c>
      <c r="C723" s="20" t="n">
        <f aca="false">C719/C720</f>
        <v>0.434782986504144</v>
      </c>
      <c r="D723" s="20" t="n">
        <f aca="false">D719/D720</f>
        <v>0.352819800728736</v>
      </c>
      <c r="E723" s="20" t="n">
        <f aca="false">E719/E720</f>
        <v>0.361613468418738</v>
      </c>
      <c r="F723" s="20" t="n">
        <f aca="false">F719/F720</f>
        <v>0.391279100280943</v>
      </c>
      <c r="G723" s="20" t="n">
        <f aca="false">G719/G720</f>
        <v>0.404679998706264</v>
      </c>
    </row>
    <row r="724" customFormat="false" ht="17.15" hidden="false" customHeight="false" outlineLevel="0" collapsed="false">
      <c r="A724" s="4" t="s">
        <v>584</v>
      </c>
      <c r="B724" s="4" t="s">
        <v>331</v>
      </c>
      <c r="D724" s="21" t="n">
        <f aca="false">D703/fx/(odm_gb*(1-vr26)+odm_vr*vr26)</f>
        <v>12.0597330420658</v>
      </c>
      <c r="E724" s="21" t="n">
        <f aca="false">E703/fx/odm_vr</f>
        <v>14.7674893195131</v>
      </c>
      <c r="F724" s="21" t="n">
        <f aca="false">F703/fx/odm_vr</f>
        <v>17.7835410591556</v>
      </c>
      <c r="G724" s="21" t="n">
        <f aca="false">G703/fx/odm_vr</f>
        <v>19.1920403465763</v>
      </c>
      <c r="K724" s="4" t="s">
        <v>585</v>
      </c>
    </row>
    <row r="725" customFormat="false" ht="17.15" hidden="false" customHeight="false" outlineLevel="0" collapsed="false">
      <c r="A725" s="6" t="s">
        <v>586</v>
      </c>
    </row>
    <row r="726" customFormat="false" ht="17.15" hidden="false" customHeight="false" outlineLevel="0" collapsed="false">
      <c r="A726" s="4" t="s">
        <v>587</v>
      </c>
      <c r="B726" s="0" t="s">
        <v>48</v>
      </c>
      <c r="D726" s="17" t="n">
        <f aca="false">(a26_sgp-d_ai*D705-d_brd*D710-d_gen*D712)/D714</f>
        <v>0.0436423860147897</v>
      </c>
      <c r="K726" s="8" t="s">
        <v>588</v>
      </c>
    </row>
    <row r="727" customFormat="false" ht="17.15" hidden="false" customHeight="false" outlineLevel="0" collapsed="false">
      <c r="A727" s="4" t="s">
        <v>589</v>
      </c>
      <c r="B727" s="0" t="s">
        <v>147</v>
      </c>
      <c r="D727" s="25" t="n">
        <f aca="false">($D$726+d_ai)*D703*(1-D704*(1-keep))</f>
        <v>59.7866331026896</v>
      </c>
      <c r="E727" s="25" t="n">
        <f aca="false">($D$726+d_ai+vrd)*E703*(1-E704*(1-keep))</f>
        <v>99.9228552931035</v>
      </c>
      <c r="F727" s="25" t="n">
        <f aca="false">($D$726+d_ai+vrd)*F703*(1-F704*(1-keep))</f>
        <v>119.115229856887</v>
      </c>
      <c r="G727" s="25" t="n">
        <f aca="false">($D$726+d_ai+vrd)*G703*(1-G704*(1-keep))</f>
        <v>127.89357847157</v>
      </c>
    </row>
    <row r="728" customFormat="false" ht="15" hidden="false" customHeight="false" outlineLevel="0" collapsed="false">
      <c r="A728" s="4" t="s">
        <v>590</v>
      </c>
      <c r="B728" s="0" t="s">
        <v>147</v>
      </c>
      <c r="C728" s="21" t="n">
        <f aca="false">a25_sgp</f>
        <v>55.529</v>
      </c>
      <c r="D728" s="21" t="n">
        <f aca="false">a26_sgp</f>
        <v>103.50638581015</v>
      </c>
      <c r="E728" s="21" t="n">
        <f aca="false">$D$726*E713+($D$726+d_brd)*E710+($D$726+d_gen)*E712+E727</f>
        <v>146.492849640642</v>
      </c>
      <c r="F728" s="21" t="n">
        <f aca="false">$D$726*F713+($D$726+d_brd)*F710+($D$726+d_gen)*F712+F727</f>
        <v>166.116017496969</v>
      </c>
      <c r="G728" s="21" t="n">
        <f aca="false">$D$726*G713+($D$726+d_brd)*G710+($D$726+d_gen)*G712+G727</f>
        <v>176.213257471344</v>
      </c>
    </row>
    <row r="729" customFormat="false" ht="15" hidden="false" customHeight="false" outlineLevel="0" collapsed="false">
      <c r="A729" s="4" t="s">
        <v>591</v>
      </c>
      <c r="B729" s="0" t="s">
        <v>48</v>
      </c>
      <c r="C729" s="17" t="n">
        <f aca="false">C728/C714</f>
        <v>0.0449314647290146</v>
      </c>
      <c r="D729" s="17" t="n">
        <f aca="false">D728/D714</f>
        <v>0.0390336040479778</v>
      </c>
      <c r="E729" s="17" t="n">
        <f aca="false">E728/E714</f>
        <v>0.0387269990215661</v>
      </c>
      <c r="F729" s="17" t="n">
        <f aca="false">F728/F714</f>
        <v>0.0415870381566272</v>
      </c>
      <c r="G729" s="17" t="n">
        <f aca="false">G728/G714</f>
        <v>0.0434915284356781</v>
      </c>
    </row>
    <row r="730" customFormat="false" ht="15" hidden="false" customHeight="false" outlineLevel="0" collapsed="false">
      <c r="A730" s="4" t="s">
        <v>592</v>
      </c>
      <c r="B730" s="0" t="s">
        <v>48</v>
      </c>
      <c r="E730" s="20" t="n">
        <f aca="false">MAX(0,phi*(E714/D714-1))</f>
        <v>0.127952280845644</v>
      </c>
      <c r="F730" s="20" t="n">
        <f aca="false">MAX(0,phi*(F714/E714-1))</f>
        <v>0.0167905310443259</v>
      </c>
      <c r="G730" s="20" t="n">
        <f aca="false">MAX(0,phi*(G714/F714-1))</f>
        <v>0.00429978396542323</v>
      </c>
    </row>
    <row r="731" customFormat="false" ht="15" hidden="false" customHeight="false" outlineLevel="0" collapsed="false">
      <c r="A731" s="4" t="s">
        <v>593</v>
      </c>
      <c r="B731" s="0" t="s">
        <v>147</v>
      </c>
      <c r="C731" s="21" t="n">
        <f aca="false">a25_sopx</f>
        <v>40.894</v>
      </c>
      <c r="D731" s="21" t="n">
        <f aca="false">a26_sopx</f>
        <v>46.9914095398923</v>
      </c>
      <c r="E731" s="21" t="n">
        <f aca="false">D731*(1+E730)+0*E714</f>
        <v>53.0040675706732</v>
      </c>
      <c r="F731" s="21" t="n">
        <f aca="false">E731*(1+F730)+0*F714</f>
        <v>53.8940340126942</v>
      </c>
      <c r="G731" s="21" t="n">
        <f aca="false">F731*(1+G730)+0*G714</f>
        <v>54.1257667159739</v>
      </c>
    </row>
    <row r="732" customFormat="false" ht="15" hidden="false" customHeight="false" outlineLevel="0" collapsed="false">
      <c r="A732" s="4" t="s">
        <v>594</v>
      </c>
      <c r="B732" s="0" t="s">
        <v>147</v>
      </c>
      <c r="C732" s="21" t="n">
        <f aca="false">C728-C731</f>
        <v>14.635</v>
      </c>
      <c r="D732" s="21" t="n">
        <f aca="false">D728-D731</f>
        <v>56.514976270258</v>
      </c>
      <c r="E732" s="21" t="n">
        <f aca="false">E728-E731</f>
        <v>93.4887820699686</v>
      </c>
      <c r="F732" s="21" t="n">
        <f aca="false">F728-F731</f>
        <v>112.221983484275</v>
      </c>
      <c r="G732" s="21" t="n">
        <f aca="false">G728-G731</f>
        <v>122.08749075537</v>
      </c>
    </row>
    <row r="733" customFormat="false" ht="15" hidden="false" customHeight="false" outlineLevel="0" collapsed="false">
      <c r="A733" s="4" t="s">
        <v>595</v>
      </c>
      <c r="B733" s="0" t="s">
        <v>48</v>
      </c>
      <c r="C733" s="17" t="n">
        <f aca="false">C732/C714</f>
        <v>0.011841956208632</v>
      </c>
      <c r="D733" s="17" t="n">
        <f aca="false">D732/D714</f>
        <v>0.0213125324514788</v>
      </c>
      <c r="E733" s="17" t="n">
        <f aca="false">E732/E714</f>
        <v>0.0247147897022451</v>
      </c>
      <c r="F733" s="17" t="n">
        <f aca="false">F732/F714</f>
        <v>0.0280947013990272</v>
      </c>
      <c r="G733" s="17" t="n">
        <f aca="false">G732/G714</f>
        <v>0.0301326452505495</v>
      </c>
    </row>
    <row r="734" customFormat="false" ht="15" hidden="false" customHeight="false" outlineLevel="0" collapsed="false">
      <c r="A734" s="4" t="s">
        <v>596</v>
      </c>
      <c r="B734" s="0" t="s">
        <v>147</v>
      </c>
      <c r="C734" s="21" t="n">
        <f aca="false">a25_sni</f>
        <v>6.9608</v>
      </c>
      <c r="D734" s="21" t="n">
        <f aca="false">a26_sni</f>
        <v>31.133746704</v>
      </c>
      <c r="E734" s="21" t="n">
        <f aca="false">E732*snio</f>
        <v>52.3537179591824</v>
      </c>
      <c r="F734" s="21" t="n">
        <f aca="false">F732*snio</f>
        <v>62.8443107511938</v>
      </c>
      <c r="G734" s="21" t="n">
        <f aca="false">G732*snio</f>
        <v>68.3689948230072</v>
      </c>
    </row>
    <row r="735" customFormat="false" ht="17.15" hidden="false" customHeight="false" outlineLevel="0" collapsed="false">
      <c r="A735" s="6" t="s">
        <v>597</v>
      </c>
    </row>
    <row r="736" customFormat="false" ht="15" hidden="false" customHeight="false" outlineLevel="0" collapsed="false">
      <c r="A736" s="4" t="s">
        <v>438</v>
      </c>
      <c r="B736" s="0" t="s">
        <v>147</v>
      </c>
      <c r="C736" s="21" t="n">
        <f aca="false">a25_wgp</f>
        <v>78.454</v>
      </c>
      <c r="D736" s="21" t="n">
        <f aca="false">a26_wgp</f>
        <v>125.0519932</v>
      </c>
      <c r="E736" s="21" t="n">
        <f aca="false">E719*wgm</f>
        <v>182.130378447603</v>
      </c>
      <c r="F736" s="21" t="n">
        <f aca="false">F719*wgm</f>
        <v>218.243281830982</v>
      </c>
      <c r="G736" s="21" t="n">
        <f aca="false">G719*wgm</f>
        <v>234.106838874584</v>
      </c>
    </row>
    <row r="737" customFormat="false" ht="15" hidden="false" customHeight="false" outlineLevel="0" collapsed="false">
      <c r="A737" s="4" t="s">
        <v>440</v>
      </c>
      <c r="B737" s="0" t="s">
        <v>147</v>
      </c>
      <c r="C737" s="21" t="n">
        <f aca="false">a25_woi</f>
        <v>63.918</v>
      </c>
      <c r="D737" s="21" t="n">
        <f aca="false">a26_woi</f>
        <v>98.2471632</v>
      </c>
      <c r="E737" s="21" t="n">
        <f aca="false">E719*wopm</f>
        <v>139.27617175405</v>
      </c>
      <c r="F737" s="21" t="n">
        <f aca="false">F719*wopm</f>
        <v>166.891921400163</v>
      </c>
      <c r="G737" s="21" t="n">
        <f aca="false">G719*wopm</f>
        <v>179.022876786446</v>
      </c>
    </row>
    <row r="738" customFormat="false" ht="15" hidden="false" customHeight="false" outlineLevel="0" collapsed="false">
      <c r="A738" s="4" t="s">
        <v>448</v>
      </c>
      <c r="B738" s="0" t="s">
        <v>147</v>
      </c>
      <c r="C738" s="21" t="n">
        <f aca="false">a25_wni</f>
        <v>51.118</v>
      </c>
      <c r="D738" s="21" t="n">
        <f aca="false">a26_wni</f>
        <v>75.735026884</v>
      </c>
      <c r="E738" s="21" t="n">
        <f aca="false">E737*wnio</f>
        <v>108.635413968159</v>
      </c>
      <c r="F738" s="21" t="n">
        <f aca="false">F737*wnio</f>
        <v>130.175698692127</v>
      </c>
      <c r="G738" s="21" t="n">
        <f aca="false">G737*wnio</f>
        <v>139.637843893428</v>
      </c>
    </row>
    <row r="739" customFormat="false" ht="15" hidden="false" customHeight="false" outlineLevel="0" collapsed="false">
      <c r="A739" s="4" t="s">
        <v>450</v>
      </c>
      <c r="B739" s="0" t="s">
        <v>48</v>
      </c>
      <c r="C739" s="17" t="n">
        <f aca="false">stake25</f>
        <v>0.4</v>
      </c>
      <c r="D739" s="17" t="n">
        <f aca="false">stake</f>
        <v>0.3768</v>
      </c>
      <c r="E739" s="17" t="n">
        <f aca="false">stake</f>
        <v>0.3768</v>
      </c>
      <c r="F739" s="17" t="n">
        <f aca="false">stake</f>
        <v>0.3768</v>
      </c>
      <c r="G739" s="17" t="n">
        <f aca="false">stake</f>
        <v>0.3768</v>
      </c>
    </row>
    <row r="740" customFormat="false" ht="17.15" hidden="false" customHeight="false" outlineLevel="0" collapsed="false">
      <c r="A740" s="6" t="s">
        <v>598</v>
      </c>
    </row>
    <row r="741" customFormat="false" ht="15" hidden="false" customHeight="false" outlineLevel="0" collapsed="false">
      <c r="A741" s="4" t="s">
        <v>424</v>
      </c>
      <c r="B741" s="0" t="s">
        <v>147</v>
      </c>
      <c r="C741" s="21" t="n">
        <f aca="false">C728+C736</f>
        <v>133.983</v>
      </c>
      <c r="D741" s="21" t="n">
        <f aca="false">D728+D736</f>
        <v>228.55837901015</v>
      </c>
      <c r="E741" s="21" t="n">
        <f aca="false">E728+E736</f>
        <v>328.623228088245</v>
      </c>
      <c r="F741" s="21" t="n">
        <f aca="false">F728+F736</f>
        <v>384.359299327951</v>
      </c>
      <c r="G741" s="21" t="n">
        <f aca="false">G728+G736</f>
        <v>410.320096345928</v>
      </c>
    </row>
    <row r="742" customFormat="false" ht="15" hidden="false" customHeight="false" outlineLevel="0" collapsed="false">
      <c r="A742" s="4" t="s">
        <v>427</v>
      </c>
      <c r="B742" s="0" t="s">
        <v>48</v>
      </c>
      <c r="C742" s="17" t="n">
        <f aca="false">C741/C720</f>
        <v>0.0612767393711386</v>
      </c>
      <c r="D742" s="17" t="n">
        <f aca="false">D741/D720</f>
        <v>0.055781973714825</v>
      </c>
      <c r="E742" s="17" t="n">
        <f aca="false">E741/E720</f>
        <v>0.0554599393995213</v>
      </c>
      <c r="F742" s="17" t="n">
        <f aca="false">F741/F720</f>
        <v>0.058573622807233</v>
      </c>
      <c r="G742" s="17" t="n">
        <f aca="false">G741/G720</f>
        <v>0.0602891766546268</v>
      </c>
    </row>
    <row r="743" customFormat="false" ht="15" hidden="false" customHeight="false" outlineLevel="0" collapsed="false">
      <c r="A743" s="4" t="s">
        <v>428</v>
      </c>
      <c r="B743" s="0" t="s">
        <v>147</v>
      </c>
      <c r="C743" s="21" t="n">
        <f aca="false">C732+C737</f>
        <v>78.553</v>
      </c>
      <c r="D743" s="21" t="n">
        <f aca="false">D732+D737</f>
        <v>154.762139470258</v>
      </c>
      <c r="E743" s="21" t="n">
        <f aca="false">E732+E737</f>
        <v>232.764953824018</v>
      </c>
      <c r="F743" s="21" t="n">
        <f aca="false">F732+F737</f>
        <v>279.113904884438</v>
      </c>
      <c r="G743" s="21" t="n">
        <f aca="false">G732+G737</f>
        <v>301.110367541816</v>
      </c>
    </row>
    <row r="744" customFormat="false" ht="15" hidden="false" customHeight="false" outlineLevel="0" collapsed="false">
      <c r="A744" s="4" t="s">
        <v>431</v>
      </c>
      <c r="B744" s="0" t="s">
        <v>48</v>
      </c>
      <c r="C744" s="17" t="n">
        <f aca="false">C743/C720</f>
        <v>0.0359259884300325</v>
      </c>
      <c r="D744" s="17" t="n">
        <f aca="false">D743/D720</f>
        <v>0.0377712584126992</v>
      </c>
      <c r="E744" s="17" t="n">
        <f aca="false">E743/E720</f>
        <v>0.0392824643239945</v>
      </c>
      <c r="F744" s="17" t="n">
        <f aca="false">F743/F720</f>
        <v>0.0425349734312154</v>
      </c>
      <c r="G744" s="17" t="n">
        <f aca="false">G743/G720</f>
        <v>0.044242766325448</v>
      </c>
    </row>
    <row r="745" customFormat="false" ht="15" hidden="false" customHeight="false" outlineLevel="0" collapsed="false">
      <c r="A745" s="4" t="s">
        <v>461</v>
      </c>
      <c r="B745" s="0" t="s">
        <v>147</v>
      </c>
      <c r="C745" s="21" t="n">
        <f aca="false">C734+C738</f>
        <v>58.0788</v>
      </c>
      <c r="D745" s="21" t="n">
        <f aca="false">D734+D738</f>
        <v>106.868773588</v>
      </c>
      <c r="E745" s="21" t="n">
        <f aca="false">E734+E738</f>
        <v>160.989131927341</v>
      </c>
      <c r="F745" s="21" t="n">
        <f aca="false">F734+F738</f>
        <v>193.020009443321</v>
      </c>
      <c r="G745" s="21" t="n">
        <f aca="false">G734+G738</f>
        <v>208.006838716435</v>
      </c>
    </row>
    <row r="746" customFormat="false" ht="17.15" hidden="false" customHeight="false" outlineLevel="0" collapsed="false">
      <c r="A746" s="4" t="s">
        <v>599</v>
      </c>
      <c r="B746" s="0" t="s">
        <v>147</v>
      </c>
      <c r="C746" s="21" t="n">
        <f aca="false">(1-C739)*C738</f>
        <v>30.6708</v>
      </c>
      <c r="D746" s="21" t="n">
        <f aca="false">(1-D739)*D738</f>
        <v>47.1980687541088</v>
      </c>
      <c r="E746" s="21" t="n">
        <f aca="false">(1-E739)*E738</f>
        <v>67.7015899849565</v>
      </c>
      <c r="F746" s="21" t="n">
        <f aca="false">(1-F739)*F738</f>
        <v>81.1254954249335</v>
      </c>
      <c r="G746" s="21" t="n">
        <f aca="false">(1-G739)*G738</f>
        <v>87.0223043143844</v>
      </c>
    </row>
    <row r="747" customFormat="false" ht="15" hidden="false" customHeight="false" outlineLevel="0" collapsed="false">
      <c r="A747" s="4" t="s">
        <v>457</v>
      </c>
      <c r="B747" s="0" t="s">
        <v>147</v>
      </c>
      <c r="C747" s="21" t="n">
        <f aca="false">C745-C746</f>
        <v>27.408</v>
      </c>
      <c r="D747" s="21" t="n">
        <f aca="false">D745-D746</f>
        <v>59.6707048338912</v>
      </c>
      <c r="E747" s="21" t="n">
        <f aca="false">E745-E746</f>
        <v>93.2875419423846</v>
      </c>
      <c r="F747" s="21" t="n">
        <f aca="false">F745-F746</f>
        <v>111.894514018387</v>
      </c>
      <c r="G747" s="21" t="n">
        <f aca="false">G745-G746</f>
        <v>120.984534402051</v>
      </c>
      <c r="H747" s="26" t="n">
        <f aca="false">H720*H752</f>
        <v>126.768089350936</v>
      </c>
      <c r="I747" s="26" t="n">
        <f aca="false">I720*I752</f>
        <v>133.7946893953</v>
      </c>
      <c r="J747" s="26" t="n">
        <f aca="false">J720*J752</f>
        <v>142.230898271831</v>
      </c>
    </row>
    <row r="748" customFormat="false" ht="17.15" hidden="false" customHeight="false" outlineLevel="0" collapsed="false">
      <c r="A748" s="4" t="s">
        <v>600</v>
      </c>
      <c r="B748" s="0" t="s">
        <v>48</v>
      </c>
      <c r="C748" s="20" t="n">
        <f aca="false">C739*C738/C747</f>
        <v>0.746030356100409</v>
      </c>
      <c r="D748" s="20" t="n">
        <f aca="false">D739*D738/D747</f>
        <v>0.478240674537551</v>
      </c>
      <c r="E748" s="20" t="n">
        <f aca="false">E739*E738/E747</f>
        <v>0.438791966546652</v>
      </c>
      <c r="F748" s="20" t="n">
        <f aca="false">F739*F738/F747</f>
        <v>0.438361109098996</v>
      </c>
      <c r="G748" s="20" t="n">
        <f aca="false">G739*G738/G747</f>
        <v>0.434894756086707</v>
      </c>
    </row>
    <row r="749" customFormat="false" ht="17.15" hidden="false" customHeight="false" outlineLevel="0" collapsed="false">
      <c r="A749" s="4" t="s">
        <v>601</v>
      </c>
      <c r="B749" s="4" t="s">
        <v>282</v>
      </c>
      <c r="C749" s="31" t="n">
        <f aca="false">a25_sh</f>
        <v>3.03185840707965</v>
      </c>
      <c r="D749" s="31" t="n">
        <f aca="false">a26_sh</f>
        <v>3.23861720409076</v>
      </c>
      <c r="E749" s="31" t="n">
        <f aca="false">q_sh4*(1+sh_g)</f>
        <v>3.43</v>
      </c>
      <c r="F749" s="31" t="n">
        <f aca="false">E749*(1+sh_g)</f>
        <v>3.43</v>
      </c>
      <c r="G749" s="31" t="n">
        <f aca="false">F749*(1+sh_g)</f>
        <v>3.43</v>
      </c>
      <c r="H749" s="32" t="n">
        <f aca="false">G749*(1+sh_g)</f>
        <v>3.43</v>
      </c>
      <c r="I749" s="32" t="n">
        <f aca="false">H749*(1+sh_g)</f>
        <v>3.43</v>
      </c>
      <c r="J749" s="32" t="n">
        <f aca="false">I749*(1+sh_g)</f>
        <v>3.43</v>
      </c>
      <c r="K749" s="8" t="s">
        <v>602</v>
      </c>
    </row>
    <row r="750" customFormat="false" ht="15" hidden="false" customHeight="false" outlineLevel="0" collapsed="false">
      <c r="A750" s="0" t="s">
        <v>464</v>
      </c>
      <c r="B750" s="0" t="s">
        <v>312</v>
      </c>
      <c r="C750" s="18" t="n">
        <f aca="false">C747/C749</f>
        <v>9.04</v>
      </c>
      <c r="D750" s="18" t="n">
        <f aca="false">D747/D749</f>
        <v>18.4247476850676</v>
      </c>
      <c r="E750" s="18" t="n">
        <f aca="false">E747/E749</f>
        <v>27.1975340939897</v>
      </c>
      <c r="F750" s="18" t="n">
        <f aca="false">F747/F749</f>
        <v>32.6223072939905</v>
      </c>
      <c r="G750" s="18" t="n">
        <f aca="false">G747/G749</f>
        <v>35.2724590093443</v>
      </c>
      <c r="H750" s="29" t="n">
        <f aca="false">H747/H749</f>
        <v>36.9586266329258</v>
      </c>
      <c r="I750" s="29" t="n">
        <f aca="false">I747/I749</f>
        <v>39.0071980744316</v>
      </c>
      <c r="J750" s="29" t="n">
        <f aca="false">J747/J749</f>
        <v>41.4667341900382</v>
      </c>
    </row>
    <row r="751" customFormat="false" ht="17.15" hidden="false" customHeight="false" outlineLevel="0" collapsed="false">
      <c r="A751" s="0" t="s">
        <v>603</v>
      </c>
      <c r="B751" s="0" t="s">
        <v>48</v>
      </c>
      <c r="D751" s="20" t="n">
        <f aca="false">D750/C750-1</f>
        <v>1.03813580587031</v>
      </c>
      <c r="E751" s="20" t="n">
        <f aca="false">E750/D750-1</f>
        <v>0.476141467925341</v>
      </c>
      <c r="F751" s="20" t="n">
        <f aca="false">F750/E750-1</f>
        <v>0.199458273726352</v>
      </c>
      <c r="G751" s="20" t="n">
        <f aca="false">G750/F750-1</f>
        <v>0.0812374088525014</v>
      </c>
      <c r="H751" s="27" t="n">
        <f aca="false">H750/G750-1</f>
        <v>0.0478040848565404</v>
      </c>
      <c r="I751" s="27" t="n">
        <f aca="false">I750/H750-1</f>
        <v>0.0554287761245091</v>
      </c>
      <c r="J751" s="27" t="n">
        <f aca="false">J750/I750-1</f>
        <v>0.0630533910924185</v>
      </c>
    </row>
    <row r="752" customFormat="false" ht="17.15" hidden="false" customHeight="false" outlineLevel="0" collapsed="false">
      <c r="A752" s="4" t="s">
        <v>604</v>
      </c>
      <c r="B752" s="0" t="s">
        <v>48</v>
      </c>
      <c r="C752" s="17" t="n">
        <f aca="false">C747/C720</f>
        <v>0.0125349699042727</v>
      </c>
      <c r="D752" s="17" t="n">
        <f aca="false">D747/D720</f>
        <v>0.0145632363293992</v>
      </c>
      <c r="E752" s="17" t="n">
        <f aca="false">E747/E720</f>
        <v>0.015743626684434</v>
      </c>
      <c r="F752" s="17" t="n">
        <f aca="false">F747/F720</f>
        <v>0.0170519278960374</v>
      </c>
      <c r="G752" s="17" t="n">
        <f aca="false">G747/G720</f>
        <v>0.0177765067614277</v>
      </c>
      <c r="H752" s="28" t="n">
        <f aca="false">$G752+(fade_mA-$G752)*1/3</f>
        <v>0.0178280097282199</v>
      </c>
      <c r="I752" s="28" t="n">
        <f aca="false">$G752+(fade_mA-$G752)*2/3</f>
        <v>0.017879512695012</v>
      </c>
      <c r="J752" s="28" t="n">
        <f aca="false">$G752+(fade_mA-$G752)*3/3</f>
        <v>0.0179310156618042</v>
      </c>
    </row>
    <row r="755" customFormat="false" ht="17.15" hidden="false" customHeight="false" outlineLevel="0" collapsed="false">
      <c r="A755" s="1" t="s">
        <v>884</v>
      </c>
    </row>
    <row r="756" customFormat="false" ht="17.15" hidden="false" customHeight="false" outlineLevel="0" collapsed="false">
      <c r="A756" s="5" t="s">
        <v>17</v>
      </c>
      <c r="B756" s="5" t="s">
        <v>18</v>
      </c>
      <c r="C756" s="14" t="s">
        <v>414</v>
      </c>
      <c r="D756" s="14" t="s">
        <v>529</v>
      </c>
      <c r="E756" s="14" t="s">
        <v>530</v>
      </c>
      <c r="F756" s="14" t="s">
        <v>531</v>
      </c>
      <c r="G756" s="14" t="s">
        <v>532</v>
      </c>
      <c r="H756" s="14" t="s">
        <v>533</v>
      </c>
      <c r="I756" s="14" t="s">
        <v>534</v>
      </c>
      <c r="J756" s="14" t="s">
        <v>535</v>
      </c>
      <c r="K756" s="5" t="s">
        <v>496</v>
      </c>
    </row>
    <row r="757" customFormat="false" ht="17.15" hidden="false" customHeight="false" outlineLevel="0" collapsed="false">
      <c r="A757" s="6" t="s">
        <v>550</v>
      </c>
    </row>
    <row r="758" customFormat="false" ht="17.15" hidden="false" customHeight="false" outlineLevel="0" collapsed="false">
      <c r="A758" s="0" t="s">
        <v>551</v>
      </c>
      <c r="B758" s="0" t="s">
        <v>28</v>
      </c>
      <c r="D758" s="21" t="n">
        <f aca="false">itc_26*1</f>
        <v>781.872916666667</v>
      </c>
      <c r="E758" s="21" t="n">
        <f aca="false">itc_27*1*1</f>
        <v>1565.35</v>
      </c>
      <c r="F758" s="21" t="n">
        <f aca="false">itc_28*um28_A*1</f>
        <v>1984.26388888889</v>
      </c>
      <c r="G758" s="21" t="n">
        <f aca="false">itc_29*um29_A*1</f>
        <v>2260.39027777778</v>
      </c>
    </row>
    <row r="759" customFormat="false" ht="17.15" hidden="false" customHeight="false" outlineLevel="0" collapsed="false">
      <c r="A759" s="4" t="s">
        <v>552</v>
      </c>
      <c r="B759" s="0" t="s">
        <v>28</v>
      </c>
      <c r="D759" s="21" t="n">
        <f aca="false">itpg_gb*(1-vr26)+itpg_vr*vr26</f>
        <v>33.41403216</v>
      </c>
      <c r="E759" s="21" t="n">
        <f aca="false">itpg_vr</f>
        <v>37.586352</v>
      </c>
      <c r="F759" s="21" t="n">
        <f aca="false">itpg_vr</f>
        <v>37.586352</v>
      </c>
      <c r="G759" s="21" t="n">
        <f aca="false">itpg_vr</f>
        <v>37.586352</v>
      </c>
    </row>
    <row r="760" customFormat="false" ht="17.15" hidden="false" customHeight="false" outlineLevel="0" collapsed="false">
      <c r="A760" s="4" t="s">
        <v>553</v>
      </c>
      <c r="B760" s="0" t="s">
        <v>498</v>
      </c>
      <c r="D760" s="22" t="n">
        <f aca="false">D758/D759</f>
        <v>23.3995380420639</v>
      </c>
      <c r="E760" s="22" t="n">
        <f aca="false">E758/E759</f>
        <v>41.6467658260637</v>
      </c>
      <c r="F760" s="22" t="n">
        <f aca="false">F758/F759</f>
        <v>52.792138191248</v>
      </c>
      <c r="G760" s="22" t="n">
        <f aca="false">G758/G759</f>
        <v>60.1385917361116</v>
      </c>
    </row>
    <row r="761" customFormat="false" ht="17.15" hidden="false" customHeight="false" outlineLevel="0" collapsed="false">
      <c r="A761" s="4" t="s">
        <v>554</v>
      </c>
      <c r="B761" s="0" t="s">
        <v>555</v>
      </c>
      <c r="D761" s="18" t="n">
        <f aca="false">(racks_gb*odm_gb*(1-vr26)+racks_vr*odm_vr*vr26)/1000</f>
        <v>27.1209</v>
      </c>
      <c r="E761" s="18" t="n">
        <f aca="false">racks_vr*odm_vr/1000</f>
        <v>27.351</v>
      </c>
      <c r="F761" s="18" t="n">
        <f aca="false">$E761*vpg_28</f>
        <v>27.351</v>
      </c>
      <c r="G761" s="18" t="n">
        <f aca="false">$E761*vpg_29</f>
        <v>27.351</v>
      </c>
      <c r="K761" s="4" t="s">
        <v>556</v>
      </c>
    </row>
    <row r="762" customFormat="false" ht="17.15" hidden="false" customHeight="false" outlineLevel="0" collapsed="false">
      <c r="A762" s="0" t="s">
        <v>557</v>
      </c>
      <c r="B762" s="0" t="s">
        <v>28</v>
      </c>
      <c r="D762" s="21" t="n">
        <f aca="false">D760*D761</f>
        <v>634.616531285011</v>
      </c>
      <c r="E762" s="21" t="n">
        <f aca="false">E760*E761</f>
        <v>1139.08069210867</v>
      </c>
      <c r="F762" s="21" t="n">
        <f aca="false">F760*F761</f>
        <v>1443.91777166882</v>
      </c>
      <c r="G762" s="21" t="n">
        <f aca="false">G760*G761</f>
        <v>1644.85062257439</v>
      </c>
    </row>
    <row r="763" customFormat="false" ht="17.15" hidden="false" customHeight="false" outlineLevel="0" collapsed="false">
      <c r="A763" s="0" t="s">
        <v>558</v>
      </c>
      <c r="B763" s="0" t="s">
        <v>147</v>
      </c>
      <c r="D763" s="21" t="n">
        <f aca="false">D762*fx</f>
        <v>20307.7290011204</v>
      </c>
      <c r="E763" s="21" t="n">
        <f aca="false">E762*fx</f>
        <v>36450.5821474774</v>
      </c>
      <c r="F763" s="21" t="n">
        <f aca="false">F762*fx</f>
        <v>46205.3686934024</v>
      </c>
      <c r="G763" s="21" t="n">
        <f aca="false">G762*fx</f>
        <v>52635.2199223804</v>
      </c>
    </row>
    <row r="764" customFormat="false" ht="17.15" hidden="false" customHeight="false" outlineLevel="0" collapsed="false">
      <c r="A764" s="6" t="s">
        <v>559</v>
      </c>
    </row>
    <row r="765" customFormat="false" ht="17.15" hidden="false" customHeight="false" outlineLevel="0" collapsed="false">
      <c r="A765" s="4" t="s">
        <v>560</v>
      </c>
      <c r="B765" s="0" t="s">
        <v>48</v>
      </c>
      <c r="D765" s="20" t="n">
        <f aca="false">a26_ais/D763</f>
        <v>0.0875096501918446</v>
      </c>
      <c r="K765" s="8" t="s">
        <v>561</v>
      </c>
    </row>
    <row r="766" customFormat="false" ht="17.15" hidden="false" customHeight="false" outlineLevel="0" collapsed="false">
      <c r="A766" s="4" t="s">
        <v>562</v>
      </c>
      <c r="B766" s="0" t="s">
        <v>60</v>
      </c>
      <c r="D766" s="18" t="n">
        <f aca="false">1</f>
        <v>1</v>
      </c>
      <c r="E766" s="18" t="n">
        <f aca="false">rel_27</f>
        <v>1</v>
      </c>
      <c r="F766" s="18" t="n">
        <f aca="false">rel_28</f>
        <v>0.95</v>
      </c>
      <c r="G766" s="18" t="n">
        <f aca="false">rel_29</f>
        <v>0.9</v>
      </c>
    </row>
    <row r="767" customFormat="false" ht="17.15" hidden="false" customHeight="false" outlineLevel="0" collapsed="false">
      <c r="A767" s="4" t="s">
        <v>563</v>
      </c>
      <c r="B767" s="0" t="s">
        <v>48</v>
      </c>
      <c r="D767" s="20" t="n">
        <f aca="false">$D$765*D766</f>
        <v>0.0875096501918446</v>
      </c>
      <c r="E767" s="20" t="n">
        <f aca="false">$D$765*E766</f>
        <v>0.0875096501918446</v>
      </c>
      <c r="F767" s="20" t="n">
        <f aca="false">$D$765*F766</f>
        <v>0.0831341676822524</v>
      </c>
      <c r="G767" s="20" t="n">
        <f aca="false">$D$765*G766</f>
        <v>0.0787586851726601</v>
      </c>
    </row>
    <row r="768" customFormat="false" ht="17.15" hidden="false" customHeight="false" outlineLevel="0" collapsed="false">
      <c r="A768" s="4" t="s">
        <v>564</v>
      </c>
      <c r="B768" s="0" t="s">
        <v>147</v>
      </c>
      <c r="D768" s="21" t="n">
        <f aca="false">D763*D767</f>
        <v>1777.12226107882</v>
      </c>
      <c r="E768" s="21" t="n">
        <f aca="false">E763*E767</f>
        <v>3189.77769301484</v>
      </c>
      <c r="F768" s="21" t="n">
        <f aca="false">F763*F767</f>
        <v>3841.24486877761</v>
      </c>
      <c r="G768" s="21" t="n">
        <f aca="false">G763*G767</f>
        <v>4145.48071486049</v>
      </c>
    </row>
    <row r="769" customFormat="false" ht="17.15" hidden="false" customHeight="false" outlineLevel="0" collapsed="false">
      <c r="A769" s="4" t="s">
        <v>565</v>
      </c>
      <c r="B769" s="0" t="s">
        <v>48</v>
      </c>
      <c r="D769" s="20" t="n">
        <f aca="false">0</f>
        <v>0</v>
      </c>
      <c r="E769" s="20" t="n">
        <f aca="false">cs_27</f>
        <v>0.1</v>
      </c>
      <c r="F769" s="20" t="n">
        <f aca="false">cs_28</f>
        <v>0.2</v>
      </c>
      <c r="G769" s="20" t="n">
        <f aca="false">cs_29</f>
        <v>0.25</v>
      </c>
      <c r="K769" s="8" t="s">
        <v>566</v>
      </c>
    </row>
    <row r="770" customFormat="false" ht="17.15" hidden="false" customHeight="false" outlineLevel="0" collapsed="false">
      <c r="A770" s="4" t="s">
        <v>567</v>
      </c>
      <c r="B770" s="0" t="s">
        <v>147</v>
      </c>
      <c r="D770" s="21" t="n">
        <f aca="false">D768*(1-D769)</f>
        <v>1777.12226107882</v>
      </c>
      <c r="E770" s="21" t="n">
        <f aca="false">E768*(1-E769)</f>
        <v>2870.79992371336</v>
      </c>
      <c r="F770" s="21" t="n">
        <f aca="false">F768*(1-F769)</f>
        <v>3072.99589502208</v>
      </c>
      <c r="G770" s="21" t="n">
        <f aca="false">G768*(1-G769)</f>
        <v>3109.11053614536</v>
      </c>
    </row>
    <row r="771" customFormat="false" ht="17.15" hidden="false" customHeight="false" outlineLevel="0" collapsed="false">
      <c r="A771" s="6" t="s">
        <v>568</v>
      </c>
    </row>
    <row r="772" customFormat="false" ht="17.15" hidden="false" customHeight="false" outlineLevel="0" collapsed="false">
      <c r="A772" s="0" t="s">
        <v>569</v>
      </c>
      <c r="B772" s="4" t="s">
        <v>81</v>
      </c>
      <c r="D772" s="18" t="n">
        <f aca="false">gu_26*1</f>
        <v>8.35</v>
      </c>
      <c r="E772" s="18" t="n">
        <f aca="false">gu_27*1*1</f>
        <v>11.2</v>
      </c>
      <c r="F772" s="18" t="n">
        <f aca="false">gu_28*um28_A*1</f>
        <v>11.5</v>
      </c>
      <c r="G772" s="18" t="n">
        <f aca="false">gu_29*um29_A*1</f>
        <v>12.9</v>
      </c>
    </row>
    <row r="773" customFormat="false" ht="15" hidden="false" customHeight="false" outlineLevel="0" collapsed="false">
      <c r="A773" s="4" t="s">
        <v>570</v>
      </c>
      <c r="B773" s="0" t="s">
        <v>48</v>
      </c>
      <c r="D773" s="20" t="n">
        <f aca="false">bsh_26</f>
        <v>0.5</v>
      </c>
      <c r="E773" s="20" t="n">
        <f aca="false">bsh_26*brel_27</f>
        <v>0.5</v>
      </c>
      <c r="F773" s="20" t="n">
        <f aca="false">bsh_26*brel_28</f>
        <v>0.475</v>
      </c>
      <c r="G773" s="20" t="n">
        <f aca="false">bsh_26*brel_29</f>
        <v>0.45</v>
      </c>
    </row>
    <row r="774" customFormat="false" ht="17.15" hidden="false" customHeight="false" outlineLevel="0" collapsed="false">
      <c r="A774" s="4" t="s">
        <v>571</v>
      </c>
      <c r="B774" s="0" t="s">
        <v>520</v>
      </c>
      <c r="D774" s="24" t="n">
        <f aca="false">a26_brd/fx/D772/D773*1000</f>
        <v>823.353293413174</v>
      </c>
      <c r="E774" s="24" t="n">
        <f aca="false">$D774*bv_27_hi</f>
        <v>1152.69461077844</v>
      </c>
      <c r="F774" s="24" t="n">
        <f aca="false">$D774*bv_28_hi</f>
        <v>1235.02994011976</v>
      </c>
      <c r="G774" s="24" t="n">
        <f aca="false">$D774*bv_29_hi</f>
        <v>1235.02994011976</v>
      </c>
      <c r="K774" s="8" t="s">
        <v>572</v>
      </c>
    </row>
    <row r="775" customFormat="false" ht="17.15" hidden="false" customHeight="false" outlineLevel="0" collapsed="false">
      <c r="A775" s="0" t="s">
        <v>522</v>
      </c>
      <c r="B775" s="0" t="s">
        <v>147</v>
      </c>
      <c r="D775" s="21" t="n">
        <f aca="false">D772*D773*D774*fx/1000</f>
        <v>110</v>
      </c>
      <c r="E775" s="21" t="n">
        <f aca="false">E772*E773*E774*fx/1000</f>
        <v>206.562874251497</v>
      </c>
      <c r="F775" s="21" t="n">
        <f aca="false">F772*F773*F774*fx/1000</f>
        <v>215.883233532934</v>
      </c>
      <c r="G775" s="21" t="n">
        <f aca="false">G772*G773*G774*fx/1000</f>
        <v>229.419161676647</v>
      </c>
    </row>
    <row r="776" customFormat="false" ht="17.15" hidden="false" customHeight="false" outlineLevel="0" collapsed="false">
      <c r="A776" s="6" t="s">
        <v>573</v>
      </c>
    </row>
    <row r="777" customFormat="false" ht="15" hidden="false" customHeight="false" outlineLevel="0" collapsed="false">
      <c r="A777" s="4" t="s">
        <v>574</v>
      </c>
      <c r="B777" s="0" t="s">
        <v>147</v>
      </c>
      <c r="D777" s="21" t="n">
        <f aca="false">a26_gen</f>
        <v>150</v>
      </c>
      <c r="E777" s="21" t="n">
        <f aca="false">D777*(1+g_gen27)</f>
        <v>180</v>
      </c>
      <c r="F777" s="21" t="n">
        <f aca="false">E777*(1+g_gen28)</f>
        <v>198</v>
      </c>
      <c r="G777" s="21" t="n">
        <f aca="false">F777*(1+g_gen29)</f>
        <v>213.84</v>
      </c>
    </row>
    <row r="778" customFormat="false" ht="15" hidden="false" customHeight="false" outlineLevel="0" collapsed="false">
      <c r="A778" s="4" t="s">
        <v>575</v>
      </c>
      <c r="B778" s="0" t="s">
        <v>147</v>
      </c>
      <c r="D778" s="21" t="n">
        <f aca="false">a26_pc</f>
        <v>614.602793131557</v>
      </c>
      <c r="E778" s="21" t="n">
        <f aca="false">D778*(1+g_pc27)</f>
        <v>596.16470933761</v>
      </c>
      <c r="F778" s="21" t="n">
        <f aca="false">E778*(1+g_pc28)</f>
        <v>596.16470933761</v>
      </c>
      <c r="G778" s="21" t="n">
        <f aca="false">F778*(1+g_pc29)</f>
        <v>596.16470933761</v>
      </c>
    </row>
    <row r="779" customFormat="false" ht="15" hidden="false" customHeight="false" outlineLevel="0" collapsed="false">
      <c r="A779" s="4" t="s">
        <v>576</v>
      </c>
      <c r="B779" s="0" t="s">
        <v>147</v>
      </c>
      <c r="C779" s="21" t="n">
        <f aca="false">a25_srev</f>
        <v>1235.86</v>
      </c>
      <c r="D779" s="21" t="n">
        <f aca="false">D770+D775+D777+D778</f>
        <v>2651.72505421038</v>
      </c>
      <c r="E779" s="21" t="n">
        <f aca="false">E770+E775+E777+E778</f>
        <v>3853.52750730246</v>
      </c>
      <c r="F779" s="21" t="n">
        <f aca="false">F770+F775+F777+F778</f>
        <v>4083.04383789263</v>
      </c>
      <c r="G779" s="21" t="n">
        <f aca="false">G770+G775+G777+G778</f>
        <v>4148.53440715962</v>
      </c>
    </row>
    <row r="780" customFormat="false" ht="17.15" hidden="false" customHeight="false" outlineLevel="0" collapsed="false">
      <c r="A780" s="4" t="s">
        <v>577</v>
      </c>
      <c r="B780" s="0" t="s">
        <v>48</v>
      </c>
      <c r="D780" s="20" t="n">
        <f aca="false">a26_wai/D763</f>
        <v>0.0391523244650416</v>
      </c>
      <c r="K780" s="8" t="s">
        <v>578</v>
      </c>
    </row>
    <row r="781" customFormat="false" ht="17.15" hidden="false" customHeight="false" outlineLevel="0" collapsed="false">
      <c r="A781" s="4" t="s">
        <v>504</v>
      </c>
      <c r="B781" s="0" t="s">
        <v>48</v>
      </c>
      <c r="D781" s="20" t="n">
        <f aca="false">D780</f>
        <v>0.0391523244650416</v>
      </c>
      <c r="E781" s="20" t="n">
        <f aca="false">$D$780*wrel_27</f>
        <v>0.0391523244650416</v>
      </c>
      <c r="F781" s="20" t="n">
        <f aca="false">$D$780*wrel_28</f>
        <v>0.0391523244650416</v>
      </c>
      <c r="G781" s="20" t="n">
        <f aca="false">$D$780*wrel_29</f>
        <v>0.0371947082417896</v>
      </c>
    </row>
    <row r="782" customFormat="false" ht="17.15" hidden="false" customHeight="false" outlineLevel="0" collapsed="false">
      <c r="A782" s="4" t="s">
        <v>524</v>
      </c>
      <c r="B782" s="0" t="s">
        <v>147</v>
      </c>
      <c r="D782" s="21" t="n">
        <f aca="false">D763*D781</f>
        <v>795.094795</v>
      </c>
      <c r="E782" s="21" t="n">
        <f aca="false">E763*E781</f>
        <v>1427.12501917769</v>
      </c>
      <c r="F782" s="21" t="n">
        <f aca="false">F763*F781</f>
        <v>1809.04758711097</v>
      </c>
      <c r="G782" s="21" t="n">
        <f aca="false">G763*G781</f>
        <v>1957.75164825537</v>
      </c>
    </row>
    <row r="783" customFormat="false" ht="17.15" hidden="false" customHeight="false" outlineLevel="0" collapsed="false">
      <c r="A783" s="4" t="s">
        <v>579</v>
      </c>
      <c r="B783" s="0" t="s">
        <v>147</v>
      </c>
      <c r="D783" s="21" t="n">
        <f aca="false">a26_wna</f>
        <v>650.532105</v>
      </c>
      <c r="E783" s="21" t="n">
        <f aca="false">D783*(1+g_wn27)</f>
        <v>715.5853155</v>
      </c>
      <c r="F783" s="21" t="n">
        <f aca="false">E783*(1+g_wn28)</f>
        <v>758.52043443</v>
      </c>
      <c r="G783" s="21" t="n">
        <f aca="false">F783*(1+g_wn29)</f>
        <v>796.4464561515</v>
      </c>
    </row>
    <row r="784" customFormat="false" ht="15" hidden="false" customHeight="false" outlineLevel="0" collapsed="false">
      <c r="A784" s="4" t="s">
        <v>434</v>
      </c>
      <c r="B784" s="0" t="s">
        <v>147</v>
      </c>
      <c r="C784" s="21" t="n">
        <f aca="false">a25_wrev</f>
        <v>950.663</v>
      </c>
      <c r="D784" s="21" t="n">
        <f aca="false">D782+D783</f>
        <v>1445.6269</v>
      </c>
      <c r="E784" s="21" t="n">
        <f aca="false">E782+E783</f>
        <v>2142.71033467769</v>
      </c>
      <c r="F784" s="21" t="n">
        <f aca="false">F782+F783</f>
        <v>2567.56802154097</v>
      </c>
      <c r="G784" s="21" t="n">
        <f aca="false">G782+G783</f>
        <v>2754.19810440687</v>
      </c>
    </row>
    <row r="785" customFormat="false" ht="17.15" hidden="false" customHeight="false" outlineLevel="0" collapsed="false">
      <c r="A785" s="4" t="s">
        <v>420</v>
      </c>
      <c r="B785" s="0" t="s">
        <v>147</v>
      </c>
      <c r="C785" s="21" t="n">
        <f aca="false">C779+C784</f>
        <v>2186.523</v>
      </c>
      <c r="D785" s="21" t="n">
        <f aca="false">D779+D784</f>
        <v>4097.35195421038</v>
      </c>
      <c r="E785" s="21" t="n">
        <f aca="false">E779+E784</f>
        <v>5996.23784198015</v>
      </c>
      <c r="F785" s="21" t="n">
        <f aca="false">F779+F784</f>
        <v>6650.6118594336</v>
      </c>
      <c r="G785" s="21" t="n">
        <f aca="false">G779+G784</f>
        <v>6902.73251156649</v>
      </c>
      <c r="H785" s="26" t="n">
        <f aca="false">G785*(1+H786)</f>
        <v>7215.23942364462</v>
      </c>
      <c r="I785" s="26" t="n">
        <f aca="false">H785*(1+I786)</f>
        <v>7595.02411385982</v>
      </c>
      <c r="J785" s="26" t="n">
        <f aca="false">I785*(1+J786)</f>
        <v>8050.72556069141</v>
      </c>
      <c r="K785" s="8" t="s">
        <v>580</v>
      </c>
    </row>
    <row r="786" customFormat="false" ht="15" hidden="false" customHeight="false" outlineLevel="0" collapsed="false">
      <c r="A786" s="4" t="s">
        <v>581</v>
      </c>
      <c r="B786" s="0" t="s">
        <v>48</v>
      </c>
      <c r="D786" s="20" t="n">
        <f aca="false">D785/C785-1</f>
        <v>0.873912121761526</v>
      </c>
      <c r="E786" s="20" t="n">
        <f aca="false">E785/D785-1</f>
        <v>0.463442220485479</v>
      </c>
      <c r="F786" s="20" t="n">
        <f aca="false">F785/E785-1</f>
        <v>0.109130764105473</v>
      </c>
      <c r="G786" s="20" t="n">
        <f aca="false">G785/F785-1</f>
        <v>0.0379093920171074</v>
      </c>
      <c r="H786" s="27" t="n">
        <f aca="false">$G786+(fade_gA-$G786)*1/3</f>
        <v>0.0452729280114049</v>
      </c>
      <c r="I786" s="27" t="n">
        <f aca="false">$G786+(fade_gA-$G786)*2/3</f>
        <v>0.0526364640057025</v>
      </c>
      <c r="J786" s="27" t="n">
        <f aca="false">$G786+(fade_gA-$G786)*3/3</f>
        <v>0.06</v>
      </c>
    </row>
    <row r="787" customFormat="false" ht="17.15" hidden="false" customHeight="false" outlineLevel="0" collapsed="false">
      <c r="A787" s="0" t="s">
        <v>582</v>
      </c>
      <c r="B787" s="0" t="s">
        <v>48</v>
      </c>
      <c r="D787" s="20" t="n">
        <f aca="false">(D770+D775+D782)/D785</f>
        <v>0.6546220793463</v>
      </c>
      <c r="E787" s="20" t="n">
        <f aca="false">(E770+E775+E782)/E785</f>
        <v>0.751219003623614</v>
      </c>
      <c r="F787" s="20" t="n">
        <f aca="false">(F770+F775+F782)/F785</f>
        <v>0.766534993082599</v>
      </c>
      <c r="G787" s="20" t="n">
        <f aca="false">(G770+G775+G782)/G785</f>
        <v>0.767273154102773</v>
      </c>
    </row>
    <row r="788" customFormat="false" ht="17.15" hidden="false" customHeight="false" outlineLevel="0" collapsed="false">
      <c r="A788" s="4" t="s">
        <v>583</v>
      </c>
      <c r="B788" s="0" t="s">
        <v>48</v>
      </c>
      <c r="C788" s="20" t="n">
        <f aca="false">C784/C785</f>
        <v>0.434782986504144</v>
      </c>
      <c r="D788" s="20" t="n">
        <f aca="false">D784/D785</f>
        <v>0.352819800728736</v>
      </c>
      <c r="E788" s="20" t="n">
        <f aca="false">E784/E785</f>
        <v>0.357342452241704</v>
      </c>
      <c r="F788" s="20" t="n">
        <f aca="false">F784/F785</f>
        <v>0.386064932942822</v>
      </c>
      <c r="G788" s="20" t="n">
        <f aca="false">G784/G785</f>
        <v>0.399001134665413</v>
      </c>
    </row>
    <row r="789" customFormat="false" ht="17.15" hidden="false" customHeight="false" outlineLevel="0" collapsed="false">
      <c r="A789" s="4" t="s">
        <v>584</v>
      </c>
      <c r="B789" s="4" t="s">
        <v>331</v>
      </c>
      <c r="D789" s="21" t="n">
        <f aca="false">D768/fx/(odm_gb*(1-vr26)+odm_vr*vr26)</f>
        <v>12.0597330420658</v>
      </c>
      <c r="E789" s="21" t="n">
        <f aca="false">E768/fx/odm_vr</f>
        <v>14.7674893195131</v>
      </c>
      <c r="F789" s="21" t="n">
        <f aca="false">F768/fx/odm_vr</f>
        <v>17.7835410591556</v>
      </c>
      <c r="G789" s="21" t="n">
        <f aca="false">G768/fx/odm_vr</f>
        <v>19.1920403465763</v>
      </c>
      <c r="K789" s="4" t="s">
        <v>585</v>
      </c>
    </row>
    <row r="790" customFormat="false" ht="17.15" hidden="false" customHeight="false" outlineLevel="0" collapsed="false">
      <c r="A790" s="6" t="s">
        <v>586</v>
      </c>
    </row>
    <row r="791" customFormat="false" ht="17.15" hidden="false" customHeight="false" outlineLevel="0" collapsed="false">
      <c r="A791" s="4" t="s">
        <v>587</v>
      </c>
      <c r="B791" s="0" t="s">
        <v>48</v>
      </c>
      <c r="D791" s="17" t="n">
        <f aca="false">(a26_sgp-d_ai*D770-d_brd*D775-d_gen*D777)/D779</f>
        <v>0.0436423860147897</v>
      </c>
      <c r="K791" s="8" t="s">
        <v>588</v>
      </c>
    </row>
    <row r="792" customFormat="false" ht="17.15" hidden="false" customHeight="false" outlineLevel="0" collapsed="false">
      <c r="A792" s="4" t="s">
        <v>589</v>
      </c>
      <c r="B792" s="0" t="s">
        <v>147</v>
      </c>
      <c r="D792" s="25" t="n">
        <f aca="false">($D$791+d_ai)*D768*(1-D769*(1-keep))</f>
        <v>59.7866331026896</v>
      </c>
      <c r="E792" s="25" t="n">
        <f aca="false">($D$791+d_ai+vrd)*E768*(1-E769*(1-keep))</f>
        <v>99.9228552931035</v>
      </c>
      <c r="F792" s="25" t="n">
        <f aca="false">($D$791+d_ai+vrd)*F768*(1-F769*(1-keep))</f>
        <v>119.115229856887</v>
      </c>
      <c r="G792" s="25" t="n">
        <f aca="false">($D$791+d_ai+vrd)*G768*(1-G769*(1-keep))</f>
        <v>127.89357847157</v>
      </c>
    </row>
    <row r="793" customFormat="false" ht="15" hidden="false" customHeight="false" outlineLevel="0" collapsed="false">
      <c r="A793" s="4" t="s">
        <v>590</v>
      </c>
      <c r="B793" s="0" t="s">
        <v>147</v>
      </c>
      <c r="C793" s="21" t="n">
        <f aca="false">a25_sgp</f>
        <v>55.529</v>
      </c>
      <c r="D793" s="21" t="n">
        <f aca="false">a26_sgp</f>
        <v>103.50638581015</v>
      </c>
      <c r="E793" s="21" t="n">
        <f aca="false">$D$791*E778+($D$791+d_brd)*E775+($D$791+d_gen)*E777+E792</f>
        <v>151.708318071026</v>
      </c>
      <c r="F793" s="21" t="n">
        <f aca="false">$D$791*F778+($D$791+d_brd)*F775+($D$791+d_gen)*F777+F792</f>
        <v>172.642629079076</v>
      </c>
      <c r="G793" s="21" t="n">
        <f aca="false">$D$791*G778+($D$791+d_brd)*G775+($D$791+d_gen)*G777+G792</f>
        <v>183.34669113366</v>
      </c>
    </row>
    <row r="794" customFormat="false" ht="15" hidden="false" customHeight="false" outlineLevel="0" collapsed="false">
      <c r="A794" s="4" t="s">
        <v>591</v>
      </c>
      <c r="B794" s="0" t="s">
        <v>48</v>
      </c>
      <c r="C794" s="17" t="n">
        <f aca="false">C793/C779</f>
        <v>0.0449314647290146</v>
      </c>
      <c r="D794" s="17" t="n">
        <f aca="false">D793/D779</f>
        <v>0.0390336040479778</v>
      </c>
      <c r="E794" s="17" t="n">
        <f aca="false">E793/E779</f>
        <v>0.0393686869455421</v>
      </c>
      <c r="F794" s="17" t="n">
        <f aca="false">F793/F779</f>
        <v>0.0422828252483769</v>
      </c>
      <c r="G794" s="17" t="n">
        <f aca="false">G793/G779</f>
        <v>0.044195533443627</v>
      </c>
    </row>
    <row r="795" customFormat="false" ht="15" hidden="false" customHeight="false" outlineLevel="0" collapsed="false">
      <c r="A795" s="4" t="s">
        <v>592</v>
      </c>
      <c r="B795" s="0" t="s">
        <v>48</v>
      </c>
      <c r="E795" s="20" t="n">
        <f aca="false">MAX(0,phi*(E779/D779-1))</f>
        <v>0.135964599857426</v>
      </c>
      <c r="F795" s="20" t="n">
        <f aca="false">MAX(0,phi*(F779/E779-1))</f>
        <v>0.0178680180812437</v>
      </c>
      <c r="G795" s="20" t="n">
        <f aca="false">MAX(0,phi*(G779/F779-1))</f>
        <v>0.00481189317581219</v>
      </c>
    </row>
    <row r="796" customFormat="false" ht="15" hidden="false" customHeight="false" outlineLevel="0" collapsed="false">
      <c r="A796" s="4" t="s">
        <v>593</v>
      </c>
      <c r="B796" s="0" t="s">
        <v>147</v>
      </c>
      <c r="C796" s="21" t="n">
        <f aca="false">a25_sopx</f>
        <v>40.894</v>
      </c>
      <c r="D796" s="21" t="n">
        <f aca="false">a26_sopx</f>
        <v>46.9914095398923</v>
      </c>
      <c r="E796" s="21" t="n">
        <f aca="false">D796*(1+E795)+0*E779</f>
        <v>53.3805777347201</v>
      </c>
      <c r="F796" s="21" t="n">
        <f aca="false">E796*(1+F795)+0*F779</f>
        <v>54.3343828628714</v>
      </c>
      <c r="G796" s="21" t="n">
        <f aca="false">F796*(1+G795)+0*G779</f>
        <v>54.5958341089812</v>
      </c>
    </row>
    <row r="797" customFormat="false" ht="15" hidden="false" customHeight="false" outlineLevel="0" collapsed="false">
      <c r="A797" s="4" t="s">
        <v>594</v>
      </c>
      <c r="B797" s="0" t="s">
        <v>147</v>
      </c>
      <c r="C797" s="21" t="n">
        <f aca="false">C793-C796</f>
        <v>14.635</v>
      </c>
      <c r="D797" s="21" t="n">
        <f aca="false">D793-D796</f>
        <v>56.514976270258</v>
      </c>
      <c r="E797" s="21" t="n">
        <f aca="false">E793-E796</f>
        <v>98.3277403363056</v>
      </c>
      <c r="F797" s="21" t="n">
        <f aca="false">F793-F796</f>
        <v>118.308246216205</v>
      </c>
      <c r="G797" s="21" t="n">
        <f aca="false">G793-G796</f>
        <v>128.750857024679</v>
      </c>
    </row>
    <row r="798" customFormat="false" ht="15" hidden="false" customHeight="false" outlineLevel="0" collapsed="false">
      <c r="A798" s="4" t="s">
        <v>595</v>
      </c>
      <c r="B798" s="0" t="s">
        <v>48</v>
      </c>
      <c r="C798" s="17" t="n">
        <f aca="false">C797/C779</f>
        <v>0.011841956208632</v>
      </c>
      <c r="D798" s="17" t="n">
        <f aca="false">D797/D779</f>
        <v>0.0213125324514788</v>
      </c>
      <c r="E798" s="17" t="n">
        <f aca="false">E797/E779</f>
        <v>0.0255162938761885</v>
      </c>
      <c r="F798" s="17" t="n">
        <f aca="false">F797/F779</f>
        <v>0.0289755023245763</v>
      </c>
      <c r="G798" s="17" t="n">
        <f aca="false">G797/G779</f>
        <v>0.0310352631528085</v>
      </c>
    </row>
    <row r="799" customFormat="false" ht="15" hidden="false" customHeight="false" outlineLevel="0" collapsed="false">
      <c r="A799" s="4" t="s">
        <v>596</v>
      </c>
      <c r="B799" s="0" t="s">
        <v>147</v>
      </c>
      <c r="C799" s="21" t="n">
        <f aca="false">a25_sni</f>
        <v>6.9608</v>
      </c>
      <c r="D799" s="21" t="n">
        <f aca="false">a26_sni</f>
        <v>31.133746704</v>
      </c>
      <c r="E799" s="21" t="n">
        <f aca="false">E797*snio</f>
        <v>55.0635345883312</v>
      </c>
      <c r="F799" s="21" t="n">
        <f aca="false">F797*snio</f>
        <v>66.2526178810746</v>
      </c>
      <c r="G799" s="21" t="n">
        <f aca="false">G797*snio</f>
        <v>72.1004799338204</v>
      </c>
    </row>
    <row r="800" customFormat="false" ht="17.15" hidden="false" customHeight="false" outlineLevel="0" collapsed="false">
      <c r="A800" s="6" t="s">
        <v>597</v>
      </c>
    </row>
    <row r="801" customFormat="false" ht="15" hidden="false" customHeight="false" outlineLevel="0" collapsed="false">
      <c r="A801" s="4" t="s">
        <v>438</v>
      </c>
      <c r="B801" s="0" t="s">
        <v>147</v>
      </c>
      <c r="C801" s="21" t="n">
        <f aca="false">a25_wgp</f>
        <v>78.454</v>
      </c>
      <c r="D801" s="21" t="n">
        <f aca="false">a26_wgp</f>
        <v>125.0519932</v>
      </c>
      <c r="E801" s="21" t="n">
        <f aca="false">E784*wgm</f>
        <v>182.130378447603</v>
      </c>
      <c r="F801" s="21" t="n">
        <f aca="false">F784*wgm</f>
        <v>218.243281830982</v>
      </c>
      <c r="G801" s="21" t="n">
        <f aca="false">G784*wgm</f>
        <v>234.106838874584</v>
      </c>
    </row>
    <row r="802" customFormat="false" ht="15" hidden="false" customHeight="false" outlineLevel="0" collapsed="false">
      <c r="A802" s="4" t="s">
        <v>440</v>
      </c>
      <c r="B802" s="0" t="s">
        <v>147</v>
      </c>
      <c r="C802" s="21" t="n">
        <f aca="false">a25_woi</f>
        <v>63.918</v>
      </c>
      <c r="D802" s="21" t="n">
        <f aca="false">a26_woi</f>
        <v>98.2471632</v>
      </c>
      <c r="E802" s="21" t="n">
        <f aca="false">E784*wopm</f>
        <v>139.27617175405</v>
      </c>
      <c r="F802" s="21" t="n">
        <f aca="false">F784*wopm</f>
        <v>166.891921400163</v>
      </c>
      <c r="G802" s="21" t="n">
        <f aca="false">G784*wopm</f>
        <v>179.022876786446</v>
      </c>
    </row>
    <row r="803" customFormat="false" ht="15" hidden="false" customHeight="false" outlineLevel="0" collapsed="false">
      <c r="A803" s="4" t="s">
        <v>448</v>
      </c>
      <c r="B803" s="0" t="s">
        <v>147</v>
      </c>
      <c r="C803" s="21" t="n">
        <f aca="false">a25_wni</f>
        <v>51.118</v>
      </c>
      <c r="D803" s="21" t="n">
        <f aca="false">a26_wni</f>
        <v>75.735026884</v>
      </c>
      <c r="E803" s="21" t="n">
        <f aca="false">E802*wnio</f>
        <v>108.635413968159</v>
      </c>
      <c r="F803" s="21" t="n">
        <f aca="false">F802*wnio</f>
        <v>130.175698692127</v>
      </c>
      <c r="G803" s="21" t="n">
        <f aca="false">G802*wnio</f>
        <v>139.637843893428</v>
      </c>
    </row>
    <row r="804" customFormat="false" ht="15" hidden="false" customHeight="false" outlineLevel="0" collapsed="false">
      <c r="A804" s="4" t="s">
        <v>450</v>
      </c>
      <c r="B804" s="0" t="s">
        <v>48</v>
      </c>
      <c r="C804" s="17" t="n">
        <f aca="false">stake25</f>
        <v>0.4</v>
      </c>
      <c r="D804" s="17" t="n">
        <f aca="false">stake</f>
        <v>0.3768</v>
      </c>
      <c r="E804" s="17" t="n">
        <f aca="false">stake</f>
        <v>0.3768</v>
      </c>
      <c r="F804" s="17" t="n">
        <f aca="false">stake</f>
        <v>0.3768</v>
      </c>
      <c r="G804" s="17" t="n">
        <f aca="false">stake</f>
        <v>0.3768</v>
      </c>
    </row>
    <row r="805" customFormat="false" ht="17.15" hidden="false" customHeight="false" outlineLevel="0" collapsed="false">
      <c r="A805" s="6" t="s">
        <v>598</v>
      </c>
    </row>
    <row r="806" customFormat="false" ht="15" hidden="false" customHeight="false" outlineLevel="0" collapsed="false">
      <c r="A806" s="4" t="s">
        <v>424</v>
      </c>
      <c r="B806" s="0" t="s">
        <v>147</v>
      </c>
      <c r="C806" s="21" t="n">
        <f aca="false">C793+C801</f>
        <v>133.983</v>
      </c>
      <c r="D806" s="21" t="n">
        <f aca="false">D793+D801</f>
        <v>228.55837901015</v>
      </c>
      <c r="E806" s="21" t="n">
        <f aca="false">E793+E801</f>
        <v>333.838696518629</v>
      </c>
      <c r="F806" s="21" t="n">
        <f aca="false">F793+F801</f>
        <v>390.885910910058</v>
      </c>
      <c r="G806" s="21" t="n">
        <f aca="false">G793+G801</f>
        <v>417.453530008244</v>
      </c>
    </row>
    <row r="807" customFormat="false" ht="15" hidden="false" customHeight="false" outlineLevel="0" collapsed="false">
      <c r="A807" s="4" t="s">
        <v>427</v>
      </c>
      <c r="B807" s="0" t="s">
        <v>48</v>
      </c>
      <c r="C807" s="17" t="n">
        <f aca="false">C806/C785</f>
        <v>0.0612767393711386</v>
      </c>
      <c r="D807" s="17" t="n">
        <f aca="false">D806/D785</f>
        <v>0.055781973714825</v>
      </c>
      <c r="E807" s="17" t="n">
        <f aca="false">E806/E785</f>
        <v>0.0556746922514309</v>
      </c>
      <c r="F807" s="17" t="n">
        <f aca="false">F806/F785</f>
        <v>0.058774428454369</v>
      </c>
      <c r="G807" s="17" t="n">
        <f aca="false">G806/G785</f>
        <v>0.0604765618990368</v>
      </c>
    </row>
    <row r="808" customFormat="false" ht="15" hidden="false" customHeight="false" outlineLevel="0" collapsed="false">
      <c r="A808" s="4" t="s">
        <v>428</v>
      </c>
      <c r="B808" s="0" t="s">
        <v>147</v>
      </c>
      <c r="C808" s="21" t="n">
        <f aca="false">C797+C802</f>
        <v>78.553</v>
      </c>
      <c r="D808" s="21" t="n">
        <f aca="false">D797+D802</f>
        <v>154.762139470258</v>
      </c>
      <c r="E808" s="21" t="n">
        <f aca="false">E797+E802</f>
        <v>237.603912090355</v>
      </c>
      <c r="F808" s="21" t="n">
        <f aca="false">F797+F802</f>
        <v>285.200167616367</v>
      </c>
      <c r="G808" s="21" t="n">
        <f aca="false">G797+G802</f>
        <v>307.773733811126</v>
      </c>
    </row>
    <row r="809" customFormat="false" ht="15" hidden="false" customHeight="false" outlineLevel="0" collapsed="false">
      <c r="A809" s="4" t="s">
        <v>431</v>
      </c>
      <c r="B809" s="0" t="s">
        <v>48</v>
      </c>
      <c r="C809" s="17" t="n">
        <f aca="false">C808/C785</f>
        <v>0.0359259884300325</v>
      </c>
      <c r="D809" s="17" t="n">
        <f aca="false">D808/D785</f>
        <v>0.0377712584126992</v>
      </c>
      <c r="E809" s="17" t="n">
        <f aca="false">E808/E785</f>
        <v>0.0396254982460621</v>
      </c>
      <c r="F809" s="17" t="n">
        <f aca="false">F808/F785</f>
        <v>0.0428832976039376</v>
      </c>
      <c r="G809" s="17" t="n">
        <f aca="false">G808/G785</f>
        <v>0.0445872316934501</v>
      </c>
    </row>
    <row r="810" customFormat="false" ht="15" hidden="false" customHeight="false" outlineLevel="0" collapsed="false">
      <c r="A810" s="4" t="s">
        <v>461</v>
      </c>
      <c r="B810" s="0" t="s">
        <v>147</v>
      </c>
      <c r="C810" s="21" t="n">
        <f aca="false">C799+C803</f>
        <v>58.0788</v>
      </c>
      <c r="D810" s="21" t="n">
        <f aca="false">D799+D803</f>
        <v>106.868773588</v>
      </c>
      <c r="E810" s="21" t="n">
        <f aca="false">E799+E803</f>
        <v>163.69894855649</v>
      </c>
      <c r="F810" s="21" t="n">
        <f aca="false">F799+F803</f>
        <v>196.428316573202</v>
      </c>
      <c r="G810" s="21" t="n">
        <f aca="false">G799+G803</f>
        <v>211.738323827249</v>
      </c>
    </row>
    <row r="811" customFormat="false" ht="17.15" hidden="false" customHeight="false" outlineLevel="0" collapsed="false">
      <c r="A811" s="4" t="s">
        <v>599</v>
      </c>
      <c r="B811" s="0" t="s">
        <v>147</v>
      </c>
      <c r="C811" s="21" t="n">
        <f aca="false">(1-C804)*C803</f>
        <v>30.6708</v>
      </c>
      <c r="D811" s="21" t="n">
        <f aca="false">(1-D804)*D803</f>
        <v>47.1980687541088</v>
      </c>
      <c r="E811" s="21" t="n">
        <f aca="false">(1-E804)*E803</f>
        <v>67.7015899849565</v>
      </c>
      <c r="F811" s="21" t="n">
        <f aca="false">(1-F804)*F803</f>
        <v>81.1254954249335</v>
      </c>
      <c r="G811" s="21" t="n">
        <f aca="false">(1-G804)*G803</f>
        <v>87.0223043143844</v>
      </c>
    </row>
    <row r="812" customFormat="false" ht="15" hidden="false" customHeight="false" outlineLevel="0" collapsed="false">
      <c r="A812" s="4" t="s">
        <v>457</v>
      </c>
      <c r="B812" s="0" t="s">
        <v>147</v>
      </c>
      <c r="C812" s="21" t="n">
        <f aca="false">C810-C811</f>
        <v>27.408</v>
      </c>
      <c r="D812" s="21" t="n">
        <f aca="false">D810-D811</f>
        <v>59.6707048338912</v>
      </c>
      <c r="E812" s="21" t="n">
        <f aca="false">E810-E811</f>
        <v>95.9973585715334</v>
      </c>
      <c r="F812" s="21" t="n">
        <f aca="false">F810-F811</f>
        <v>115.302821148268</v>
      </c>
      <c r="G812" s="21" t="n">
        <f aca="false">G810-G811</f>
        <v>124.716019512864</v>
      </c>
      <c r="H812" s="26" t="n">
        <f aca="false">H785*H817</f>
        <v>130.033709627106</v>
      </c>
      <c r="I812" s="26" t="n">
        <f aca="false">I785*I817</f>
        <v>136.532360320411</v>
      </c>
      <c r="J812" s="26" t="n">
        <f aca="false">J785*J817</f>
        <v>144.357686117645</v>
      </c>
    </row>
    <row r="813" customFormat="false" ht="17.15" hidden="false" customHeight="false" outlineLevel="0" collapsed="false">
      <c r="A813" s="4" t="s">
        <v>600</v>
      </c>
      <c r="B813" s="0" t="s">
        <v>48</v>
      </c>
      <c r="C813" s="20" t="n">
        <f aca="false">C804*C803/C812</f>
        <v>0.746030356100409</v>
      </c>
      <c r="D813" s="20" t="n">
        <f aca="false">D804*D803/D812</f>
        <v>0.478240674537551</v>
      </c>
      <c r="E813" s="20" t="n">
        <f aca="false">E804*E803/E812</f>
        <v>0.42640573232752</v>
      </c>
      <c r="F813" s="20" t="n">
        <f aca="false">F804*F803/F812</f>
        <v>0.425403322995191</v>
      </c>
      <c r="G813" s="20" t="n">
        <f aca="false">G804*G803/G812</f>
        <v>0.421882768425083</v>
      </c>
    </row>
    <row r="814" customFormat="false" ht="17.15" hidden="false" customHeight="false" outlineLevel="0" collapsed="false">
      <c r="A814" s="4" t="s">
        <v>601</v>
      </c>
      <c r="B814" s="4" t="s">
        <v>282</v>
      </c>
      <c r="C814" s="31" t="n">
        <f aca="false">a25_sh</f>
        <v>3.03185840707965</v>
      </c>
      <c r="D814" s="31" t="n">
        <f aca="false">a26_sh</f>
        <v>3.23861720409076</v>
      </c>
      <c r="E814" s="31" t="n">
        <f aca="false">q_sh4*(1+sh_g)</f>
        <v>3.43</v>
      </c>
      <c r="F814" s="31" t="n">
        <f aca="false">E814*(1+sh_g)</f>
        <v>3.43</v>
      </c>
      <c r="G814" s="31" t="n">
        <f aca="false">F814*(1+sh_g)</f>
        <v>3.43</v>
      </c>
      <c r="H814" s="32" t="n">
        <f aca="false">G814*(1+sh_g)</f>
        <v>3.43</v>
      </c>
      <c r="I814" s="32" t="n">
        <f aca="false">H814*(1+sh_g)</f>
        <v>3.43</v>
      </c>
      <c r="J814" s="32" t="n">
        <f aca="false">I814*(1+sh_g)</f>
        <v>3.43</v>
      </c>
      <c r="K814" s="8" t="s">
        <v>602</v>
      </c>
    </row>
    <row r="815" customFormat="false" ht="15" hidden="false" customHeight="false" outlineLevel="0" collapsed="false">
      <c r="A815" s="0" t="s">
        <v>464</v>
      </c>
      <c r="B815" s="0" t="s">
        <v>312</v>
      </c>
      <c r="C815" s="18" t="n">
        <f aca="false">C812/C814</f>
        <v>9.04</v>
      </c>
      <c r="D815" s="18" t="n">
        <f aca="false">D812/D814</f>
        <v>18.4247476850676</v>
      </c>
      <c r="E815" s="18" t="n">
        <f aca="false">E812/E814</f>
        <v>27.987568096657</v>
      </c>
      <c r="F815" s="18" t="n">
        <f aca="false">F812/F814</f>
        <v>33.6159828420607</v>
      </c>
      <c r="G815" s="18" t="n">
        <f aca="false">G812/G814</f>
        <v>36.3603555431091</v>
      </c>
      <c r="H815" s="29" t="n">
        <f aca="false">H812/H814</f>
        <v>37.9107025151912</v>
      </c>
      <c r="I815" s="29" t="n">
        <f aca="false">I812/I814</f>
        <v>39.8053528630936</v>
      </c>
      <c r="J815" s="29" t="n">
        <f aca="false">J812/J814</f>
        <v>42.0867889555817</v>
      </c>
    </row>
    <row r="816" customFormat="false" ht="17.15" hidden="false" customHeight="false" outlineLevel="0" collapsed="false">
      <c r="A816" s="0" t="s">
        <v>603</v>
      </c>
      <c r="B816" s="0" t="s">
        <v>48</v>
      </c>
      <c r="D816" s="20" t="n">
        <f aca="false">D815/C815-1</f>
        <v>1.03813580587031</v>
      </c>
      <c r="E816" s="20" t="n">
        <f aca="false">E815/D815-1</f>
        <v>0.519020427038988</v>
      </c>
      <c r="F816" s="20" t="n">
        <f aca="false">F815/E815-1</f>
        <v>0.201104101862855</v>
      </c>
      <c r="G816" s="20" t="n">
        <f aca="false">G815/F815-1</f>
        <v>0.0816389249703755</v>
      </c>
      <c r="H816" s="27" t="n">
        <f aca="false">H815/G815-1</f>
        <v>0.0426383886770303</v>
      </c>
      <c r="I816" s="27" t="n">
        <f aca="false">I815/H815-1</f>
        <v>0.0499766615283168</v>
      </c>
      <c r="J816" s="27" t="n">
        <f aca="false">J815/I815-1</f>
        <v>0.0573148063863396</v>
      </c>
    </row>
    <row r="817" customFormat="false" ht="17.15" hidden="false" customHeight="false" outlineLevel="0" collapsed="false">
      <c r="A817" s="4" t="s">
        <v>604</v>
      </c>
      <c r="B817" s="0" t="s">
        <v>48</v>
      </c>
      <c r="C817" s="17" t="n">
        <f aca="false">C812/C785</f>
        <v>0.0125349699042727</v>
      </c>
      <c r="D817" s="17" t="n">
        <f aca="false">D812/D785</f>
        <v>0.0145632363293992</v>
      </c>
      <c r="E817" s="17" t="n">
        <f aca="false">E812/E785</f>
        <v>0.0160095982016337</v>
      </c>
      <c r="F817" s="17" t="n">
        <f aca="false">F812/F785</f>
        <v>0.0173371749224421</v>
      </c>
      <c r="G817" s="17" t="n">
        <f aca="false">G812/G785</f>
        <v>0.0180676303628867</v>
      </c>
      <c r="H817" s="28" t="n">
        <f aca="false">$G817+(fade_mA-$G817)*1/3</f>
        <v>0.0180220921291926</v>
      </c>
      <c r="I817" s="28" t="n">
        <f aca="false">$G817+(fade_mA-$G817)*2/3</f>
        <v>0.0179765538954984</v>
      </c>
      <c r="J817" s="28" t="n">
        <f aca="false">$G817+(fade_mA-$G817)*3/3</f>
        <v>0.0179310156618042</v>
      </c>
    </row>
    <row r="820" customFormat="false" ht="17.15" hidden="false" customHeight="false" outlineLevel="0" collapsed="false">
      <c r="A820" s="1" t="s">
        <v>885</v>
      </c>
    </row>
    <row r="821" customFormat="false" ht="17.15" hidden="false" customHeight="false" outlineLevel="0" collapsed="false">
      <c r="A821" s="5" t="s">
        <v>17</v>
      </c>
      <c r="B821" s="5" t="s">
        <v>18</v>
      </c>
      <c r="C821" s="14" t="s">
        <v>414</v>
      </c>
      <c r="D821" s="14" t="s">
        <v>529</v>
      </c>
      <c r="E821" s="14" t="s">
        <v>530</v>
      </c>
      <c r="F821" s="14" t="s">
        <v>531</v>
      </c>
      <c r="G821" s="14" t="s">
        <v>532</v>
      </c>
      <c r="H821" s="14" t="s">
        <v>533</v>
      </c>
      <c r="I821" s="14" t="s">
        <v>534</v>
      </c>
      <c r="J821" s="14" t="s">
        <v>535</v>
      </c>
      <c r="K821" s="5" t="s">
        <v>496</v>
      </c>
    </row>
    <row r="822" customFormat="false" ht="17.15" hidden="false" customHeight="false" outlineLevel="0" collapsed="false">
      <c r="A822" s="6" t="s">
        <v>550</v>
      </c>
    </row>
    <row r="823" customFormat="false" ht="17.15" hidden="false" customHeight="false" outlineLevel="0" collapsed="false">
      <c r="A823" s="0" t="s">
        <v>551</v>
      </c>
      <c r="B823" s="0" t="s">
        <v>28</v>
      </c>
      <c r="D823" s="21" t="n">
        <f aca="false">itc_26*1</f>
        <v>781.872916666667</v>
      </c>
      <c r="E823" s="21" t="n">
        <f aca="false">itc_27*1*1</f>
        <v>1565.35</v>
      </c>
      <c r="F823" s="21" t="n">
        <f aca="false">itc_28*um28_A*1</f>
        <v>1984.26388888889</v>
      </c>
      <c r="G823" s="21" t="n">
        <f aca="false">itc_29*um29_A*1</f>
        <v>2260.39027777778</v>
      </c>
    </row>
    <row r="824" customFormat="false" ht="17.15" hidden="false" customHeight="false" outlineLevel="0" collapsed="false">
      <c r="A824" s="4" t="s">
        <v>552</v>
      </c>
      <c r="B824" s="0" t="s">
        <v>28</v>
      </c>
      <c r="D824" s="21" t="n">
        <f aca="false">itpg_gb*(1-vr26)+itpg_vr*vr26</f>
        <v>33.41403216</v>
      </c>
      <c r="E824" s="21" t="n">
        <f aca="false">itpg_vr</f>
        <v>37.586352</v>
      </c>
      <c r="F824" s="21" t="n">
        <f aca="false">itpg_vr</f>
        <v>37.586352</v>
      </c>
      <c r="G824" s="21" t="n">
        <f aca="false">itpg_vr</f>
        <v>37.586352</v>
      </c>
    </row>
    <row r="825" customFormat="false" ht="17.15" hidden="false" customHeight="false" outlineLevel="0" collapsed="false">
      <c r="A825" s="4" t="s">
        <v>553</v>
      </c>
      <c r="B825" s="0" t="s">
        <v>498</v>
      </c>
      <c r="D825" s="22" t="n">
        <f aca="false">D823/D824</f>
        <v>23.3995380420639</v>
      </c>
      <c r="E825" s="22" t="n">
        <f aca="false">E823/E824</f>
        <v>41.6467658260637</v>
      </c>
      <c r="F825" s="22" t="n">
        <f aca="false">F823/F824</f>
        <v>52.792138191248</v>
      </c>
      <c r="G825" s="22" t="n">
        <f aca="false">G823/G824</f>
        <v>60.1385917361116</v>
      </c>
    </row>
    <row r="826" customFormat="false" ht="17.15" hidden="false" customHeight="false" outlineLevel="0" collapsed="false">
      <c r="A826" s="4" t="s">
        <v>554</v>
      </c>
      <c r="B826" s="0" t="s">
        <v>555</v>
      </c>
      <c r="D826" s="18" t="n">
        <f aca="false">(racks_gb*odm_gb*(1-vr26)+racks_vr*odm_vr*vr26)/1000</f>
        <v>27.1209</v>
      </c>
      <c r="E826" s="18" t="n">
        <f aca="false">racks_vr*odm_vr/1000</f>
        <v>27.351</v>
      </c>
      <c r="F826" s="18" t="n">
        <f aca="false">$E826*vpg_28</f>
        <v>27.351</v>
      </c>
      <c r="G826" s="18" t="n">
        <f aca="false">$E826*vpg_29</f>
        <v>27.351</v>
      </c>
      <c r="K826" s="4" t="s">
        <v>556</v>
      </c>
    </row>
    <row r="827" customFormat="false" ht="17.15" hidden="false" customHeight="false" outlineLevel="0" collapsed="false">
      <c r="A827" s="0" t="s">
        <v>557</v>
      </c>
      <c r="B827" s="0" t="s">
        <v>28</v>
      </c>
      <c r="D827" s="21" t="n">
        <f aca="false">D825*D826</f>
        <v>634.616531285011</v>
      </c>
      <c r="E827" s="21" t="n">
        <f aca="false">E825*E826</f>
        <v>1139.08069210867</v>
      </c>
      <c r="F827" s="21" t="n">
        <f aca="false">F825*F826</f>
        <v>1443.91777166882</v>
      </c>
      <c r="G827" s="21" t="n">
        <f aca="false">G825*G826</f>
        <v>1644.85062257439</v>
      </c>
    </row>
    <row r="828" customFormat="false" ht="17.15" hidden="false" customHeight="false" outlineLevel="0" collapsed="false">
      <c r="A828" s="0" t="s">
        <v>558</v>
      </c>
      <c r="B828" s="0" t="s">
        <v>147</v>
      </c>
      <c r="D828" s="21" t="n">
        <f aca="false">D827*fx</f>
        <v>20307.7290011204</v>
      </c>
      <c r="E828" s="21" t="n">
        <f aca="false">E827*fx</f>
        <v>36450.5821474774</v>
      </c>
      <c r="F828" s="21" t="n">
        <f aca="false">F827*fx</f>
        <v>46205.3686934024</v>
      </c>
      <c r="G828" s="21" t="n">
        <f aca="false">G827*fx</f>
        <v>52635.2199223804</v>
      </c>
    </row>
    <row r="829" customFormat="false" ht="17.15" hidden="false" customHeight="false" outlineLevel="0" collapsed="false">
      <c r="A829" s="6" t="s">
        <v>559</v>
      </c>
    </row>
    <row r="830" customFormat="false" ht="17.15" hidden="false" customHeight="false" outlineLevel="0" collapsed="false">
      <c r="A830" s="4" t="s">
        <v>560</v>
      </c>
      <c r="B830" s="0" t="s">
        <v>48</v>
      </c>
      <c r="D830" s="20" t="n">
        <f aca="false">a26_ais/D828</f>
        <v>0.0875096501918446</v>
      </c>
      <c r="K830" s="8" t="s">
        <v>561</v>
      </c>
    </row>
    <row r="831" customFormat="false" ht="17.15" hidden="false" customHeight="false" outlineLevel="0" collapsed="false">
      <c r="A831" s="4" t="s">
        <v>562</v>
      </c>
      <c r="B831" s="0" t="s">
        <v>60</v>
      </c>
      <c r="D831" s="18" t="n">
        <f aca="false">1</f>
        <v>1</v>
      </c>
      <c r="E831" s="18" t="n">
        <f aca="false">rel_27</f>
        <v>1</v>
      </c>
      <c r="F831" s="18" t="n">
        <f aca="false">rel_28</f>
        <v>0.95</v>
      </c>
      <c r="G831" s="18" t="n">
        <f aca="false">rel_29</f>
        <v>0.9</v>
      </c>
    </row>
    <row r="832" customFormat="false" ht="17.15" hidden="false" customHeight="false" outlineLevel="0" collapsed="false">
      <c r="A832" s="4" t="s">
        <v>563</v>
      </c>
      <c r="B832" s="0" t="s">
        <v>48</v>
      </c>
      <c r="D832" s="20" t="n">
        <f aca="false">$D$830*D831</f>
        <v>0.0875096501918446</v>
      </c>
      <c r="E832" s="20" t="n">
        <f aca="false">$D$830*E831</f>
        <v>0.0875096501918446</v>
      </c>
      <c r="F832" s="20" t="n">
        <f aca="false">$D$830*F831</f>
        <v>0.0831341676822524</v>
      </c>
      <c r="G832" s="20" t="n">
        <f aca="false">$D$830*G831</f>
        <v>0.0787586851726601</v>
      </c>
    </row>
    <row r="833" customFormat="false" ht="17.15" hidden="false" customHeight="false" outlineLevel="0" collapsed="false">
      <c r="A833" s="4" t="s">
        <v>564</v>
      </c>
      <c r="B833" s="0" t="s">
        <v>147</v>
      </c>
      <c r="D833" s="21" t="n">
        <f aca="false">D828*D832</f>
        <v>1777.12226107882</v>
      </c>
      <c r="E833" s="21" t="n">
        <f aca="false">E828*E832</f>
        <v>3189.77769301484</v>
      </c>
      <c r="F833" s="21" t="n">
        <f aca="false">F828*F832</f>
        <v>3841.24486877761</v>
      </c>
      <c r="G833" s="21" t="n">
        <f aca="false">G828*G832</f>
        <v>4145.48071486049</v>
      </c>
    </row>
    <row r="834" customFormat="false" ht="17.15" hidden="false" customHeight="false" outlineLevel="0" collapsed="false">
      <c r="A834" s="4" t="s">
        <v>565</v>
      </c>
      <c r="B834" s="0" t="s">
        <v>48</v>
      </c>
      <c r="D834" s="20" t="n">
        <f aca="false">0</f>
        <v>0</v>
      </c>
      <c r="E834" s="20" t="n">
        <f aca="false">cs_27</f>
        <v>0.1</v>
      </c>
      <c r="F834" s="20" t="n">
        <f aca="false">cs_28</f>
        <v>0.2</v>
      </c>
      <c r="G834" s="20" t="n">
        <f aca="false">cs_29</f>
        <v>0.25</v>
      </c>
      <c r="K834" s="8" t="s">
        <v>566</v>
      </c>
    </row>
    <row r="835" customFormat="false" ht="17.15" hidden="false" customHeight="false" outlineLevel="0" collapsed="false">
      <c r="A835" s="4" t="s">
        <v>567</v>
      </c>
      <c r="B835" s="0" t="s">
        <v>147</v>
      </c>
      <c r="D835" s="21" t="n">
        <f aca="false">D833*(1-D834)</f>
        <v>1777.12226107882</v>
      </c>
      <c r="E835" s="21" t="n">
        <f aca="false">E833*(1-E834)</f>
        <v>2870.79992371336</v>
      </c>
      <c r="F835" s="21" t="n">
        <f aca="false">F833*(1-F834)</f>
        <v>3072.99589502208</v>
      </c>
      <c r="G835" s="21" t="n">
        <f aca="false">G833*(1-G834)</f>
        <v>3109.11053614536</v>
      </c>
    </row>
    <row r="836" customFormat="false" ht="17.15" hidden="false" customHeight="false" outlineLevel="0" collapsed="false">
      <c r="A836" s="6" t="s">
        <v>568</v>
      </c>
    </row>
    <row r="837" customFormat="false" ht="17.15" hidden="false" customHeight="false" outlineLevel="0" collapsed="false">
      <c r="A837" s="0" t="s">
        <v>569</v>
      </c>
      <c r="B837" s="4" t="s">
        <v>81</v>
      </c>
      <c r="D837" s="18" t="n">
        <f aca="false">gu_26*1</f>
        <v>8.35</v>
      </c>
      <c r="E837" s="18" t="n">
        <f aca="false">gu_27*1*1</f>
        <v>11.2</v>
      </c>
      <c r="F837" s="18" t="n">
        <f aca="false">gu_28*um28_A*1</f>
        <v>11.5</v>
      </c>
      <c r="G837" s="18" t="n">
        <f aca="false">gu_29*um29_A*1</f>
        <v>12.9</v>
      </c>
    </row>
    <row r="838" customFormat="false" ht="15" hidden="false" customHeight="false" outlineLevel="0" collapsed="false">
      <c r="A838" s="4" t="s">
        <v>570</v>
      </c>
      <c r="B838" s="0" t="s">
        <v>48</v>
      </c>
      <c r="D838" s="20" t="n">
        <f aca="false">bsh_26</f>
        <v>0.5</v>
      </c>
      <c r="E838" s="20" t="n">
        <f aca="false">bsh_26*brel_27</f>
        <v>0.5</v>
      </c>
      <c r="F838" s="20" t="n">
        <f aca="false">bsh_26*brel_28</f>
        <v>0.475</v>
      </c>
      <c r="G838" s="20" t="n">
        <f aca="false">bsh_26*brel_29</f>
        <v>0.45</v>
      </c>
    </row>
    <row r="839" customFormat="false" ht="17.15" hidden="false" customHeight="false" outlineLevel="0" collapsed="false">
      <c r="A839" s="4" t="s">
        <v>571</v>
      </c>
      <c r="B839" s="0" t="s">
        <v>520</v>
      </c>
      <c r="D839" s="24" t="n">
        <f aca="false">a26_brd/fx/D837/D838*1000</f>
        <v>823.353293413174</v>
      </c>
      <c r="E839" s="24" t="n">
        <f aca="false">$D839*bv_27</f>
        <v>946.85628742515</v>
      </c>
      <c r="F839" s="24" t="n">
        <f aca="false">$D839*bv_28</f>
        <v>988.023952095808</v>
      </c>
      <c r="G839" s="24" t="n">
        <f aca="false">$D839*bv_29</f>
        <v>988.023952095808</v>
      </c>
      <c r="K839" s="8" t="s">
        <v>572</v>
      </c>
    </row>
    <row r="840" customFormat="false" ht="17.15" hidden="false" customHeight="false" outlineLevel="0" collapsed="false">
      <c r="A840" s="0" t="s">
        <v>522</v>
      </c>
      <c r="B840" s="0" t="s">
        <v>147</v>
      </c>
      <c r="D840" s="21" t="n">
        <f aca="false">D837*D838*D839*fx/1000</f>
        <v>110</v>
      </c>
      <c r="E840" s="21" t="n">
        <f aca="false">E837*E838*E839*fx/1000</f>
        <v>169.676646706587</v>
      </c>
      <c r="F840" s="21" t="n">
        <f aca="false">F837*F838*F839*fx/1000</f>
        <v>172.706586826347</v>
      </c>
      <c r="G840" s="21" t="n">
        <f aca="false">G837*G838*G839*fx/1000</f>
        <v>183.535329341317</v>
      </c>
    </row>
    <row r="841" customFormat="false" ht="17.15" hidden="false" customHeight="false" outlineLevel="0" collapsed="false">
      <c r="A841" s="6" t="s">
        <v>573</v>
      </c>
    </row>
    <row r="842" customFormat="false" ht="15" hidden="false" customHeight="false" outlineLevel="0" collapsed="false">
      <c r="A842" s="4" t="s">
        <v>574</v>
      </c>
      <c r="B842" s="0" t="s">
        <v>147</v>
      </c>
      <c r="D842" s="21" t="n">
        <f aca="false">a26_gen</f>
        <v>150</v>
      </c>
      <c r="E842" s="21" t="n">
        <f aca="false">D842*(1+g_gen27)</f>
        <v>180</v>
      </c>
      <c r="F842" s="21" t="n">
        <f aca="false">E842*(1+g_gen28)</f>
        <v>198</v>
      </c>
      <c r="G842" s="21" t="n">
        <f aca="false">F842*(1+g_gen29)</f>
        <v>213.84</v>
      </c>
    </row>
    <row r="843" customFormat="false" ht="15" hidden="false" customHeight="false" outlineLevel="0" collapsed="false">
      <c r="A843" s="4" t="s">
        <v>575</v>
      </c>
      <c r="B843" s="0" t="s">
        <v>147</v>
      </c>
      <c r="D843" s="21" t="n">
        <f aca="false">a26_pc</f>
        <v>614.602793131557</v>
      </c>
      <c r="E843" s="21" t="n">
        <f aca="false">D843*(1+g_pc27)</f>
        <v>596.16470933761</v>
      </c>
      <c r="F843" s="21" t="n">
        <f aca="false">E843*(1+g_pc28)</f>
        <v>596.16470933761</v>
      </c>
      <c r="G843" s="21" t="n">
        <f aca="false">F843*(1+g_pc29)</f>
        <v>596.16470933761</v>
      </c>
    </row>
    <row r="844" customFormat="false" ht="15" hidden="false" customHeight="false" outlineLevel="0" collapsed="false">
      <c r="A844" s="4" t="s">
        <v>576</v>
      </c>
      <c r="B844" s="0" t="s">
        <v>147</v>
      </c>
      <c r="C844" s="21" t="n">
        <f aca="false">a25_srev</f>
        <v>1235.86</v>
      </c>
      <c r="D844" s="21" t="n">
        <f aca="false">D835+D840+D842+D843</f>
        <v>2651.72505421038</v>
      </c>
      <c r="E844" s="21" t="n">
        <f aca="false">E835+E840+E842+E843</f>
        <v>3816.64127975755</v>
      </c>
      <c r="F844" s="21" t="n">
        <f aca="false">F835+F840+F842+F843</f>
        <v>4039.86719118604</v>
      </c>
      <c r="G844" s="21" t="n">
        <f aca="false">G835+G840+G842+G843</f>
        <v>4102.65057482429</v>
      </c>
    </row>
    <row r="845" customFormat="false" ht="17.15" hidden="false" customHeight="false" outlineLevel="0" collapsed="false">
      <c r="A845" s="4" t="s">
        <v>577</v>
      </c>
      <c r="B845" s="0" t="s">
        <v>48</v>
      </c>
      <c r="D845" s="20" t="n">
        <f aca="false">a26_wai/D828</f>
        <v>0.0391523244650416</v>
      </c>
      <c r="K845" s="8" t="s">
        <v>578</v>
      </c>
    </row>
    <row r="846" customFormat="false" ht="17.15" hidden="false" customHeight="false" outlineLevel="0" collapsed="false">
      <c r="A846" s="4" t="s">
        <v>504</v>
      </c>
      <c r="B846" s="0" t="s">
        <v>48</v>
      </c>
      <c r="D846" s="20" t="n">
        <f aca="false">D845</f>
        <v>0.0391523244650416</v>
      </c>
      <c r="E846" s="20" t="n">
        <f aca="false">$D$845*wrel_27</f>
        <v>0.0391523244650416</v>
      </c>
      <c r="F846" s="20" t="n">
        <f aca="false">$D$845*wrel_28</f>
        <v>0.0391523244650416</v>
      </c>
      <c r="G846" s="20" t="n">
        <f aca="false">$D$845*wrel_29</f>
        <v>0.0371947082417896</v>
      </c>
    </row>
    <row r="847" customFormat="false" ht="17.15" hidden="false" customHeight="false" outlineLevel="0" collapsed="false">
      <c r="A847" s="4" t="s">
        <v>524</v>
      </c>
      <c r="B847" s="0" t="s">
        <v>147</v>
      </c>
      <c r="D847" s="21" t="n">
        <f aca="false">D828*D846</f>
        <v>795.094795</v>
      </c>
      <c r="E847" s="21" t="n">
        <f aca="false">E828*E846</f>
        <v>1427.12501917769</v>
      </c>
      <c r="F847" s="21" t="n">
        <f aca="false">F828*F846</f>
        <v>1809.04758711097</v>
      </c>
      <c r="G847" s="21" t="n">
        <f aca="false">G828*G846</f>
        <v>1957.75164825537</v>
      </c>
    </row>
    <row r="848" customFormat="false" ht="17.15" hidden="false" customHeight="false" outlineLevel="0" collapsed="false">
      <c r="A848" s="4" t="s">
        <v>579</v>
      </c>
      <c r="B848" s="0" t="s">
        <v>147</v>
      </c>
      <c r="D848" s="21" t="n">
        <f aca="false">a26_wna</f>
        <v>650.532105</v>
      </c>
      <c r="E848" s="21" t="n">
        <f aca="false">D848*(1+g_wn27)</f>
        <v>715.5853155</v>
      </c>
      <c r="F848" s="21" t="n">
        <f aca="false">E848*(1+g_wn28)</f>
        <v>758.52043443</v>
      </c>
      <c r="G848" s="21" t="n">
        <f aca="false">F848*(1+g_wn29)</f>
        <v>796.4464561515</v>
      </c>
    </row>
    <row r="849" customFormat="false" ht="15" hidden="false" customHeight="false" outlineLevel="0" collapsed="false">
      <c r="A849" s="4" t="s">
        <v>434</v>
      </c>
      <c r="B849" s="0" t="s">
        <v>147</v>
      </c>
      <c r="C849" s="21" t="n">
        <f aca="false">a25_wrev</f>
        <v>950.663</v>
      </c>
      <c r="D849" s="21" t="n">
        <f aca="false">D847+D848</f>
        <v>1445.6269</v>
      </c>
      <c r="E849" s="21" t="n">
        <f aca="false">E847+E848</f>
        <v>2142.71033467769</v>
      </c>
      <c r="F849" s="21" t="n">
        <f aca="false">F847+F848</f>
        <v>2567.56802154097</v>
      </c>
      <c r="G849" s="21" t="n">
        <f aca="false">G847+G848</f>
        <v>2754.19810440687</v>
      </c>
    </row>
    <row r="850" customFormat="false" ht="17.15" hidden="false" customHeight="false" outlineLevel="0" collapsed="false">
      <c r="A850" s="4" t="s">
        <v>420</v>
      </c>
      <c r="B850" s="0" t="s">
        <v>147</v>
      </c>
      <c r="C850" s="21" t="n">
        <f aca="false">C844+C849</f>
        <v>2186.523</v>
      </c>
      <c r="D850" s="21" t="n">
        <f aca="false">D844+D849</f>
        <v>4097.35195421038</v>
      </c>
      <c r="E850" s="21" t="n">
        <f aca="false">E844+E849</f>
        <v>5959.35161443524</v>
      </c>
      <c r="F850" s="21" t="n">
        <f aca="false">F844+F849</f>
        <v>6607.43521272701</v>
      </c>
      <c r="G850" s="21" t="n">
        <f aca="false">G844+G849</f>
        <v>6856.84867923116</v>
      </c>
      <c r="H850" s="26" t="n">
        <f aca="false">G850*(1+H851)</f>
        <v>7166.53776956726</v>
      </c>
      <c r="I850" s="26" t="n">
        <f aca="false">H850*(1+I851)</f>
        <v>7543.37199085936</v>
      </c>
      <c r="J850" s="26" t="n">
        <f aca="false">I850*(1+J851)</f>
        <v>7995.97431031092</v>
      </c>
      <c r="K850" s="8" t="s">
        <v>580</v>
      </c>
    </row>
    <row r="851" customFormat="false" ht="15" hidden="false" customHeight="false" outlineLevel="0" collapsed="false">
      <c r="A851" s="4" t="s">
        <v>581</v>
      </c>
      <c r="B851" s="0" t="s">
        <v>48</v>
      </c>
      <c r="D851" s="20" t="n">
        <f aca="false">D850/C850-1</f>
        <v>0.873912121761526</v>
      </c>
      <c r="E851" s="20" t="n">
        <f aca="false">E850/D850-1</f>
        <v>0.454439765251677</v>
      </c>
      <c r="F851" s="20" t="n">
        <f aca="false">F850/E850-1</f>
        <v>0.108750689709586</v>
      </c>
      <c r="G851" s="20" t="n">
        <f aca="false">G850/F850-1</f>
        <v>0.0377473949383174</v>
      </c>
      <c r="H851" s="27" t="n">
        <f aca="false">$G851+(fade_gA-$G851)*1/3</f>
        <v>0.0451649299588782</v>
      </c>
      <c r="I851" s="27" t="n">
        <f aca="false">$G851+(fade_gA-$G851)*2/3</f>
        <v>0.0525824649794391</v>
      </c>
      <c r="J851" s="27" t="n">
        <f aca="false">$G851+(fade_gA-$G851)*3/3</f>
        <v>0.06</v>
      </c>
    </row>
    <row r="852" customFormat="false" ht="17.15" hidden="false" customHeight="false" outlineLevel="0" collapsed="false">
      <c r="A852" s="0" t="s">
        <v>582</v>
      </c>
      <c r="B852" s="0" t="s">
        <v>48</v>
      </c>
      <c r="D852" s="20" t="n">
        <f aca="false">(D835+D840+D847)/D850</f>
        <v>0.6546220793463</v>
      </c>
      <c r="E852" s="20" t="n">
        <f aca="false">(E835+E840+E847)/E850</f>
        <v>0.749679139384196</v>
      </c>
      <c r="F852" s="20" t="n">
        <f aca="false">(F835+F840+F847)/F850</f>
        <v>0.76500940322852</v>
      </c>
      <c r="G852" s="20" t="n">
        <f aca="false">(G835+G840+G847)/G850</f>
        <v>0.765715820686707</v>
      </c>
    </row>
    <row r="853" customFormat="false" ht="17.15" hidden="false" customHeight="false" outlineLevel="0" collapsed="false">
      <c r="A853" s="4" t="s">
        <v>583</v>
      </c>
      <c r="B853" s="0" t="s">
        <v>48</v>
      </c>
      <c r="C853" s="20" t="n">
        <f aca="false">C849/C850</f>
        <v>0.434782986504144</v>
      </c>
      <c r="D853" s="20" t="n">
        <f aca="false">D849/D850</f>
        <v>0.352819800728736</v>
      </c>
      <c r="E853" s="20" t="n">
        <f aca="false">E849/E850</f>
        <v>0.359554272563384</v>
      </c>
      <c r="F853" s="20" t="n">
        <f aca="false">F849/F850</f>
        <v>0.388587695358012</v>
      </c>
      <c r="G853" s="20" t="n">
        <f aca="false">G849/G850</f>
        <v>0.40167112229691</v>
      </c>
    </row>
    <row r="854" customFormat="false" ht="17.15" hidden="false" customHeight="false" outlineLevel="0" collapsed="false">
      <c r="A854" s="4" t="s">
        <v>584</v>
      </c>
      <c r="B854" s="4" t="s">
        <v>331</v>
      </c>
      <c r="D854" s="21" t="n">
        <f aca="false">D833/fx/(odm_gb*(1-vr26)+odm_vr*vr26)</f>
        <v>12.0597330420658</v>
      </c>
      <c r="E854" s="21" t="n">
        <f aca="false">E833/fx/odm_vr</f>
        <v>14.7674893195131</v>
      </c>
      <c r="F854" s="21" t="n">
        <f aca="false">F833/fx/odm_vr</f>
        <v>17.7835410591556</v>
      </c>
      <c r="G854" s="21" t="n">
        <f aca="false">G833/fx/odm_vr</f>
        <v>19.1920403465763</v>
      </c>
      <c r="K854" s="4" t="s">
        <v>585</v>
      </c>
    </row>
    <row r="855" customFormat="false" ht="17.15" hidden="false" customHeight="false" outlineLevel="0" collapsed="false">
      <c r="A855" s="6" t="s">
        <v>586</v>
      </c>
    </row>
    <row r="856" customFormat="false" ht="17.15" hidden="false" customHeight="false" outlineLevel="0" collapsed="false">
      <c r="A856" s="4" t="s">
        <v>587</v>
      </c>
      <c r="B856" s="0" t="s">
        <v>48</v>
      </c>
      <c r="D856" s="17" t="n">
        <f aca="false">(a26_sgp-d_ai_lo*D835-d_brd*D840-d_gen*D842)/D844</f>
        <v>0.0503441451517603</v>
      </c>
      <c r="K856" s="8" t="s">
        <v>588</v>
      </c>
    </row>
    <row r="857" customFormat="false" ht="17.15" hidden="false" customHeight="false" outlineLevel="0" collapsed="false">
      <c r="A857" s="4" t="s">
        <v>589</v>
      </c>
      <c r="B857" s="0" t="s">
        <v>147</v>
      </c>
      <c r="D857" s="25" t="n">
        <f aca="false">($D$856+d_ai_lo)*D833*(1-D834*(1-keep))</f>
        <v>53.9252558426002</v>
      </c>
      <c r="E857" s="25" t="n">
        <f aca="false">($D$856+d_ai_lo+vrd)*E833*(1-E834*(1-keep))</f>
        <v>89.5074067133331</v>
      </c>
      <c r="F857" s="25" t="n">
        <f aca="false">($D$856+d_ai_lo+vrd)*F833*(1-F834*(1-keep))</f>
        <v>106.699266081605</v>
      </c>
      <c r="G857" s="25" t="n">
        <f aca="false">($D$856+d_ai_lo+vrd)*G833*(1-G834*(1-keep))</f>
        <v>114.562604428183</v>
      </c>
    </row>
    <row r="858" customFormat="false" ht="15" hidden="false" customHeight="false" outlineLevel="0" collapsed="false">
      <c r="A858" s="4" t="s">
        <v>590</v>
      </c>
      <c r="B858" s="0" t="s">
        <v>147</v>
      </c>
      <c r="C858" s="21" t="n">
        <f aca="false">a25_sgp</f>
        <v>55.529</v>
      </c>
      <c r="D858" s="21" t="n">
        <f aca="false">a26_sgp</f>
        <v>103.50638581015</v>
      </c>
      <c r="E858" s="21" t="n">
        <f aca="false">$D$856*E843+($D$856+d_brd)*E840+($D$856+d_gen)*E842+E857</f>
        <v>144.915280633758</v>
      </c>
      <c r="F858" s="21" t="n">
        <f aca="false">$D$856*F843+($D$856+d_brd)*F840+($D$856+d_gen)*F842+F857</f>
        <v>163.526772563544</v>
      </c>
      <c r="G858" s="21" t="n">
        <f aca="false">$D$856*G843+($D$856+d_brd)*G840+($D$856+d_gen)*G842+G857</f>
        <v>173.29518822976</v>
      </c>
    </row>
    <row r="859" customFormat="false" ht="15" hidden="false" customHeight="false" outlineLevel="0" collapsed="false">
      <c r="A859" s="4" t="s">
        <v>591</v>
      </c>
      <c r="B859" s="0" t="s">
        <v>48</v>
      </c>
      <c r="C859" s="17" t="n">
        <f aca="false">C858/C844</f>
        <v>0.0449314647290146</v>
      </c>
      <c r="D859" s="17" t="n">
        <f aca="false">D858/D844</f>
        <v>0.0390336040479778</v>
      </c>
      <c r="E859" s="17" t="n">
        <f aca="false">E858/E844</f>
        <v>0.0379693217181163</v>
      </c>
      <c r="F859" s="17" t="n">
        <f aca="false">F858/F844</f>
        <v>0.040478254562506</v>
      </c>
      <c r="G859" s="17" t="n">
        <f aca="false">G858/G844</f>
        <v>0.0422398118165795</v>
      </c>
    </row>
    <row r="860" customFormat="false" ht="15" hidden="false" customHeight="false" outlineLevel="0" collapsed="false">
      <c r="A860" s="4" t="s">
        <v>592</v>
      </c>
      <c r="B860" s="0" t="s">
        <v>48</v>
      </c>
      <c r="E860" s="20" t="n">
        <f aca="false">MAX(0,phi*(E844/D844-1))</f>
        <v>0.13179151703879</v>
      </c>
      <c r="F860" s="20" t="n">
        <f aca="false">MAX(0,phi*(F844/E844-1))</f>
        <v>0.0175462582202121</v>
      </c>
      <c r="G860" s="20" t="n">
        <f aca="false">MAX(0,phi*(G844/F844-1))</f>
        <v>0.00466228571388885</v>
      </c>
    </row>
    <row r="861" customFormat="false" ht="15" hidden="false" customHeight="false" outlineLevel="0" collapsed="false">
      <c r="A861" s="4" t="s">
        <v>593</v>
      </c>
      <c r="B861" s="0" t="s">
        <v>147</v>
      </c>
      <c r="C861" s="21" t="n">
        <f aca="false">a25_sopx</f>
        <v>40.894</v>
      </c>
      <c r="D861" s="21" t="n">
        <f aca="false">a26_sopx</f>
        <v>46.9914095398923</v>
      </c>
      <c r="E861" s="21" t="n">
        <f aca="false">D861*(1+E860)+0*E844</f>
        <v>53.1844786909457</v>
      </c>
      <c r="F861" s="21" t="n">
        <f aca="false">E861*(1+F860)+0*F844</f>
        <v>54.1176672873644</v>
      </c>
      <c r="G861" s="21" t="n">
        <f aca="false">F861*(1+G860)+0*G844</f>
        <v>54.3699793144273</v>
      </c>
    </row>
    <row r="862" customFormat="false" ht="15" hidden="false" customHeight="false" outlineLevel="0" collapsed="false">
      <c r="A862" s="4" t="s">
        <v>594</v>
      </c>
      <c r="B862" s="0" t="s">
        <v>147</v>
      </c>
      <c r="C862" s="21" t="n">
        <f aca="false">C858-C861</f>
        <v>14.635</v>
      </c>
      <c r="D862" s="21" t="n">
        <f aca="false">D858-D861</f>
        <v>56.514976270258</v>
      </c>
      <c r="E862" s="21" t="n">
        <f aca="false">E858-E861</f>
        <v>91.7308019428118</v>
      </c>
      <c r="F862" s="21" t="n">
        <f aca="false">F858-F861</f>
        <v>109.40910527618</v>
      </c>
      <c r="G862" s="21" t="n">
        <f aca="false">G858-G861</f>
        <v>118.925208915333</v>
      </c>
    </row>
    <row r="863" customFormat="false" ht="15" hidden="false" customHeight="false" outlineLevel="0" collapsed="false">
      <c r="A863" s="4" t="s">
        <v>595</v>
      </c>
      <c r="B863" s="0" t="s">
        <v>48</v>
      </c>
      <c r="C863" s="17" t="n">
        <f aca="false">C862/C844</f>
        <v>0.011841956208632</v>
      </c>
      <c r="D863" s="17" t="n">
        <f aca="false">D862/D844</f>
        <v>0.0213125324514788</v>
      </c>
      <c r="E863" s="17" t="n">
        <f aca="false">E862/E844</f>
        <v>0.0240344311186193</v>
      </c>
      <c r="F863" s="17" t="n">
        <f aca="false">F862/F844</f>
        <v>0.0270823519928781</v>
      </c>
      <c r="G863" s="17" t="n">
        <f aca="false">G862/G844</f>
        <v>0.0289874086877179</v>
      </c>
    </row>
    <row r="864" customFormat="false" ht="15" hidden="false" customHeight="false" outlineLevel="0" collapsed="false">
      <c r="A864" s="4" t="s">
        <v>596</v>
      </c>
      <c r="B864" s="0" t="s">
        <v>147</v>
      </c>
      <c r="C864" s="21" t="n">
        <f aca="false">a25_sni</f>
        <v>6.9608</v>
      </c>
      <c r="D864" s="21" t="n">
        <f aca="false">a26_sni</f>
        <v>31.133746704</v>
      </c>
      <c r="E864" s="21" t="n">
        <f aca="false">E862*snio</f>
        <v>51.3692490879746</v>
      </c>
      <c r="F864" s="21" t="n">
        <f aca="false">F862*snio</f>
        <v>61.2690989546608</v>
      </c>
      <c r="G864" s="21" t="n">
        <f aca="false">G862*snio</f>
        <v>66.5981169925862</v>
      </c>
    </row>
    <row r="865" customFormat="false" ht="17.15" hidden="false" customHeight="false" outlineLevel="0" collapsed="false">
      <c r="A865" s="6" t="s">
        <v>597</v>
      </c>
    </row>
    <row r="866" customFormat="false" ht="15" hidden="false" customHeight="false" outlineLevel="0" collapsed="false">
      <c r="A866" s="4" t="s">
        <v>438</v>
      </c>
      <c r="B866" s="0" t="s">
        <v>147</v>
      </c>
      <c r="C866" s="21" t="n">
        <f aca="false">a25_wgp</f>
        <v>78.454</v>
      </c>
      <c r="D866" s="21" t="n">
        <f aca="false">a26_wgp</f>
        <v>125.0519932</v>
      </c>
      <c r="E866" s="21" t="n">
        <f aca="false">E849*wgm</f>
        <v>182.130378447603</v>
      </c>
      <c r="F866" s="21" t="n">
        <f aca="false">F849*wgm</f>
        <v>218.243281830982</v>
      </c>
      <c r="G866" s="21" t="n">
        <f aca="false">G849*wgm</f>
        <v>234.106838874584</v>
      </c>
    </row>
    <row r="867" customFormat="false" ht="15" hidden="false" customHeight="false" outlineLevel="0" collapsed="false">
      <c r="A867" s="4" t="s">
        <v>440</v>
      </c>
      <c r="B867" s="0" t="s">
        <v>147</v>
      </c>
      <c r="C867" s="21" t="n">
        <f aca="false">a25_woi</f>
        <v>63.918</v>
      </c>
      <c r="D867" s="21" t="n">
        <f aca="false">a26_woi</f>
        <v>98.2471632</v>
      </c>
      <c r="E867" s="21" t="n">
        <f aca="false">E849*wopm</f>
        <v>139.27617175405</v>
      </c>
      <c r="F867" s="21" t="n">
        <f aca="false">F849*wopm</f>
        <v>166.891921400163</v>
      </c>
      <c r="G867" s="21" t="n">
        <f aca="false">G849*wopm</f>
        <v>179.022876786446</v>
      </c>
    </row>
    <row r="868" customFormat="false" ht="15" hidden="false" customHeight="false" outlineLevel="0" collapsed="false">
      <c r="A868" s="4" t="s">
        <v>448</v>
      </c>
      <c r="B868" s="0" t="s">
        <v>147</v>
      </c>
      <c r="C868" s="21" t="n">
        <f aca="false">a25_wni</f>
        <v>51.118</v>
      </c>
      <c r="D868" s="21" t="n">
        <f aca="false">a26_wni</f>
        <v>75.735026884</v>
      </c>
      <c r="E868" s="21" t="n">
        <f aca="false">E867*wnio</f>
        <v>108.635413968159</v>
      </c>
      <c r="F868" s="21" t="n">
        <f aca="false">F867*wnio</f>
        <v>130.175698692127</v>
      </c>
      <c r="G868" s="21" t="n">
        <f aca="false">G867*wnio</f>
        <v>139.637843893428</v>
      </c>
    </row>
    <row r="869" customFormat="false" ht="15" hidden="false" customHeight="false" outlineLevel="0" collapsed="false">
      <c r="A869" s="4" t="s">
        <v>450</v>
      </c>
      <c r="B869" s="0" t="s">
        <v>48</v>
      </c>
      <c r="C869" s="17" t="n">
        <f aca="false">stake25</f>
        <v>0.4</v>
      </c>
      <c r="D869" s="17" t="n">
        <f aca="false">stake</f>
        <v>0.3768</v>
      </c>
      <c r="E869" s="17" t="n">
        <f aca="false">stake</f>
        <v>0.3768</v>
      </c>
      <c r="F869" s="17" t="n">
        <f aca="false">stake</f>
        <v>0.3768</v>
      </c>
      <c r="G869" s="17" t="n">
        <f aca="false">stake</f>
        <v>0.3768</v>
      </c>
    </row>
    <row r="870" customFormat="false" ht="17.15" hidden="false" customHeight="false" outlineLevel="0" collapsed="false">
      <c r="A870" s="6" t="s">
        <v>598</v>
      </c>
    </row>
    <row r="871" customFormat="false" ht="15" hidden="false" customHeight="false" outlineLevel="0" collapsed="false">
      <c r="A871" s="4" t="s">
        <v>424</v>
      </c>
      <c r="B871" s="0" t="s">
        <v>147</v>
      </c>
      <c r="C871" s="21" t="n">
        <f aca="false">C858+C866</f>
        <v>133.983</v>
      </c>
      <c r="D871" s="21" t="n">
        <f aca="false">D858+D866</f>
        <v>228.55837901015</v>
      </c>
      <c r="E871" s="21" t="n">
        <f aca="false">E858+E866</f>
        <v>327.045659081361</v>
      </c>
      <c r="F871" s="21" t="n">
        <f aca="false">F858+F866</f>
        <v>381.770054394527</v>
      </c>
      <c r="G871" s="21" t="n">
        <f aca="false">G858+G866</f>
        <v>407.402027104344</v>
      </c>
    </row>
    <row r="872" customFormat="false" ht="15" hidden="false" customHeight="false" outlineLevel="0" collapsed="false">
      <c r="A872" s="4" t="s">
        <v>427</v>
      </c>
      <c r="B872" s="0" t="s">
        <v>48</v>
      </c>
      <c r="C872" s="17" t="n">
        <f aca="false">C871/C850</f>
        <v>0.0612767393711386</v>
      </c>
      <c r="D872" s="17" t="n">
        <f aca="false">D871/D850</f>
        <v>0.055781973714825</v>
      </c>
      <c r="E872" s="17" t="n">
        <f aca="false">E871/E850</f>
        <v>0.0548794030359215</v>
      </c>
      <c r="F872" s="17" t="n">
        <f aca="false">F871/F850</f>
        <v>0.0577788570153779</v>
      </c>
      <c r="G872" s="17" t="n">
        <f aca="false">G871/G850</f>
        <v>0.0594153445938411</v>
      </c>
    </row>
    <row r="873" customFormat="false" ht="15" hidden="false" customHeight="false" outlineLevel="0" collapsed="false">
      <c r="A873" s="4" t="s">
        <v>428</v>
      </c>
      <c r="B873" s="0" t="s">
        <v>147</v>
      </c>
      <c r="C873" s="21" t="n">
        <f aca="false">C862+C867</f>
        <v>78.553</v>
      </c>
      <c r="D873" s="21" t="n">
        <f aca="false">D862+D867</f>
        <v>154.762139470258</v>
      </c>
      <c r="E873" s="21" t="n">
        <f aca="false">E862+E867</f>
        <v>231.006973696862</v>
      </c>
      <c r="F873" s="21" t="n">
        <f aca="false">F862+F867</f>
        <v>276.301026676343</v>
      </c>
      <c r="G873" s="21" t="n">
        <f aca="false">G862+G867</f>
        <v>297.948085701779</v>
      </c>
    </row>
    <row r="874" customFormat="false" ht="15" hidden="false" customHeight="false" outlineLevel="0" collapsed="false">
      <c r="A874" s="4" t="s">
        <v>431</v>
      </c>
      <c r="B874" s="0" t="s">
        <v>48</v>
      </c>
      <c r="C874" s="17" t="n">
        <f aca="false">C873/C850</f>
        <v>0.0359259884300325</v>
      </c>
      <c r="D874" s="17" t="n">
        <f aca="false">D873/D850</f>
        <v>0.0377712584126992</v>
      </c>
      <c r="E874" s="17" t="n">
        <f aca="false">E873/E850</f>
        <v>0.0387637764379093</v>
      </c>
      <c r="F874" s="17" t="n">
        <f aca="false">F873/F850</f>
        <v>0.0418166834453619</v>
      </c>
      <c r="G874" s="17" t="n">
        <f aca="false">G873/G850</f>
        <v>0.0434526266569422</v>
      </c>
    </row>
    <row r="875" customFormat="false" ht="15" hidden="false" customHeight="false" outlineLevel="0" collapsed="false">
      <c r="A875" s="4" t="s">
        <v>461</v>
      </c>
      <c r="B875" s="0" t="s">
        <v>147</v>
      </c>
      <c r="C875" s="21" t="n">
        <f aca="false">C864+C868</f>
        <v>58.0788</v>
      </c>
      <c r="D875" s="21" t="n">
        <f aca="false">D864+D868</f>
        <v>106.868773588</v>
      </c>
      <c r="E875" s="21" t="n">
        <f aca="false">E864+E868</f>
        <v>160.004663056133</v>
      </c>
      <c r="F875" s="21" t="n">
        <f aca="false">F864+F868</f>
        <v>191.444797646788</v>
      </c>
      <c r="G875" s="21" t="n">
        <f aca="false">G864+G868</f>
        <v>206.235960886014</v>
      </c>
    </row>
    <row r="876" customFormat="false" ht="17.15" hidden="false" customHeight="false" outlineLevel="0" collapsed="false">
      <c r="A876" s="4" t="s">
        <v>599</v>
      </c>
      <c r="B876" s="0" t="s">
        <v>147</v>
      </c>
      <c r="C876" s="21" t="n">
        <f aca="false">(1-C869)*C868</f>
        <v>30.6708</v>
      </c>
      <c r="D876" s="21" t="n">
        <f aca="false">(1-D869)*D868</f>
        <v>47.1980687541088</v>
      </c>
      <c r="E876" s="21" t="n">
        <f aca="false">(1-E869)*E868</f>
        <v>67.7015899849565</v>
      </c>
      <c r="F876" s="21" t="n">
        <f aca="false">(1-F869)*F868</f>
        <v>81.1254954249335</v>
      </c>
      <c r="G876" s="21" t="n">
        <f aca="false">(1-G869)*G868</f>
        <v>87.0223043143844</v>
      </c>
    </row>
    <row r="877" customFormat="false" ht="15" hidden="false" customHeight="false" outlineLevel="0" collapsed="false">
      <c r="A877" s="4" t="s">
        <v>457</v>
      </c>
      <c r="B877" s="0" t="s">
        <v>147</v>
      </c>
      <c r="C877" s="21" t="n">
        <f aca="false">C875-C876</f>
        <v>27.408</v>
      </c>
      <c r="D877" s="21" t="n">
        <f aca="false">D875-D876</f>
        <v>59.6707048338912</v>
      </c>
      <c r="E877" s="21" t="n">
        <f aca="false">E875-E876</f>
        <v>92.3030730711768</v>
      </c>
      <c r="F877" s="21" t="n">
        <f aca="false">F875-F876</f>
        <v>110.319302221854</v>
      </c>
      <c r="G877" s="21" t="n">
        <f aca="false">G875-G876</f>
        <v>119.21365657163</v>
      </c>
      <c r="H877" s="26" t="n">
        <f aca="false">H850*H882</f>
        <v>125.899722342894</v>
      </c>
      <c r="I877" s="26" t="n">
        <f aca="false">I850*I882</f>
        <v>133.890080697412</v>
      </c>
      <c r="J877" s="26" t="n">
        <f aca="false">J850*J882</f>
        <v>143.375940589569</v>
      </c>
    </row>
    <row r="878" customFormat="false" ht="17.15" hidden="false" customHeight="false" outlineLevel="0" collapsed="false">
      <c r="A878" s="4" t="s">
        <v>600</v>
      </c>
      <c r="B878" s="0" t="s">
        <v>48</v>
      </c>
      <c r="C878" s="20" t="n">
        <f aca="false">C869*C868/C877</f>
        <v>0.746030356100409</v>
      </c>
      <c r="D878" s="20" t="n">
        <f aca="false">D869*D868/D877</f>
        <v>0.478240674537551</v>
      </c>
      <c r="E878" s="20" t="n">
        <f aca="false">E869*E868/E877</f>
        <v>0.443471951921225</v>
      </c>
      <c r="F878" s="20" t="n">
        <f aca="false">F869*F868/F877</f>
        <v>0.444620318288023</v>
      </c>
      <c r="G878" s="20" t="n">
        <f aca="false">G869*G868/G877</f>
        <v>0.441354967980782</v>
      </c>
    </row>
    <row r="879" customFormat="false" ht="17.15" hidden="false" customHeight="false" outlineLevel="0" collapsed="false">
      <c r="A879" s="4" t="s">
        <v>601</v>
      </c>
      <c r="B879" s="4" t="s">
        <v>282</v>
      </c>
      <c r="C879" s="31" t="n">
        <f aca="false">a25_sh</f>
        <v>3.03185840707965</v>
      </c>
      <c r="D879" s="31" t="n">
        <f aca="false">a26_sh</f>
        <v>3.23861720409076</v>
      </c>
      <c r="E879" s="31" t="n">
        <f aca="false">q_sh4*(1+sh_g)</f>
        <v>3.43</v>
      </c>
      <c r="F879" s="31" t="n">
        <f aca="false">E879*(1+sh_g)</f>
        <v>3.43</v>
      </c>
      <c r="G879" s="31" t="n">
        <f aca="false">F879*(1+sh_g)</f>
        <v>3.43</v>
      </c>
      <c r="H879" s="32" t="n">
        <f aca="false">G879*(1+sh_g)</f>
        <v>3.43</v>
      </c>
      <c r="I879" s="32" t="n">
        <f aca="false">H879*(1+sh_g)</f>
        <v>3.43</v>
      </c>
      <c r="J879" s="32" t="n">
        <f aca="false">I879*(1+sh_g)</f>
        <v>3.43</v>
      </c>
      <c r="K879" s="8" t="s">
        <v>602</v>
      </c>
    </row>
    <row r="880" customFormat="false" ht="15" hidden="false" customHeight="false" outlineLevel="0" collapsed="false">
      <c r="A880" s="0" t="s">
        <v>464</v>
      </c>
      <c r="B880" s="0" t="s">
        <v>312</v>
      </c>
      <c r="C880" s="18" t="n">
        <f aca="false">C877/C879</f>
        <v>9.04</v>
      </c>
      <c r="D880" s="18" t="n">
        <f aca="false">D877/D879</f>
        <v>18.4247476850676</v>
      </c>
      <c r="E880" s="18" t="n">
        <f aca="false">E877/E879</f>
        <v>26.9105169303723</v>
      </c>
      <c r="F880" s="18" t="n">
        <f aca="false">F877/F879</f>
        <v>32.1630618722607</v>
      </c>
      <c r="G880" s="18" t="n">
        <f aca="false">G877/G879</f>
        <v>34.7561680966851</v>
      </c>
      <c r="H880" s="29" t="n">
        <f aca="false">H877/H879</f>
        <v>36.7054584090069</v>
      </c>
      <c r="I880" s="29" t="n">
        <f aca="false">I877/I879</f>
        <v>39.0350089496829</v>
      </c>
      <c r="J880" s="29" t="n">
        <f aca="false">J877/J879</f>
        <v>41.8005657695538</v>
      </c>
    </row>
    <row r="881" customFormat="false" ht="17.15" hidden="false" customHeight="false" outlineLevel="0" collapsed="false">
      <c r="A881" s="0" t="s">
        <v>603</v>
      </c>
      <c r="B881" s="0" t="s">
        <v>48</v>
      </c>
      <c r="D881" s="20" t="n">
        <f aca="false">D880/C880-1</f>
        <v>1.03813580587031</v>
      </c>
      <c r="E881" s="20" t="n">
        <f aca="false">E880/D880-1</f>
        <v>0.460563660916888</v>
      </c>
      <c r="F881" s="20" t="n">
        <f aca="false">F880/E880-1</f>
        <v>0.19518558322305</v>
      </c>
      <c r="G881" s="20" t="n">
        <f aca="false">G880/F880-1</f>
        <v>0.0806237364689726</v>
      </c>
      <c r="H881" s="27" t="n">
        <f aca="false">H880/G880-1</f>
        <v>0.0560847302527487</v>
      </c>
      <c r="I881" s="27" t="n">
        <f aca="false">I880/H880-1</f>
        <v>0.0634660522344639</v>
      </c>
      <c r="J881" s="27" t="n">
        <f aca="false">J880/I880-1</f>
        <v>0.0708481154298124</v>
      </c>
    </row>
    <row r="882" customFormat="false" ht="17.15" hidden="false" customHeight="false" outlineLevel="0" collapsed="false">
      <c r="A882" s="4" t="s">
        <v>604</v>
      </c>
      <c r="B882" s="0" t="s">
        <v>48</v>
      </c>
      <c r="C882" s="17" t="n">
        <f aca="false">C877/C850</f>
        <v>0.0125349699042727</v>
      </c>
      <c r="D882" s="17" t="n">
        <f aca="false">D877/D850</f>
        <v>0.0145632363293992</v>
      </c>
      <c r="E882" s="17" t="n">
        <f aca="false">E877/E850</f>
        <v>0.0154887778139475</v>
      </c>
      <c r="F882" s="17" t="n">
        <f aca="false">F877/F850</f>
        <v>0.0166962366894436</v>
      </c>
      <c r="G882" s="17" t="n">
        <f aca="false">G877/G850</f>
        <v>0.0173860707955709</v>
      </c>
      <c r="H882" s="28" t="n">
        <f aca="false">$G882+(fade_mA-$G882)*1/3</f>
        <v>0.0175677190843154</v>
      </c>
      <c r="I882" s="28" t="n">
        <f aca="false">$G882+(fade_mA-$G882)*2/3</f>
        <v>0.0177493673730598</v>
      </c>
      <c r="J882" s="28" t="n">
        <f aca="false">$G882+(fade_mA-$G882)*3/3</f>
        <v>0.0179310156618042</v>
      </c>
    </row>
    <row r="885" customFormat="false" ht="17.15" hidden="false" customHeight="false" outlineLevel="0" collapsed="false">
      <c r="A885" s="1" t="s">
        <v>886</v>
      </c>
    </row>
    <row r="886" customFormat="false" ht="17.15" hidden="false" customHeight="false" outlineLevel="0" collapsed="false">
      <c r="A886" s="5" t="s">
        <v>17</v>
      </c>
      <c r="B886" s="5" t="s">
        <v>18</v>
      </c>
      <c r="C886" s="14" t="s">
        <v>414</v>
      </c>
      <c r="D886" s="14" t="s">
        <v>529</v>
      </c>
      <c r="E886" s="14" t="s">
        <v>530</v>
      </c>
      <c r="F886" s="14" t="s">
        <v>531</v>
      </c>
      <c r="G886" s="14" t="s">
        <v>532</v>
      </c>
      <c r="H886" s="14" t="s">
        <v>533</v>
      </c>
      <c r="I886" s="14" t="s">
        <v>534</v>
      </c>
      <c r="J886" s="14" t="s">
        <v>535</v>
      </c>
      <c r="K886" s="5" t="s">
        <v>496</v>
      </c>
    </row>
    <row r="887" customFormat="false" ht="17.15" hidden="false" customHeight="false" outlineLevel="0" collapsed="false">
      <c r="A887" s="6" t="s">
        <v>550</v>
      </c>
    </row>
    <row r="888" customFormat="false" ht="17.15" hidden="false" customHeight="false" outlineLevel="0" collapsed="false">
      <c r="A888" s="0" t="s">
        <v>551</v>
      </c>
      <c r="B888" s="0" t="s">
        <v>28</v>
      </c>
      <c r="D888" s="21" t="n">
        <f aca="false">itc_26*1</f>
        <v>781.872916666667</v>
      </c>
      <c r="E888" s="21" t="n">
        <f aca="false">itc_27*1*1</f>
        <v>1565.35</v>
      </c>
      <c r="F888" s="21" t="n">
        <f aca="false">itc_28*um28_A*1</f>
        <v>1984.26388888889</v>
      </c>
      <c r="G888" s="21" t="n">
        <f aca="false">itc_29*um29_A*1</f>
        <v>2260.39027777778</v>
      </c>
    </row>
    <row r="889" customFormat="false" ht="17.15" hidden="false" customHeight="false" outlineLevel="0" collapsed="false">
      <c r="A889" s="4" t="s">
        <v>552</v>
      </c>
      <c r="B889" s="0" t="s">
        <v>28</v>
      </c>
      <c r="D889" s="21" t="n">
        <f aca="false">itpg_gb*(1-vr26)+itpg_vr*vr26</f>
        <v>33.41403216</v>
      </c>
      <c r="E889" s="21" t="n">
        <f aca="false">itpg_vr</f>
        <v>37.586352</v>
      </c>
      <c r="F889" s="21" t="n">
        <f aca="false">itpg_vr</f>
        <v>37.586352</v>
      </c>
      <c r="G889" s="21" t="n">
        <f aca="false">itpg_vr</f>
        <v>37.586352</v>
      </c>
    </row>
    <row r="890" customFormat="false" ht="17.15" hidden="false" customHeight="false" outlineLevel="0" collapsed="false">
      <c r="A890" s="4" t="s">
        <v>553</v>
      </c>
      <c r="B890" s="0" t="s">
        <v>498</v>
      </c>
      <c r="D890" s="22" t="n">
        <f aca="false">D888/D889</f>
        <v>23.3995380420639</v>
      </c>
      <c r="E890" s="22" t="n">
        <f aca="false">E888/E889</f>
        <v>41.6467658260637</v>
      </c>
      <c r="F890" s="22" t="n">
        <f aca="false">F888/F889</f>
        <v>52.792138191248</v>
      </c>
      <c r="G890" s="22" t="n">
        <f aca="false">G888/G889</f>
        <v>60.1385917361116</v>
      </c>
    </row>
    <row r="891" customFormat="false" ht="17.15" hidden="false" customHeight="false" outlineLevel="0" collapsed="false">
      <c r="A891" s="4" t="s">
        <v>554</v>
      </c>
      <c r="B891" s="0" t="s">
        <v>555</v>
      </c>
      <c r="D891" s="18" t="n">
        <f aca="false">(racks_gb*odm_gb*(1-vr26)+racks_vr*odm_vr*vr26)/1000</f>
        <v>27.1209</v>
      </c>
      <c r="E891" s="18" t="n">
        <f aca="false">racks_vr*odm_vr/1000</f>
        <v>27.351</v>
      </c>
      <c r="F891" s="18" t="n">
        <f aca="false">$E891*vpg_28</f>
        <v>27.351</v>
      </c>
      <c r="G891" s="18" t="n">
        <f aca="false">$E891*vpg_29</f>
        <v>27.351</v>
      </c>
      <c r="K891" s="4" t="s">
        <v>556</v>
      </c>
    </row>
    <row r="892" customFormat="false" ht="17.15" hidden="false" customHeight="false" outlineLevel="0" collapsed="false">
      <c r="A892" s="0" t="s">
        <v>557</v>
      </c>
      <c r="B892" s="0" t="s">
        <v>28</v>
      </c>
      <c r="D892" s="21" t="n">
        <f aca="false">D890*D891</f>
        <v>634.616531285011</v>
      </c>
      <c r="E892" s="21" t="n">
        <f aca="false">E890*E891</f>
        <v>1139.08069210867</v>
      </c>
      <c r="F892" s="21" t="n">
        <f aca="false">F890*F891</f>
        <v>1443.91777166882</v>
      </c>
      <c r="G892" s="21" t="n">
        <f aca="false">G890*G891</f>
        <v>1644.85062257439</v>
      </c>
    </row>
    <row r="893" customFormat="false" ht="17.15" hidden="false" customHeight="false" outlineLevel="0" collapsed="false">
      <c r="A893" s="0" t="s">
        <v>558</v>
      </c>
      <c r="B893" s="0" t="s">
        <v>147</v>
      </c>
      <c r="D893" s="21" t="n">
        <f aca="false">D892*fx</f>
        <v>20307.7290011204</v>
      </c>
      <c r="E893" s="21" t="n">
        <f aca="false">E892*fx</f>
        <v>36450.5821474774</v>
      </c>
      <c r="F893" s="21" t="n">
        <f aca="false">F892*fx</f>
        <v>46205.3686934024</v>
      </c>
      <c r="G893" s="21" t="n">
        <f aca="false">G892*fx</f>
        <v>52635.2199223804</v>
      </c>
    </row>
    <row r="894" customFormat="false" ht="17.15" hidden="false" customHeight="false" outlineLevel="0" collapsed="false">
      <c r="A894" s="6" t="s">
        <v>559</v>
      </c>
    </row>
    <row r="895" customFormat="false" ht="17.15" hidden="false" customHeight="false" outlineLevel="0" collapsed="false">
      <c r="A895" s="4" t="s">
        <v>560</v>
      </c>
      <c r="B895" s="0" t="s">
        <v>48</v>
      </c>
      <c r="D895" s="20" t="n">
        <f aca="false">a26_ais/D893</f>
        <v>0.0875096501918446</v>
      </c>
      <c r="K895" s="8" t="s">
        <v>561</v>
      </c>
    </row>
    <row r="896" customFormat="false" ht="17.15" hidden="false" customHeight="false" outlineLevel="0" collapsed="false">
      <c r="A896" s="4" t="s">
        <v>562</v>
      </c>
      <c r="B896" s="0" t="s">
        <v>60</v>
      </c>
      <c r="D896" s="18" t="n">
        <f aca="false">1</f>
        <v>1</v>
      </c>
      <c r="E896" s="18" t="n">
        <f aca="false">rel_27</f>
        <v>1</v>
      </c>
      <c r="F896" s="18" t="n">
        <f aca="false">rel_28</f>
        <v>0.95</v>
      </c>
      <c r="G896" s="18" t="n">
        <f aca="false">rel_29</f>
        <v>0.9</v>
      </c>
    </row>
    <row r="897" customFormat="false" ht="17.15" hidden="false" customHeight="false" outlineLevel="0" collapsed="false">
      <c r="A897" s="4" t="s">
        <v>563</v>
      </c>
      <c r="B897" s="0" t="s">
        <v>48</v>
      </c>
      <c r="D897" s="20" t="n">
        <f aca="false">$D$895*D896</f>
        <v>0.0875096501918446</v>
      </c>
      <c r="E897" s="20" t="n">
        <f aca="false">$D$895*E896</f>
        <v>0.0875096501918446</v>
      </c>
      <c r="F897" s="20" t="n">
        <f aca="false">$D$895*F896</f>
        <v>0.0831341676822524</v>
      </c>
      <c r="G897" s="20" t="n">
        <f aca="false">$D$895*G896</f>
        <v>0.0787586851726601</v>
      </c>
    </row>
    <row r="898" customFormat="false" ht="17.15" hidden="false" customHeight="false" outlineLevel="0" collapsed="false">
      <c r="A898" s="4" t="s">
        <v>564</v>
      </c>
      <c r="B898" s="0" t="s">
        <v>147</v>
      </c>
      <c r="D898" s="21" t="n">
        <f aca="false">D893*D897</f>
        <v>1777.12226107882</v>
      </c>
      <c r="E898" s="21" t="n">
        <f aca="false">E893*E897</f>
        <v>3189.77769301484</v>
      </c>
      <c r="F898" s="21" t="n">
        <f aca="false">F893*F897</f>
        <v>3841.24486877761</v>
      </c>
      <c r="G898" s="21" t="n">
        <f aca="false">G893*G897</f>
        <v>4145.48071486049</v>
      </c>
    </row>
    <row r="899" customFormat="false" ht="17.15" hidden="false" customHeight="false" outlineLevel="0" collapsed="false">
      <c r="A899" s="4" t="s">
        <v>565</v>
      </c>
      <c r="B899" s="0" t="s">
        <v>48</v>
      </c>
      <c r="D899" s="20" t="n">
        <f aca="false">0</f>
        <v>0</v>
      </c>
      <c r="E899" s="20" t="n">
        <f aca="false">cs_27</f>
        <v>0.1</v>
      </c>
      <c r="F899" s="20" t="n">
        <f aca="false">cs_28</f>
        <v>0.2</v>
      </c>
      <c r="G899" s="20" t="n">
        <f aca="false">cs_29</f>
        <v>0.25</v>
      </c>
      <c r="K899" s="8" t="s">
        <v>566</v>
      </c>
    </row>
    <row r="900" customFormat="false" ht="17.15" hidden="false" customHeight="false" outlineLevel="0" collapsed="false">
      <c r="A900" s="4" t="s">
        <v>567</v>
      </c>
      <c r="B900" s="0" t="s">
        <v>147</v>
      </c>
      <c r="D900" s="21" t="n">
        <f aca="false">D898*(1-D899)</f>
        <v>1777.12226107882</v>
      </c>
      <c r="E900" s="21" t="n">
        <f aca="false">E898*(1-E899)</f>
        <v>2870.79992371336</v>
      </c>
      <c r="F900" s="21" t="n">
        <f aca="false">F898*(1-F899)</f>
        <v>3072.99589502208</v>
      </c>
      <c r="G900" s="21" t="n">
        <f aca="false">G898*(1-G899)</f>
        <v>3109.11053614536</v>
      </c>
    </row>
    <row r="901" customFormat="false" ht="17.15" hidden="false" customHeight="false" outlineLevel="0" collapsed="false">
      <c r="A901" s="6" t="s">
        <v>568</v>
      </c>
    </row>
    <row r="902" customFormat="false" ht="17.15" hidden="false" customHeight="false" outlineLevel="0" collapsed="false">
      <c r="A902" s="0" t="s">
        <v>569</v>
      </c>
      <c r="B902" s="4" t="s">
        <v>81</v>
      </c>
      <c r="D902" s="18" t="n">
        <f aca="false">gu_26*1</f>
        <v>8.35</v>
      </c>
      <c r="E902" s="18" t="n">
        <f aca="false">gu_27*1*1</f>
        <v>11.2</v>
      </c>
      <c r="F902" s="18" t="n">
        <f aca="false">gu_28*um28_A*1</f>
        <v>11.5</v>
      </c>
      <c r="G902" s="18" t="n">
        <f aca="false">gu_29*um29_A*1</f>
        <v>12.9</v>
      </c>
    </row>
    <row r="903" customFormat="false" ht="15" hidden="false" customHeight="false" outlineLevel="0" collapsed="false">
      <c r="A903" s="4" t="s">
        <v>570</v>
      </c>
      <c r="B903" s="0" t="s">
        <v>48</v>
      </c>
      <c r="D903" s="20" t="n">
        <f aca="false">bsh_26</f>
        <v>0.5</v>
      </c>
      <c r="E903" s="20" t="n">
        <f aca="false">bsh_26*brel_27</f>
        <v>0.5</v>
      </c>
      <c r="F903" s="20" t="n">
        <f aca="false">bsh_26*brel_28</f>
        <v>0.475</v>
      </c>
      <c r="G903" s="20" t="n">
        <f aca="false">bsh_26*brel_29</f>
        <v>0.45</v>
      </c>
    </row>
    <row r="904" customFormat="false" ht="17.15" hidden="false" customHeight="false" outlineLevel="0" collapsed="false">
      <c r="A904" s="4" t="s">
        <v>571</v>
      </c>
      <c r="B904" s="0" t="s">
        <v>520</v>
      </c>
      <c r="D904" s="24" t="n">
        <f aca="false">a26_brd/fx/D902/D903*1000</f>
        <v>823.353293413174</v>
      </c>
      <c r="E904" s="24" t="n">
        <f aca="false">$D904*bv_27</f>
        <v>946.85628742515</v>
      </c>
      <c r="F904" s="24" t="n">
        <f aca="false">$D904*bv_28</f>
        <v>988.023952095808</v>
      </c>
      <c r="G904" s="24" t="n">
        <f aca="false">$D904*bv_29</f>
        <v>988.023952095808</v>
      </c>
      <c r="K904" s="8" t="s">
        <v>572</v>
      </c>
    </row>
    <row r="905" customFormat="false" ht="17.15" hidden="false" customHeight="false" outlineLevel="0" collapsed="false">
      <c r="A905" s="0" t="s">
        <v>522</v>
      </c>
      <c r="B905" s="0" t="s">
        <v>147</v>
      </c>
      <c r="D905" s="21" t="n">
        <f aca="false">D902*D903*D904*fx/1000</f>
        <v>110</v>
      </c>
      <c r="E905" s="21" t="n">
        <f aca="false">E902*E903*E904*fx/1000</f>
        <v>169.676646706587</v>
      </c>
      <c r="F905" s="21" t="n">
        <f aca="false">F902*F903*F904*fx/1000</f>
        <v>172.706586826347</v>
      </c>
      <c r="G905" s="21" t="n">
        <f aca="false">G902*G903*G904*fx/1000</f>
        <v>183.535329341317</v>
      </c>
    </row>
    <row r="906" customFormat="false" ht="17.15" hidden="false" customHeight="false" outlineLevel="0" collapsed="false">
      <c r="A906" s="6" t="s">
        <v>573</v>
      </c>
    </row>
    <row r="907" customFormat="false" ht="15" hidden="false" customHeight="false" outlineLevel="0" collapsed="false">
      <c r="A907" s="4" t="s">
        <v>574</v>
      </c>
      <c r="B907" s="0" t="s">
        <v>147</v>
      </c>
      <c r="D907" s="21" t="n">
        <f aca="false">a26_gen</f>
        <v>150</v>
      </c>
      <c r="E907" s="21" t="n">
        <f aca="false">D907*(1+g_gen27)</f>
        <v>180</v>
      </c>
      <c r="F907" s="21" t="n">
        <f aca="false">E907*(1+g_gen28)</f>
        <v>198</v>
      </c>
      <c r="G907" s="21" t="n">
        <f aca="false">F907*(1+g_gen29)</f>
        <v>213.84</v>
      </c>
    </row>
    <row r="908" customFormat="false" ht="15" hidden="false" customHeight="false" outlineLevel="0" collapsed="false">
      <c r="A908" s="4" t="s">
        <v>575</v>
      </c>
      <c r="B908" s="0" t="s">
        <v>147</v>
      </c>
      <c r="D908" s="21" t="n">
        <f aca="false">a26_pc</f>
        <v>614.602793131557</v>
      </c>
      <c r="E908" s="21" t="n">
        <f aca="false">D908*(1+g_pc27)</f>
        <v>596.16470933761</v>
      </c>
      <c r="F908" s="21" t="n">
        <f aca="false">E908*(1+g_pc28)</f>
        <v>596.16470933761</v>
      </c>
      <c r="G908" s="21" t="n">
        <f aca="false">F908*(1+g_pc29)</f>
        <v>596.16470933761</v>
      </c>
    </row>
    <row r="909" customFormat="false" ht="15" hidden="false" customHeight="false" outlineLevel="0" collapsed="false">
      <c r="A909" s="4" t="s">
        <v>576</v>
      </c>
      <c r="B909" s="0" t="s">
        <v>147</v>
      </c>
      <c r="C909" s="21" t="n">
        <f aca="false">a25_srev</f>
        <v>1235.86</v>
      </c>
      <c r="D909" s="21" t="n">
        <f aca="false">D900+D905+D907+D908</f>
        <v>2651.72505421038</v>
      </c>
      <c r="E909" s="21" t="n">
        <f aca="false">E900+E905+E907+E908</f>
        <v>3816.64127975755</v>
      </c>
      <c r="F909" s="21" t="n">
        <f aca="false">F900+F905+F907+F908</f>
        <v>4039.86719118604</v>
      </c>
      <c r="G909" s="21" t="n">
        <f aca="false">G900+G905+G907+G908</f>
        <v>4102.65057482429</v>
      </c>
    </row>
    <row r="910" customFormat="false" ht="17.15" hidden="false" customHeight="false" outlineLevel="0" collapsed="false">
      <c r="A910" s="4" t="s">
        <v>577</v>
      </c>
      <c r="B910" s="0" t="s">
        <v>48</v>
      </c>
      <c r="D910" s="20" t="n">
        <f aca="false">a26_wai/D893</f>
        <v>0.0391523244650416</v>
      </c>
      <c r="K910" s="8" t="s">
        <v>578</v>
      </c>
    </row>
    <row r="911" customFormat="false" ht="17.15" hidden="false" customHeight="false" outlineLevel="0" collapsed="false">
      <c r="A911" s="4" t="s">
        <v>504</v>
      </c>
      <c r="B911" s="0" t="s">
        <v>48</v>
      </c>
      <c r="D911" s="20" t="n">
        <f aca="false">D910</f>
        <v>0.0391523244650416</v>
      </c>
      <c r="E911" s="20" t="n">
        <f aca="false">$D$910*wrel_27</f>
        <v>0.0391523244650416</v>
      </c>
      <c r="F911" s="20" t="n">
        <f aca="false">$D$910*wrel_28</f>
        <v>0.0391523244650416</v>
      </c>
      <c r="G911" s="20" t="n">
        <f aca="false">$D$910*wrel_29</f>
        <v>0.0371947082417896</v>
      </c>
    </row>
    <row r="912" customFormat="false" ht="17.15" hidden="false" customHeight="false" outlineLevel="0" collapsed="false">
      <c r="A912" s="4" t="s">
        <v>524</v>
      </c>
      <c r="B912" s="0" t="s">
        <v>147</v>
      </c>
      <c r="D912" s="21" t="n">
        <f aca="false">D893*D911</f>
        <v>795.094795</v>
      </c>
      <c r="E912" s="21" t="n">
        <f aca="false">E893*E911</f>
        <v>1427.12501917769</v>
      </c>
      <c r="F912" s="21" t="n">
        <f aca="false">F893*F911</f>
        <v>1809.04758711097</v>
      </c>
      <c r="G912" s="21" t="n">
        <f aca="false">G893*G911</f>
        <v>1957.75164825537</v>
      </c>
    </row>
    <row r="913" customFormat="false" ht="17.15" hidden="false" customHeight="false" outlineLevel="0" collapsed="false">
      <c r="A913" s="4" t="s">
        <v>579</v>
      </c>
      <c r="B913" s="0" t="s">
        <v>147</v>
      </c>
      <c r="D913" s="21" t="n">
        <f aca="false">a26_wna</f>
        <v>650.532105</v>
      </c>
      <c r="E913" s="21" t="n">
        <f aca="false">D913*(1+g_wn27)</f>
        <v>715.5853155</v>
      </c>
      <c r="F913" s="21" t="n">
        <f aca="false">E913*(1+g_wn28)</f>
        <v>758.52043443</v>
      </c>
      <c r="G913" s="21" t="n">
        <f aca="false">F913*(1+g_wn29)</f>
        <v>796.4464561515</v>
      </c>
    </row>
    <row r="914" customFormat="false" ht="15" hidden="false" customHeight="false" outlineLevel="0" collapsed="false">
      <c r="A914" s="4" t="s">
        <v>434</v>
      </c>
      <c r="B914" s="0" t="s">
        <v>147</v>
      </c>
      <c r="C914" s="21" t="n">
        <f aca="false">a25_wrev</f>
        <v>950.663</v>
      </c>
      <c r="D914" s="21" t="n">
        <f aca="false">D912+D913</f>
        <v>1445.6269</v>
      </c>
      <c r="E914" s="21" t="n">
        <f aca="false">E912+E913</f>
        <v>2142.71033467769</v>
      </c>
      <c r="F914" s="21" t="n">
        <f aca="false">F912+F913</f>
        <v>2567.56802154097</v>
      </c>
      <c r="G914" s="21" t="n">
        <f aca="false">G912+G913</f>
        <v>2754.19810440687</v>
      </c>
    </row>
    <row r="915" customFormat="false" ht="17.15" hidden="false" customHeight="false" outlineLevel="0" collapsed="false">
      <c r="A915" s="4" t="s">
        <v>420</v>
      </c>
      <c r="B915" s="0" t="s">
        <v>147</v>
      </c>
      <c r="C915" s="21" t="n">
        <f aca="false">C909+C914</f>
        <v>2186.523</v>
      </c>
      <c r="D915" s="21" t="n">
        <f aca="false">D909+D914</f>
        <v>4097.35195421038</v>
      </c>
      <c r="E915" s="21" t="n">
        <f aca="false">E909+E914</f>
        <v>5959.35161443524</v>
      </c>
      <c r="F915" s="21" t="n">
        <f aca="false">F909+F914</f>
        <v>6607.43521272701</v>
      </c>
      <c r="G915" s="21" t="n">
        <f aca="false">G909+G914</f>
        <v>6856.84867923116</v>
      </c>
      <c r="H915" s="26" t="n">
        <f aca="false">G915*(1+H916)</f>
        <v>7166.53776956726</v>
      </c>
      <c r="I915" s="26" t="n">
        <f aca="false">H915*(1+I916)</f>
        <v>7543.37199085936</v>
      </c>
      <c r="J915" s="26" t="n">
        <f aca="false">I915*(1+J916)</f>
        <v>7995.97431031092</v>
      </c>
      <c r="K915" s="8" t="s">
        <v>580</v>
      </c>
    </row>
    <row r="916" customFormat="false" ht="15" hidden="false" customHeight="false" outlineLevel="0" collapsed="false">
      <c r="A916" s="4" t="s">
        <v>581</v>
      </c>
      <c r="B916" s="0" t="s">
        <v>48</v>
      </c>
      <c r="D916" s="20" t="n">
        <f aca="false">D915/C915-1</f>
        <v>0.873912121761526</v>
      </c>
      <c r="E916" s="20" t="n">
        <f aca="false">E915/D915-1</f>
        <v>0.454439765251677</v>
      </c>
      <c r="F916" s="20" t="n">
        <f aca="false">F915/E915-1</f>
        <v>0.108750689709586</v>
      </c>
      <c r="G916" s="20" t="n">
        <f aca="false">G915/F915-1</f>
        <v>0.0377473949383174</v>
      </c>
      <c r="H916" s="27" t="n">
        <f aca="false">$G916+(fade_gA-$G916)*1/3</f>
        <v>0.0451649299588782</v>
      </c>
      <c r="I916" s="27" t="n">
        <f aca="false">$G916+(fade_gA-$G916)*2/3</f>
        <v>0.0525824649794391</v>
      </c>
      <c r="J916" s="27" t="n">
        <f aca="false">$G916+(fade_gA-$G916)*3/3</f>
        <v>0.06</v>
      </c>
    </row>
    <row r="917" customFormat="false" ht="17.15" hidden="false" customHeight="false" outlineLevel="0" collapsed="false">
      <c r="A917" s="0" t="s">
        <v>582</v>
      </c>
      <c r="B917" s="0" t="s">
        <v>48</v>
      </c>
      <c r="D917" s="20" t="n">
        <f aca="false">(D900+D905+D912)/D915</f>
        <v>0.6546220793463</v>
      </c>
      <c r="E917" s="20" t="n">
        <f aca="false">(E900+E905+E912)/E915</f>
        <v>0.749679139384196</v>
      </c>
      <c r="F917" s="20" t="n">
        <f aca="false">(F900+F905+F912)/F915</f>
        <v>0.76500940322852</v>
      </c>
      <c r="G917" s="20" t="n">
        <f aca="false">(G900+G905+G912)/G915</f>
        <v>0.765715820686707</v>
      </c>
    </row>
    <row r="918" customFormat="false" ht="17.15" hidden="false" customHeight="false" outlineLevel="0" collapsed="false">
      <c r="A918" s="4" t="s">
        <v>583</v>
      </c>
      <c r="B918" s="0" t="s">
        <v>48</v>
      </c>
      <c r="C918" s="20" t="n">
        <f aca="false">C914/C915</f>
        <v>0.434782986504144</v>
      </c>
      <c r="D918" s="20" t="n">
        <f aca="false">D914/D915</f>
        <v>0.352819800728736</v>
      </c>
      <c r="E918" s="20" t="n">
        <f aca="false">E914/E915</f>
        <v>0.359554272563384</v>
      </c>
      <c r="F918" s="20" t="n">
        <f aca="false">F914/F915</f>
        <v>0.388587695358012</v>
      </c>
      <c r="G918" s="20" t="n">
        <f aca="false">G914/G915</f>
        <v>0.40167112229691</v>
      </c>
    </row>
    <row r="919" customFormat="false" ht="17.15" hidden="false" customHeight="false" outlineLevel="0" collapsed="false">
      <c r="A919" s="4" t="s">
        <v>584</v>
      </c>
      <c r="B919" s="4" t="s">
        <v>331</v>
      </c>
      <c r="D919" s="21" t="n">
        <f aca="false">D898/fx/(odm_gb*(1-vr26)+odm_vr*vr26)</f>
        <v>12.0597330420658</v>
      </c>
      <c r="E919" s="21" t="n">
        <f aca="false">E898/fx/odm_vr</f>
        <v>14.7674893195131</v>
      </c>
      <c r="F919" s="21" t="n">
        <f aca="false">F898/fx/odm_vr</f>
        <v>17.7835410591556</v>
      </c>
      <c r="G919" s="21" t="n">
        <f aca="false">G898/fx/odm_vr</f>
        <v>19.1920403465763</v>
      </c>
      <c r="K919" s="4" t="s">
        <v>585</v>
      </c>
    </row>
    <row r="920" customFormat="false" ht="17.15" hidden="false" customHeight="false" outlineLevel="0" collapsed="false">
      <c r="A920" s="6" t="s">
        <v>586</v>
      </c>
    </row>
    <row r="921" customFormat="false" ht="17.15" hidden="false" customHeight="false" outlineLevel="0" collapsed="false">
      <c r="A921" s="4" t="s">
        <v>587</v>
      </c>
      <c r="B921" s="0" t="s">
        <v>48</v>
      </c>
      <c r="D921" s="17" t="n">
        <f aca="false">(a26_sgp-d_ai*D900-d_brd*D905-d_gen*D907)/D909</f>
        <v>0.0436423860147897</v>
      </c>
      <c r="K921" s="8" t="s">
        <v>588</v>
      </c>
    </row>
    <row r="922" customFormat="false" ht="17.15" hidden="false" customHeight="false" outlineLevel="0" collapsed="false">
      <c r="A922" s="4" t="s">
        <v>589</v>
      </c>
      <c r="B922" s="0" t="s">
        <v>147</v>
      </c>
      <c r="D922" s="25" t="n">
        <f aca="false">($D$921+d_ai)*D898*(1-D899*(1-keep))</f>
        <v>59.7866331026896</v>
      </c>
      <c r="E922" s="25" t="n">
        <f aca="false">($D$921+d_ai+vrd)*E898*(1-E899*(1-keep))</f>
        <v>99.9228552931035</v>
      </c>
      <c r="F922" s="25" t="n">
        <f aca="false">($D$921+d_ai+vrd)*F898*(1-F899*(1-keep))</f>
        <v>119.115229856887</v>
      </c>
      <c r="G922" s="25" t="n">
        <f aca="false">($D$921+d_ai+vrd)*G898*(1-G899*(1-keep))</f>
        <v>127.89357847157</v>
      </c>
    </row>
    <row r="923" customFormat="false" ht="15" hidden="false" customHeight="false" outlineLevel="0" collapsed="false">
      <c r="A923" s="4" t="s">
        <v>590</v>
      </c>
      <c r="B923" s="0" t="s">
        <v>147</v>
      </c>
      <c r="C923" s="21" t="n">
        <f aca="false">a25_sgp</f>
        <v>55.529</v>
      </c>
      <c r="D923" s="21" t="n">
        <f aca="false">a26_sgp</f>
        <v>103.50638581015</v>
      </c>
      <c r="E923" s="21" t="n">
        <f aca="false">$D$921*E908+($D$921+d_brd)*E905+($D$921+d_gen)*E907+E922</f>
        <v>148.991928263534</v>
      </c>
      <c r="F923" s="21" t="n">
        <f aca="false">$D$921*F908+($D$921+d_brd)*F905+($D$921+d_gen)*F907+F922</f>
        <v>169.462997795485</v>
      </c>
      <c r="G923" s="21" t="n">
        <f aca="false">$D$921*G908+($D$921+d_brd)*G905+($D$921+d_gen)*G907+G922</f>
        <v>179.967696240984</v>
      </c>
    </row>
    <row r="924" customFormat="false" ht="15" hidden="false" customHeight="false" outlineLevel="0" collapsed="false">
      <c r="A924" s="4" t="s">
        <v>591</v>
      </c>
      <c r="B924" s="0" t="s">
        <v>48</v>
      </c>
      <c r="C924" s="17" t="n">
        <f aca="false">C923/C909</f>
        <v>0.0449314647290146</v>
      </c>
      <c r="D924" s="17" t="n">
        <f aca="false">D923/D909</f>
        <v>0.0390336040479778</v>
      </c>
      <c r="E924" s="17" t="n">
        <f aca="false">E923/E909</f>
        <v>0.0390374461057547</v>
      </c>
      <c r="F924" s="17" t="n">
        <f aca="false">F923/F909</f>
        <v>0.0419476655483156</v>
      </c>
      <c r="G924" s="17" t="n">
        <f aca="false">G923/G909</f>
        <v>0.0438662013639053</v>
      </c>
    </row>
    <row r="925" customFormat="false" ht="15" hidden="false" customHeight="false" outlineLevel="0" collapsed="false">
      <c r="A925" s="4" t="s">
        <v>592</v>
      </c>
      <c r="B925" s="0" t="s">
        <v>48</v>
      </c>
      <c r="E925" s="20" t="n">
        <f aca="false">MAX(0,phi*(E909/D909-1))</f>
        <v>0.13179151703879</v>
      </c>
      <c r="F925" s="20" t="n">
        <f aca="false">MAX(0,phi*(F909/E909-1))</f>
        <v>0.0175462582202121</v>
      </c>
      <c r="G925" s="20" t="n">
        <f aca="false">MAX(0,phi*(G909/F909-1))</f>
        <v>0.00466228571388885</v>
      </c>
    </row>
    <row r="926" customFormat="false" ht="15" hidden="false" customHeight="false" outlineLevel="0" collapsed="false">
      <c r="A926" s="4" t="s">
        <v>593</v>
      </c>
      <c r="B926" s="0" t="s">
        <v>147</v>
      </c>
      <c r="C926" s="21" t="n">
        <f aca="false">a25_sopx</f>
        <v>40.894</v>
      </c>
      <c r="D926" s="21" t="n">
        <f aca="false">a26_sopx</f>
        <v>46.9914095398923</v>
      </c>
      <c r="E926" s="21" t="n">
        <f aca="false">D926*(1+E925)+0*E909</f>
        <v>53.1844786909457</v>
      </c>
      <c r="F926" s="21" t="n">
        <f aca="false">E926*(1+F925)+0*F909</f>
        <v>54.1176672873644</v>
      </c>
      <c r="G926" s="21" t="n">
        <f aca="false">F926*(1+G925)+0*G909</f>
        <v>54.3699793144273</v>
      </c>
    </row>
    <row r="927" customFormat="false" ht="15" hidden="false" customHeight="false" outlineLevel="0" collapsed="false">
      <c r="A927" s="4" t="s">
        <v>594</v>
      </c>
      <c r="B927" s="0" t="s">
        <v>147</v>
      </c>
      <c r="C927" s="21" t="n">
        <f aca="false">C923-C926</f>
        <v>14.635</v>
      </c>
      <c r="D927" s="21" t="n">
        <f aca="false">D923-D926</f>
        <v>56.514976270258</v>
      </c>
      <c r="E927" s="21" t="n">
        <f aca="false">E923-E926</f>
        <v>95.8074495725884</v>
      </c>
      <c r="F927" s="21" t="n">
        <f aca="false">F923-F926</f>
        <v>115.345330508121</v>
      </c>
      <c r="G927" s="21" t="n">
        <f aca="false">G923-G926</f>
        <v>125.597716926557</v>
      </c>
    </row>
    <row r="928" customFormat="false" ht="15" hidden="false" customHeight="false" outlineLevel="0" collapsed="false">
      <c r="A928" s="4" t="s">
        <v>595</v>
      </c>
      <c r="B928" s="0" t="s">
        <v>48</v>
      </c>
      <c r="C928" s="17" t="n">
        <f aca="false">C927/C909</f>
        <v>0.011841956208632</v>
      </c>
      <c r="D928" s="17" t="n">
        <f aca="false">D927/D909</f>
        <v>0.0213125324514788</v>
      </c>
      <c r="E928" s="17" t="n">
        <f aca="false">E927/E909</f>
        <v>0.0251025555062577</v>
      </c>
      <c r="F928" s="17" t="n">
        <f aca="false">F927/F909</f>
        <v>0.0285517629786878</v>
      </c>
      <c r="G928" s="17" t="n">
        <f aca="false">G927/G909</f>
        <v>0.0306137982350437</v>
      </c>
    </row>
    <row r="929" customFormat="false" ht="15" hidden="false" customHeight="false" outlineLevel="0" collapsed="false">
      <c r="A929" s="4" t="s">
        <v>596</v>
      </c>
      <c r="B929" s="0" t="s">
        <v>147</v>
      </c>
      <c r="C929" s="21" t="n">
        <f aca="false">a25_sni</f>
        <v>6.9608</v>
      </c>
      <c r="D929" s="21" t="n">
        <f aca="false">a26_sni</f>
        <v>31.133746704</v>
      </c>
      <c r="E929" s="21" t="n">
        <f aca="false">E927*snio</f>
        <v>53.6521717606495</v>
      </c>
      <c r="F929" s="21" t="n">
        <f aca="false">F927*snio</f>
        <v>64.5933850845477</v>
      </c>
      <c r="G929" s="21" t="n">
        <f aca="false">G927*snio</f>
        <v>70.3347214788719</v>
      </c>
    </row>
    <row r="930" customFormat="false" ht="17.15" hidden="false" customHeight="false" outlineLevel="0" collapsed="false">
      <c r="A930" s="6" t="s">
        <v>597</v>
      </c>
    </row>
    <row r="931" customFormat="false" ht="15" hidden="false" customHeight="false" outlineLevel="0" collapsed="false">
      <c r="A931" s="4" t="s">
        <v>438</v>
      </c>
      <c r="B931" s="0" t="s">
        <v>147</v>
      </c>
      <c r="C931" s="21" t="n">
        <f aca="false">a25_wgp</f>
        <v>78.454</v>
      </c>
      <c r="D931" s="21" t="n">
        <f aca="false">a26_wgp</f>
        <v>125.0519932</v>
      </c>
      <c r="E931" s="21" t="n">
        <f aca="false">E914*wgm</f>
        <v>182.130378447603</v>
      </c>
      <c r="F931" s="21" t="n">
        <f aca="false">F914*wgm</f>
        <v>218.243281830982</v>
      </c>
      <c r="G931" s="21" t="n">
        <f aca="false">G914*wgm</f>
        <v>234.106838874584</v>
      </c>
    </row>
    <row r="932" customFormat="false" ht="15" hidden="false" customHeight="false" outlineLevel="0" collapsed="false">
      <c r="A932" s="4" t="s">
        <v>440</v>
      </c>
      <c r="B932" s="0" t="s">
        <v>147</v>
      </c>
      <c r="C932" s="21" t="n">
        <f aca="false">a25_woi</f>
        <v>63.918</v>
      </c>
      <c r="D932" s="21" t="n">
        <f aca="false">a26_woi</f>
        <v>98.2471632</v>
      </c>
      <c r="E932" s="21" t="n">
        <f aca="false">E914*wopm_lo</f>
        <v>117.849068407273</v>
      </c>
      <c r="F932" s="21" t="n">
        <f aca="false">F914*wopm_lo</f>
        <v>141.216241184753</v>
      </c>
      <c r="G932" s="21" t="n">
        <f aca="false">G914*wopm_lo</f>
        <v>151.480895742378</v>
      </c>
    </row>
    <row r="933" customFormat="false" ht="15" hidden="false" customHeight="false" outlineLevel="0" collapsed="false">
      <c r="A933" s="4" t="s">
        <v>448</v>
      </c>
      <c r="B933" s="0" t="s">
        <v>147</v>
      </c>
      <c r="C933" s="21" t="n">
        <f aca="false">a25_wni</f>
        <v>51.118</v>
      </c>
      <c r="D933" s="21" t="n">
        <f aca="false">a26_wni</f>
        <v>75.735026884</v>
      </c>
      <c r="E933" s="21" t="n">
        <f aca="false">E932*wnio</f>
        <v>91.9222733576728</v>
      </c>
      <c r="F933" s="21" t="n">
        <f aca="false">F932*wnio</f>
        <v>110.148668124107</v>
      </c>
      <c r="G933" s="21" t="n">
        <f aca="false">G932*wnio</f>
        <v>118.155098679055</v>
      </c>
    </row>
    <row r="934" customFormat="false" ht="15" hidden="false" customHeight="false" outlineLevel="0" collapsed="false">
      <c r="A934" s="4" t="s">
        <v>450</v>
      </c>
      <c r="B934" s="0" t="s">
        <v>48</v>
      </c>
      <c r="C934" s="17" t="n">
        <f aca="false">stake25</f>
        <v>0.4</v>
      </c>
      <c r="D934" s="17" t="n">
        <f aca="false">stake</f>
        <v>0.3768</v>
      </c>
      <c r="E934" s="17" t="n">
        <f aca="false">stake</f>
        <v>0.3768</v>
      </c>
      <c r="F934" s="17" t="n">
        <f aca="false">stake</f>
        <v>0.3768</v>
      </c>
      <c r="G934" s="17" t="n">
        <f aca="false">stake</f>
        <v>0.3768</v>
      </c>
    </row>
    <row r="935" customFormat="false" ht="17.15" hidden="false" customHeight="false" outlineLevel="0" collapsed="false">
      <c r="A935" s="6" t="s">
        <v>598</v>
      </c>
    </row>
    <row r="936" customFormat="false" ht="15" hidden="false" customHeight="false" outlineLevel="0" collapsed="false">
      <c r="A936" s="4" t="s">
        <v>424</v>
      </c>
      <c r="B936" s="0" t="s">
        <v>147</v>
      </c>
      <c r="C936" s="21" t="n">
        <f aca="false">C923+C931</f>
        <v>133.983</v>
      </c>
      <c r="D936" s="21" t="n">
        <f aca="false">D923+D931</f>
        <v>228.55837901015</v>
      </c>
      <c r="E936" s="21" t="n">
        <f aca="false">E923+E931</f>
        <v>331.122306711138</v>
      </c>
      <c r="F936" s="21" t="n">
        <f aca="false">F923+F931</f>
        <v>387.706279626467</v>
      </c>
      <c r="G936" s="21" t="n">
        <f aca="false">G923+G931</f>
        <v>414.074535115568</v>
      </c>
    </row>
    <row r="937" customFormat="false" ht="15" hidden="false" customHeight="false" outlineLevel="0" collapsed="false">
      <c r="A937" s="4" t="s">
        <v>427</v>
      </c>
      <c r="B937" s="0" t="s">
        <v>48</v>
      </c>
      <c r="C937" s="17" t="n">
        <f aca="false">C936/C915</f>
        <v>0.0612767393711386</v>
      </c>
      <c r="D937" s="17" t="n">
        <f aca="false">D936/D915</f>
        <v>0.055781973714825</v>
      </c>
      <c r="E937" s="17" t="n">
        <f aca="false">E936/E915</f>
        <v>0.0555634787363554</v>
      </c>
      <c r="F937" s="17" t="n">
        <f aca="false">F936/F915</f>
        <v>0.058677272972678</v>
      </c>
      <c r="G937" s="17" t="n">
        <f aca="false">G936/G915</f>
        <v>0.0603884604264006</v>
      </c>
    </row>
    <row r="938" customFormat="false" ht="15" hidden="false" customHeight="false" outlineLevel="0" collapsed="false">
      <c r="A938" s="4" t="s">
        <v>428</v>
      </c>
      <c r="B938" s="0" t="s">
        <v>147</v>
      </c>
      <c r="C938" s="21" t="n">
        <f aca="false">C927+C932</f>
        <v>78.553</v>
      </c>
      <c r="D938" s="21" t="n">
        <f aca="false">D927+D932</f>
        <v>154.762139470258</v>
      </c>
      <c r="E938" s="21" t="n">
        <f aca="false">E927+E932</f>
        <v>213.656517979861</v>
      </c>
      <c r="F938" s="21" t="n">
        <f aca="false">F927+F932</f>
        <v>256.561571692874</v>
      </c>
      <c r="G938" s="21" t="n">
        <f aca="false">G927+G932</f>
        <v>277.078612668935</v>
      </c>
    </row>
    <row r="939" customFormat="false" ht="15" hidden="false" customHeight="false" outlineLevel="0" collapsed="false">
      <c r="A939" s="4" t="s">
        <v>431</v>
      </c>
      <c r="B939" s="0" t="s">
        <v>48</v>
      </c>
      <c r="C939" s="17" t="n">
        <f aca="false">C938/C915</f>
        <v>0.0359259884300325</v>
      </c>
      <c r="D939" s="17" t="n">
        <f aca="false">D938/D915</f>
        <v>0.0377712584126992</v>
      </c>
      <c r="E939" s="17" t="n">
        <f aca="false">E938/E915</f>
        <v>0.0358523094127094</v>
      </c>
      <c r="F939" s="17" t="n">
        <f aca="false">F938/F915</f>
        <v>0.038829222449082</v>
      </c>
      <c r="G939" s="17" t="n">
        <f aca="false">G938/G915</f>
        <v>0.0404090312665326</v>
      </c>
    </row>
    <row r="940" customFormat="false" ht="15" hidden="false" customHeight="false" outlineLevel="0" collapsed="false">
      <c r="A940" s="4" t="s">
        <v>461</v>
      </c>
      <c r="B940" s="0" t="s">
        <v>147</v>
      </c>
      <c r="C940" s="21" t="n">
        <f aca="false">C929+C933</f>
        <v>58.0788</v>
      </c>
      <c r="D940" s="21" t="n">
        <f aca="false">D929+D933</f>
        <v>106.868773588</v>
      </c>
      <c r="E940" s="21" t="n">
        <f aca="false">E929+E933</f>
        <v>145.574445118322</v>
      </c>
      <c r="F940" s="21" t="n">
        <f aca="false">F929+F933</f>
        <v>174.742053208655</v>
      </c>
      <c r="G940" s="21" t="n">
        <f aca="false">G929+G933</f>
        <v>188.489820157927</v>
      </c>
    </row>
    <row r="941" customFormat="false" ht="17.15" hidden="false" customHeight="false" outlineLevel="0" collapsed="false">
      <c r="A941" s="4" t="s">
        <v>599</v>
      </c>
      <c r="B941" s="0" t="s">
        <v>147</v>
      </c>
      <c r="C941" s="21" t="n">
        <f aca="false">(1-C934)*C933</f>
        <v>30.6708</v>
      </c>
      <c r="D941" s="21" t="n">
        <f aca="false">(1-D934)*D933</f>
        <v>47.1980687541088</v>
      </c>
      <c r="E941" s="21" t="n">
        <f aca="false">(1-E934)*E933</f>
        <v>57.2859607565017</v>
      </c>
      <c r="F941" s="21" t="n">
        <f aca="false">(1-F934)*F933</f>
        <v>68.6446499749438</v>
      </c>
      <c r="G941" s="21" t="n">
        <f aca="false">(1-G934)*G933</f>
        <v>73.6342574967868</v>
      </c>
    </row>
    <row r="942" customFormat="false" ht="15" hidden="false" customHeight="false" outlineLevel="0" collapsed="false">
      <c r="A942" s="4" t="s">
        <v>457</v>
      </c>
      <c r="B942" s="0" t="s">
        <v>147</v>
      </c>
      <c r="C942" s="21" t="n">
        <f aca="false">C940-C941</f>
        <v>27.408</v>
      </c>
      <c r="D942" s="21" t="n">
        <f aca="false">D940-D941</f>
        <v>59.6707048338912</v>
      </c>
      <c r="E942" s="21" t="n">
        <f aca="false">E940-E941</f>
        <v>88.2884843618206</v>
      </c>
      <c r="F942" s="21" t="n">
        <f aca="false">F940-F941</f>
        <v>106.097403233711</v>
      </c>
      <c r="G942" s="21" t="n">
        <f aca="false">G940-G941</f>
        <v>114.85556266114</v>
      </c>
      <c r="H942" s="26" t="n">
        <f aca="false">H915*H947</f>
        <v>122.863104398419</v>
      </c>
      <c r="I942" s="26" t="n">
        <f aca="false">I915*I947</f>
        <v>132.291935296814</v>
      </c>
      <c r="J942" s="26" t="n">
        <f aca="false">J915*J947</f>
        <v>143.375940589569</v>
      </c>
    </row>
    <row r="943" customFormat="false" ht="17.15" hidden="false" customHeight="false" outlineLevel="0" collapsed="false">
      <c r="A943" s="4" t="s">
        <v>600</v>
      </c>
      <c r="B943" s="0" t="s">
        <v>48</v>
      </c>
      <c r="C943" s="20" t="n">
        <f aca="false">C934*C933/C942</f>
        <v>0.746030356100409</v>
      </c>
      <c r="D943" s="20" t="n">
        <f aca="false">D934*D933/D942</f>
        <v>0.478240674537551</v>
      </c>
      <c r="E943" s="20" t="n">
        <f aca="false">E934*E933/E942</f>
        <v>0.392308383721096</v>
      </c>
      <c r="F943" s="20" t="n">
        <f aca="false">F934*F933/F942</f>
        <v>0.39118787910142</v>
      </c>
      <c r="G943" s="20" t="n">
        <f aca="false">G934*G933/G942</f>
        <v>0.387624596935008</v>
      </c>
    </row>
    <row r="944" customFormat="false" ht="17.15" hidden="false" customHeight="false" outlineLevel="0" collapsed="false">
      <c r="A944" s="4" t="s">
        <v>601</v>
      </c>
      <c r="B944" s="4" t="s">
        <v>282</v>
      </c>
      <c r="C944" s="31" t="n">
        <f aca="false">a25_sh</f>
        <v>3.03185840707965</v>
      </c>
      <c r="D944" s="31" t="n">
        <f aca="false">a26_sh</f>
        <v>3.23861720409076</v>
      </c>
      <c r="E944" s="31" t="n">
        <f aca="false">q_sh4*(1+sh_g)</f>
        <v>3.43</v>
      </c>
      <c r="F944" s="31" t="n">
        <f aca="false">E944*(1+sh_g)</f>
        <v>3.43</v>
      </c>
      <c r="G944" s="31" t="n">
        <f aca="false">F944*(1+sh_g)</f>
        <v>3.43</v>
      </c>
      <c r="H944" s="32" t="n">
        <f aca="false">G944*(1+sh_g)</f>
        <v>3.43</v>
      </c>
      <c r="I944" s="32" t="n">
        <f aca="false">H944*(1+sh_g)</f>
        <v>3.43</v>
      </c>
      <c r="J944" s="32" t="n">
        <f aca="false">I944*(1+sh_g)</f>
        <v>3.43</v>
      </c>
      <c r="K944" s="8" t="s">
        <v>602</v>
      </c>
    </row>
    <row r="945" customFormat="false" ht="15" hidden="false" customHeight="false" outlineLevel="0" collapsed="false">
      <c r="A945" s="0" t="s">
        <v>464</v>
      </c>
      <c r="B945" s="0" t="s">
        <v>312</v>
      </c>
      <c r="C945" s="18" t="n">
        <f aca="false">C942/C944</f>
        <v>9.04</v>
      </c>
      <c r="D945" s="18" t="n">
        <f aca="false">D942/D944</f>
        <v>18.4247476850676</v>
      </c>
      <c r="E945" s="18" t="n">
        <f aca="false">E942/E944</f>
        <v>25.7400829043209</v>
      </c>
      <c r="F945" s="18" t="n">
        <f aca="false">F942/F944</f>
        <v>30.9321875316943</v>
      </c>
      <c r="G945" s="18" t="n">
        <f aca="false">G942/G944</f>
        <v>33.4855867816734</v>
      </c>
      <c r="H945" s="29" t="n">
        <f aca="false">H942/H944</f>
        <v>35.8201470549327</v>
      </c>
      <c r="I945" s="29" t="n">
        <f aca="false">I942/I944</f>
        <v>38.56907734601</v>
      </c>
      <c r="J945" s="29" t="n">
        <f aca="false">J942/J944</f>
        <v>41.8005657695538</v>
      </c>
    </row>
    <row r="946" customFormat="false" ht="17.15" hidden="false" customHeight="false" outlineLevel="0" collapsed="false">
      <c r="A946" s="0" t="s">
        <v>603</v>
      </c>
      <c r="B946" s="0" t="s">
        <v>48</v>
      </c>
      <c r="D946" s="20" t="n">
        <f aca="false">D945/C945-1</f>
        <v>1.03813580587031</v>
      </c>
      <c r="E946" s="20" t="n">
        <f aca="false">E945/D945-1</f>
        <v>0.397038556201344</v>
      </c>
      <c r="F946" s="20" t="n">
        <f aca="false">F945/E945-1</f>
        <v>0.201712816803004</v>
      </c>
      <c r="G946" s="20" t="n">
        <f aca="false">G945/F945-1</f>
        <v>0.0825482920457139</v>
      </c>
      <c r="H946" s="27" t="n">
        <f aca="false">H945/G945-1</f>
        <v>0.0697183623652973</v>
      </c>
      <c r="I946" s="27" t="n">
        <f aca="false">I945/H945-1</f>
        <v>0.0767425741402363</v>
      </c>
      <c r="J946" s="27" t="n">
        <f aca="false">J945/I945-1</f>
        <v>0.0837844368055138</v>
      </c>
    </row>
    <row r="947" customFormat="false" ht="17.15" hidden="false" customHeight="false" outlineLevel="0" collapsed="false">
      <c r="A947" s="4" t="s">
        <v>604</v>
      </c>
      <c r="B947" s="0" t="s">
        <v>48</v>
      </c>
      <c r="C947" s="17" t="n">
        <f aca="false">C942/C915</f>
        <v>0.0125349699042727</v>
      </c>
      <c r="D947" s="17" t="n">
        <f aca="false">D942/D915</f>
        <v>0.0145632363293992</v>
      </c>
      <c r="E947" s="17" t="n">
        <f aca="false">E942/E915</f>
        <v>0.0148151158169558</v>
      </c>
      <c r="F947" s="17" t="n">
        <f aca="false">F942/F915</f>
        <v>0.0160572748453667</v>
      </c>
      <c r="G947" s="17" t="n">
        <f aca="false">G942/G915</f>
        <v>0.0167504881665287</v>
      </c>
      <c r="H947" s="28" t="n">
        <f aca="false">$G947+(fade_mA-$G947)*1/3</f>
        <v>0.0171439973316206</v>
      </c>
      <c r="I947" s="28" t="n">
        <f aca="false">$G947+(fade_mA-$G947)*2/3</f>
        <v>0.0175375064967124</v>
      </c>
      <c r="J947" s="28" t="n">
        <f aca="false">$G947+(fade_mA-$G947)*3/3</f>
        <v>0.0179310156618042</v>
      </c>
    </row>
    <row r="950" customFormat="false" ht="17.15" hidden="false" customHeight="false" outlineLevel="0" collapsed="false">
      <c r="A950" s="1" t="s">
        <v>887</v>
      </c>
    </row>
    <row r="951" customFormat="false" ht="17.15" hidden="false" customHeight="false" outlineLevel="0" collapsed="false">
      <c r="A951" s="5" t="s">
        <v>17</v>
      </c>
      <c r="B951" s="5" t="s">
        <v>18</v>
      </c>
      <c r="C951" s="14" t="s">
        <v>414</v>
      </c>
      <c r="D951" s="14" t="s">
        <v>529</v>
      </c>
      <c r="E951" s="14" t="s">
        <v>530</v>
      </c>
      <c r="F951" s="14" t="s">
        <v>531</v>
      </c>
      <c r="G951" s="14" t="s">
        <v>532</v>
      </c>
      <c r="H951" s="14" t="s">
        <v>533</v>
      </c>
      <c r="I951" s="14" t="s">
        <v>534</v>
      </c>
      <c r="J951" s="14" t="s">
        <v>535</v>
      </c>
      <c r="K951" s="5" t="s">
        <v>496</v>
      </c>
    </row>
    <row r="952" customFormat="false" ht="17.15" hidden="false" customHeight="false" outlineLevel="0" collapsed="false">
      <c r="A952" s="6" t="s">
        <v>550</v>
      </c>
    </row>
    <row r="953" customFormat="false" ht="17.15" hidden="false" customHeight="false" outlineLevel="0" collapsed="false">
      <c r="A953" s="0" t="s">
        <v>551</v>
      </c>
      <c r="B953" s="0" t="s">
        <v>28</v>
      </c>
      <c r="D953" s="21" t="n">
        <f aca="false">itc_26*1</f>
        <v>781.872916666667</v>
      </c>
      <c r="E953" s="21" t="n">
        <f aca="false">itc_27*1*1</f>
        <v>1565.35</v>
      </c>
      <c r="F953" s="21" t="n">
        <f aca="false">itc_28*um28_A*1</f>
        <v>1984.26388888889</v>
      </c>
      <c r="G953" s="21" t="n">
        <f aca="false">itc_29*um29_A*1</f>
        <v>2260.39027777778</v>
      </c>
    </row>
    <row r="954" customFormat="false" ht="17.15" hidden="false" customHeight="false" outlineLevel="0" collapsed="false">
      <c r="A954" s="4" t="s">
        <v>552</v>
      </c>
      <c r="B954" s="0" t="s">
        <v>28</v>
      </c>
      <c r="D954" s="21" t="n">
        <f aca="false">itpg_gb*(1-vr26)+itpg_vr*vr26</f>
        <v>33.41403216</v>
      </c>
      <c r="E954" s="21" t="n">
        <f aca="false">itpg_vr</f>
        <v>37.586352</v>
      </c>
      <c r="F954" s="21" t="n">
        <f aca="false">itpg_vr</f>
        <v>37.586352</v>
      </c>
      <c r="G954" s="21" t="n">
        <f aca="false">itpg_vr</f>
        <v>37.586352</v>
      </c>
    </row>
    <row r="955" customFormat="false" ht="17.15" hidden="false" customHeight="false" outlineLevel="0" collapsed="false">
      <c r="A955" s="4" t="s">
        <v>553</v>
      </c>
      <c r="B955" s="0" t="s">
        <v>498</v>
      </c>
      <c r="D955" s="22" t="n">
        <f aca="false">D953/D954</f>
        <v>23.3995380420639</v>
      </c>
      <c r="E955" s="22" t="n">
        <f aca="false">E953/E954</f>
        <v>41.6467658260637</v>
      </c>
      <c r="F955" s="22" t="n">
        <f aca="false">F953/F954</f>
        <v>52.792138191248</v>
      </c>
      <c r="G955" s="22" t="n">
        <f aca="false">G953/G954</f>
        <v>60.1385917361116</v>
      </c>
    </row>
    <row r="956" customFormat="false" ht="17.15" hidden="false" customHeight="false" outlineLevel="0" collapsed="false">
      <c r="A956" s="4" t="s">
        <v>554</v>
      </c>
      <c r="B956" s="0" t="s">
        <v>555</v>
      </c>
      <c r="D956" s="18" t="n">
        <f aca="false">(racks_gb*odm_gb*(1-vr26)+racks_vr*odm_vr*vr26)/1000</f>
        <v>27.1209</v>
      </c>
      <c r="E956" s="18" t="n">
        <f aca="false">racks_vr*odm_vr/1000</f>
        <v>27.351</v>
      </c>
      <c r="F956" s="18" t="n">
        <f aca="false">$E956*vpg_28</f>
        <v>27.351</v>
      </c>
      <c r="G956" s="18" t="n">
        <f aca="false">$E956*vpg_29</f>
        <v>27.351</v>
      </c>
      <c r="K956" s="4" t="s">
        <v>556</v>
      </c>
    </row>
    <row r="957" customFormat="false" ht="17.15" hidden="false" customHeight="false" outlineLevel="0" collapsed="false">
      <c r="A957" s="0" t="s">
        <v>557</v>
      </c>
      <c r="B957" s="0" t="s">
        <v>28</v>
      </c>
      <c r="D957" s="21" t="n">
        <f aca="false">D955*D956</f>
        <v>634.616531285011</v>
      </c>
      <c r="E957" s="21" t="n">
        <f aca="false">E955*E956</f>
        <v>1139.08069210867</v>
      </c>
      <c r="F957" s="21" t="n">
        <f aca="false">F955*F956</f>
        <v>1443.91777166882</v>
      </c>
      <c r="G957" s="21" t="n">
        <f aca="false">G955*G956</f>
        <v>1644.85062257439</v>
      </c>
    </row>
    <row r="958" customFormat="false" ht="17.15" hidden="false" customHeight="false" outlineLevel="0" collapsed="false">
      <c r="A958" s="0" t="s">
        <v>558</v>
      </c>
      <c r="B958" s="0" t="s">
        <v>147</v>
      </c>
      <c r="D958" s="21" t="n">
        <f aca="false">D957*fx</f>
        <v>20307.7290011204</v>
      </c>
      <c r="E958" s="21" t="n">
        <f aca="false">E957*fx</f>
        <v>36450.5821474774</v>
      </c>
      <c r="F958" s="21" t="n">
        <f aca="false">F957*fx</f>
        <v>46205.3686934024</v>
      </c>
      <c r="G958" s="21" t="n">
        <f aca="false">G957*fx</f>
        <v>52635.2199223804</v>
      </c>
    </row>
    <row r="959" customFormat="false" ht="17.15" hidden="false" customHeight="false" outlineLevel="0" collapsed="false">
      <c r="A959" s="6" t="s">
        <v>559</v>
      </c>
    </row>
    <row r="960" customFormat="false" ht="17.15" hidden="false" customHeight="false" outlineLevel="0" collapsed="false">
      <c r="A960" s="4" t="s">
        <v>560</v>
      </c>
      <c r="B960" s="0" t="s">
        <v>48</v>
      </c>
      <c r="D960" s="20" t="n">
        <f aca="false">a26_ais/D958</f>
        <v>0.0875096501918446</v>
      </c>
      <c r="K960" s="8" t="s">
        <v>561</v>
      </c>
    </row>
    <row r="961" customFormat="false" ht="17.15" hidden="false" customHeight="false" outlineLevel="0" collapsed="false">
      <c r="A961" s="4" t="s">
        <v>562</v>
      </c>
      <c r="B961" s="0" t="s">
        <v>60</v>
      </c>
      <c r="D961" s="18" t="n">
        <f aca="false">1</f>
        <v>1</v>
      </c>
      <c r="E961" s="18" t="n">
        <f aca="false">rel_27</f>
        <v>1</v>
      </c>
      <c r="F961" s="18" t="n">
        <f aca="false">rel_28</f>
        <v>0.95</v>
      </c>
      <c r="G961" s="18" t="n">
        <f aca="false">rel_29</f>
        <v>0.9</v>
      </c>
    </row>
    <row r="962" customFormat="false" ht="17.15" hidden="false" customHeight="false" outlineLevel="0" collapsed="false">
      <c r="A962" s="4" t="s">
        <v>563</v>
      </c>
      <c r="B962" s="0" t="s">
        <v>48</v>
      </c>
      <c r="D962" s="20" t="n">
        <f aca="false">$D$960*D961</f>
        <v>0.0875096501918446</v>
      </c>
      <c r="E962" s="20" t="n">
        <f aca="false">$D$960*E961</f>
        <v>0.0875096501918446</v>
      </c>
      <c r="F962" s="20" t="n">
        <f aca="false">$D$960*F961</f>
        <v>0.0831341676822524</v>
      </c>
      <c r="G962" s="20" t="n">
        <f aca="false">$D$960*G961</f>
        <v>0.0787586851726601</v>
      </c>
    </row>
    <row r="963" customFormat="false" ht="17.15" hidden="false" customHeight="false" outlineLevel="0" collapsed="false">
      <c r="A963" s="4" t="s">
        <v>564</v>
      </c>
      <c r="B963" s="0" t="s">
        <v>147</v>
      </c>
      <c r="D963" s="21" t="n">
        <f aca="false">D958*D962</f>
        <v>1777.12226107882</v>
      </c>
      <c r="E963" s="21" t="n">
        <f aca="false">E958*E962</f>
        <v>3189.77769301484</v>
      </c>
      <c r="F963" s="21" t="n">
        <f aca="false">F958*F962</f>
        <v>3841.24486877761</v>
      </c>
      <c r="G963" s="21" t="n">
        <f aca="false">G958*G962</f>
        <v>4145.48071486049</v>
      </c>
    </row>
    <row r="964" customFormat="false" ht="17.15" hidden="false" customHeight="false" outlineLevel="0" collapsed="false">
      <c r="A964" s="4" t="s">
        <v>565</v>
      </c>
      <c r="B964" s="0" t="s">
        <v>48</v>
      </c>
      <c r="D964" s="20" t="n">
        <f aca="false">0</f>
        <v>0</v>
      </c>
      <c r="E964" s="20" t="n">
        <f aca="false">cs_27</f>
        <v>0.1</v>
      </c>
      <c r="F964" s="20" t="n">
        <f aca="false">cs_28</f>
        <v>0.2</v>
      </c>
      <c r="G964" s="20" t="n">
        <f aca="false">cs_29</f>
        <v>0.25</v>
      </c>
      <c r="K964" s="8" t="s">
        <v>566</v>
      </c>
    </row>
    <row r="965" customFormat="false" ht="17.15" hidden="false" customHeight="false" outlineLevel="0" collapsed="false">
      <c r="A965" s="4" t="s">
        <v>567</v>
      </c>
      <c r="B965" s="0" t="s">
        <v>147</v>
      </c>
      <c r="D965" s="21" t="n">
        <f aca="false">D963*(1-D964)</f>
        <v>1777.12226107882</v>
      </c>
      <c r="E965" s="21" t="n">
        <f aca="false">E963*(1-E964)</f>
        <v>2870.79992371336</v>
      </c>
      <c r="F965" s="21" t="n">
        <f aca="false">F963*(1-F964)</f>
        <v>3072.99589502208</v>
      </c>
      <c r="G965" s="21" t="n">
        <f aca="false">G963*(1-G964)</f>
        <v>3109.11053614536</v>
      </c>
    </row>
    <row r="966" customFormat="false" ht="17.15" hidden="false" customHeight="false" outlineLevel="0" collapsed="false">
      <c r="A966" s="6" t="s">
        <v>568</v>
      </c>
    </row>
    <row r="967" customFormat="false" ht="17.15" hidden="false" customHeight="false" outlineLevel="0" collapsed="false">
      <c r="A967" s="0" t="s">
        <v>569</v>
      </c>
      <c r="B967" s="4" t="s">
        <v>81</v>
      </c>
      <c r="D967" s="18" t="n">
        <f aca="false">gu_26*1</f>
        <v>8.35</v>
      </c>
      <c r="E967" s="18" t="n">
        <f aca="false">gu_27*1*1</f>
        <v>11.2</v>
      </c>
      <c r="F967" s="18" t="n">
        <f aca="false">gu_28*um28_A*1</f>
        <v>11.5</v>
      </c>
      <c r="G967" s="18" t="n">
        <f aca="false">gu_29*um29_A*1</f>
        <v>12.9</v>
      </c>
    </row>
    <row r="968" customFormat="false" ht="15" hidden="false" customHeight="false" outlineLevel="0" collapsed="false">
      <c r="A968" s="4" t="s">
        <v>570</v>
      </c>
      <c r="B968" s="0" t="s">
        <v>48</v>
      </c>
      <c r="D968" s="20" t="n">
        <f aca="false">bsh_26</f>
        <v>0.5</v>
      </c>
      <c r="E968" s="20" t="n">
        <f aca="false">bsh_26*brel_27</f>
        <v>0.5</v>
      </c>
      <c r="F968" s="20" t="n">
        <f aca="false">bsh_26*brel_28</f>
        <v>0.475</v>
      </c>
      <c r="G968" s="20" t="n">
        <f aca="false">bsh_26*brel_29</f>
        <v>0.45</v>
      </c>
    </row>
    <row r="969" customFormat="false" ht="17.15" hidden="false" customHeight="false" outlineLevel="0" collapsed="false">
      <c r="A969" s="4" t="s">
        <v>571</v>
      </c>
      <c r="B969" s="0" t="s">
        <v>520</v>
      </c>
      <c r="D969" s="24" t="n">
        <f aca="false">a26_brd/fx/D967/D968*1000</f>
        <v>823.353293413174</v>
      </c>
      <c r="E969" s="24" t="n">
        <f aca="false">$D969*bv_27</f>
        <v>946.85628742515</v>
      </c>
      <c r="F969" s="24" t="n">
        <f aca="false">$D969*bv_28</f>
        <v>988.023952095808</v>
      </c>
      <c r="G969" s="24" t="n">
        <f aca="false">$D969*bv_29</f>
        <v>988.023952095808</v>
      </c>
      <c r="K969" s="8" t="s">
        <v>572</v>
      </c>
    </row>
    <row r="970" customFormat="false" ht="17.15" hidden="false" customHeight="false" outlineLevel="0" collapsed="false">
      <c r="A970" s="0" t="s">
        <v>522</v>
      </c>
      <c r="B970" s="0" t="s">
        <v>147</v>
      </c>
      <c r="D970" s="21" t="n">
        <f aca="false">D967*D968*D969*fx/1000</f>
        <v>110</v>
      </c>
      <c r="E970" s="21" t="n">
        <f aca="false">E967*E968*E969*fx/1000</f>
        <v>169.676646706587</v>
      </c>
      <c r="F970" s="21" t="n">
        <f aca="false">F967*F968*F969*fx/1000</f>
        <v>172.706586826347</v>
      </c>
      <c r="G970" s="21" t="n">
        <f aca="false">G967*G968*G969*fx/1000</f>
        <v>183.535329341317</v>
      </c>
    </row>
    <row r="971" customFormat="false" ht="17.15" hidden="false" customHeight="false" outlineLevel="0" collapsed="false">
      <c r="A971" s="6" t="s">
        <v>573</v>
      </c>
    </row>
    <row r="972" customFormat="false" ht="15" hidden="false" customHeight="false" outlineLevel="0" collapsed="false">
      <c r="A972" s="4" t="s">
        <v>574</v>
      </c>
      <c r="B972" s="0" t="s">
        <v>147</v>
      </c>
      <c r="D972" s="21" t="n">
        <f aca="false">a26_gen</f>
        <v>150</v>
      </c>
      <c r="E972" s="21" t="n">
        <f aca="false">D972*(1+g_gen27)</f>
        <v>180</v>
      </c>
      <c r="F972" s="21" t="n">
        <f aca="false">E972*(1+g_gen28)</f>
        <v>198</v>
      </c>
      <c r="G972" s="21" t="n">
        <f aca="false">F972*(1+g_gen29)</f>
        <v>213.84</v>
      </c>
    </row>
    <row r="973" customFormat="false" ht="15" hidden="false" customHeight="false" outlineLevel="0" collapsed="false">
      <c r="A973" s="4" t="s">
        <v>575</v>
      </c>
      <c r="B973" s="0" t="s">
        <v>147</v>
      </c>
      <c r="D973" s="21" t="n">
        <f aca="false">a26_pc</f>
        <v>614.602793131557</v>
      </c>
      <c r="E973" s="21" t="n">
        <f aca="false">D973*(1+g_pc27)</f>
        <v>596.16470933761</v>
      </c>
      <c r="F973" s="21" t="n">
        <f aca="false">E973*(1+g_pc28)</f>
        <v>596.16470933761</v>
      </c>
      <c r="G973" s="21" t="n">
        <f aca="false">F973*(1+g_pc29)</f>
        <v>596.16470933761</v>
      </c>
    </row>
    <row r="974" customFormat="false" ht="15" hidden="false" customHeight="false" outlineLevel="0" collapsed="false">
      <c r="A974" s="4" t="s">
        <v>576</v>
      </c>
      <c r="B974" s="0" t="s">
        <v>147</v>
      </c>
      <c r="C974" s="21" t="n">
        <f aca="false">a25_srev</f>
        <v>1235.86</v>
      </c>
      <c r="D974" s="21" t="n">
        <f aca="false">D965+D970+D972+D973</f>
        <v>2651.72505421038</v>
      </c>
      <c r="E974" s="21" t="n">
        <f aca="false">E965+E970+E972+E973</f>
        <v>3816.64127975755</v>
      </c>
      <c r="F974" s="21" t="n">
        <f aca="false">F965+F970+F972+F973</f>
        <v>4039.86719118604</v>
      </c>
      <c r="G974" s="21" t="n">
        <f aca="false">G965+G970+G972+G973</f>
        <v>4102.65057482429</v>
      </c>
    </row>
    <row r="975" customFormat="false" ht="17.15" hidden="false" customHeight="false" outlineLevel="0" collapsed="false">
      <c r="A975" s="4" t="s">
        <v>577</v>
      </c>
      <c r="B975" s="0" t="s">
        <v>48</v>
      </c>
      <c r="D975" s="20" t="n">
        <f aca="false">a26_wai/D958</f>
        <v>0.0391523244650416</v>
      </c>
      <c r="K975" s="8" t="s">
        <v>578</v>
      </c>
    </row>
    <row r="976" customFormat="false" ht="17.15" hidden="false" customHeight="false" outlineLevel="0" collapsed="false">
      <c r="A976" s="4" t="s">
        <v>504</v>
      </c>
      <c r="B976" s="0" t="s">
        <v>48</v>
      </c>
      <c r="D976" s="20" t="n">
        <f aca="false">D975</f>
        <v>0.0391523244650416</v>
      </c>
      <c r="E976" s="20" t="n">
        <f aca="false">$D$975*wrel_27</f>
        <v>0.0391523244650416</v>
      </c>
      <c r="F976" s="20" t="n">
        <f aca="false">$D$975*wrel_28</f>
        <v>0.0391523244650416</v>
      </c>
      <c r="G976" s="20" t="n">
        <f aca="false">$D$975*wrel_29</f>
        <v>0.0371947082417896</v>
      </c>
    </row>
    <row r="977" customFormat="false" ht="17.15" hidden="false" customHeight="false" outlineLevel="0" collapsed="false">
      <c r="A977" s="4" t="s">
        <v>524</v>
      </c>
      <c r="B977" s="0" t="s">
        <v>147</v>
      </c>
      <c r="D977" s="21" t="n">
        <f aca="false">D958*D976</f>
        <v>795.094795</v>
      </c>
      <c r="E977" s="21" t="n">
        <f aca="false">E958*E976</f>
        <v>1427.12501917769</v>
      </c>
      <c r="F977" s="21" t="n">
        <f aca="false">F958*F976</f>
        <v>1809.04758711097</v>
      </c>
      <c r="G977" s="21" t="n">
        <f aca="false">G958*G976</f>
        <v>1957.75164825537</v>
      </c>
    </row>
    <row r="978" customFormat="false" ht="17.15" hidden="false" customHeight="false" outlineLevel="0" collapsed="false">
      <c r="A978" s="4" t="s">
        <v>579</v>
      </c>
      <c r="B978" s="0" t="s">
        <v>147</v>
      </c>
      <c r="D978" s="21" t="n">
        <f aca="false">a26_wna</f>
        <v>650.532105</v>
      </c>
      <c r="E978" s="21" t="n">
        <f aca="false">D978*(1+g_wn27)</f>
        <v>715.5853155</v>
      </c>
      <c r="F978" s="21" t="n">
        <f aca="false">E978*(1+g_wn28)</f>
        <v>758.52043443</v>
      </c>
      <c r="G978" s="21" t="n">
        <f aca="false">F978*(1+g_wn29)</f>
        <v>796.4464561515</v>
      </c>
    </row>
    <row r="979" customFormat="false" ht="15" hidden="false" customHeight="false" outlineLevel="0" collapsed="false">
      <c r="A979" s="4" t="s">
        <v>434</v>
      </c>
      <c r="B979" s="0" t="s">
        <v>147</v>
      </c>
      <c r="C979" s="21" t="n">
        <f aca="false">a25_wrev</f>
        <v>950.663</v>
      </c>
      <c r="D979" s="21" t="n">
        <f aca="false">D977+D978</f>
        <v>1445.6269</v>
      </c>
      <c r="E979" s="21" t="n">
        <f aca="false">E977+E978</f>
        <v>2142.71033467769</v>
      </c>
      <c r="F979" s="21" t="n">
        <f aca="false">F977+F978</f>
        <v>2567.56802154097</v>
      </c>
      <c r="G979" s="21" t="n">
        <f aca="false">G977+G978</f>
        <v>2754.19810440687</v>
      </c>
    </row>
    <row r="980" customFormat="false" ht="17.15" hidden="false" customHeight="false" outlineLevel="0" collapsed="false">
      <c r="A980" s="4" t="s">
        <v>420</v>
      </c>
      <c r="B980" s="0" t="s">
        <v>147</v>
      </c>
      <c r="C980" s="21" t="n">
        <f aca="false">C974+C979</f>
        <v>2186.523</v>
      </c>
      <c r="D980" s="21" t="n">
        <f aca="false">D974+D979</f>
        <v>4097.35195421038</v>
      </c>
      <c r="E980" s="21" t="n">
        <f aca="false">E974+E979</f>
        <v>5959.35161443524</v>
      </c>
      <c r="F980" s="21" t="n">
        <f aca="false">F974+F979</f>
        <v>6607.43521272701</v>
      </c>
      <c r="G980" s="21" t="n">
        <f aca="false">G974+G979</f>
        <v>6856.84867923116</v>
      </c>
      <c r="H980" s="26" t="n">
        <f aca="false">G980*(1+H981)</f>
        <v>7166.53776956726</v>
      </c>
      <c r="I980" s="26" t="n">
        <f aca="false">H980*(1+I981)</f>
        <v>7543.37199085936</v>
      </c>
      <c r="J980" s="26" t="n">
        <f aca="false">I980*(1+J981)</f>
        <v>7995.97431031092</v>
      </c>
      <c r="K980" s="8" t="s">
        <v>580</v>
      </c>
    </row>
    <row r="981" customFormat="false" ht="15" hidden="false" customHeight="false" outlineLevel="0" collapsed="false">
      <c r="A981" s="4" t="s">
        <v>581</v>
      </c>
      <c r="B981" s="0" t="s">
        <v>48</v>
      </c>
      <c r="D981" s="20" t="n">
        <f aca="false">D980/C980-1</f>
        <v>0.873912121761526</v>
      </c>
      <c r="E981" s="20" t="n">
        <f aca="false">E980/D980-1</f>
        <v>0.454439765251677</v>
      </c>
      <c r="F981" s="20" t="n">
        <f aca="false">F980/E980-1</f>
        <v>0.108750689709586</v>
      </c>
      <c r="G981" s="20" t="n">
        <f aca="false">G980/F980-1</f>
        <v>0.0377473949383174</v>
      </c>
      <c r="H981" s="27" t="n">
        <f aca="false">$G981+(fade_gA-$G981)*1/3</f>
        <v>0.0451649299588782</v>
      </c>
      <c r="I981" s="27" t="n">
        <f aca="false">$G981+(fade_gA-$G981)*2/3</f>
        <v>0.0525824649794391</v>
      </c>
      <c r="J981" s="27" t="n">
        <f aca="false">$G981+(fade_gA-$G981)*3/3</f>
        <v>0.06</v>
      </c>
    </row>
    <row r="982" customFormat="false" ht="17.15" hidden="false" customHeight="false" outlineLevel="0" collapsed="false">
      <c r="A982" s="0" t="s">
        <v>582</v>
      </c>
      <c r="B982" s="0" t="s">
        <v>48</v>
      </c>
      <c r="D982" s="20" t="n">
        <f aca="false">(D965+D970+D977)/D980</f>
        <v>0.6546220793463</v>
      </c>
      <c r="E982" s="20" t="n">
        <f aca="false">(E965+E970+E977)/E980</f>
        <v>0.749679139384196</v>
      </c>
      <c r="F982" s="20" t="n">
        <f aca="false">(F965+F970+F977)/F980</f>
        <v>0.76500940322852</v>
      </c>
      <c r="G982" s="20" t="n">
        <f aca="false">(G965+G970+G977)/G980</f>
        <v>0.765715820686707</v>
      </c>
    </row>
    <row r="983" customFormat="false" ht="17.15" hidden="false" customHeight="false" outlineLevel="0" collapsed="false">
      <c r="A983" s="4" t="s">
        <v>583</v>
      </c>
      <c r="B983" s="0" t="s">
        <v>48</v>
      </c>
      <c r="C983" s="20" t="n">
        <f aca="false">C979/C980</f>
        <v>0.434782986504144</v>
      </c>
      <c r="D983" s="20" t="n">
        <f aca="false">D979/D980</f>
        <v>0.352819800728736</v>
      </c>
      <c r="E983" s="20" t="n">
        <f aca="false">E979/E980</f>
        <v>0.359554272563384</v>
      </c>
      <c r="F983" s="20" t="n">
        <f aca="false">F979/F980</f>
        <v>0.388587695358012</v>
      </c>
      <c r="G983" s="20" t="n">
        <f aca="false">G979/G980</f>
        <v>0.40167112229691</v>
      </c>
    </row>
    <row r="984" customFormat="false" ht="17.15" hidden="false" customHeight="false" outlineLevel="0" collapsed="false">
      <c r="A984" s="4" t="s">
        <v>584</v>
      </c>
      <c r="B984" s="4" t="s">
        <v>331</v>
      </c>
      <c r="D984" s="21" t="n">
        <f aca="false">D963/fx/(odm_gb*(1-vr26)+odm_vr*vr26)</f>
        <v>12.0597330420658</v>
      </c>
      <c r="E984" s="21" t="n">
        <f aca="false">E963/fx/odm_vr</f>
        <v>14.7674893195131</v>
      </c>
      <c r="F984" s="21" t="n">
        <f aca="false">F963/fx/odm_vr</f>
        <v>17.7835410591556</v>
      </c>
      <c r="G984" s="21" t="n">
        <f aca="false">G963/fx/odm_vr</f>
        <v>19.1920403465763</v>
      </c>
      <c r="K984" s="4" t="s">
        <v>585</v>
      </c>
    </row>
    <row r="985" customFormat="false" ht="17.15" hidden="false" customHeight="false" outlineLevel="0" collapsed="false">
      <c r="A985" s="6" t="s">
        <v>586</v>
      </c>
    </row>
    <row r="986" customFormat="false" ht="17.15" hidden="false" customHeight="false" outlineLevel="0" collapsed="false">
      <c r="A986" s="4" t="s">
        <v>587</v>
      </c>
      <c r="B986" s="0" t="s">
        <v>48</v>
      </c>
      <c r="D986" s="17" t="n">
        <f aca="false">(a26_sgp-d_ai*D965-d_brd*D970-d_gen*D972)/D974</f>
        <v>0.0436423860147897</v>
      </c>
      <c r="K986" s="8" t="s">
        <v>588</v>
      </c>
    </row>
    <row r="987" customFormat="false" ht="17.15" hidden="false" customHeight="false" outlineLevel="0" collapsed="false">
      <c r="A987" s="4" t="s">
        <v>589</v>
      </c>
      <c r="B987" s="0" t="s">
        <v>147</v>
      </c>
      <c r="D987" s="25" t="n">
        <f aca="false">($D$986+d_ai)*D963*(1-D964*(1-keep))</f>
        <v>59.7866331026896</v>
      </c>
      <c r="E987" s="25" t="n">
        <f aca="false">($D$986+d_ai+vrd)*E963*(1-E964*(1-keep))</f>
        <v>99.9228552931035</v>
      </c>
      <c r="F987" s="25" t="n">
        <f aca="false">($D$986+d_ai+vrd)*F963*(1-F964*(1-keep))</f>
        <v>119.115229856887</v>
      </c>
      <c r="G987" s="25" t="n">
        <f aca="false">($D$986+d_ai+vrd)*G963*(1-G964*(1-keep))</f>
        <v>127.89357847157</v>
      </c>
    </row>
    <row r="988" customFormat="false" ht="15" hidden="false" customHeight="false" outlineLevel="0" collapsed="false">
      <c r="A988" s="4" t="s">
        <v>590</v>
      </c>
      <c r="B988" s="0" t="s">
        <v>147</v>
      </c>
      <c r="C988" s="21" t="n">
        <f aca="false">a25_sgp</f>
        <v>55.529</v>
      </c>
      <c r="D988" s="21" t="n">
        <f aca="false">a26_sgp</f>
        <v>103.50638581015</v>
      </c>
      <c r="E988" s="21" t="n">
        <f aca="false">$D$986*E973+($D$986+d_brd)*E970+($D$986+d_gen)*E972+E987</f>
        <v>148.991928263534</v>
      </c>
      <c r="F988" s="21" t="n">
        <f aca="false">$D$986*F973+($D$986+d_brd)*F970+($D$986+d_gen)*F972+F987</f>
        <v>169.462997795485</v>
      </c>
      <c r="G988" s="21" t="n">
        <f aca="false">$D$986*G973+($D$986+d_brd)*G970+($D$986+d_gen)*G972+G987</f>
        <v>179.967696240984</v>
      </c>
    </row>
    <row r="989" customFormat="false" ht="15" hidden="false" customHeight="false" outlineLevel="0" collapsed="false">
      <c r="A989" s="4" t="s">
        <v>591</v>
      </c>
      <c r="B989" s="0" t="s">
        <v>48</v>
      </c>
      <c r="C989" s="17" t="n">
        <f aca="false">C988/C974</f>
        <v>0.0449314647290146</v>
      </c>
      <c r="D989" s="17" t="n">
        <f aca="false">D988/D974</f>
        <v>0.0390336040479778</v>
      </c>
      <c r="E989" s="17" t="n">
        <f aca="false">E988/E974</f>
        <v>0.0390374461057547</v>
      </c>
      <c r="F989" s="17" t="n">
        <f aca="false">F988/F974</f>
        <v>0.0419476655483156</v>
      </c>
      <c r="G989" s="17" t="n">
        <f aca="false">G988/G974</f>
        <v>0.0438662013639053</v>
      </c>
    </row>
    <row r="990" customFormat="false" ht="15" hidden="false" customHeight="false" outlineLevel="0" collapsed="false">
      <c r="A990" s="4" t="s">
        <v>592</v>
      </c>
      <c r="B990" s="0" t="s">
        <v>48</v>
      </c>
      <c r="E990" s="20" t="n">
        <f aca="false">MAX(0,phi*(E974/D974-1))</f>
        <v>0.13179151703879</v>
      </c>
      <c r="F990" s="20" t="n">
        <f aca="false">MAX(0,phi*(F974/E974-1))</f>
        <v>0.0175462582202121</v>
      </c>
      <c r="G990" s="20" t="n">
        <f aca="false">MAX(0,phi*(G974/F974-1))</f>
        <v>0.00466228571388885</v>
      </c>
    </row>
    <row r="991" customFormat="false" ht="15" hidden="false" customHeight="false" outlineLevel="0" collapsed="false">
      <c r="A991" s="4" t="s">
        <v>593</v>
      </c>
      <c r="B991" s="0" t="s">
        <v>147</v>
      </c>
      <c r="C991" s="21" t="n">
        <f aca="false">a25_sopx</f>
        <v>40.894</v>
      </c>
      <c r="D991" s="21" t="n">
        <f aca="false">a26_sopx</f>
        <v>46.9914095398923</v>
      </c>
      <c r="E991" s="21" t="n">
        <f aca="false">D991*(1+E990)+0*E974</f>
        <v>53.1844786909457</v>
      </c>
      <c r="F991" s="21" t="n">
        <f aca="false">E991*(1+F990)+0*F974</f>
        <v>54.1176672873644</v>
      </c>
      <c r="G991" s="21" t="n">
        <f aca="false">F991*(1+G990)+0*G974</f>
        <v>54.3699793144273</v>
      </c>
    </row>
    <row r="992" customFormat="false" ht="15" hidden="false" customHeight="false" outlineLevel="0" collapsed="false">
      <c r="A992" s="4" t="s">
        <v>594</v>
      </c>
      <c r="B992" s="0" t="s">
        <v>147</v>
      </c>
      <c r="C992" s="21" t="n">
        <f aca="false">C988-C991</f>
        <v>14.635</v>
      </c>
      <c r="D992" s="21" t="n">
        <f aca="false">D988-D991</f>
        <v>56.514976270258</v>
      </c>
      <c r="E992" s="21" t="n">
        <f aca="false">E988-E991</f>
        <v>95.8074495725884</v>
      </c>
      <c r="F992" s="21" t="n">
        <f aca="false">F988-F991</f>
        <v>115.345330508121</v>
      </c>
      <c r="G992" s="21" t="n">
        <f aca="false">G988-G991</f>
        <v>125.597716926557</v>
      </c>
    </row>
    <row r="993" customFormat="false" ht="15" hidden="false" customHeight="false" outlineLevel="0" collapsed="false">
      <c r="A993" s="4" t="s">
        <v>595</v>
      </c>
      <c r="B993" s="0" t="s">
        <v>48</v>
      </c>
      <c r="C993" s="17" t="n">
        <f aca="false">C992/C974</f>
        <v>0.011841956208632</v>
      </c>
      <c r="D993" s="17" t="n">
        <f aca="false">D992/D974</f>
        <v>0.0213125324514788</v>
      </c>
      <c r="E993" s="17" t="n">
        <f aca="false">E992/E974</f>
        <v>0.0251025555062577</v>
      </c>
      <c r="F993" s="17" t="n">
        <f aca="false">F992/F974</f>
        <v>0.0285517629786878</v>
      </c>
      <c r="G993" s="17" t="n">
        <f aca="false">G992/G974</f>
        <v>0.0306137982350437</v>
      </c>
    </row>
    <row r="994" customFormat="false" ht="15" hidden="false" customHeight="false" outlineLevel="0" collapsed="false">
      <c r="A994" s="4" t="s">
        <v>596</v>
      </c>
      <c r="B994" s="0" t="s">
        <v>147</v>
      </c>
      <c r="C994" s="21" t="n">
        <f aca="false">a25_sni</f>
        <v>6.9608</v>
      </c>
      <c r="D994" s="21" t="n">
        <f aca="false">a26_sni</f>
        <v>31.133746704</v>
      </c>
      <c r="E994" s="21" t="n">
        <f aca="false">E992*snio</f>
        <v>53.6521717606495</v>
      </c>
      <c r="F994" s="21" t="n">
        <f aca="false">F992*snio</f>
        <v>64.5933850845477</v>
      </c>
      <c r="G994" s="21" t="n">
        <f aca="false">G992*snio</f>
        <v>70.3347214788719</v>
      </c>
    </row>
    <row r="995" customFormat="false" ht="17.15" hidden="false" customHeight="false" outlineLevel="0" collapsed="false">
      <c r="A995" s="6" t="s">
        <v>597</v>
      </c>
    </row>
    <row r="996" customFormat="false" ht="15" hidden="false" customHeight="false" outlineLevel="0" collapsed="false">
      <c r="A996" s="4" t="s">
        <v>438</v>
      </c>
      <c r="B996" s="0" t="s">
        <v>147</v>
      </c>
      <c r="C996" s="21" t="n">
        <f aca="false">a25_wgp</f>
        <v>78.454</v>
      </c>
      <c r="D996" s="21" t="n">
        <f aca="false">a26_wgp</f>
        <v>125.0519932</v>
      </c>
      <c r="E996" s="21" t="n">
        <f aca="false">E979*wgm</f>
        <v>182.130378447603</v>
      </c>
      <c r="F996" s="21" t="n">
        <f aca="false">F979*wgm</f>
        <v>218.243281830982</v>
      </c>
      <c r="G996" s="21" t="n">
        <f aca="false">G979*wgm</f>
        <v>234.106838874584</v>
      </c>
    </row>
    <row r="997" customFormat="false" ht="15" hidden="false" customHeight="false" outlineLevel="0" collapsed="false">
      <c r="A997" s="4" t="s">
        <v>440</v>
      </c>
      <c r="B997" s="0" t="s">
        <v>147</v>
      </c>
      <c r="C997" s="21" t="n">
        <f aca="false">a25_woi</f>
        <v>63.918</v>
      </c>
      <c r="D997" s="21" t="n">
        <f aca="false">a26_woi</f>
        <v>98.2471632</v>
      </c>
      <c r="E997" s="21" t="n">
        <f aca="false">E979*wopm_hi</f>
        <v>160.703275100827</v>
      </c>
      <c r="F997" s="21" t="n">
        <f aca="false">F979*wopm_hi</f>
        <v>192.567601615572</v>
      </c>
      <c r="G997" s="21" t="n">
        <f aca="false">G979*wopm_hi</f>
        <v>206.564857830515</v>
      </c>
    </row>
    <row r="998" customFormat="false" ht="15" hidden="false" customHeight="false" outlineLevel="0" collapsed="false">
      <c r="A998" s="4" t="s">
        <v>448</v>
      </c>
      <c r="B998" s="0" t="s">
        <v>147</v>
      </c>
      <c r="C998" s="21" t="n">
        <f aca="false">a25_wni</f>
        <v>51.118</v>
      </c>
      <c r="D998" s="21" t="n">
        <f aca="false">a26_wni</f>
        <v>75.735026884</v>
      </c>
      <c r="E998" s="21" t="n">
        <f aca="false">E997*wnio</f>
        <v>125.348554578645</v>
      </c>
      <c r="F998" s="21" t="n">
        <f aca="false">F997*wnio</f>
        <v>150.202729260147</v>
      </c>
      <c r="G998" s="21" t="n">
        <f aca="false">G997*wnio</f>
        <v>161.120589107802</v>
      </c>
    </row>
    <row r="999" customFormat="false" ht="15" hidden="false" customHeight="false" outlineLevel="0" collapsed="false">
      <c r="A999" s="4" t="s">
        <v>450</v>
      </c>
      <c r="B999" s="0" t="s">
        <v>48</v>
      </c>
      <c r="C999" s="17" t="n">
        <f aca="false">stake25</f>
        <v>0.4</v>
      </c>
      <c r="D999" s="17" t="n">
        <f aca="false">stake</f>
        <v>0.3768</v>
      </c>
      <c r="E999" s="17" t="n">
        <f aca="false">stake</f>
        <v>0.3768</v>
      </c>
      <c r="F999" s="17" t="n">
        <f aca="false">stake</f>
        <v>0.3768</v>
      </c>
      <c r="G999" s="17" t="n">
        <f aca="false">stake</f>
        <v>0.3768</v>
      </c>
    </row>
    <row r="1000" customFormat="false" ht="17.15" hidden="false" customHeight="false" outlineLevel="0" collapsed="false">
      <c r="A1000" s="6" t="s">
        <v>598</v>
      </c>
    </row>
    <row r="1001" customFormat="false" ht="15" hidden="false" customHeight="false" outlineLevel="0" collapsed="false">
      <c r="A1001" s="4" t="s">
        <v>424</v>
      </c>
      <c r="B1001" s="0" t="s">
        <v>147</v>
      </c>
      <c r="C1001" s="21" t="n">
        <f aca="false">C988+C996</f>
        <v>133.983</v>
      </c>
      <c r="D1001" s="21" t="n">
        <f aca="false">D988+D996</f>
        <v>228.55837901015</v>
      </c>
      <c r="E1001" s="21" t="n">
        <f aca="false">E988+E996</f>
        <v>331.122306711138</v>
      </c>
      <c r="F1001" s="21" t="n">
        <f aca="false">F988+F996</f>
        <v>387.706279626467</v>
      </c>
      <c r="G1001" s="21" t="n">
        <f aca="false">G988+G996</f>
        <v>414.074535115568</v>
      </c>
    </row>
    <row r="1002" customFormat="false" ht="15" hidden="false" customHeight="false" outlineLevel="0" collapsed="false">
      <c r="A1002" s="4" t="s">
        <v>427</v>
      </c>
      <c r="B1002" s="0" t="s">
        <v>48</v>
      </c>
      <c r="C1002" s="17" t="n">
        <f aca="false">C1001/C980</f>
        <v>0.0612767393711386</v>
      </c>
      <c r="D1002" s="17" t="n">
        <f aca="false">D1001/D980</f>
        <v>0.055781973714825</v>
      </c>
      <c r="E1002" s="17" t="n">
        <f aca="false">E1001/E980</f>
        <v>0.0555634787363554</v>
      </c>
      <c r="F1002" s="17" t="n">
        <f aca="false">F1001/F980</f>
        <v>0.058677272972678</v>
      </c>
      <c r="G1002" s="17" t="n">
        <f aca="false">G1001/G980</f>
        <v>0.0603884604264006</v>
      </c>
    </row>
    <row r="1003" customFormat="false" ht="15" hidden="false" customHeight="false" outlineLevel="0" collapsed="false">
      <c r="A1003" s="4" t="s">
        <v>428</v>
      </c>
      <c r="B1003" s="0" t="s">
        <v>147</v>
      </c>
      <c r="C1003" s="21" t="n">
        <f aca="false">C992+C997</f>
        <v>78.553</v>
      </c>
      <c r="D1003" s="21" t="n">
        <f aca="false">D992+D997</f>
        <v>154.762139470258</v>
      </c>
      <c r="E1003" s="21" t="n">
        <f aca="false">E992+E997</f>
        <v>256.510724673415</v>
      </c>
      <c r="F1003" s="21" t="n">
        <f aca="false">F992+F997</f>
        <v>307.912932123693</v>
      </c>
      <c r="G1003" s="21" t="n">
        <f aca="false">G992+G997</f>
        <v>332.162574757072</v>
      </c>
    </row>
    <row r="1004" customFormat="false" ht="15" hidden="false" customHeight="false" outlineLevel="0" collapsed="false">
      <c r="A1004" s="4" t="s">
        <v>431</v>
      </c>
      <c r="B1004" s="0" t="s">
        <v>48</v>
      </c>
      <c r="C1004" s="17" t="n">
        <f aca="false">C1003/C980</f>
        <v>0.0359259884300325</v>
      </c>
      <c r="D1004" s="17" t="n">
        <f aca="false">D1003/D980</f>
        <v>0.0377712584126992</v>
      </c>
      <c r="E1004" s="17" t="n">
        <f aca="false">E1003/E980</f>
        <v>0.043043394863977</v>
      </c>
      <c r="F1004" s="17" t="n">
        <f aca="false">F1003/F980</f>
        <v>0.0466009763562422</v>
      </c>
      <c r="G1004" s="17" t="n">
        <f aca="false">G1003/G980</f>
        <v>0.0484424537124708</v>
      </c>
    </row>
    <row r="1005" customFormat="false" ht="15" hidden="false" customHeight="false" outlineLevel="0" collapsed="false">
      <c r="A1005" s="4" t="s">
        <v>461</v>
      </c>
      <c r="B1005" s="0" t="s">
        <v>147</v>
      </c>
      <c r="C1005" s="21" t="n">
        <f aca="false">C994+C998</f>
        <v>58.0788</v>
      </c>
      <c r="D1005" s="21" t="n">
        <f aca="false">D994+D998</f>
        <v>106.868773588</v>
      </c>
      <c r="E1005" s="21" t="n">
        <f aca="false">E994+E998</f>
        <v>179.000726339294</v>
      </c>
      <c r="F1005" s="21" t="n">
        <f aca="false">F994+F998</f>
        <v>214.796114344694</v>
      </c>
      <c r="G1005" s="21" t="n">
        <f aca="false">G994+G998</f>
        <v>231.455310586674</v>
      </c>
    </row>
    <row r="1006" customFormat="false" ht="17.15" hidden="false" customHeight="false" outlineLevel="0" collapsed="false">
      <c r="A1006" s="4" t="s">
        <v>599</v>
      </c>
      <c r="B1006" s="0" t="s">
        <v>147</v>
      </c>
      <c r="C1006" s="21" t="n">
        <f aca="false">(1-C999)*C998</f>
        <v>30.6708</v>
      </c>
      <c r="D1006" s="21" t="n">
        <f aca="false">(1-D999)*D998</f>
        <v>47.1980687541088</v>
      </c>
      <c r="E1006" s="21" t="n">
        <f aca="false">(1-E999)*E998</f>
        <v>78.1172192134114</v>
      </c>
      <c r="F1006" s="21" t="n">
        <f aca="false">(1-F999)*F998</f>
        <v>93.6063408749233</v>
      </c>
      <c r="G1006" s="21" t="n">
        <f aca="false">(1-G999)*G998</f>
        <v>100.410351131982</v>
      </c>
    </row>
    <row r="1007" customFormat="false" ht="15" hidden="false" customHeight="false" outlineLevel="0" collapsed="false">
      <c r="A1007" s="4" t="s">
        <v>457</v>
      </c>
      <c r="B1007" s="0" t="s">
        <v>147</v>
      </c>
      <c r="C1007" s="21" t="n">
        <f aca="false">C1005-C1006</f>
        <v>27.408</v>
      </c>
      <c r="D1007" s="21" t="n">
        <f aca="false">D1005-D1006</f>
        <v>59.6707048338912</v>
      </c>
      <c r="E1007" s="21" t="n">
        <f aca="false">E1005-E1006</f>
        <v>100.883507125883</v>
      </c>
      <c r="F1007" s="21" t="n">
        <f aca="false">F1005-F1006</f>
        <v>121.189773469771</v>
      </c>
      <c r="G1007" s="21" t="n">
        <f aca="false">G1005-G1006</f>
        <v>131.044959454692</v>
      </c>
      <c r="H1007" s="26" t="n">
        <f aca="false">H980*H1012</f>
        <v>134.143497575625</v>
      </c>
      <c r="I1007" s="26" t="n">
        <f aca="false">I980*I1012</f>
        <v>138.228707325015</v>
      </c>
      <c r="J1007" s="26" t="n">
        <f aca="false">J980*J1012</f>
        <v>143.375940589569</v>
      </c>
    </row>
    <row r="1008" customFormat="false" ht="17.15" hidden="false" customHeight="false" outlineLevel="0" collapsed="false">
      <c r="A1008" s="4" t="s">
        <v>600</v>
      </c>
      <c r="B1008" s="0" t="s">
        <v>48</v>
      </c>
      <c r="C1008" s="20" t="n">
        <f aca="false">C999*C998/C1007</f>
        <v>0.746030356100409</v>
      </c>
      <c r="D1008" s="20" t="n">
        <f aca="false">D999*D998/D1007</f>
        <v>0.478240674537551</v>
      </c>
      <c r="E1008" s="20" t="n">
        <f aca="false">E999*E998/E1007</f>
        <v>0.468176976701433</v>
      </c>
      <c r="F1008" s="20" t="n">
        <f aca="false">F999*F998/F1007</f>
        <v>0.467006305604989</v>
      </c>
      <c r="G1008" s="20" t="n">
        <f aca="false">G999*G998/G1007</f>
        <v>0.463277933225735</v>
      </c>
    </row>
    <row r="1009" customFormat="false" ht="17.15" hidden="false" customHeight="false" outlineLevel="0" collapsed="false">
      <c r="A1009" s="4" t="s">
        <v>601</v>
      </c>
      <c r="B1009" s="4" t="s">
        <v>282</v>
      </c>
      <c r="C1009" s="31" t="n">
        <f aca="false">a25_sh</f>
        <v>3.03185840707965</v>
      </c>
      <c r="D1009" s="31" t="n">
        <f aca="false">a26_sh</f>
        <v>3.23861720409076</v>
      </c>
      <c r="E1009" s="31" t="n">
        <f aca="false">q_sh4*(1+sh_g)</f>
        <v>3.43</v>
      </c>
      <c r="F1009" s="31" t="n">
        <f aca="false">E1009*(1+sh_g)</f>
        <v>3.43</v>
      </c>
      <c r="G1009" s="31" t="n">
        <f aca="false">F1009*(1+sh_g)</f>
        <v>3.43</v>
      </c>
      <c r="H1009" s="32" t="n">
        <f aca="false">G1009*(1+sh_g)</f>
        <v>3.43</v>
      </c>
      <c r="I1009" s="32" t="n">
        <f aca="false">H1009*(1+sh_g)</f>
        <v>3.43</v>
      </c>
      <c r="J1009" s="32" t="n">
        <f aca="false">I1009*(1+sh_g)</f>
        <v>3.43</v>
      </c>
      <c r="K1009" s="8" t="s">
        <v>602</v>
      </c>
    </row>
    <row r="1010" customFormat="false" ht="15" hidden="false" customHeight="false" outlineLevel="0" collapsed="false">
      <c r="A1010" s="0" t="s">
        <v>464</v>
      </c>
      <c r="B1010" s="0" t="s">
        <v>312</v>
      </c>
      <c r="C1010" s="18" t="n">
        <f aca="false">C1007/C1009</f>
        <v>9.04</v>
      </c>
      <c r="D1010" s="18" t="n">
        <f aca="false">D1007/D1009</f>
        <v>18.4247476850676</v>
      </c>
      <c r="E1010" s="18" t="n">
        <f aca="false">E1007/E1009</f>
        <v>29.4121012028813</v>
      </c>
      <c r="F1010" s="18" t="n">
        <f aca="false">F1007/F1009</f>
        <v>35.3322954722364</v>
      </c>
      <c r="G1010" s="18" t="n">
        <f aca="false">G1007/G1009</f>
        <v>38.205527537811</v>
      </c>
      <c r="H1010" s="29" t="n">
        <f aca="false">H1007/H1009</f>
        <v>39.1088914214651</v>
      </c>
      <c r="I1010" s="29" t="n">
        <f aca="false">I1007/I1009</f>
        <v>40.299914672016</v>
      </c>
      <c r="J1010" s="29" t="n">
        <f aca="false">J1007/J1009</f>
        <v>41.8005657695538</v>
      </c>
    </row>
    <row r="1011" customFormat="false" ht="17.15" hidden="false" customHeight="false" outlineLevel="0" collapsed="false">
      <c r="A1011" s="0" t="s">
        <v>603</v>
      </c>
      <c r="B1011" s="0" t="s">
        <v>48</v>
      </c>
      <c r="D1011" s="20" t="n">
        <f aca="false">D1010/C1010-1</f>
        <v>1.03813580587031</v>
      </c>
      <c r="E1011" s="20" t="n">
        <f aca="false">E1010/D1010-1</f>
        <v>0.596336715466582</v>
      </c>
      <c r="F1011" s="20" t="n">
        <f aca="false">F1010/E1010-1</f>
        <v>0.20128430228491</v>
      </c>
      <c r="G1011" s="20" t="n">
        <f aca="false">G1010/F1010-1</f>
        <v>0.0813202773035868</v>
      </c>
      <c r="H1011" s="27" t="n">
        <f aca="false">H1010/G1010-1</f>
        <v>0.023644847797484</v>
      </c>
      <c r="I1011" s="27" t="n">
        <f aca="false">I1010/H1010-1</f>
        <v>0.0304540273902318</v>
      </c>
      <c r="J1011" s="27" t="n">
        <f aca="false">J1010/I1010-1</f>
        <v>0.037237078781704</v>
      </c>
    </row>
    <row r="1012" customFormat="false" ht="17.15" hidden="false" customHeight="false" outlineLevel="0" collapsed="false">
      <c r="A1012" s="4" t="s">
        <v>604</v>
      </c>
      <c r="B1012" s="0" t="s">
        <v>48</v>
      </c>
      <c r="C1012" s="17" t="n">
        <f aca="false">C1007/C980</f>
        <v>0.0125349699042727</v>
      </c>
      <c r="D1012" s="17" t="n">
        <f aca="false">D1007/D980</f>
        <v>0.0145632363293992</v>
      </c>
      <c r="E1012" s="17" t="n">
        <f aca="false">E1007/E980</f>
        <v>0.0169286045954252</v>
      </c>
      <c r="F1012" s="17" t="n">
        <f aca="false">F1007/F980</f>
        <v>0.0183414244056967</v>
      </c>
      <c r="G1012" s="17" t="n">
        <f aca="false">G1007/G980</f>
        <v>0.0191115431570798</v>
      </c>
      <c r="H1012" s="28" t="n">
        <f aca="false">$G1012+(fade_mA-$G1012)*1/3</f>
        <v>0.0187180339919879</v>
      </c>
      <c r="I1012" s="28" t="n">
        <f aca="false">$G1012+(fade_mA-$G1012)*2/3</f>
        <v>0.0183245248268961</v>
      </c>
      <c r="J1012" s="28" t="n">
        <f aca="false">$G1012+(fade_mA-$G1012)*3/3</f>
        <v>0.0179310156618042</v>
      </c>
    </row>
    <row r="1015" customFormat="false" ht="17.15" hidden="false" customHeight="false" outlineLevel="0" collapsed="false">
      <c r="A1015" s="1" t="s">
        <v>888</v>
      </c>
    </row>
    <row r="1016" customFormat="false" ht="17.15" hidden="false" customHeight="false" outlineLevel="0" collapsed="false">
      <c r="A1016" s="5" t="s">
        <v>17</v>
      </c>
      <c r="B1016" s="5" t="s">
        <v>18</v>
      </c>
      <c r="C1016" s="14" t="s">
        <v>414</v>
      </c>
      <c r="D1016" s="14" t="s">
        <v>529</v>
      </c>
      <c r="E1016" s="14" t="s">
        <v>530</v>
      </c>
      <c r="F1016" s="14" t="s">
        <v>531</v>
      </c>
      <c r="G1016" s="14" t="s">
        <v>532</v>
      </c>
      <c r="H1016" s="14" t="s">
        <v>533</v>
      </c>
      <c r="I1016" s="14" t="s">
        <v>534</v>
      </c>
      <c r="J1016" s="14" t="s">
        <v>535</v>
      </c>
      <c r="K1016" s="5" t="s">
        <v>496</v>
      </c>
    </row>
    <row r="1017" customFormat="false" ht="17.15" hidden="false" customHeight="false" outlineLevel="0" collapsed="false">
      <c r="A1017" s="6" t="s">
        <v>550</v>
      </c>
    </row>
    <row r="1018" customFormat="false" ht="17.15" hidden="false" customHeight="false" outlineLevel="0" collapsed="false">
      <c r="A1018" s="0" t="s">
        <v>551</v>
      </c>
      <c r="B1018" s="0" t="s">
        <v>28</v>
      </c>
      <c r="D1018" s="21" t="n">
        <f aca="false">itc_26*1</f>
        <v>781.872916666667</v>
      </c>
      <c r="E1018" s="21" t="n">
        <f aca="false">itc_27*1*1</f>
        <v>1565.35</v>
      </c>
      <c r="F1018" s="21" t="n">
        <f aca="false">itc_28*um28_A*1</f>
        <v>1984.26388888889</v>
      </c>
      <c r="G1018" s="21" t="n">
        <f aca="false">itc_29*um29_A*1</f>
        <v>2260.39027777778</v>
      </c>
    </row>
    <row r="1019" customFormat="false" ht="17.15" hidden="false" customHeight="false" outlineLevel="0" collapsed="false">
      <c r="A1019" s="4" t="s">
        <v>552</v>
      </c>
      <c r="B1019" s="0" t="s">
        <v>28</v>
      </c>
      <c r="D1019" s="21" t="n">
        <f aca="false">itpg_gb*(1-vr26)+itpg_vr*vr26</f>
        <v>33.41403216</v>
      </c>
      <c r="E1019" s="21" t="n">
        <f aca="false">itpg_vr</f>
        <v>37.586352</v>
      </c>
      <c r="F1019" s="21" t="n">
        <f aca="false">itpg_vr</f>
        <v>37.586352</v>
      </c>
      <c r="G1019" s="21" t="n">
        <f aca="false">itpg_vr</f>
        <v>37.586352</v>
      </c>
    </row>
    <row r="1020" customFormat="false" ht="17.15" hidden="false" customHeight="false" outlineLevel="0" collapsed="false">
      <c r="A1020" s="4" t="s">
        <v>553</v>
      </c>
      <c r="B1020" s="0" t="s">
        <v>498</v>
      </c>
      <c r="D1020" s="22" t="n">
        <f aca="false">D1018/D1019</f>
        <v>23.3995380420639</v>
      </c>
      <c r="E1020" s="22" t="n">
        <f aca="false">E1018/E1019</f>
        <v>41.6467658260637</v>
      </c>
      <c r="F1020" s="22" t="n">
        <f aca="false">F1018/F1019</f>
        <v>52.792138191248</v>
      </c>
      <c r="G1020" s="22" t="n">
        <f aca="false">G1018/G1019</f>
        <v>60.1385917361116</v>
      </c>
    </row>
    <row r="1021" customFormat="false" ht="17.15" hidden="false" customHeight="false" outlineLevel="0" collapsed="false">
      <c r="A1021" s="4" t="s">
        <v>554</v>
      </c>
      <c r="B1021" s="0" t="s">
        <v>555</v>
      </c>
      <c r="D1021" s="18" t="n">
        <f aca="false">(racks_gb*odm_gb*(1-vr26)+racks_vr*odm_vr*vr26)/1000</f>
        <v>27.1209</v>
      </c>
      <c r="E1021" s="18" t="n">
        <f aca="false">racks_vr*odm_vr/1000</f>
        <v>27.351</v>
      </c>
      <c r="F1021" s="18" t="n">
        <f aca="false">$E1021*vpg_28</f>
        <v>27.351</v>
      </c>
      <c r="G1021" s="18" t="n">
        <f aca="false">$E1021*vpg_29</f>
        <v>27.351</v>
      </c>
      <c r="K1021" s="4" t="s">
        <v>556</v>
      </c>
    </row>
    <row r="1022" customFormat="false" ht="17.15" hidden="false" customHeight="false" outlineLevel="0" collapsed="false">
      <c r="A1022" s="0" t="s">
        <v>557</v>
      </c>
      <c r="B1022" s="0" t="s">
        <v>28</v>
      </c>
      <c r="D1022" s="21" t="n">
        <f aca="false">D1020*D1021</f>
        <v>634.616531285011</v>
      </c>
      <c r="E1022" s="21" t="n">
        <f aca="false">E1020*E1021</f>
        <v>1139.08069210867</v>
      </c>
      <c r="F1022" s="21" t="n">
        <f aca="false">F1020*F1021</f>
        <v>1443.91777166882</v>
      </c>
      <c r="G1022" s="21" t="n">
        <f aca="false">G1020*G1021</f>
        <v>1644.85062257439</v>
      </c>
    </row>
    <row r="1023" customFormat="false" ht="17.15" hidden="false" customHeight="false" outlineLevel="0" collapsed="false">
      <c r="A1023" s="0" t="s">
        <v>558</v>
      </c>
      <c r="B1023" s="0" t="s">
        <v>147</v>
      </c>
      <c r="D1023" s="21" t="n">
        <f aca="false">D1022*fx</f>
        <v>20307.7290011204</v>
      </c>
      <c r="E1023" s="21" t="n">
        <f aca="false">E1022*fx</f>
        <v>36450.5821474774</v>
      </c>
      <c r="F1023" s="21" t="n">
        <f aca="false">F1022*fx</f>
        <v>46205.3686934024</v>
      </c>
      <c r="G1023" s="21" t="n">
        <f aca="false">G1022*fx</f>
        <v>52635.2199223804</v>
      </c>
    </row>
    <row r="1024" customFormat="false" ht="17.15" hidden="false" customHeight="false" outlineLevel="0" collapsed="false">
      <c r="A1024" s="6" t="s">
        <v>559</v>
      </c>
    </row>
    <row r="1025" customFormat="false" ht="17.15" hidden="false" customHeight="false" outlineLevel="0" collapsed="false">
      <c r="A1025" s="4" t="s">
        <v>560</v>
      </c>
      <c r="B1025" s="0" t="s">
        <v>48</v>
      </c>
      <c r="D1025" s="20" t="n">
        <f aca="false">a26_ais/D1023</f>
        <v>0.0875096501918446</v>
      </c>
      <c r="K1025" s="8" t="s">
        <v>561</v>
      </c>
    </row>
    <row r="1026" customFormat="false" ht="17.15" hidden="false" customHeight="false" outlineLevel="0" collapsed="false">
      <c r="A1026" s="4" t="s">
        <v>562</v>
      </c>
      <c r="B1026" s="0" t="s">
        <v>60</v>
      </c>
      <c r="D1026" s="18" t="n">
        <f aca="false">1</f>
        <v>1</v>
      </c>
      <c r="E1026" s="18" t="n">
        <f aca="false">rel_27</f>
        <v>1</v>
      </c>
      <c r="F1026" s="18" t="n">
        <f aca="false">rel_28</f>
        <v>0.95</v>
      </c>
      <c r="G1026" s="18" t="n">
        <f aca="false">rel_29</f>
        <v>0.9</v>
      </c>
    </row>
    <row r="1027" customFormat="false" ht="17.15" hidden="false" customHeight="false" outlineLevel="0" collapsed="false">
      <c r="A1027" s="4" t="s">
        <v>563</v>
      </c>
      <c r="B1027" s="0" t="s">
        <v>48</v>
      </c>
      <c r="D1027" s="20" t="n">
        <f aca="false">$D$1025*D1026</f>
        <v>0.0875096501918446</v>
      </c>
      <c r="E1027" s="20" t="n">
        <f aca="false">$D$1025*E1026</f>
        <v>0.0875096501918446</v>
      </c>
      <c r="F1027" s="20" t="n">
        <f aca="false">$D$1025*F1026</f>
        <v>0.0831341676822524</v>
      </c>
      <c r="G1027" s="20" t="n">
        <f aca="false">$D$1025*G1026</f>
        <v>0.0787586851726601</v>
      </c>
    </row>
    <row r="1028" customFormat="false" ht="17.15" hidden="false" customHeight="false" outlineLevel="0" collapsed="false">
      <c r="A1028" s="4" t="s">
        <v>564</v>
      </c>
      <c r="B1028" s="0" t="s">
        <v>147</v>
      </c>
      <c r="D1028" s="21" t="n">
        <f aca="false">D1023*D1027</f>
        <v>1777.12226107882</v>
      </c>
      <c r="E1028" s="21" t="n">
        <f aca="false">E1023*E1027</f>
        <v>3189.77769301484</v>
      </c>
      <c r="F1028" s="21" t="n">
        <f aca="false">F1023*F1027</f>
        <v>3841.24486877761</v>
      </c>
      <c r="G1028" s="21" t="n">
        <f aca="false">G1023*G1027</f>
        <v>4145.48071486049</v>
      </c>
    </row>
    <row r="1029" customFormat="false" ht="17.15" hidden="false" customHeight="false" outlineLevel="0" collapsed="false">
      <c r="A1029" s="4" t="s">
        <v>565</v>
      </c>
      <c r="B1029" s="0" t="s">
        <v>48</v>
      </c>
      <c r="D1029" s="20" t="n">
        <f aca="false">0</f>
        <v>0</v>
      </c>
      <c r="E1029" s="20" t="n">
        <f aca="false">cs_27</f>
        <v>0.1</v>
      </c>
      <c r="F1029" s="20" t="n">
        <f aca="false">cs_28</f>
        <v>0.2</v>
      </c>
      <c r="G1029" s="20" t="n">
        <f aca="false">cs_29</f>
        <v>0.25</v>
      </c>
      <c r="K1029" s="8" t="s">
        <v>566</v>
      </c>
    </row>
    <row r="1030" customFormat="false" ht="17.15" hidden="false" customHeight="false" outlineLevel="0" collapsed="false">
      <c r="A1030" s="4" t="s">
        <v>567</v>
      </c>
      <c r="B1030" s="0" t="s">
        <v>147</v>
      </c>
      <c r="D1030" s="21" t="n">
        <f aca="false">D1028*(1-D1029)</f>
        <v>1777.12226107882</v>
      </c>
      <c r="E1030" s="21" t="n">
        <f aca="false">E1028*(1-E1029)</f>
        <v>2870.79992371336</v>
      </c>
      <c r="F1030" s="21" t="n">
        <f aca="false">F1028*(1-F1029)</f>
        <v>3072.99589502208</v>
      </c>
      <c r="G1030" s="21" t="n">
        <f aca="false">G1028*(1-G1029)</f>
        <v>3109.11053614536</v>
      </c>
    </row>
    <row r="1031" customFormat="false" ht="17.15" hidden="false" customHeight="false" outlineLevel="0" collapsed="false">
      <c r="A1031" s="6" t="s">
        <v>568</v>
      </c>
    </row>
    <row r="1032" customFormat="false" ht="17.15" hidden="false" customHeight="false" outlineLevel="0" collapsed="false">
      <c r="A1032" s="0" t="s">
        <v>569</v>
      </c>
      <c r="B1032" s="4" t="s">
        <v>81</v>
      </c>
      <c r="D1032" s="18" t="n">
        <f aca="false">gu_26*1</f>
        <v>8.35</v>
      </c>
      <c r="E1032" s="18" t="n">
        <f aca="false">gu_27*1*1</f>
        <v>11.2</v>
      </c>
      <c r="F1032" s="18" t="n">
        <f aca="false">gu_28*um28_A*1</f>
        <v>11.5</v>
      </c>
      <c r="G1032" s="18" t="n">
        <f aca="false">gu_29*um29_A*1</f>
        <v>12.9</v>
      </c>
    </row>
    <row r="1033" customFormat="false" ht="15" hidden="false" customHeight="false" outlineLevel="0" collapsed="false">
      <c r="A1033" s="4" t="s">
        <v>570</v>
      </c>
      <c r="B1033" s="0" t="s">
        <v>48</v>
      </c>
      <c r="D1033" s="20" t="n">
        <f aca="false">bsh_26</f>
        <v>0.5</v>
      </c>
      <c r="E1033" s="20" t="n">
        <f aca="false">bsh_26*brel_27</f>
        <v>0.5</v>
      </c>
      <c r="F1033" s="20" t="n">
        <f aca="false">bsh_26*brel_28</f>
        <v>0.475</v>
      </c>
      <c r="G1033" s="20" t="n">
        <f aca="false">bsh_26*brel_29</f>
        <v>0.45</v>
      </c>
    </row>
    <row r="1034" customFormat="false" ht="17.15" hidden="false" customHeight="false" outlineLevel="0" collapsed="false">
      <c r="A1034" s="4" t="s">
        <v>571</v>
      </c>
      <c r="B1034" s="0" t="s">
        <v>520</v>
      </c>
      <c r="D1034" s="24" t="n">
        <f aca="false">a26_brd/fx/D1032/D1033*1000</f>
        <v>823.353293413174</v>
      </c>
      <c r="E1034" s="24" t="n">
        <f aca="false">$D1034*bv_27</f>
        <v>946.85628742515</v>
      </c>
      <c r="F1034" s="24" t="n">
        <f aca="false">$D1034*bv_28</f>
        <v>988.023952095808</v>
      </c>
      <c r="G1034" s="24" t="n">
        <f aca="false">$D1034*bv_29</f>
        <v>988.023952095808</v>
      </c>
      <c r="K1034" s="8" t="s">
        <v>572</v>
      </c>
    </row>
    <row r="1035" customFormat="false" ht="17.15" hidden="false" customHeight="false" outlineLevel="0" collapsed="false">
      <c r="A1035" s="0" t="s">
        <v>522</v>
      </c>
      <c r="B1035" s="0" t="s">
        <v>147</v>
      </c>
      <c r="D1035" s="21" t="n">
        <f aca="false">D1032*D1033*D1034*fx/1000</f>
        <v>110</v>
      </c>
      <c r="E1035" s="21" t="n">
        <f aca="false">E1032*E1033*E1034*fx/1000</f>
        <v>169.676646706587</v>
      </c>
      <c r="F1035" s="21" t="n">
        <f aca="false">F1032*F1033*F1034*fx/1000</f>
        <v>172.706586826347</v>
      </c>
      <c r="G1035" s="21" t="n">
        <f aca="false">G1032*G1033*G1034*fx/1000</f>
        <v>183.535329341317</v>
      </c>
    </row>
    <row r="1036" customFormat="false" ht="17.15" hidden="false" customHeight="false" outlineLevel="0" collapsed="false">
      <c r="A1036" s="6" t="s">
        <v>573</v>
      </c>
    </row>
    <row r="1037" customFormat="false" ht="15" hidden="false" customHeight="false" outlineLevel="0" collapsed="false">
      <c r="A1037" s="4" t="s">
        <v>574</v>
      </c>
      <c r="B1037" s="0" t="s">
        <v>147</v>
      </c>
      <c r="D1037" s="21" t="n">
        <f aca="false">a26_gen</f>
        <v>150</v>
      </c>
      <c r="E1037" s="21" t="n">
        <f aca="false">D1037*(1+g_gen27)</f>
        <v>180</v>
      </c>
      <c r="F1037" s="21" t="n">
        <f aca="false">E1037*(1+g_gen28)</f>
        <v>198</v>
      </c>
      <c r="G1037" s="21" t="n">
        <f aca="false">F1037*(1+g_gen29)</f>
        <v>213.84</v>
      </c>
    </row>
    <row r="1038" customFormat="false" ht="15" hidden="false" customHeight="false" outlineLevel="0" collapsed="false">
      <c r="A1038" s="4" t="s">
        <v>575</v>
      </c>
      <c r="B1038" s="0" t="s">
        <v>147</v>
      </c>
      <c r="D1038" s="21" t="n">
        <f aca="false">a26_pc</f>
        <v>614.602793131557</v>
      </c>
      <c r="E1038" s="21" t="n">
        <f aca="false">D1038*(1+g_pc27)</f>
        <v>596.16470933761</v>
      </c>
      <c r="F1038" s="21" t="n">
        <f aca="false">E1038*(1+g_pc28)</f>
        <v>596.16470933761</v>
      </c>
      <c r="G1038" s="21" t="n">
        <f aca="false">F1038*(1+g_pc29)</f>
        <v>596.16470933761</v>
      </c>
    </row>
    <row r="1039" customFormat="false" ht="15" hidden="false" customHeight="false" outlineLevel="0" collapsed="false">
      <c r="A1039" s="4" t="s">
        <v>576</v>
      </c>
      <c r="B1039" s="0" t="s">
        <v>147</v>
      </c>
      <c r="C1039" s="21" t="n">
        <f aca="false">a25_srev</f>
        <v>1235.86</v>
      </c>
      <c r="D1039" s="21" t="n">
        <f aca="false">D1030+D1035+D1037+D1038</f>
        <v>2651.72505421038</v>
      </c>
      <c r="E1039" s="21" t="n">
        <f aca="false">E1030+E1035+E1037+E1038</f>
        <v>3816.64127975755</v>
      </c>
      <c r="F1039" s="21" t="n">
        <f aca="false">F1030+F1035+F1037+F1038</f>
        <v>4039.86719118604</v>
      </c>
      <c r="G1039" s="21" t="n">
        <f aca="false">G1030+G1035+G1037+G1038</f>
        <v>4102.65057482429</v>
      </c>
    </row>
    <row r="1040" customFormat="false" ht="17.15" hidden="false" customHeight="false" outlineLevel="0" collapsed="false">
      <c r="A1040" s="4" t="s">
        <v>577</v>
      </c>
      <c r="B1040" s="0" t="s">
        <v>48</v>
      </c>
      <c r="D1040" s="20" t="n">
        <f aca="false">a26_wai/D1023</f>
        <v>0.0391523244650416</v>
      </c>
      <c r="K1040" s="8" t="s">
        <v>578</v>
      </c>
    </row>
    <row r="1041" customFormat="false" ht="17.15" hidden="false" customHeight="false" outlineLevel="0" collapsed="false">
      <c r="A1041" s="4" t="s">
        <v>504</v>
      </c>
      <c r="B1041" s="0" t="s">
        <v>48</v>
      </c>
      <c r="D1041" s="20" t="n">
        <f aca="false">D1040</f>
        <v>0.0391523244650416</v>
      </c>
      <c r="E1041" s="20" t="n">
        <f aca="false">$D$1040*wrel_27</f>
        <v>0.0391523244650416</v>
      </c>
      <c r="F1041" s="20" t="n">
        <f aca="false">$D$1040*wrel_28</f>
        <v>0.0391523244650416</v>
      </c>
      <c r="G1041" s="20" t="n">
        <f aca="false">$D$1040*wrel_29</f>
        <v>0.0371947082417896</v>
      </c>
    </row>
    <row r="1042" customFormat="false" ht="17.15" hidden="false" customHeight="false" outlineLevel="0" collapsed="false">
      <c r="A1042" s="4" t="s">
        <v>524</v>
      </c>
      <c r="B1042" s="0" t="s">
        <v>147</v>
      </c>
      <c r="D1042" s="21" t="n">
        <f aca="false">D1023*D1041</f>
        <v>795.094795</v>
      </c>
      <c r="E1042" s="21" t="n">
        <f aca="false">E1023*E1041</f>
        <v>1427.12501917769</v>
      </c>
      <c r="F1042" s="21" t="n">
        <f aca="false">F1023*F1041</f>
        <v>1809.04758711097</v>
      </c>
      <c r="G1042" s="21" t="n">
        <f aca="false">G1023*G1041</f>
        <v>1957.75164825537</v>
      </c>
    </row>
    <row r="1043" customFormat="false" ht="17.15" hidden="false" customHeight="false" outlineLevel="0" collapsed="false">
      <c r="A1043" s="4" t="s">
        <v>579</v>
      </c>
      <c r="B1043" s="0" t="s">
        <v>147</v>
      </c>
      <c r="D1043" s="21" t="n">
        <f aca="false">a26_wna</f>
        <v>650.532105</v>
      </c>
      <c r="E1043" s="21" t="n">
        <f aca="false">D1043*(1+g_wn27)</f>
        <v>715.5853155</v>
      </c>
      <c r="F1043" s="21" t="n">
        <f aca="false">E1043*(1+g_wn28)</f>
        <v>758.52043443</v>
      </c>
      <c r="G1043" s="21" t="n">
        <f aca="false">F1043*(1+g_wn29)</f>
        <v>796.4464561515</v>
      </c>
    </row>
    <row r="1044" customFormat="false" ht="15" hidden="false" customHeight="false" outlineLevel="0" collapsed="false">
      <c r="A1044" s="4" t="s">
        <v>434</v>
      </c>
      <c r="B1044" s="0" t="s">
        <v>147</v>
      </c>
      <c r="C1044" s="21" t="n">
        <f aca="false">a25_wrev</f>
        <v>950.663</v>
      </c>
      <c r="D1044" s="21" t="n">
        <f aca="false">D1042+D1043</f>
        <v>1445.6269</v>
      </c>
      <c r="E1044" s="21" t="n">
        <f aca="false">E1042+E1043</f>
        <v>2142.71033467769</v>
      </c>
      <c r="F1044" s="21" t="n">
        <f aca="false">F1042+F1043</f>
        <v>2567.56802154097</v>
      </c>
      <c r="G1044" s="21" t="n">
        <f aca="false">G1042+G1043</f>
        <v>2754.19810440687</v>
      </c>
    </row>
    <row r="1045" customFormat="false" ht="17.15" hidden="false" customHeight="false" outlineLevel="0" collapsed="false">
      <c r="A1045" s="4" t="s">
        <v>420</v>
      </c>
      <c r="B1045" s="0" t="s">
        <v>147</v>
      </c>
      <c r="C1045" s="21" t="n">
        <f aca="false">C1039+C1044</f>
        <v>2186.523</v>
      </c>
      <c r="D1045" s="21" t="n">
        <f aca="false">D1039+D1044</f>
        <v>4097.35195421038</v>
      </c>
      <c r="E1045" s="21" t="n">
        <f aca="false">E1039+E1044</f>
        <v>5959.35161443524</v>
      </c>
      <c r="F1045" s="21" t="n">
        <f aca="false">F1039+F1044</f>
        <v>6607.43521272701</v>
      </c>
      <c r="G1045" s="21" t="n">
        <f aca="false">G1039+G1044</f>
        <v>6856.84867923116</v>
      </c>
      <c r="H1045" s="26" t="n">
        <f aca="false">G1045*(1+H1046)</f>
        <v>7166.53776956726</v>
      </c>
      <c r="I1045" s="26" t="n">
        <f aca="false">H1045*(1+I1046)</f>
        <v>7543.37199085936</v>
      </c>
      <c r="J1045" s="26" t="n">
        <f aca="false">I1045*(1+J1046)</f>
        <v>7995.97431031092</v>
      </c>
      <c r="K1045" s="8" t="s">
        <v>580</v>
      </c>
    </row>
    <row r="1046" customFormat="false" ht="15" hidden="false" customHeight="false" outlineLevel="0" collapsed="false">
      <c r="A1046" s="4" t="s">
        <v>581</v>
      </c>
      <c r="B1046" s="0" t="s">
        <v>48</v>
      </c>
      <c r="D1046" s="20" t="n">
        <f aca="false">D1045/C1045-1</f>
        <v>0.873912121761526</v>
      </c>
      <c r="E1046" s="20" t="n">
        <f aca="false">E1045/D1045-1</f>
        <v>0.454439765251677</v>
      </c>
      <c r="F1046" s="20" t="n">
        <f aca="false">F1045/E1045-1</f>
        <v>0.108750689709586</v>
      </c>
      <c r="G1046" s="20" t="n">
        <f aca="false">G1045/F1045-1</f>
        <v>0.0377473949383174</v>
      </c>
      <c r="H1046" s="27" t="n">
        <f aca="false">$G1046+(fade_gA-$G1046)*1/3</f>
        <v>0.0451649299588782</v>
      </c>
      <c r="I1046" s="27" t="n">
        <f aca="false">$G1046+(fade_gA-$G1046)*2/3</f>
        <v>0.0525824649794391</v>
      </c>
      <c r="J1046" s="27" t="n">
        <f aca="false">$G1046+(fade_gA-$G1046)*3/3</f>
        <v>0.06</v>
      </c>
    </row>
    <row r="1047" customFormat="false" ht="17.15" hidden="false" customHeight="false" outlineLevel="0" collapsed="false">
      <c r="A1047" s="0" t="s">
        <v>582</v>
      </c>
      <c r="B1047" s="0" t="s">
        <v>48</v>
      </c>
      <c r="D1047" s="20" t="n">
        <f aca="false">(D1030+D1035+D1042)/D1045</f>
        <v>0.6546220793463</v>
      </c>
      <c r="E1047" s="20" t="n">
        <f aca="false">(E1030+E1035+E1042)/E1045</f>
        <v>0.749679139384196</v>
      </c>
      <c r="F1047" s="20" t="n">
        <f aca="false">(F1030+F1035+F1042)/F1045</f>
        <v>0.76500940322852</v>
      </c>
      <c r="G1047" s="20" t="n">
        <f aca="false">(G1030+G1035+G1042)/G1045</f>
        <v>0.765715820686707</v>
      </c>
    </row>
    <row r="1048" customFormat="false" ht="17.15" hidden="false" customHeight="false" outlineLevel="0" collapsed="false">
      <c r="A1048" s="4" t="s">
        <v>583</v>
      </c>
      <c r="B1048" s="0" t="s">
        <v>48</v>
      </c>
      <c r="C1048" s="20" t="n">
        <f aca="false">C1044/C1045</f>
        <v>0.434782986504144</v>
      </c>
      <c r="D1048" s="20" t="n">
        <f aca="false">D1044/D1045</f>
        <v>0.352819800728736</v>
      </c>
      <c r="E1048" s="20" t="n">
        <f aca="false">E1044/E1045</f>
        <v>0.359554272563384</v>
      </c>
      <c r="F1048" s="20" t="n">
        <f aca="false">F1044/F1045</f>
        <v>0.388587695358012</v>
      </c>
      <c r="G1048" s="20" t="n">
        <f aca="false">G1044/G1045</f>
        <v>0.40167112229691</v>
      </c>
    </row>
    <row r="1049" customFormat="false" ht="17.15" hidden="false" customHeight="false" outlineLevel="0" collapsed="false">
      <c r="A1049" s="4" t="s">
        <v>584</v>
      </c>
      <c r="B1049" s="4" t="s">
        <v>331</v>
      </c>
      <c r="D1049" s="21" t="n">
        <f aca="false">D1028/fx/(odm_gb*(1-vr26)+odm_vr*vr26)</f>
        <v>12.0597330420658</v>
      </c>
      <c r="E1049" s="21" t="n">
        <f aca="false">E1028/fx/odm_vr</f>
        <v>14.7674893195131</v>
      </c>
      <c r="F1049" s="21" t="n">
        <f aca="false">F1028/fx/odm_vr</f>
        <v>17.7835410591556</v>
      </c>
      <c r="G1049" s="21" t="n">
        <f aca="false">G1028/fx/odm_vr</f>
        <v>19.1920403465763</v>
      </c>
      <c r="K1049" s="4" t="s">
        <v>585</v>
      </c>
    </row>
    <row r="1050" customFormat="false" ht="17.15" hidden="false" customHeight="false" outlineLevel="0" collapsed="false">
      <c r="A1050" s="6" t="s">
        <v>586</v>
      </c>
    </row>
    <row r="1051" customFormat="false" ht="17.15" hidden="false" customHeight="false" outlineLevel="0" collapsed="false">
      <c r="A1051" s="4" t="s">
        <v>587</v>
      </c>
      <c r="B1051" s="0" t="s">
        <v>48</v>
      </c>
      <c r="D1051" s="17" t="n">
        <f aca="false">(a26_sgp-d_ai*D1030-d_brd*D1035-d_gen*D1037)/D1039</f>
        <v>0.0436423860147897</v>
      </c>
      <c r="K1051" s="8" t="s">
        <v>588</v>
      </c>
    </row>
    <row r="1052" customFormat="false" ht="17.15" hidden="false" customHeight="false" outlineLevel="0" collapsed="false">
      <c r="A1052" s="4" t="s">
        <v>589</v>
      </c>
      <c r="B1052" s="0" t="s">
        <v>147</v>
      </c>
      <c r="D1052" s="25" t="n">
        <f aca="false">($D$1051+d_ai)*D1028*(1-D1029*(1-keep))</f>
        <v>59.7866331026896</v>
      </c>
      <c r="E1052" s="25" t="n">
        <f aca="false">($D$1051+d_ai+vrd)*E1028*(1-E1029*(1-keep))</f>
        <v>99.9228552931035</v>
      </c>
      <c r="F1052" s="25" t="n">
        <f aca="false">($D$1051+d_ai+vrd)*F1028*(1-F1029*(1-keep))</f>
        <v>119.115229856887</v>
      </c>
      <c r="G1052" s="25" t="n">
        <f aca="false">($D$1051+d_ai+vrd)*G1028*(1-G1029*(1-keep))</f>
        <v>127.89357847157</v>
      </c>
    </row>
    <row r="1053" customFormat="false" ht="15" hidden="false" customHeight="false" outlineLevel="0" collapsed="false">
      <c r="A1053" s="4" t="s">
        <v>590</v>
      </c>
      <c r="B1053" s="0" t="s">
        <v>147</v>
      </c>
      <c r="C1053" s="21" t="n">
        <f aca="false">a25_sgp</f>
        <v>55.529</v>
      </c>
      <c r="D1053" s="21" t="n">
        <f aca="false">a26_sgp</f>
        <v>103.50638581015</v>
      </c>
      <c r="E1053" s="21" t="n">
        <f aca="false">$D$1051*E1038+($D$1051+d_brd)*E1035+($D$1051+d_gen)*E1037+E1052</f>
        <v>148.991928263534</v>
      </c>
      <c r="F1053" s="21" t="n">
        <f aca="false">$D$1051*F1038+($D$1051+d_brd)*F1035+($D$1051+d_gen)*F1037+F1052</f>
        <v>169.462997795485</v>
      </c>
      <c r="G1053" s="21" t="n">
        <f aca="false">$D$1051*G1038+($D$1051+d_brd)*G1035+($D$1051+d_gen)*G1037+G1052</f>
        <v>179.967696240984</v>
      </c>
    </row>
    <row r="1054" customFormat="false" ht="15" hidden="false" customHeight="false" outlineLevel="0" collapsed="false">
      <c r="A1054" s="4" t="s">
        <v>591</v>
      </c>
      <c r="B1054" s="0" t="s">
        <v>48</v>
      </c>
      <c r="C1054" s="17" t="n">
        <f aca="false">C1053/C1039</f>
        <v>0.0449314647290146</v>
      </c>
      <c r="D1054" s="17" t="n">
        <f aca="false">D1053/D1039</f>
        <v>0.0390336040479778</v>
      </c>
      <c r="E1054" s="17" t="n">
        <f aca="false">E1053/E1039</f>
        <v>0.0390374461057547</v>
      </c>
      <c r="F1054" s="17" t="n">
        <f aca="false">F1053/F1039</f>
        <v>0.0419476655483156</v>
      </c>
      <c r="G1054" s="17" t="n">
        <f aca="false">G1053/G1039</f>
        <v>0.0438662013639053</v>
      </c>
    </row>
    <row r="1055" customFormat="false" ht="15" hidden="false" customHeight="false" outlineLevel="0" collapsed="false">
      <c r="A1055" s="4" t="s">
        <v>592</v>
      </c>
      <c r="B1055" s="0" t="s">
        <v>48</v>
      </c>
      <c r="E1055" s="20" t="n">
        <f aca="false">MAX(0,phi*(E1039/D1039-1))</f>
        <v>0.13179151703879</v>
      </c>
      <c r="F1055" s="20" t="n">
        <f aca="false">MAX(0,phi*(F1039/E1039-1))</f>
        <v>0.0175462582202121</v>
      </c>
      <c r="G1055" s="20" t="n">
        <f aca="false">MAX(0,phi*(G1039/F1039-1))</f>
        <v>0.00466228571388885</v>
      </c>
    </row>
    <row r="1056" customFormat="false" ht="15" hidden="false" customHeight="false" outlineLevel="0" collapsed="false">
      <c r="A1056" s="4" t="s">
        <v>593</v>
      </c>
      <c r="B1056" s="0" t="s">
        <v>147</v>
      </c>
      <c r="C1056" s="21" t="n">
        <f aca="false">a25_sopx</f>
        <v>40.894</v>
      </c>
      <c r="D1056" s="21" t="n">
        <f aca="false">a26_sopx</f>
        <v>46.9914095398923</v>
      </c>
      <c r="E1056" s="21" t="n">
        <f aca="false">D1056*(1+E1055)+0*E1039</f>
        <v>53.1844786909457</v>
      </c>
      <c r="F1056" s="21" t="n">
        <f aca="false">E1056*(1+F1055)+0*F1039</f>
        <v>54.1176672873644</v>
      </c>
      <c r="G1056" s="21" t="n">
        <f aca="false">F1056*(1+G1055)+0*G1039</f>
        <v>54.3699793144273</v>
      </c>
    </row>
    <row r="1057" customFormat="false" ht="15" hidden="false" customHeight="false" outlineLevel="0" collapsed="false">
      <c r="A1057" s="4" t="s">
        <v>594</v>
      </c>
      <c r="B1057" s="0" t="s">
        <v>147</v>
      </c>
      <c r="C1057" s="21" t="n">
        <f aca="false">C1053-C1056</f>
        <v>14.635</v>
      </c>
      <c r="D1057" s="21" t="n">
        <f aca="false">D1053-D1056</f>
        <v>56.514976270258</v>
      </c>
      <c r="E1057" s="21" t="n">
        <f aca="false">E1053-E1056</f>
        <v>95.8074495725884</v>
      </c>
      <c r="F1057" s="21" t="n">
        <f aca="false">F1053-F1056</f>
        <v>115.345330508121</v>
      </c>
      <c r="G1057" s="21" t="n">
        <f aca="false">G1053-G1056</f>
        <v>125.597716926557</v>
      </c>
    </row>
    <row r="1058" customFormat="false" ht="15" hidden="false" customHeight="false" outlineLevel="0" collapsed="false">
      <c r="A1058" s="4" t="s">
        <v>595</v>
      </c>
      <c r="B1058" s="0" t="s">
        <v>48</v>
      </c>
      <c r="C1058" s="17" t="n">
        <f aca="false">C1057/C1039</f>
        <v>0.011841956208632</v>
      </c>
      <c r="D1058" s="17" t="n">
        <f aca="false">D1057/D1039</f>
        <v>0.0213125324514788</v>
      </c>
      <c r="E1058" s="17" t="n">
        <f aca="false">E1057/E1039</f>
        <v>0.0251025555062577</v>
      </c>
      <c r="F1058" s="17" t="n">
        <f aca="false">F1057/F1039</f>
        <v>0.0285517629786878</v>
      </c>
      <c r="G1058" s="17" t="n">
        <f aca="false">G1057/G1039</f>
        <v>0.0306137982350437</v>
      </c>
    </row>
    <row r="1059" customFormat="false" ht="15" hidden="false" customHeight="false" outlineLevel="0" collapsed="false">
      <c r="A1059" s="4" t="s">
        <v>596</v>
      </c>
      <c r="B1059" s="0" t="s">
        <v>147</v>
      </c>
      <c r="C1059" s="21" t="n">
        <f aca="false">a25_sni</f>
        <v>6.9608</v>
      </c>
      <c r="D1059" s="21" t="n">
        <f aca="false">a26_sni</f>
        <v>31.133746704</v>
      </c>
      <c r="E1059" s="21" t="n">
        <f aca="false">E1057*snio_lo</f>
        <v>43.1133523076648</v>
      </c>
      <c r="F1059" s="21" t="n">
        <f aca="false">F1057*snio_lo</f>
        <v>51.9053987286544</v>
      </c>
      <c r="G1059" s="21" t="n">
        <f aca="false">G1057*snio_lo</f>
        <v>56.5189726169506</v>
      </c>
    </row>
    <row r="1060" customFormat="false" ht="17.15" hidden="false" customHeight="false" outlineLevel="0" collapsed="false">
      <c r="A1060" s="6" t="s">
        <v>597</v>
      </c>
    </row>
    <row r="1061" customFormat="false" ht="15" hidden="false" customHeight="false" outlineLevel="0" collapsed="false">
      <c r="A1061" s="4" t="s">
        <v>438</v>
      </c>
      <c r="B1061" s="0" t="s">
        <v>147</v>
      </c>
      <c r="C1061" s="21" t="n">
        <f aca="false">a25_wgp</f>
        <v>78.454</v>
      </c>
      <c r="D1061" s="21" t="n">
        <f aca="false">a26_wgp</f>
        <v>125.0519932</v>
      </c>
      <c r="E1061" s="21" t="n">
        <f aca="false">E1044*wgm</f>
        <v>182.130378447603</v>
      </c>
      <c r="F1061" s="21" t="n">
        <f aca="false">F1044*wgm</f>
        <v>218.243281830982</v>
      </c>
      <c r="G1061" s="21" t="n">
        <f aca="false">G1044*wgm</f>
        <v>234.106838874584</v>
      </c>
    </row>
    <row r="1062" customFormat="false" ht="15" hidden="false" customHeight="false" outlineLevel="0" collapsed="false">
      <c r="A1062" s="4" t="s">
        <v>440</v>
      </c>
      <c r="B1062" s="0" t="s">
        <v>147</v>
      </c>
      <c r="C1062" s="21" t="n">
        <f aca="false">a25_woi</f>
        <v>63.918</v>
      </c>
      <c r="D1062" s="21" t="n">
        <f aca="false">a26_woi</f>
        <v>98.2471632</v>
      </c>
      <c r="E1062" s="21" t="n">
        <f aca="false">E1044*wopm</f>
        <v>139.27617175405</v>
      </c>
      <c r="F1062" s="21" t="n">
        <f aca="false">F1044*wopm</f>
        <v>166.891921400163</v>
      </c>
      <c r="G1062" s="21" t="n">
        <f aca="false">G1044*wopm</f>
        <v>179.022876786446</v>
      </c>
    </row>
    <row r="1063" customFormat="false" ht="15" hidden="false" customHeight="false" outlineLevel="0" collapsed="false">
      <c r="A1063" s="4" t="s">
        <v>448</v>
      </c>
      <c r="B1063" s="0" t="s">
        <v>147</v>
      </c>
      <c r="C1063" s="21" t="n">
        <f aca="false">a25_wni</f>
        <v>51.118</v>
      </c>
      <c r="D1063" s="21" t="n">
        <f aca="false">a26_wni</f>
        <v>75.735026884</v>
      </c>
      <c r="E1063" s="21" t="n">
        <f aca="false">E1062*wnio</f>
        <v>108.635413968159</v>
      </c>
      <c r="F1063" s="21" t="n">
        <f aca="false">F1062*wnio</f>
        <v>130.175698692127</v>
      </c>
      <c r="G1063" s="21" t="n">
        <f aca="false">G1062*wnio</f>
        <v>139.637843893428</v>
      </c>
    </row>
    <row r="1064" customFormat="false" ht="15" hidden="false" customHeight="false" outlineLevel="0" collapsed="false">
      <c r="A1064" s="4" t="s">
        <v>450</v>
      </c>
      <c r="B1064" s="0" t="s">
        <v>48</v>
      </c>
      <c r="C1064" s="17" t="n">
        <f aca="false">stake25</f>
        <v>0.4</v>
      </c>
      <c r="D1064" s="17" t="n">
        <f aca="false">stake</f>
        <v>0.3768</v>
      </c>
      <c r="E1064" s="17" t="n">
        <f aca="false">stake</f>
        <v>0.3768</v>
      </c>
      <c r="F1064" s="17" t="n">
        <f aca="false">stake</f>
        <v>0.3768</v>
      </c>
      <c r="G1064" s="17" t="n">
        <f aca="false">stake</f>
        <v>0.3768</v>
      </c>
    </row>
    <row r="1065" customFormat="false" ht="17.15" hidden="false" customHeight="false" outlineLevel="0" collapsed="false">
      <c r="A1065" s="6" t="s">
        <v>598</v>
      </c>
    </row>
    <row r="1066" customFormat="false" ht="15" hidden="false" customHeight="false" outlineLevel="0" collapsed="false">
      <c r="A1066" s="4" t="s">
        <v>424</v>
      </c>
      <c r="B1066" s="0" t="s">
        <v>147</v>
      </c>
      <c r="C1066" s="21" t="n">
        <f aca="false">C1053+C1061</f>
        <v>133.983</v>
      </c>
      <c r="D1066" s="21" t="n">
        <f aca="false">D1053+D1061</f>
        <v>228.55837901015</v>
      </c>
      <c r="E1066" s="21" t="n">
        <f aca="false">E1053+E1061</f>
        <v>331.122306711138</v>
      </c>
      <c r="F1066" s="21" t="n">
        <f aca="false">F1053+F1061</f>
        <v>387.706279626467</v>
      </c>
      <c r="G1066" s="21" t="n">
        <f aca="false">G1053+G1061</f>
        <v>414.074535115568</v>
      </c>
    </row>
    <row r="1067" customFormat="false" ht="15" hidden="false" customHeight="false" outlineLevel="0" collapsed="false">
      <c r="A1067" s="4" t="s">
        <v>427</v>
      </c>
      <c r="B1067" s="0" t="s">
        <v>48</v>
      </c>
      <c r="C1067" s="17" t="n">
        <f aca="false">C1066/C1045</f>
        <v>0.0612767393711386</v>
      </c>
      <c r="D1067" s="17" t="n">
        <f aca="false">D1066/D1045</f>
        <v>0.055781973714825</v>
      </c>
      <c r="E1067" s="17" t="n">
        <f aca="false">E1066/E1045</f>
        <v>0.0555634787363554</v>
      </c>
      <c r="F1067" s="17" t="n">
        <f aca="false">F1066/F1045</f>
        <v>0.058677272972678</v>
      </c>
      <c r="G1067" s="17" t="n">
        <f aca="false">G1066/G1045</f>
        <v>0.0603884604264006</v>
      </c>
    </row>
    <row r="1068" customFormat="false" ht="15" hidden="false" customHeight="false" outlineLevel="0" collapsed="false">
      <c r="A1068" s="4" t="s">
        <v>428</v>
      </c>
      <c r="B1068" s="0" t="s">
        <v>147</v>
      </c>
      <c r="C1068" s="21" t="n">
        <f aca="false">C1057+C1062</f>
        <v>78.553</v>
      </c>
      <c r="D1068" s="21" t="n">
        <f aca="false">D1057+D1062</f>
        <v>154.762139470258</v>
      </c>
      <c r="E1068" s="21" t="n">
        <f aca="false">E1057+E1062</f>
        <v>235.083621326638</v>
      </c>
      <c r="F1068" s="21" t="n">
        <f aca="false">F1057+F1062</f>
        <v>282.237251908284</v>
      </c>
      <c r="G1068" s="21" t="n">
        <f aca="false">G1057+G1062</f>
        <v>304.620593713003</v>
      </c>
    </row>
    <row r="1069" customFormat="false" ht="15" hidden="false" customHeight="false" outlineLevel="0" collapsed="false">
      <c r="A1069" s="4" t="s">
        <v>431</v>
      </c>
      <c r="B1069" s="0" t="s">
        <v>48</v>
      </c>
      <c r="C1069" s="17" t="n">
        <f aca="false">C1068/C1045</f>
        <v>0.0359259884300325</v>
      </c>
      <c r="D1069" s="17" t="n">
        <f aca="false">D1068/D1045</f>
        <v>0.0377712584126992</v>
      </c>
      <c r="E1069" s="17" t="n">
        <f aca="false">E1068/E1045</f>
        <v>0.0394478521383432</v>
      </c>
      <c r="F1069" s="17" t="n">
        <f aca="false">F1068/F1045</f>
        <v>0.0427150994026621</v>
      </c>
      <c r="G1069" s="17" t="n">
        <f aca="false">G1068/G1045</f>
        <v>0.0444257424895017</v>
      </c>
    </row>
    <row r="1070" customFormat="false" ht="15" hidden="false" customHeight="false" outlineLevel="0" collapsed="false">
      <c r="A1070" s="4" t="s">
        <v>461</v>
      </c>
      <c r="B1070" s="0" t="s">
        <v>147</v>
      </c>
      <c r="C1070" s="21" t="n">
        <f aca="false">C1059+C1063</f>
        <v>58.0788</v>
      </c>
      <c r="D1070" s="21" t="n">
        <f aca="false">D1059+D1063</f>
        <v>106.868773588</v>
      </c>
      <c r="E1070" s="21" t="n">
        <f aca="false">E1059+E1063</f>
        <v>151.748766275824</v>
      </c>
      <c r="F1070" s="21" t="n">
        <f aca="false">F1059+F1063</f>
        <v>182.081097420781</v>
      </c>
      <c r="G1070" s="21" t="n">
        <f aca="false">G1059+G1063</f>
        <v>196.156816510379</v>
      </c>
    </row>
    <row r="1071" customFormat="false" ht="17.15" hidden="false" customHeight="false" outlineLevel="0" collapsed="false">
      <c r="A1071" s="4" t="s">
        <v>599</v>
      </c>
      <c r="B1071" s="0" t="s">
        <v>147</v>
      </c>
      <c r="C1071" s="21" t="n">
        <f aca="false">(1-C1064)*C1063</f>
        <v>30.6708</v>
      </c>
      <c r="D1071" s="21" t="n">
        <f aca="false">(1-D1064)*D1063</f>
        <v>47.1980687541088</v>
      </c>
      <c r="E1071" s="21" t="n">
        <f aca="false">(1-E1064)*E1063</f>
        <v>67.7015899849565</v>
      </c>
      <c r="F1071" s="21" t="n">
        <f aca="false">(1-F1064)*F1063</f>
        <v>81.1254954249335</v>
      </c>
      <c r="G1071" s="21" t="n">
        <f aca="false">(1-G1064)*G1063</f>
        <v>87.0223043143844</v>
      </c>
    </row>
    <row r="1072" customFormat="false" ht="15" hidden="false" customHeight="false" outlineLevel="0" collapsed="false">
      <c r="A1072" s="4" t="s">
        <v>457</v>
      </c>
      <c r="B1072" s="0" t="s">
        <v>147</v>
      </c>
      <c r="C1072" s="21" t="n">
        <f aca="false">C1070-C1071</f>
        <v>27.408</v>
      </c>
      <c r="D1072" s="21" t="n">
        <f aca="false">D1070-D1071</f>
        <v>59.6707048338912</v>
      </c>
      <c r="E1072" s="21" t="n">
        <f aca="false">E1070-E1071</f>
        <v>84.047176290867</v>
      </c>
      <c r="F1072" s="21" t="n">
        <f aca="false">F1070-F1071</f>
        <v>100.955601995848</v>
      </c>
      <c r="G1072" s="21" t="n">
        <f aca="false">G1070-G1071</f>
        <v>109.134512195994</v>
      </c>
      <c r="H1072" s="26" t="n">
        <f aca="false">H1045*H1077</f>
        <v>118.876810192623</v>
      </c>
      <c r="I1072" s="26" t="n">
        <f aca="false">I1045*I1077</f>
        <v>130.193983606179</v>
      </c>
      <c r="J1072" s="26" t="n">
        <f aca="false">J1045*J1077</f>
        <v>143.375940589569</v>
      </c>
    </row>
    <row r="1073" customFormat="false" ht="17.15" hidden="false" customHeight="false" outlineLevel="0" collapsed="false">
      <c r="A1073" s="4" t="s">
        <v>600</v>
      </c>
      <c r="B1073" s="0" t="s">
        <v>48</v>
      </c>
      <c r="C1073" s="20" t="n">
        <f aca="false">C1064*C1063/C1072</f>
        <v>0.746030356100409</v>
      </c>
      <c r="D1073" s="20" t="n">
        <f aca="false">D1064*D1063/D1072</f>
        <v>0.478240674537551</v>
      </c>
      <c r="E1073" s="20" t="n">
        <f aca="false">E1064*E1063/E1072</f>
        <v>0.487033899170391</v>
      </c>
      <c r="F1073" s="20" t="n">
        <f aca="false">F1064*F1063/F1072</f>
        <v>0.48585915290972</v>
      </c>
      <c r="G1073" s="20" t="n">
        <f aca="false">G1064*G1063/G1072</f>
        <v>0.482116413225467</v>
      </c>
    </row>
    <row r="1074" customFormat="false" ht="17.15" hidden="false" customHeight="false" outlineLevel="0" collapsed="false">
      <c r="A1074" s="4" t="s">
        <v>601</v>
      </c>
      <c r="B1074" s="4" t="s">
        <v>282</v>
      </c>
      <c r="C1074" s="31" t="n">
        <f aca="false">a25_sh</f>
        <v>3.03185840707965</v>
      </c>
      <c r="D1074" s="31" t="n">
        <f aca="false">a26_sh</f>
        <v>3.23861720409076</v>
      </c>
      <c r="E1074" s="31" t="n">
        <f aca="false">q_sh4*(1+sh_g)</f>
        <v>3.43</v>
      </c>
      <c r="F1074" s="31" t="n">
        <f aca="false">E1074*(1+sh_g)</f>
        <v>3.43</v>
      </c>
      <c r="G1074" s="31" t="n">
        <f aca="false">F1074*(1+sh_g)</f>
        <v>3.43</v>
      </c>
      <c r="H1074" s="32" t="n">
        <f aca="false">G1074*(1+sh_g)</f>
        <v>3.43</v>
      </c>
      <c r="I1074" s="32" t="n">
        <f aca="false">H1074*(1+sh_g)</f>
        <v>3.43</v>
      </c>
      <c r="J1074" s="32" t="n">
        <f aca="false">I1074*(1+sh_g)</f>
        <v>3.43</v>
      </c>
      <c r="K1074" s="8" t="s">
        <v>602</v>
      </c>
    </row>
    <row r="1075" customFormat="false" ht="15" hidden="false" customHeight="false" outlineLevel="0" collapsed="false">
      <c r="A1075" s="0" t="s">
        <v>464</v>
      </c>
      <c r="B1075" s="0" t="s">
        <v>312</v>
      </c>
      <c r="C1075" s="18" t="n">
        <f aca="false">C1072/C1074</f>
        <v>9.04</v>
      </c>
      <c r="D1075" s="18" t="n">
        <f aca="false">D1072/D1074</f>
        <v>18.4247476850676</v>
      </c>
      <c r="E1075" s="18" t="n">
        <f aca="false">E1072/E1074</f>
        <v>24.5035499390283</v>
      </c>
      <c r="F1075" s="18" t="n">
        <f aca="false">F1072/F1074</f>
        <v>29.4331201154075</v>
      </c>
      <c r="G1075" s="18" t="n">
        <f aca="false">G1072/G1074</f>
        <v>31.8176420396485</v>
      </c>
      <c r="H1075" s="29" t="n">
        <f aca="false">H1072/H1074</f>
        <v>34.6579621552836</v>
      </c>
      <c r="I1075" s="29" t="n">
        <f aca="false">I1072/I1074</f>
        <v>37.9574296227927</v>
      </c>
      <c r="J1075" s="29" t="n">
        <f aca="false">J1072/J1074</f>
        <v>41.8005657695538</v>
      </c>
    </row>
    <row r="1076" customFormat="false" ht="17.15" hidden="false" customHeight="false" outlineLevel="0" collapsed="false">
      <c r="A1076" s="0" t="s">
        <v>603</v>
      </c>
      <c r="B1076" s="0" t="s">
        <v>48</v>
      </c>
      <c r="D1076" s="20" t="n">
        <f aca="false">D1075/C1075-1</f>
        <v>1.03813580587031</v>
      </c>
      <c r="E1076" s="20" t="n">
        <f aca="false">E1075/D1075-1</f>
        <v>0.329925942968939</v>
      </c>
      <c r="F1076" s="20" t="n">
        <f aca="false">F1075/E1075-1</f>
        <v>0.201177796223217</v>
      </c>
      <c r="G1076" s="20" t="n">
        <f aca="false">G1075/F1075-1</f>
        <v>0.0810149217918872</v>
      </c>
      <c r="H1076" s="27" t="n">
        <f aca="false">H1075/G1075-1</f>
        <v>0.0892687180305718</v>
      </c>
      <c r="I1076" s="27" t="n">
        <f aca="false">I1075/H1075-1</f>
        <v>0.0952008503190713</v>
      </c>
      <c r="J1076" s="27" t="n">
        <f aca="false">J1075/I1075-1</f>
        <v>0.101248587824643</v>
      </c>
    </row>
    <row r="1077" customFormat="false" ht="17.15" hidden="false" customHeight="false" outlineLevel="0" collapsed="false">
      <c r="A1077" s="4" t="s">
        <v>604</v>
      </c>
      <c r="B1077" s="0" t="s">
        <v>48</v>
      </c>
      <c r="C1077" s="17" t="n">
        <f aca="false">C1072/C1045</f>
        <v>0.0125349699042727</v>
      </c>
      <c r="D1077" s="17" t="n">
        <f aca="false">D1072/D1045</f>
        <v>0.0145632363293992</v>
      </c>
      <c r="E1077" s="17" t="n">
        <f aca="false">E1072/E1045</f>
        <v>0.0141034095198009</v>
      </c>
      <c r="F1077" s="17" t="n">
        <f aca="false">F1072/F1045</f>
        <v>0.0152790907130487</v>
      </c>
      <c r="G1077" s="17" t="n">
        <f aca="false">G1072/G1045</f>
        <v>0.015916132512382</v>
      </c>
      <c r="H1077" s="28" t="n">
        <f aca="false">$G1077+(fade_mA-$G1077)*1/3</f>
        <v>0.0165877602288561</v>
      </c>
      <c r="I1077" s="28" t="n">
        <f aca="false">$G1077+(fade_mA-$G1077)*2/3</f>
        <v>0.0172593879453302</v>
      </c>
      <c r="J1077" s="28" t="n">
        <f aca="false">$G1077+(fade_mA-$G1077)*3/3</f>
        <v>0.0179310156618042</v>
      </c>
    </row>
    <row r="1080" customFormat="false" ht="17.15" hidden="false" customHeight="false" outlineLevel="0" collapsed="false">
      <c r="A1080" s="1" t="s">
        <v>889</v>
      </c>
    </row>
    <row r="1081" customFormat="false" ht="17.15" hidden="false" customHeight="false" outlineLevel="0" collapsed="false">
      <c r="A1081" s="5" t="s">
        <v>17</v>
      </c>
      <c r="B1081" s="5" t="s">
        <v>18</v>
      </c>
      <c r="C1081" s="14" t="s">
        <v>414</v>
      </c>
      <c r="D1081" s="14" t="s">
        <v>529</v>
      </c>
      <c r="E1081" s="14" t="s">
        <v>530</v>
      </c>
      <c r="F1081" s="14" t="s">
        <v>531</v>
      </c>
      <c r="G1081" s="14" t="s">
        <v>532</v>
      </c>
      <c r="H1081" s="14" t="s">
        <v>533</v>
      </c>
      <c r="I1081" s="14" t="s">
        <v>534</v>
      </c>
      <c r="J1081" s="14" t="s">
        <v>535</v>
      </c>
      <c r="K1081" s="5" t="s">
        <v>496</v>
      </c>
    </row>
    <row r="1082" customFormat="false" ht="17.15" hidden="false" customHeight="false" outlineLevel="0" collapsed="false">
      <c r="A1082" s="6" t="s">
        <v>550</v>
      </c>
    </row>
    <row r="1083" customFormat="false" ht="17.15" hidden="false" customHeight="false" outlineLevel="0" collapsed="false">
      <c r="A1083" s="0" t="s">
        <v>551</v>
      </c>
      <c r="B1083" s="0" t="s">
        <v>28</v>
      </c>
      <c r="D1083" s="21" t="n">
        <f aca="false">itc_26*1</f>
        <v>781.872916666667</v>
      </c>
      <c r="E1083" s="21" t="n">
        <f aca="false">itc_27*1*1</f>
        <v>1565.35</v>
      </c>
      <c r="F1083" s="21" t="n">
        <f aca="false">itc_28*um28_A*1</f>
        <v>1984.26388888889</v>
      </c>
      <c r="G1083" s="21" t="n">
        <f aca="false">itc_29*um29_A*1</f>
        <v>2260.39027777778</v>
      </c>
    </row>
    <row r="1084" customFormat="false" ht="17.15" hidden="false" customHeight="false" outlineLevel="0" collapsed="false">
      <c r="A1084" s="4" t="s">
        <v>552</v>
      </c>
      <c r="B1084" s="0" t="s">
        <v>28</v>
      </c>
      <c r="D1084" s="21" t="n">
        <f aca="false">itpg_gb*(1-vr26)+itpg_vr*vr26</f>
        <v>33.41403216</v>
      </c>
      <c r="E1084" s="21" t="n">
        <f aca="false">itpg_vr</f>
        <v>37.586352</v>
      </c>
      <c r="F1084" s="21" t="n">
        <f aca="false">itpg_vr</f>
        <v>37.586352</v>
      </c>
      <c r="G1084" s="21" t="n">
        <f aca="false">itpg_vr</f>
        <v>37.586352</v>
      </c>
    </row>
    <row r="1085" customFormat="false" ht="17.15" hidden="false" customHeight="false" outlineLevel="0" collapsed="false">
      <c r="A1085" s="4" t="s">
        <v>553</v>
      </c>
      <c r="B1085" s="0" t="s">
        <v>498</v>
      </c>
      <c r="D1085" s="22" t="n">
        <f aca="false">D1083/D1084</f>
        <v>23.3995380420639</v>
      </c>
      <c r="E1085" s="22" t="n">
        <f aca="false">E1083/E1084</f>
        <v>41.6467658260637</v>
      </c>
      <c r="F1085" s="22" t="n">
        <f aca="false">F1083/F1084</f>
        <v>52.792138191248</v>
      </c>
      <c r="G1085" s="22" t="n">
        <f aca="false">G1083/G1084</f>
        <v>60.1385917361116</v>
      </c>
    </row>
    <row r="1086" customFormat="false" ht="17.15" hidden="false" customHeight="false" outlineLevel="0" collapsed="false">
      <c r="A1086" s="4" t="s">
        <v>554</v>
      </c>
      <c r="B1086" s="0" t="s">
        <v>555</v>
      </c>
      <c r="D1086" s="18" t="n">
        <f aca="false">(racks_gb*odm_gb*(1-vr26)+racks_vr*odm_vr*vr26)/1000</f>
        <v>27.1209</v>
      </c>
      <c r="E1086" s="18" t="n">
        <f aca="false">racks_vr*odm_vr/1000</f>
        <v>27.351</v>
      </c>
      <c r="F1086" s="18" t="n">
        <f aca="false">$E1086*vpg_28</f>
        <v>27.351</v>
      </c>
      <c r="G1086" s="18" t="n">
        <f aca="false">$E1086*vpg_29</f>
        <v>27.351</v>
      </c>
      <c r="K1086" s="4" t="s">
        <v>556</v>
      </c>
    </row>
    <row r="1087" customFormat="false" ht="17.15" hidden="false" customHeight="false" outlineLevel="0" collapsed="false">
      <c r="A1087" s="0" t="s">
        <v>557</v>
      </c>
      <c r="B1087" s="0" t="s">
        <v>28</v>
      </c>
      <c r="D1087" s="21" t="n">
        <f aca="false">D1085*D1086</f>
        <v>634.616531285011</v>
      </c>
      <c r="E1087" s="21" t="n">
        <f aca="false">E1085*E1086</f>
        <v>1139.08069210867</v>
      </c>
      <c r="F1087" s="21" t="n">
        <f aca="false">F1085*F1086</f>
        <v>1443.91777166882</v>
      </c>
      <c r="G1087" s="21" t="n">
        <f aca="false">G1085*G1086</f>
        <v>1644.85062257439</v>
      </c>
    </row>
    <row r="1088" customFormat="false" ht="17.15" hidden="false" customHeight="false" outlineLevel="0" collapsed="false">
      <c r="A1088" s="0" t="s">
        <v>558</v>
      </c>
      <c r="B1088" s="0" t="s">
        <v>147</v>
      </c>
      <c r="D1088" s="21" t="n">
        <f aca="false">D1087*fx</f>
        <v>20307.7290011204</v>
      </c>
      <c r="E1088" s="21" t="n">
        <f aca="false">E1087*fx</f>
        <v>36450.5821474774</v>
      </c>
      <c r="F1088" s="21" t="n">
        <f aca="false">F1087*fx</f>
        <v>46205.3686934024</v>
      </c>
      <c r="G1088" s="21" t="n">
        <f aca="false">G1087*fx</f>
        <v>52635.2199223804</v>
      </c>
    </row>
    <row r="1089" customFormat="false" ht="17.15" hidden="false" customHeight="false" outlineLevel="0" collapsed="false">
      <c r="A1089" s="6" t="s">
        <v>559</v>
      </c>
    </row>
    <row r="1090" customFormat="false" ht="17.15" hidden="false" customHeight="false" outlineLevel="0" collapsed="false">
      <c r="A1090" s="4" t="s">
        <v>560</v>
      </c>
      <c r="B1090" s="0" t="s">
        <v>48</v>
      </c>
      <c r="D1090" s="20" t="n">
        <f aca="false">a26_ais/D1088</f>
        <v>0.0875096501918446</v>
      </c>
      <c r="K1090" s="8" t="s">
        <v>561</v>
      </c>
    </row>
    <row r="1091" customFormat="false" ht="17.15" hidden="false" customHeight="false" outlineLevel="0" collapsed="false">
      <c r="A1091" s="4" t="s">
        <v>562</v>
      </c>
      <c r="B1091" s="0" t="s">
        <v>60</v>
      </c>
      <c r="D1091" s="18" t="n">
        <f aca="false">1</f>
        <v>1</v>
      </c>
      <c r="E1091" s="18" t="n">
        <f aca="false">rel_27</f>
        <v>1</v>
      </c>
      <c r="F1091" s="18" t="n">
        <f aca="false">rel_28</f>
        <v>0.95</v>
      </c>
      <c r="G1091" s="18" t="n">
        <f aca="false">rel_29</f>
        <v>0.9</v>
      </c>
    </row>
    <row r="1092" customFormat="false" ht="17.15" hidden="false" customHeight="false" outlineLevel="0" collapsed="false">
      <c r="A1092" s="4" t="s">
        <v>563</v>
      </c>
      <c r="B1092" s="0" t="s">
        <v>48</v>
      </c>
      <c r="D1092" s="20" t="n">
        <f aca="false">$D$1090*D1091</f>
        <v>0.0875096501918446</v>
      </c>
      <c r="E1092" s="20" t="n">
        <f aca="false">$D$1090*E1091</f>
        <v>0.0875096501918446</v>
      </c>
      <c r="F1092" s="20" t="n">
        <f aca="false">$D$1090*F1091</f>
        <v>0.0831341676822524</v>
      </c>
      <c r="G1092" s="20" t="n">
        <f aca="false">$D$1090*G1091</f>
        <v>0.0787586851726601</v>
      </c>
    </row>
    <row r="1093" customFormat="false" ht="17.15" hidden="false" customHeight="false" outlineLevel="0" collapsed="false">
      <c r="A1093" s="4" t="s">
        <v>564</v>
      </c>
      <c r="B1093" s="0" t="s">
        <v>147</v>
      </c>
      <c r="D1093" s="21" t="n">
        <f aca="false">D1088*D1092</f>
        <v>1777.12226107882</v>
      </c>
      <c r="E1093" s="21" t="n">
        <f aca="false">E1088*E1092</f>
        <v>3189.77769301484</v>
      </c>
      <c r="F1093" s="21" t="n">
        <f aca="false">F1088*F1092</f>
        <v>3841.24486877761</v>
      </c>
      <c r="G1093" s="21" t="n">
        <f aca="false">G1088*G1092</f>
        <v>4145.48071486049</v>
      </c>
    </row>
    <row r="1094" customFormat="false" ht="17.15" hidden="false" customHeight="false" outlineLevel="0" collapsed="false">
      <c r="A1094" s="4" t="s">
        <v>565</v>
      </c>
      <c r="B1094" s="0" t="s">
        <v>48</v>
      </c>
      <c r="D1094" s="20" t="n">
        <f aca="false">0</f>
        <v>0</v>
      </c>
      <c r="E1094" s="20" t="n">
        <f aca="false">cs_27</f>
        <v>0.1</v>
      </c>
      <c r="F1094" s="20" t="n">
        <f aca="false">cs_28</f>
        <v>0.2</v>
      </c>
      <c r="G1094" s="20" t="n">
        <f aca="false">cs_29</f>
        <v>0.25</v>
      </c>
      <c r="K1094" s="8" t="s">
        <v>566</v>
      </c>
    </row>
    <row r="1095" customFormat="false" ht="17.15" hidden="false" customHeight="false" outlineLevel="0" collapsed="false">
      <c r="A1095" s="4" t="s">
        <v>567</v>
      </c>
      <c r="B1095" s="0" t="s">
        <v>147</v>
      </c>
      <c r="D1095" s="21" t="n">
        <f aca="false">D1093*(1-D1094)</f>
        <v>1777.12226107882</v>
      </c>
      <c r="E1095" s="21" t="n">
        <f aca="false">E1093*(1-E1094)</f>
        <v>2870.79992371336</v>
      </c>
      <c r="F1095" s="21" t="n">
        <f aca="false">F1093*(1-F1094)</f>
        <v>3072.99589502208</v>
      </c>
      <c r="G1095" s="21" t="n">
        <f aca="false">G1093*(1-G1094)</f>
        <v>3109.11053614536</v>
      </c>
    </row>
    <row r="1096" customFormat="false" ht="17.15" hidden="false" customHeight="false" outlineLevel="0" collapsed="false">
      <c r="A1096" s="6" t="s">
        <v>568</v>
      </c>
    </row>
    <row r="1097" customFormat="false" ht="17.15" hidden="false" customHeight="false" outlineLevel="0" collapsed="false">
      <c r="A1097" s="0" t="s">
        <v>569</v>
      </c>
      <c r="B1097" s="4" t="s">
        <v>81</v>
      </c>
      <c r="D1097" s="18" t="n">
        <f aca="false">gu_26*1</f>
        <v>8.35</v>
      </c>
      <c r="E1097" s="18" t="n">
        <f aca="false">gu_27*1*1</f>
        <v>11.2</v>
      </c>
      <c r="F1097" s="18" t="n">
        <f aca="false">gu_28*um28_A*1</f>
        <v>11.5</v>
      </c>
      <c r="G1097" s="18" t="n">
        <f aca="false">gu_29*um29_A*1</f>
        <v>12.9</v>
      </c>
    </row>
    <row r="1098" customFormat="false" ht="15" hidden="false" customHeight="false" outlineLevel="0" collapsed="false">
      <c r="A1098" s="4" t="s">
        <v>570</v>
      </c>
      <c r="B1098" s="0" t="s">
        <v>48</v>
      </c>
      <c r="D1098" s="20" t="n">
        <f aca="false">bsh_26</f>
        <v>0.5</v>
      </c>
      <c r="E1098" s="20" t="n">
        <f aca="false">bsh_26*brel_27</f>
        <v>0.5</v>
      </c>
      <c r="F1098" s="20" t="n">
        <f aca="false">bsh_26*brel_28</f>
        <v>0.475</v>
      </c>
      <c r="G1098" s="20" t="n">
        <f aca="false">bsh_26*brel_29</f>
        <v>0.45</v>
      </c>
    </row>
    <row r="1099" customFormat="false" ht="17.15" hidden="false" customHeight="false" outlineLevel="0" collapsed="false">
      <c r="A1099" s="4" t="s">
        <v>571</v>
      </c>
      <c r="B1099" s="0" t="s">
        <v>520</v>
      </c>
      <c r="D1099" s="24" t="n">
        <f aca="false">a26_brd/fx/D1097/D1098*1000</f>
        <v>823.353293413174</v>
      </c>
      <c r="E1099" s="24" t="n">
        <f aca="false">$D1099*bv_27</f>
        <v>946.85628742515</v>
      </c>
      <c r="F1099" s="24" t="n">
        <f aca="false">$D1099*bv_28</f>
        <v>988.023952095808</v>
      </c>
      <c r="G1099" s="24" t="n">
        <f aca="false">$D1099*bv_29</f>
        <v>988.023952095808</v>
      </c>
      <c r="K1099" s="8" t="s">
        <v>572</v>
      </c>
    </row>
    <row r="1100" customFormat="false" ht="17.15" hidden="false" customHeight="false" outlineLevel="0" collapsed="false">
      <c r="A1100" s="0" t="s">
        <v>522</v>
      </c>
      <c r="B1100" s="0" t="s">
        <v>147</v>
      </c>
      <c r="D1100" s="21" t="n">
        <f aca="false">D1097*D1098*D1099*fx/1000</f>
        <v>110</v>
      </c>
      <c r="E1100" s="21" t="n">
        <f aca="false">E1097*E1098*E1099*fx/1000</f>
        <v>169.676646706587</v>
      </c>
      <c r="F1100" s="21" t="n">
        <f aca="false">F1097*F1098*F1099*fx/1000</f>
        <v>172.706586826347</v>
      </c>
      <c r="G1100" s="21" t="n">
        <f aca="false">G1097*G1098*G1099*fx/1000</f>
        <v>183.535329341317</v>
      </c>
    </row>
    <row r="1101" customFormat="false" ht="17.15" hidden="false" customHeight="false" outlineLevel="0" collapsed="false">
      <c r="A1101" s="6" t="s">
        <v>573</v>
      </c>
    </row>
    <row r="1102" customFormat="false" ht="15" hidden="false" customHeight="false" outlineLevel="0" collapsed="false">
      <c r="A1102" s="4" t="s">
        <v>574</v>
      </c>
      <c r="B1102" s="0" t="s">
        <v>147</v>
      </c>
      <c r="D1102" s="21" t="n">
        <f aca="false">a26_gen</f>
        <v>150</v>
      </c>
      <c r="E1102" s="21" t="n">
        <f aca="false">D1102*(1+g_gen27)</f>
        <v>180</v>
      </c>
      <c r="F1102" s="21" t="n">
        <f aca="false">E1102*(1+g_gen28)</f>
        <v>198</v>
      </c>
      <c r="G1102" s="21" t="n">
        <f aca="false">F1102*(1+g_gen29)</f>
        <v>213.84</v>
      </c>
    </row>
    <row r="1103" customFormat="false" ht="15" hidden="false" customHeight="false" outlineLevel="0" collapsed="false">
      <c r="A1103" s="4" t="s">
        <v>575</v>
      </c>
      <c r="B1103" s="0" t="s">
        <v>147</v>
      </c>
      <c r="D1103" s="21" t="n">
        <f aca="false">a26_pc</f>
        <v>614.602793131557</v>
      </c>
      <c r="E1103" s="21" t="n">
        <f aca="false">D1103*(1+g_pc27)</f>
        <v>596.16470933761</v>
      </c>
      <c r="F1103" s="21" t="n">
        <f aca="false">E1103*(1+g_pc28)</f>
        <v>596.16470933761</v>
      </c>
      <c r="G1103" s="21" t="n">
        <f aca="false">F1103*(1+g_pc29)</f>
        <v>596.16470933761</v>
      </c>
    </row>
    <row r="1104" customFormat="false" ht="15" hidden="false" customHeight="false" outlineLevel="0" collapsed="false">
      <c r="A1104" s="4" t="s">
        <v>576</v>
      </c>
      <c r="B1104" s="0" t="s">
        <v>147</v>
      </c>
      <c r="C1104" s="21" t="n">
        <f aca="false">a25_srev</f>
        <v>1235.86</v>
      </c>
      <c r="D1104" s="21" t="n">
        <f aca="false">D1095+D1100+D1102+D1103</f>
        <v>2651.72505421038</v>
      </c>
      <c r="E1104" s="21" t="n">
        <f aca="false">E1095+E1100+E1102+E1103</f>
        <v>3816.64127975755</v>
      </c>
      <c r="F1104" s="21" t="n">
        <f aca="false">F1095+F1100+F1102+F1103</f>
        <v>4039.86719118604</v>
      </c>
      <c r="G1104" s="21" t="n">
        <f aca="false">G1095+G1100+G1102+G1103</f>
        <v>4102.65057482429</v>
      </c>
    </row>
    <row r="1105" customFormat="false" ht="17.15" hidden="false" customHeight="false" outlineLevel="0" collapsed="false">
      <c r="A1105" s="4" t="s">
        <v>577</v>
      </c>
      <c r="B1105" s="0" t="s">
        <v>48</v>
      </c>
      <c r="D1105" s="20" t="n">
        <f aca="false">a26_wai/D1088</f>
        <v>0.0391523244650416</v>
      </c>
      <c r="K1105" s="8" t="s">
        <v>578</v>
      </c>
    </row>
    <row r="1106" customFormat="false" ht="17.15" hidden="false" customHeight="false" outlineLevel="0" collapsed="false">
      <c r="A1106" s="4" t="s">
        <v>504</v>
      </c>
      <c r="B1106" s="0" t="s">
        <v>48</v>
      </c>
      <c r="D1106" s="20" t="n">
        <f aca="false">D1105</f>
        <v>0.0391523244650416</v>
      </c>
      <c r="E1106" s="20" t="n">
        <f aca="false">$D$1105*wrel_27</f>
        <v>0.0391523244650416</v>
      </c>
      <c r="F1106" s="20" t="n">
        <f aca="false">$D$1105*wrel_28</f>
        <v>0.0391523244650416</v>
      </c>
      <c r="G1106" s="20" t="n">
        <f aca="false">$D$1105*wrel_29</f>
        <v>0.0371947082417896</v>
      </c>
    </row>
    <row r="1107" customFormat="false" ht="17.15" hidden="false" customHeight="false" outlineLevel="0" collapsed="false">
      <c r="A1107" s="4" t="s">
        <v>524</v>
      </c>
      <c r="B1107" s="0" t="s">
        <v>147</v>
      </c>
      <c r="D1107" s="21" t="n">
        <f aca="false">D1088*D1106</f>
        <v>795.094795</v>
      </c>
      <c r="E1107" s="21" t="n">
        <f aca="false">E1088*E1106</f>
        <v>1427.12501917769</v>
      </c>
      <c r="F1107" s="21" t="n">
        <f aca="false">F1088*F1106</f>
        <v>1809.04758711097</v>
      </c>
      <c r="G1107" s="21" t="n">
        <f aca="false">G1088*G1106</f>
        <v>1957.75164825537</v>
      </c>
    </row>
    <row r="1108" customFormat="false" ht="17.15" hidden="false" customHeight="false" outlineLevel="0" collapsed="false">
      <c r="A1108" s="4" t="s">
        <v>579</v>
      </c>
      <c r="B1108" s="0" t="s">
        <v>147</v>
      </c>
      <c r="D1108" s="21" t="n">
        <f aca="false">a26_wna</f>
        <v>650.532105</v>
      </c>
      <c r="E1108" s="21" t="n">
        <f aca="false">D1108*(1+g_wn27)</f>
        <v>715.5853155</v>
      </c>
      <c r="F1108" s="21" t="n">
        <f aca="false">E1108*(1+g_wn28)</f>
        <v>758.52043443</v>
      </c>
      <c r="G1108" s="21" t="n">
        <f aca="false">F1108*(1+g_wn29)</f>
        <v>796.4464561515</v>
      </c>
    </row>
    <row r="1109" customFormat="false" ht="15" hidden="false" customHeight="false" outlineLevel="0" collapsed="false">
      <c r="A1109" s="4" t="s">
        <v>434</v>
      </c>
      <c r="B1109" s="0" t="s">
        <v>147</v>
      </c>
      <c r="C1109" s="21" t="n">
        <f aca="false">a25_wrev</f>
        <v>950.663</v>
      </c>
      <c r="D1109" s="21" t="n">
        <f aca="false">D1107+D1108</f>
        <v>1445.6269</v>
      </c>
      <c r="E1109" s="21" t="n">
        <f aca="false">E1107+E1108</f>
        <v>2142.71033467769</v>
      </c>
      <c r="F1109" s="21" t="n">
        <f aca="false">F1107+F1108</f>
        <v>2567.56802154097</v>
      </c>
      <c r="G1109" s="21" t="n">
        <f aca="false">G1107+G1108</f>
        <v>2754.19810440687</v>
      </c>
    </row>
    <row r="1110" customFormat="false" ht="17.15" hidden="false" customHeight="false" outlineLevel="0" collapsed="false">
      <c r="A1110" s="4" t="s">
        <v>420</v>
      </c>
      <c r="B1110" s="0" t="s">
        <v>147</v>
      </c>
      <c r="C1110" s="21" t="n">
        <f aca="false">C1104+C1109</f>
        <v>2186.523</v>
      </c>
      <c r="D1110" s="21" t="n">
        <f aca="false">D1104+D1109</f>
        <v>4097.35195421038</v>
      </c>
      <c r="E1110" s="21" t="n">
        <f aca="false">E1104+E1109</f>
        <v>5959.35161443524</v>
      </c>
      <c r="F1110" s="21" t="n">
        <f aca="false">F1104+F1109</f>
        <v>6607.43521272701</v>
      </c>
      <c r="G1110" s="21" t="n">
        <f aca="false">G1104+G1109</f>
        <v>6856.84867923116</v>
      </c>
      <c r="H1110" s="26" t="n">
        <f aca="false">G1110*(1+H1111)</f>
        <v>7166.53776956726</v>
      </c>
      <c r="I1110" s="26" t="n">
        <f aca="false">H1110*(1+I1111)</f>
        <v>7543.37199085936</v>
      </c>
      <c r="J1110" s="26" t="n">
        <f aca="false">I1110*(1+J1111)</f>
        <v>7995.97431031092</v>
      </c>
      <c r="K1110" s="8" t="s">
        <v>580</v>
      </c>
    </row>
    <row r="1111" customFormat="false" ht="15" hidden="false" customHeight="false" outlineLevel="0" collapsed="false">
      <c r="A1111" s="4" t="s">
        <v>581</v>
      </c>
      <c r="B1111" s="0" t="s">
        <v>48</v>
      </c>
      <c r="D1111" s="20" t="n">
        <f aca="false">D1110/C1110-1</f>
        <v>0.873912121761526</v>
      </c>
      <c r="E1111" s="20" t="n">
        <f aca="false">E1110/D1110-1</f>
        <v>0.454439765251677</v>
      </c>
      <c r="F1111" s="20" t="n">
        <f aca="false">F1110/E1110-1</f>
        <v>0.108750689709586</v>
      </c>
      <c r="G1111" s="20" t="n">
        <f aca="false">G1110/F1110-1</f>
        <v>0.0377473949383174</v>
      </c>
      <c r="H1111" s="27" t="n">
        <f aca="false">$G1111+(fade_gA-$G1111)*1/3</f>
        <v>0.0451649299588782</v>
      </c>
      <c r="I1111" s="27" t="n">
        <f aca="false">$G1111+(fade_gA-$G1111)*2/3</f>
        <v>0.0525824649794391</v>
      </c>
      <c r="J1111" s="27" t="n">
        <f aca="false">$G1111+(fade_gA-$G1111)*3/3</f>
        <v>0.06</v>
      </c>
    </row>
    <row r="1112" customFormat="false" ht="17.15" hidden="false" customHeight="false" outlineLevel="0" collapsed="false">
      <c r="A1112" s="0" t="s">
        <v>582</v>
      </c>
      <c r="B1112" s="0" t="s">
        <v>48</v>
      </c>
      <c r="D1112" s="20" t="n">
        <f aca="false">(D1095+D1100+D1107)/D1110</f>
        <v>0.6546220793463</v>
      </c>
      <c r="E1112" s="20" t="n">
        <f aca="false">(E1095+E1100+E1107)/E1110</f>
        <v>0.749679139384196</v>
      </c>
      <c r="F1112" s="20" t="n">
        <f aca="false">(F1095+F1100+F1107)/F1110</f>
        <v>0.76500940322852</v>
      </c>
      <c r="G1112" s="20" t="n">
        <f aca="false">(G1095+G1100+G1107)/G1110</f>
        <v>0.765715820686707</v>
      </c>
    </row>
    <row r="1113" customFormat="false" ht="17.15" hidden="false" customHeight="false" outlineLevel="0" collapsed="false">
      <c r="A1113" s="4" t="s">
        <v>583</v>
      </c>
      <c r="B1113" s="0" t="s">
        <v>48</v>
      </c>
      <c r="C1113" s="20" t="n">
        <f aca="false">C1109/C1110</f>
        <v>0.434782986504144</v>
      </c>
      <c r="D1113" s="20" t="n">
        <f aca="false">D1109/D1110</f>
        <v>0.352819800728736</v>
      </c>
      <c r="E1113" s="20" t="n">
        <f aca="false">E1109/E1110</f>
        <v>0.359554272563384</v>
      </c>
      <c r="F1113" s="20" t="n">
        <f aca="false">F1109/F1110</f>
        <v>0.388587695358012</v>
      </c>
      <c r="G1113" s="20" t="n">
        <f aca="false">G1109/G1110</f>
        <v>0.40167112229691</v>
      </c>
    </row>
    <row r="1114" customFormat="false" ht="17.15" hidden="false" customHeight="false" outlineLevel="0" collapsed="false">
      <c r="A1114" s="4" t="s">
        <v>584</v>
      </c>
      <c r="B1114" s="4" t="s">
        <v>331</v>
      </c>
      <c r="D1114" s="21" t="n">
        <f aca="false">D1093/fx/(odm_gb*(1-vr26)+odm_vr*vr26)</f>
        <v>12.0597330420658</v>
      </c>
      <c r="E1114" s="21" t="n">
        <f aca="false">E1093/fx/odm_vr</f>
        <v>14.7674893195131</v>
      </c>
      <c r="F1114" s="21" t="n">
        <f aca="false">F1093/fx/odm_vr</f>
        <v>17.7835410591556</v>
      </c>
      <c r="G1114" s="21" t="n">
        <f aca="false">G1093/fx/odm_vr</f>
        <v>19.1920403465763</v>
      </c>
      <c r="K1114" s="4" t="s">
        <v>585</v>
      </c>
    </row>
    <row r="1115" customFormat="false" ht="17.15" hidden="false" customHeight="false" outlineLevel="0" collapsed="false">
      <c r="A1115" s="6" t="s">
        <v>586</v>
      </c>
    </row>
    <row r="1116" customFormat="false" ht="17.15" hidden="false" customHeight="false" outlineLevel="0" collapsed="false">
      <c r="A1116" s="4" t="s">
        <v>587</v>
      </c>
      <c r="B1116" s="0" t="s">
        <v>48</v>
      </c>
      <c r="D1116" s="17" t="n">
        <f aca="false">(a26_sgp-d_ai*D1095-d_brd*D1100-d_gen*D1102)/D1104</f>
        <v>0.0436423860147897</v>
      </c>
      <c r="K1116" s="8" t="s">
        <v>588</v>
      </c>
    </row>
    <row r="1117" customFormat="false" ht="17.15" hidden="false" customHeight="false" outlineLevel="0" collapsed="false">
      <c r="A1117" s="4" t="s">
        <v>589</v>
      </c>
      <c r="B1117" s="0" t="s">
        <v>147</v>
      </c>
      <c r="D1117" s="25" t="n">
        <f aca="false">($D$1116+d_ai)*D1093*(1-D1094*(1-keep))</f>
        <v>59.7866331026896</v>
      </c>
      <c r="E1117" s="25" t="n">
        <f aca="false">($D$1116+d_ai+vrd)*E1093*(1-E1094*(1-keep))</f>
        <v>99.9228552931035</v>
      </c>
      <c r="F1117" s="25" t="n">
        <f aca="false">($D$1116+d_ai+vrd)*F1093*(1-F1094*(1-keep))</f>
        <v>119.115229856887</v>
      </c>
      <c r="G1117" s="25" t="n">
        <f aca="false">($D$1116+d_ai+vrd)*G1093*(1-G1094*(1-keep))</f>
        <v>127.89357847157</v>
      </c>
    </row>
    <row r="1118" customFormat="false" ht="15" hidden="false" customHeight="false" outlineLevel="0" collapsed="false">
      <c r="A1118" s="4" t="s">
        <v>590</v>
      </c>
      <c r="B1118" s="0" t="s">
        <v>147</v>
      </c>
      <c r="C1118" s="21" t="n">
        <f aca="false">a25_sgp</f>
        <v>55.529</v>
      </c>
      <c r="D1118" s="21" t="n">
        <f aca="false">a26_sgp</f>
        <v>103.50638581015</v>
      </c>
      <c r="E1118" s="21" t="n">
        <f aca="false">$D$1116*E1103+($D$1116+d_brd)*E1100+($D$1116+d_gen)*E1102+E1117</f>
        <v>148.991928263534</v>
      </c>
      <c r="F1118" s="21" t="n">
        <f aca="false">$D$1116*F1103+($D$1116+d_brd)*F1100+($D$1116+d_gen)*F1102+F1117</f>
        <v>169.462997795485</v>
      </c>
      <c r="G1118" s="21" t="n">
        <f aca="false">$D$1116*G1103+($D$1116+d_brd)*G1100+($D$1116+d_gen)*G1102+G1117</f>
        <v>179.967696240984</v>
      </c>
    </row>
    <row r="1119" customFormat="false" ht="15" hidden="false" customHeight="false" outlineLevel="0" collapsed="false">
      <c r="A1119" s="4" t="s">
        <v>591</v>
      </c>
      <c r="B1119" s="0" t="s">
        <v>48</v>
      </c>
      <c r="C1119" s="17" t="n">
        <f aca="false">C1118/C1104</f>
        <v>0.0449314647290146</v>
      </c>
      <c r="D1119" s="17" t="n">
        <f aca="false">D1118/D1104</f>
        <v>0.0390336040479778</v>
      </c>
      <c r="E1119" s="17" t="n">
        <f aca="false">E1118/E1104</f>
        <v>0.0390374461057547</v>
      </c>
      <c r="F1119" s="17" t="n">
        <f aca="false">F1118/F1104</f>
        <v>0.0419476655483156</v>
      </c>
      <c r="G1119" s="17" t="n">
        <f aca="false">G1118/G1104</f>
        <v>0.0438662013639053</v>
      </c>
    </row>
    <row r="1120" customFormat="false" ht="15" hidden="false" customHeight="false" outlineLevel="0" collapsed="false">
      <c r="A1120" s="4" t="s">
        <v>592</v>
      </c>
      <c r="B1120" s="0" t="s">
        <v>48</v>
      </c>
      <c r="E1120" s="20" t="n">
        <f aca="false">MAX(0,phi*(E1104/D1104-1))</f>
        <v>0.13179151703879</v>
      </c>
      <c r="F1120" s="20" t="n">
        <f aca="false">MAX(0,phi*(F1104/E1104-1))</f>
        <v>0.0175462582202121</v>
      </c>
      <c r="G1120" s="20" t="n">
        <f aca="false">MAX(0,phi*(G1104/F1104-1))</f>
        <v>0.00466228571388885</v>
      </c>
    </row>
    <row r="1121" customFormat="false" ht="15" hidden="false" customHeight="false" outlineLevel="0" collapsed="false">
      <c r="A1121" s="4" t="s">
        <v>593</v>
      </c>
      <c r="B1121" s="0" t="s">
        <v>147</v>
      </c>
      <c r="C1121" s="21" t="n">
        <f aca="false">a25_sopx</f>
        <v>40.894</v>
      </c>
      <c r="D1121" s="21" t="n">
        <f aca="false">a26_sopx</f>
        <v>46.9914095398923</v>
      </c>
      <c r="E1121" s="21" t="n">
        <f aca="false">D1121*(1+E1120)+0*E1104</f>
        <v>53.1844786909457</v>
      </c>
      <c r="F1121" s="21" t="n">
        <f aca="false">E1121*(1+F1120)+0*F1104</f>
        <v>54.1176672873644</v>
      </c>
      <c r="G1121" s="21" t="n">
        <f aca="false">F1121*(1+G1120)+0*G1104</f>
        <v>54.3699793144273</v>
      </c>
    </row>
    <row r="1122" customFormat="false" ht="15" hidden="false" customHeight="false" outlineLevel="0" collapsed="false">
      <c r="A1122" s="4" t="s">
        <v>594</v>
      </c>
      <c r="B1122" s="0" t="s">
        <v>147</v>
      </c>
      <c r="C1122" s="21" t="n">
        <f aca="false">C1118-C1121</f>
        <v>14.635</v>
      </c>
      <c r="D1122" s="21" t="n">
        <f aca="false">D1118-D1121</f>
        <v>56.514976270258</v>
      </c>
      <c r="E1122" s="21" t="n">
        <f aca="false">E1118-E1121</f>
        <v>95.8074495725884</v>
      </c>
      <c r="F1122" s="21" t="n">
        <f aca="false">F1118-F1121</f>
        <v>115.345330508121</v>
      </c>
      <c r="G1122" s="21" t="n">
        <f aca="false">G1118-G1121</f>
        <v>125.597716926557</v>
      </c>
    </row>
    <row r="1123" customFormat="false" ht="15" hidden="false" customHeight="false" outlineLevel="0" collapsed="false">
      <c r="A1123" s="4" t="s">
        <v>595</v>
      </c>
      <c r="B1123" s="0" t="s">
        <v>48</v>
      </c>
      <c r="C1123" s="17" t="n">
        <f aca="false">C1122/C1104</f>
        <v>0.011841956208632</v>
      </c>
      <c r="D1123" s="17" t="n">
        <f aca="false">D1122/D1104</f>
        <v>0.0213125324514788</v>
      </c>
      <c r="E1123" s="17" t="n">
        <f aca="false">E1122/E1104</f>
        <v>0.0251025555062577</v>
      </c>
      <c r="F1123" s="17" t="n">
        <f aca="false">F1122/F1104</f>
        <v>0.0285517629786878</v>
      </c>
      <c r="G1123" s="17" t="n">
        <f aca="false">G1122/G1104</f>
        <v>0.0306137982350437</v>
      </c>
    </row>
    <row r="1124" customFormat="false" ht="15" hidden="false" customHeight="false" outlineLevel="0" collapsed="false">
      <c r="A1124" s="4" t="s">
        <v>596</v>
      </c>
      <c r="B1124" s="0" t="s">
        <v>147</v>
      </c>
      <c r="C1124" s="21" t="n">
        <f aca="false">a25_sni</f>
        <v>6.9608</v>
      </c>
      <c r="D1124" s="21" t="n">
        <f aca="false">a26_sni</f>
        <v>31.133746704</v>
      </c>
      <c r="E1124" s="21" t="n">
        <f aca="false">E1122*snio_hi</f>
        <v>62.2748422221825</v>
      </c>
      <c r="F1124" s="21" t="n">
        <f aca="false">F1122*snio_hi</f>
        <v>74.9744648302786</v>
      </c>
      <c r="G1124" s="21" t="n">
        <f aca="false">G1122*snio_hi</f>
        <v>81.638516002262</v>
      </c>
    </row>
    <row r="1125" customFormat="false" ht="17.15" hidden="false" customHeight="false" outlineLevel="0" collapsed="false">
      <c r="A1125" s="6" t="s">
        <v>597</v>
      </c>
    </row>
    <row r="1126" customFormat="false" ht="15" hidden="false" customHeight="false" outlineLevel="0" collapsed="false">
      <c r="A1126" s="4" t="s">
        <v>438</v>
      </c>
      <c r="B1126" s="0" t="s">
        <v>147</v>
      </c>
      <c r="C1126" s="21" t="n">
        <f aca="false">a25_wgp</f>
        <v>78.454</v>
      </c>
      <c r="D1126" s="21" t="n">
        <f aca="false">a26_wgp</f>
        <v>125.0519932</v>
      </c>
      <c r="E1126" s="21" t="n">
        <f aca="false">E1109*wgm</f>
        <v>182.130378447603</v>
      </c>
      <c r="F1126" s="21" t="n">
        <f aca="false">F1109*wgm</f>
        <v>218.243281830982</v>
      </c>
      <c r="G1126" s="21" t="n">
        <f aca="false">G1109*wgm</f>
        <v>234.106838874584</v>
      </c>
    </row>
    <row r="1127" customFormat="false" ht="15" hidden="false" customHeight="false" outlineLevel="0" collapsed="false">
      <c r="A1127" s="4" t="s">
        <v>440</v>
      </c>
      <c r="B1127" s="0" t="s">
        <v>147</v>
      </c>
      <c r="C1127" s="21" t="n">
        <f aca="false">a25_woi</f>
        <v>63.918</v>
      </c>
      <c r="D1127" s="21" t="n">
        <f aca="false">a26_woi</f>
        <v>98.2471632</v>
      </c>
      <c r="E1127" s="21" t="n">
        <f aca="false">E1109*wopm</f>
        <v>139.27617175405</v>
      </c>
      <c r="F1127" s="21" t="n">
        <f aca="false">F1109*wopm</f>
        <v>166.891921400163</v>
      </c>
      <c r="G1127" s="21" t="n">
        <f aca="false">G1109*wopm</f>
        <v>179.022876786446</v>
      </c>
    </row>
    <row r="1128" customFormat="false" ht="15" hidden="false" customHeight="false" outlineLevel="0" collapsed="false">
      <c r="A1128" s="4" t="s">
        <v>448</v>
      </c>
      <c r="B1128" s="0" t="s">
        <v>147</v>
      </c>
      <c r="C1128" s="21" t="n">
        <f aca="false">a25_wni</f>
        <v>51.118</v>
      </c>
      <c r="D1128" s="21" t="n">
        <f aca="false">a26_wni</f>
        <v>75.735026884</v>
      </c>
      <c r="E1128" s="21" t="n">
        <f aca="false">E1127*wnio</f>
        <v>108.635413968159</v>
      </c>
      <c r="F1128" s="21" t="n">
        <f aca="false">F1127*wnio</f>
        <v>130.175698692127</v>
      </c>
      <c r="G1128" s="21" t="n">
        <f aca="false">G1127*wnio</f>
        <v>139.637843893428</v>
      </c>
    </row>
    <row r="1129" customFormat="false" ht="15" hidden="false" customHeight="false" outlineLevel="0" collapsed="false">
      <c r="A1129" s="4" t="s">
        <v>450</v>
      </c>
      <c r="B1129" s="0" t="s">
        <v>48</v>
      </c>
      <c r="C1129" s="17" t="n">
        <f aca="false">stake25</f>
        <v>0.4</v>
      </c>
      <c r="D1129" s="17" t="n">
        <f aca="false">stake</f>
        <v>0.3768</v>
      </c>
      <c r="E1129" s="17" t="n">
        <f aca="false">stake</f>
        <v>0.3768</v>
      </c>
      <c r="F1129" s="17" t="n">
        <f aca="false">stake</f>
        <v>0.3768</v>
      </c>
      <c r="G1129" s="17" t="n">
        <f aca="false">stake</f>
        <v>0.3768</v>
      </c>
    </row>
    <row r="1130" customFormat="false" ht="17.15" hidden="false" customHeight="false" outlineLevel="0" collapsed="false">
      <c r="A1130" s="6" t="s">
        <v>598</v>
      </c>
    </row>
    <row r="1131" customFormat="false" ht="15" hidden="false" customHeight="false" outlineLevel="0" collapsed="false">
      <c r="A1131" s="4" t="s">
        <v>424</v>
      </c>
      <c r="B1131" s="0" t="s">
        <v>147</v>
      </c>
      <c r="C1131" s="21" t="n">
        <f aca="false">C1118+C1126</f>
        <v>133.983</v>
      </c>
      <c r="D1131" s="21" t="n">
        <f aca="false">D1118+D1126</f>
        <v>228.55837901015</v>
      </c>
      <c r="E1131" s="21" t="n">
        <f aca="false">E1118+E1126</f>
        <v>331.122306711138</v>
      </c>
      <c r="F1131" s="21" t="n">
        <f aca="false">F1118+F1126</f>
        <v>387.706279626467</v>
      </c>
      <c r="G1131" s="21" t="n">
        <f aca="false">G1118+G1126</f>
        <v>414.074535115568</v>
      </c>
    </row>
    <row r="1132" customFormat="false" ht="15" hidden="false" customHeight="false" outlineLevel="0" collapsed="false">
      <c r="A1132" s="4" t="s">
        <v>427</v>
      </c>
      <c r="B1132" s="0" t="s">
        <v>48</v>
      </c>
      <c r="C1132" s="17" t="n">
        <f aca="false">C1131/C1110</f>
        <v>0.0612767393711386</v>
      </c>
      <c r="D1132" s="17" t="n">
        <f aca="false">D1131/D1110</f>
        <v>0.055781973714825</v>
      </c>
      <c r="E1132" s="17" t="n">
        <f aca="false">E1131/E1110</f>
        <v>0.0555634787363554</v>
      </c>
      <c r="F1132" s="17" t="n">
        <f aca="false">F1131/F1110</f>
        <v>0.058677272972678</v>
      </c>
      <c r="G1132" s="17" t="n">
        <f aca="false">G1131/G1110</f>
        <v>0.0603884604264006</v>
      </c>
    </row>
    <row r="1133" customFormat="false" ht="15" hidden="false" customHeight="false" outlineLevel="0" collapsed="false">
      <c r="A1133" s="4" t="s">
        <v>428</v>
      </c>
      <c r="B1133" s="0" t="s">
        <v>147</v>
      </c>
      <c r="C1133" s="21" t="n">
        <f aca="false">C1122+C1127</f>
        <v>78.553</v>
      </c>
      <c r="D1133" s="21" t="n">
        <f aca="false">D1122+D1127</f>
        <v>154.762139470258</v>
      </c>
      <c r="E1133" s="21" t="n">
        <f aca="false">E1122+E1127</f>
        <v>235.083621326638</v>
      </c>
      <c r="F1133" s="21" t="n">
        <f aca="false">F1122+F1127</f>
        <v>282.237251908284</v>
      </c>
      <c r="G1133" s="21" t="n">
        <f aca="false">G1122+G1127</f>
        <v>304.620593713003</v>
      </c>
    </row>
    <row r="1134" customFormat="false" ht="15" hidden="false" customHeight="false" outlineLevel="0" collapsed="false">
      <c r="A1134" s="4" t="s">
        <v>431</v>
      </c>
      <c r="B1134" s="0" t="s">
        <v>48</v>
      </c>
      <c r="C1134" s="17" t="n">
        <f aca="false">C1133/C1110</f>
        <v>0.0359259884300325</v>
      </c>
      <c r="D1134" s="17" t="n">
        <f aca="false">D1133/D1110</f>
        <v>0.0377712584126992</v>
      </c>
      <c r="E1134" s="17" t="n">
        <f aca="false">E1133/E1110</f>
        <v>0.0394478521383432</v>
      </c>
      <c r="F1134" s="17" t="n">
        <f aca="false">F1133/F1110</f>
        <v>0.0427150994026621</v>
      </c>
      <c r="G1134" s="17" t="n">
        <f aca="false">G1133/G1110</f>
        <v>0.0444257424895017</v>
      </c>
    </row>
    <row r="1135" customFormat="false" ht="15" hidden="false" customHeight="false" outlineLevel="0" collapsed="false">
      <c r="A1135" s="4" t="s">
        <v>461</v>
      </c>
      <c r="B1135" s="0" t="s">
        <v>147</v>
      </c>
      <c r="C1135" s="21" t="n">
        <f aca="false">C1124+C1128</f>
        <v>58.0788</v>
      </c>
      <c r="D1135" s="21" t="n">
        <f aca="false">D1124+D1128</f>
        <v>106.868773588</v>
      </c>
      <c r="E1135" s="21" t="n">
        <f aca="false">E1124+E1128</f>
        <v>170.910256190341</v>
      </c>
      <c r="F1135" s="21" t="n">
        <f aca="false">F1124+F1128</f>
        <v>205.150163522406</v>
      </c>
      <c r="G1135" s="21" t="n">
        <f aca="false">G1124+G1128</f>
        <v>221.27635989569</v>
      </c>
    </row>
    <row r="1136" customFormat="false" ht="17.15" hidden="false" customHeight="false" outlineLevel="0" collapsed="false">
      <c r="A1136" s="4" t="s">
        <v>599</v>
      </c>
      <c r="B1136" s="0" t="s">
        <v>147</v>
      </c>
      <c r="C1136" s="21" t="n">
        <f aca="false">(1-C1129)*C1128</f>
        <v>30.6708</v>
      </c>
      <c r="D1136" s="21" t="n">
        <f aca="false">(1-D1129)*D1128</f>
        <v>47.1980687541088</v>
      </c>
      <c r="E1136" s="21" t="n">
        <f aca="false">(1-E1129)*E1128</f>
        <v>67.7015899849565</v>
      </c>
      <c r="F1136" s="21" t="n">
        <f aca="false">(1-F1129)*F1128</f>
        <v>81.1254954249335</v>
      </c>
      <c r="G1136" s="21" t="n">
        <f aca="false">(1-G1129)*G1128</f>
        <v>87.0223043143844</v>
      </c>
    </row>
    <row r="1137" customFormat="false" ht="15" hidden="false" customHeight="false" outlineLevel="0" collapsed="false">
      <c r="A1137" s="4" t="s">
        <v>457</v>
      </c>
      <c r="B1137" s="0" t="s">
        <v>147</v>
      </c>
      <c r="C1137" s="21" t="n">
        <f aca="false">C1135-C1136</f>
        <v>27.408</v>
      </c>
      <c r="D1137" s="21" t="n">
        <f aca="false">D1135-D1136</f>
        <v>59.6707048338912</v>
      </c>
      <c r="E1137" s="21" t="n">
        <f aca="false">E1135-E1136</f>
        <v>103.208666205385</v>
      </c>
      <c r="F1137" s="21" t="n">
        <f aca="false">F1135-F1136</f>
        <v>124.024668097472</v>
      </c>
      <c r="G1137" s="21" t="n">
        <f aca="false">G1135-G1136</f>
        <v>134.254055581306</v>
      </c>
      <c r="H1137" s="26" t="n">
        <f aca="false">H1110*H1142</f>
        <v>136.379520727895</v>
      </c>
      <c r="I1137" s="26" t="n">
        <f aca="false">I1110*I1142</f>
        <v>139.405506705698</v>
      </c>
      <c r="J1137" s="26" t="n">
        <f aca="false">J1110*J1142</f>
        <v>143.375940589569</v>
      </c>
    </row>
    <row r="1138" customFormat="false" ht="17.15" hidden="false" customHeight="false" outlineLevel="0" collapsed="false">
      <c r="A1138" s="4" t="s">
        <v>600</v>
      </c>
      <c r="B1138" s="0" t="s">
        <v>48</v>
      </c>
      <c r="C1138" s="20" t="n">
        <f aca="false">C1129*C1128/C1137</f>
        <v>0.746030356100409</v>
      </c>
      <c r="D1138" s="20" t="n">
        <f aca="false">D1129*D1128/D1137</f>
        <v>0.478240674537551</v>
      </c>
      <c r="E1138" s="20" t="n">
        <f aca="false">E1129*E1128/E1137</f>
        <v>0.396612275772891</v>
      </c>
      <c r="F1138" s="20" t="n">
        <f aca="false">F1129*F1128/F1137</f>
        <v>0.395487478576798</v>
      </c>
      <c r="G1138" s="20" t="n">
        <f aca="false">G1129*G1128/G1137</f>
        <v>0.391910243241622</v>
      </c>
    </row>
    <row r="1139" customFormat="false" ht="17.15" hidden="false" customHeight="false" outlineLevel="0" collapsed="false">
      <c r="A1139" s="4" t="s">
        <v>601</v>
      </c>
      <c r="B1139" s="4" t="s">
        <v>282</v>
      </c>
      <c r="C1139" s="31" t="n">
        <f aca="false">a25_sh</f>
        <v>3.03185840707965</v>
      </c>
      <c r="D1139" s="31" t="n">
        <f aca="false">a26_sh</f>
        <v>3.23861720409076</v>
      </c>
      <c r="E1139" s="31" t="n">
        <f aca="false">q_sh4*(1+sh_g)</f>
        <v>3.43</v>
      </c>
      <c r="F1139" s="31" t="n">
        <f aca="false">E1139*(1+sh_g)</f>
        <v>3.43</v>
      </c>
      <c r="G1139" s="31" t="n">
        <f aca="false">F1139*(1+sh_g)</f>
        <v>3.43</v>
      </c>
      <c r="H1139" s="32" t="n">
        <f aca="false">G1139*(1+sh_g)</f>
        <v>3.43</v>
      </c>
      <c r="I1139" s="32" t="n">
        <f aca="false">H1139*(1+sh_g)</f>
        <v>3.43</v>
      </c>
      <c r="J1139" s="32" t="n">
        <f aca="false">I1139*(1+sh_g)</f>
        <v>3.43</v>
      </c>
      <c r="K1139" s="8" t="s">
        <v>602</v>
      </c>
    </row>
    <row r="1140" customFormat="false" ht="15" hidden="false" customHeight="false" outlineLevel="0" collapsed="false">
      <c r="A1140" s="0" t="s">
        <v>464</v>
      </c>
      <c r="B1140" s="0" t="s">
        <v>312</v>
      </c>
      <c r="C1140" s="18" t="n">
        <f aca="false">C1137/C1139</f>
        <v>9.04</v>
      </c>
      <c r="D1140" s="18" t="n">
        <f aca="false">D1137/D1139</f>
        <v>18.4247476850676</v>
      </c>
      <c r="E1140" s="18" t="n">
        <f aca="false">E1137/E1139</f>
        <v>30.0899901473425</v>
      </c>
      <c r="F1140" s="18" t="n">
        <f aca="false">F1137/F1139</f>
        <v>36.1587953636945</v>
      </c>
      <c r="G1140" s="18" t="n">
        <f aca="false">G1137/G1139</f>
        <v>39.1411240761824</v>
      </c>
      <c r="H1140" s="29" t="n">
        <f aca="false">H1137/H1139</f>
        <v>39.7607932151296</v>
      </c>
      <c r="I1140" s="29" t="n">
        <f aca="false">I1137/I1139</f>
        <v>40.6430048704659</v>
      </c>
      <c r="J1140" s="29" t="n">
        <f aca="false">J1137/J1139</f>
        <v>41.8005657695538</v>
      </c>
    </row>
    <row r="1141" customFormat="false" ht="17.15" hidden="false" customHeight="false" outlineLevel="0" collapsed="false">
      <c r="A1141" s="0" t="s">
        <v>603</v>
      </c>
      <c r="B1141" s="0" t="s">
        <v>48</v>
      </c>
      <c r="D1141" s="20" t="n">
        <f aca="false">D1140/C1140-1</f>
        <v>1.03813580587031</v>
      </c>
      <c r="E1141" s="20" t="n">
        <f aca="false">E1140/D1140-1</f>
        <v>0.633129020905346</v>
      </c>
      <c r="F1141" s="20" t="n">
        <f aca="false">F1140/E1140-1</f>
        <v>0.201688507926879</v>
      </c>
      <c r="G1141" s="20" t="n">
        <f aca="false">G1140/F1140-1</f>
        <v>0.0824786523580481</v>
      </c>
      <c r="H1141" s="27" t="n">
        <f aca="false">H1140/G1140-1</f>
        <v>0.0158316643574439</v>
      </c>
      <c r="I1141" s="27" t="n">
        <f aca="false">I1140/H1140-1</f>
        <v>0.0221879792629649</v>
      </c>
      <c r="J1141" s="27" t="n">
        <f aca="false">J1140/I1140-1</f>
        <v>0.0284811839768522</v>
      </c>
    </row>
    <row r="1142" customFormat="false" ht="17.15" hidden="false" customHeight="false" outlineLevel="0" collapsed="false">
      <c r="A1142" s="4" t="s">
        <v>604</v>
      </c>
      <c r="B1142" s="0" t="s">
        <v>48</v>
      </c>
      <c r="C1142" s="17" t="n">
        <f aca="false">C1137/C1110</f>
        <v>0.0125349699042727</v>
      </c>
      <c r="D1142" s="17" t="n">
        <f aca="false">D1137/D1110</f>
        <v>0.0145632363293992</v>
      </c>
      <c r="E1142" s="17" t="n">
        <f aca="false">E1137/E1110</f>
        <v>0.0173187744041456</v>
      </c>
      <c r="F1142" s="17" t="n">
        <f aca="false">F1137/F1110</f>
        <v>0.0187704705539269</v>
      </c>
      <c r="G1142" s="17" t="n">
        <f aca="false">G1137/G1110</f>
        <v>0.0195795564204225</v>
      </c>
      <c r="H1142" s="28" t="n">
        <f aca="false">$G1142+(fade_mA-$G1142)*1/3</f>
        <v>0.0190300428342164</v>
      </c>
      <c r="I1142" s="28" t="n">
        <f aca="false">$G1142+(fade_mA-$G1142)*2/3</f>
        <v>0.0184805292480103</v>
      </c>
      <c r="J1142" s="28" t="n">
        <f aca="false">$G1142+(fade_mA-$G1142)*3/3</f>
        <v>0.0179310156618042</v>
      </c>
    </row>
    <row r="1145" customFormat="false" ht="17.15" hidden="false" customHeight="false" outlineLevel="0" collapsed="false">
      <c r="A1145" s="1" t="s">
        <v>890</v>
      </c>
    </row>
    <row r="1146" customFormat="false" ht="17.15" hidden="false" customHeight="false" outlineLevel="0" collapsed="false">
      <c r="A1146" s="5" t="s">
        <v>17</v>
      </c>
      <c r="B1146" s="5" t="s">
        <v>18</v>
      </c>
      <c r="C1146" s="14" t="s">
        <v>414</v>
      </c>
      <c r="D1146" s="14" t="s">
        <v>529</v>
      </c>
      <c r="E1146" s="14" t="s">
        <v>530</v>
      </c>
      <c r="F1146" s="14" t="s">
        <v>531</v>
      </c>
      <c r="G1146" s="14" t="s">
        <v>532</v>
      </c>
      <c r="H1146" s="14" t="s">
        <v>533</v>
      </c>
      <c r="I1146" s="14" t="s">
        <v>534</v>
      </c>
      <c r="J1146" s="14" t="s">
        <v>535</v>
      </c>
      <c r="K1146" s="5" t="s">
        <v>496</v>
      </c>
    </row>
    <row r="1147" customFormat="false" ht="17.15" hidden="false" customHeight="false" outlineLevel="0" collapsed="false">
      <c r="A1147" s="6" t="s">
        <v>550</v>
      </c>
    </row>
    <row r="1148" customFormat="false" ht="17.15" hidden="false" customHeight="false" outlineLevel="0" collapsed="false">
      <c r="A1148" s="0" t="s">
        <v>551</v>
      </c>
      <c r="B1148" s="0" t="s">
        <v>28</v>
      </c>
      <c r="D1148" s="21" t="n">
        <f aca="false">itc_26*1</f>
        <v>781.872916666667</v>
      </c>
      <c r="E1148" s="21" t="n">
        <f aca="false">itc_27*1*1</f>
        <v>1565.35</v>
      </c>
      <c r="F1148" s="21" t="n">
        <f aca="false">itc_28*um28_A*1</f>
        <v>1984.26388888889</v>
      </c>
      <c r="G1148" s="21" t="n">
        <f aca="false">itc_29*um29_A*1</f>
        <v>2260.39027777778</v>
      </c>
    </row>
    <row r="1149" customFormat="false" ht="17.15" hidden="false" customHeight="false" outlineLevel="0" collapsed="false">
      <c r="A1149" s="4" t="s">
        <v>552</v>
      </c>
      <c r="B1149" s="0" t="s">
        <v>28</v>
      </c>
      <c r="D1149" s="21" t="n">
        <f aca="false">itpg_gb*(1-vr26)+itpg_vr*vr26</f>
        <v>33.41403216</v>
      </c>
      <c r="E1149" s="21" t="n">
        <f aca="false">itpg_vr</f>
        <v>37.586352</v>
      </c>
      <c r="F1149" s="21" t="n">
        <f aca="false">itpg_vr</f>
        <v>37.586352</v>
      </c>
      <c r="G1149" s="21" t="n">
        <f aca="false">itpg_vr</f>
        <v>37.586352</v>
      </c>
    </row>
    <row r="1150" customFormat="false" ht="17.15" hidden="false" customHeight="false" outlineLevel="0" collapsed="false">
      <c r="A1150" s="4" t="s">
        <v>553</v>
      </c>
      <c r="B1150" s="0" t="s">
        <v>498</v>
      </c>
      <c r="D1150" s="22" t="n">
        <f aca="false">D1148/D1149</f>
        <v>23.3995380420639</v>
      </c>
      <c r="E1150" s="22" t="n">
        <f aca="false">E1148/E1149</f>
        <v>41.6467658260637</v>
      </c>
      <c r="F1150" s="22" t="n">
        <f aca="false">F1148/F1149</f>
        <v>52.792138191248</v>
      </c>
      <c r="G1150" s="22" t="n">
        <f aca="false">G1148/G1149</f>
        <v>60.1385917361116</v>
      </c>
    </row>
    <row r="1151" customFormat="false" ht="17.15" hidden="false" customHeight="false" outlineLevel="0" collapsed="false">
      <c r="A1151" s="4" t="s">
        <v>554</v>
      </c>
      <c r="B1151" s="0" t="s">
        <v>555</v>
      </c>
      <c r="D1151" s="18" t="n">
        <f aca="false">(racks_gb*odm_gb*(1-vr26)+racks_vr*odm_vr*vr26)/1000</f>
        <v>27.1209</v>
      </c>
      <c r="E1151" s="18" t="n">
        <f aca="false">racks_vr*odm_vr/1000</f>
        <v>27.351</v>
      </c>
      <c r="F1151" s="18" t="n">
        <f aca="false">$E1151*vpg_28</f>
        <v>27.351</v>
      </c>
      <c r="G1151" s="18" t="n">
        <f aca="false">$E1151*vpg_29</f>
        <v>27.351</v>
      </c>
      <c r="K1151" s="4" t="s">
        <v>556</v>
      </c>
    </row>
    <row r="1152" customFormat="false" ht="17.15" hidden="false" customHeight="false" outlineLevel="0" collapsed="false">
      <c r="A1152" s="0" t="s">
        <v>557</v>
      </c>
      <c r="B1152" s="0" t="s">
        <v>28</v>
      </c>
      <c r="D1152" s="21" t="n">
        <f aca="false">D1150*D1151</f>
        <v>634.616531285011</v>
      </c>
      <c r="E1152" s="21" t="n">
        <f aca="false">E1150*E1151</f>
        <v>1139.08069210867</v>
      </c>
      <c r="F1152" s="21" t="n">
        <f aca="false">F1150*F1151</f>
        <v>1443.91777166882</v>
      </c>
      <c r="G1152" s="21" t="n">
        <f aca="false">G1150*G1151</f>
        <v>1644.85062257439</v>
      </c>
    </row>
    <row r="1153" customFormat="false" ht="17.15" hidden="false" customHeight="false" outlineLevel="0" collapsed="false">
      <c r="A1153" s="0" t="s">
        <v>558</v>
      </c>
      <c r="B1153" s="0" t="s">
        <v>147</v>
      </c>
      <c r="D1153" s="21" t="n">
        <f aca="false">D1152*fx</f>
        <v>20307.7290011204</v>
      </c>
      <c r="E1153" s="21" t="n">
        <f aca="false">E1152*fx</f>
        <v>36450.5821474774</v>
      </c>
      <c r="F1153" s="21" t="n">
        <f aca="false">F1152*fx</f>
        <v>46205.3686934024</v>
      </c>
      <c r="G1153" s="21" t="n">
        <f aca="false">G1152*fx</f>
        <v>52635.2199223804</v>
      </c>
    </row>
    <row r="1154" customFormat="false" ht="17.15" hidden="false" customHeight="false" outlineLevel="0" collapsed="false">
      <c r="A1154" s="6" t="s">
        <v>559</v>
      </c>
    </row>
    <row r="1155" customFormat="false" ht="17.15" hidden="false" customHeight="false" outlineLevel="0" collapsed="false">
      <c r="A1155" s="4" t="s">
        <v>560</v>
      </c>
      <c r="B1155" s="0" t="s">
        <v>48</v>
      </c>
      <c r="D1155" s="20" t="n">
        <f aca="false">a26_ais/D1153</f>
        <v>0.0875096501918446</v>
      </c>
      <c r="K1155" s="8" t="s">
        <v>561</v>
      </c>
    </row>
    <row r="1156" customFormat="false" ht="17.15" hidden="false" customHeight="false" outlineLevel="0" collapsed="false">
      <c r="A1156" s="4" t="s">
        <v>562</v>
      </c>
      <c r="B1156" s="0" t="s">
        <v>60</v>
      </c>
      <c r="D1156" s="18" t="n">
        <f aca="false">1</f>
        <v>1</v>
      </c>
      <c r="E1156" s="18" t="n">
        <f aca="false">rel_27</f>
        <v>1</v>
      </c>
      <c r="F1156" s="18" t="n">
        <f aca="false">rel_28</f>
        <v>0.95</v>
      </c>
      <c r="G1156" s="18" t="n">
        <f aca="false">rel_29</f>
        <v>0.9</v>
      </c>
    </row>
    <row r="1157" customFormat="false" ht="17.15" hidden="false" customHeight="false" outlineLevel="0" collapsed="false">
      <c r="A1157" s="4" t="s">
        <v>563</v>
      </c>
      <c r="B1157" s="0" t="s">
        <v>48</v>
      </c>
      <c r="D1157" s="20" t="n">
        <f aca="false">$D$1155*D1156</f>
        <v>0.0875096501918446</v>
      </c>
      <c r="E1157" s="20" t="n">
        <f aca="false">$D$1155*E1156</f>
        <v>0.0875096501918446</v>
      </c>
      <c r="F1157" s="20" t="n">
        <f aca="false">$D$1155*F1156</f>
        <v>0.0831341676822524</v>
      </c>
      <c r="G1157" s="20" t="n">
        <f aca="false">$D$1155*G1156</f>
        <v>0.0787586851726601</v>
      </c>
    </row>
    <row r="1158" customFormat="false" ht="17.15" hidden="false" customHeight="false" outlineLevel="0" collapsed="false">
      <c r="A1158" s="4" t="s">
        <v>564</v>
      </c>
      <c r="B1158" s="0" t="s">
        <v>147</v>
      </c>
      <c r="D1158" s="21" t="n">
        <f aca="false">D1153*D1157</f>
        <v>1777.12226107882</v>
      </c>
      <c r="E1158" s="21" t="n">
        <f aca="false">E1153*E1157</f>
        <v>3189.77769301484</v>
      </c>
      <c r="F1158" s="21" t="n">
        <f aca="false">F1153*F1157</f>
        <v>3841.24486877761</v>
      </c>
      <c r="G1158" s="21" t="n">
        <f aca="false">G1153*G1157</f>
        <v>4145.48071486049</v>
      </c>
    </row>
    <row r="1159" customFormat="false" ht="17.15" hidden="false" customHeight="false" outlineLevel="0" collapsed="false">
      <c r="A1159" s="4" t="s">
        <v>565</v>
      </c>
      <c r="B1159" s="0" t="s">
        <v>48</v>
      </c>
      <c r="D1159" s="20" t="n">
        <f aca="false">0</f>
        <v>0</v>
      </c>
      <c r="E1159" s="20" t="n">
        <f aca="false">cs_27</f>
        <v>0.1</v>
      </c>
      <c r="F1159" s="20" t="n">
        <f aca="false">cs_28</f>
        <v>0.2</v>
      </c>
      <c r="G1159" s="20" t="n">
        <f aca="false">cs_29</f>
        <v>0.25</v>
      </c>
      <c r="K1159" s="8" t="s">
        <v>566</v>
      </c>
    </row>
    <row r="1160" customFormat="false" ht="17.15" hidden="false" customHeight="false" outlineLevel="0" collapsed="false">
      <c r="A1160" s="4" t="s">
        <v>567</v>
      </c>
      <c r="B1160" s="0" t="s">
        <v>147</v>
      </c>
      <c r="D1160" s="21" t="n">
        <f aca="false">D1158*(1-D1159)</f>
        <v>1777.12226107882</v>
      </c>
      <c r="E1160" s="21" t="n">
        <f aca="false">E1158*(1-E1159)</f>
        <v>2870.79992371336</v>
      </c>
      <c r="F1160" s="21" t="n">
        <f aca="false">F1158*(1-F1159)</f>
        <v>3072.99589502208</v>
      </c>
      <c r="G1160" s="21" t="n">
        <f aca="false">G1158*(1-G1159)</f>
        <v>3109.11053614536</v>
      </c>
    </row>
    <row r="1161" customFormat="false" ht="17.15" hidden="false" customHeight="false" outlineLevel="0" collapsed="false">
      <c r="A1161" s="6" t="s">
        <v>568</v>
      </c>
    </row>
    <row r="1162" customFormat="false" ht="17.15" hidden="false" customHeight="false" outlineLevel="0" collapsed="false">
      <c r="A1162" s="0" t="s">
        <v>569</v>
      </c>
      <c r="B1162" s="4" t="s">
        <v>81</v>
      </c>
      <c r="D1162" s="18" t="n">
        <f aca="false">gu_26*1</f>
        <v>8.35</v>
      </c>
      <c r="E1162" s="18" t="n">
        <f aca="false">gu_27*1*1</f>
        <v>11.2</v>
      </c>
      <c r="F1162" s="18" t="n">
        <f aca="false">gu_28*um28_A*1</f>
        <v>11.5</v>
      </c>
      <c r="G1162" s="18" t="n">
        <f aca="false">gu_29*um29_A*1</f>
        <v>12.9</v>
      </c>
    </row>
    <row r="1163" customFormat="false" ht="15" hidden="false" customHeight="false" outlineLevel="0" collapsed="false">
      <c r="A1163" s="4" t="s">
        <v>570</v>
      </c>
      <c r="B1163" s="0" t="s">
        <v>48</v>
      </c>
      <c r="D1163" s="20" t="n">
        <f aca="false">bsh_26</f>
        <v>0.5</v>
      </c>
      <c r="E1163" s="20" t="n">
        <f aca="false">bsh_26*brel_27</f>
        <v>0.5</v>
      </c>
      <c r="F1163" s="20" t="n">
        <f aca="false">bsh_26*brel_28</f>
        <v>0.475</v>
      </c>
      <c r="G1163" s="20" t="n">
        <f aca="false">bsh_26*brel_29</f>
        <v>0.45</v>
      </c>
    </row>
    <row r="1164" customFormat="false" ht="17.15" hidden="false" customHeight="false" outlineLevel="0" collapsed="false">
      <c r="A1164" s="4" t="s">
        <v>571</v>
      </c>
      <c r="B1164" s="0" t="s">
        <v>520</v>
      </c>
      <c r="D1164" s="24" t="n">
        <f aca="false">a26_brd/fx/D1162/D1163*1000</f>
        <v>823.353293413174</v>
      </c>
      <c r="E1164" s="24" t="n">
        <f aca="false">$D1164*bv_27</f>
        <v>946.85628742515</v>
      </c>
      <c r="F1164" s="24" t="n">
        <f aca="false">$D1164*bv_28</f>
        <v>988.023952095808</v>
      </c>
      <c r="G1164" s="24" t="n">
        <f aca="false">$D1164*bv_29</f>
        <v>988.023952095808</v>
      </c>
      <c r="K1164" s="8" t="s">
        <v>572</v>
      </c>
    </row>
    <row r="1165" customFormat="false" ht="17.15" hidden="false" customHeight="false" outlineLevel="0" collapsed="false">
      <c r="A1165" s="0" t="s">
        <v>522</v>
      </c>
      <c r="B1165" s="0" t="s">
        <v>147</v>
      </c>
      <c r="D1165" s="21" t="n">
        <f aca="false">D1162*D1163*D1164*fx/1000</f>
        <v>110</v>
      </c>
      <c r="E1165" s="21" t="n">
        <f aca="false">E1162*E1163*E1164*fx/1000</f>
        <v>169.676646706587</v>
      </c>
      <c r="F1165" s="21" t="n">
        <f aca="false">F1162*F1163*F1164*fx/1000</f>
        <v>172.706586826347</v>
      </c>
      <c r="G1165" s="21" t="n">
        <f aca="false">G1162*G1163*G1164*fx/1000</f>
        <v>183.535329341317</v>
      </c>
    </row>
    <row r="1166" customFormat="false" ht="17.15" hidden="false" customHeight="false" outlineLevel="0" collapsed="false">
      <c r="A1166" s="6" t="s">
        <v>573</v>
      </c>
    </row>
    <row r="1167" customFormat="false" ht="15" hidden="false" customHeight="false" outlineLevel="0" collapsed="false">
      <c r="A1167" s="4" t="s">
        <v>574</v>
      </c>
      <c r="B1167" s="0" t="s">
        <v>147</v>
      </c>
      <c r="D1167" s="21" t="n">
        <f aca="false">a26_gen</f>
        <v>150</v>
      </c>
      <c r="E1167" s="21" t="n">
        <f aca="false">D1167*(1+g_gen27)</f>
        <v>180</v>
      </c>
      <c r="F1167" s="21" t="n">
        <f aca="false">E1167*(1+g_gen28)</f>
        <v>198</v>
      </c>
      <c r="G1167" s="21" t="n">
        <f aca="false">F1167*(1+g_gen29)</f>
        <v>213.84</v>
      </c>
    </row>
    <row r="1168" customFormat="false" ht="15" hidden="false" customHeight="false" outlineLevel="0" collapsed="false">
      <c r="A1168" s="4" t="s">
        <v>575</v>
      </c>
      <c r="B1168" s="0" t="s">
        <v>147</v>
      </c>
      <c r="D1168" s="21" t="n">
        <f aca="false">a26_pc</f>
        <v>614.602793131557</v>
      </c>
      <c r="E1168" s="21" t="n">
        <f aca="false">D1168*(1+g_pc27)</f>
        <v>596.16470933761</v>
      </c>
      <c r="F1168" s="21" t="n">
        <f aca="false">E1168*(1+g_pc28)</f>
        <v>596.16470933761</v>
      </c>
      <c r="G1168" s="21" t="n">
        <f aca="false">F1168*(1+g_pc29)</f>
        <v>596.16470933761</v>
      </c>
    </row>
    <row r="1169" customFormat="false" ht="15" hidden="false" customHeight="false" outlineLevel="0" collapsed="false">
      <c r="A1169" s="4" t="s">
        <v>576</v>
      </c>
      <c r="B1169" s="0" t="s">
        <v>147</v>
      </c>
      <c r="C1169" s="21" t="n">
        <f aca="false">a25_srev</f>
        <v>1235.86</v>
      </c>
      <c r="D1169" s="21" t="n">
        <f aca="false">D1160+D1165+D1167+D1168</f>
        <v>2651.72505421038</v>
      </c>
      <c r="E1169" s="21" t="n">
        <f aca="false">E1160+E1165+E1167+E1168</f>
        <v>3816.64127975755</v>
      </c>
      <c r="F1169" s="21" t="n">
        <f aca="false">F1160+F1165+F1167+F1168</f>
        <v>4039.86719118604</v>
      </c>
      <c r="G1169" s="21" t="n">
        <f aca="false">G1160+G1165+G1167+G1168</f>
        <v>4102.65057482429</v>
      </c>
    </row>
    <row r="1170" customFormat="false" ht="17.15" hidden="false" customHeight="false" outlineLevel="0" collapsed="false">
      <c r="A1170" s="4" t="s">
        <v>577</v>
      </c>
      <c r="B1170" s="0" t="s">
        <v>48</v>
      </c>
      <c r="D1170" s="20" t="n">
        <f aca="false">a26_wai/D1153</f>
        <v>0.0391523244650416</v>
      </c>
      <c r="K1170" s="8" t="s">
        <v>578</v>
      </c>
    </row>
    <row r="1171" customFormat="false" ht="17.15" hidden="false" customHeight="false" outlineLevel="0" collapsed="false">
      <c r="A1171" s="4" t="s">
        <v>504</v>
      </c>
      <c r="B1171" s="0" t="s">
        <v>48</v>
      </c>
      <c r="D1171" s="20" t="n">
        <f aca="false">D1170</f>
        <v>0.0391523244650416</v>
      </c>
      <c r="E1171" s="20" t="n">
        <f aca="false">$D$1170*wrel_27</f>
        <v>0.0391523244650416</v>
      </c>
      <c r="F1171" s="20" t="n">
        <f aca="false">$D$1170*wrel_28</f>
        <v>0.0391523244650416</v>
      </c>
      <c r="G1171" s="20" t="n">
        <f aca="false">$D$1170*wrel_29</f>
        <v>0.0371947082417896</v>
      </c>
    </row>
    <row r="1172" customFormat="false" ht="17.15" hidden="false" customHeight="false" outlineLevel="0" collapsed="false">
      <c r="A1172" s="4" t="s">
        <v>524</v>
      </c>
      <c r="B1172" s="0" t="s">
        <v>147</v>
      </c>
      <c r="D1172" s="21" t="n">
        <f aca="false">D1153*D1171</f>
        <v>795.094795</v>
      </c>
      <c r="E1172" s="21" t="n">
        <f aca="false">E1153*E1171</f>
        <v>1427.12501917769</v>
      </c>
      <c r="F1172" s="21" t="n">
        <f aca="false">F1153*F1171</f>
        <v>1809.04758711097</v>
      </c>
      <c r="G1172" s="21" t="n">
        <f aca="false">G1153*G1171</f>
        <v>1957.75164825537</v>
      </c>
    </row>
    <row r="1173" customFormat="false" ht="17.15" hidden="false" customHeight="false" outlineLevel="0" collapsed="false">
      <c r="A1173" s="4" t="s">
        <v>579</v>
      </c>
      <c r="B1173" s="0" t="s">
        <v>147</v>
      </c>
      <c r="D1173" s="21" t="n">
        <f aca="false">a26_wna</f>
        <v>650.532105</v>
      </c>
      <c r="E1173" s="21" t="n">
        <f aca="false">D1173*(1+g_wn27)</f>
        <v>715.5853155</v>
      </c>
      <c r="F1173" s="21" t="n">
        <f aca="false">E1173*(1+g_wn28)</f>
        <v>758.52043443</v>
      </c>
      <c r="G1173" s="21" t="n">
        <f aca="false">F1173*(1+g_wn29)</f>
        <v>796.4464561515</v>
      </c>
    </row>
    <row r="1174" customFormat="false" ht="15" hidden="false" customHeight="false" outlineLevel="0" collapsed="false">
      <c r="A1174" s="4" t="s">
        <v>434</v>
      </c>
      <c r="B1174" s="0" t="s">
        <v>147</v>
      </c>
      <c r="C1174" s="21" t="n">
        <f aca="false">a25_wrev</f>
        <v>950.663</v>
      </c>
      <c r="D1174" s="21" t="n">
        <f aca="false">D1172+D1173</f>
        <v>1445.6269</v>
      </c>
      <c r="E1174" s="21" t="n">
        <f aca="false">E1172+E1173</f>
        <v>2142.71033467769</v>
      </c>
      <c r="F1174" s="21" t="n">
        <f aca="false">F1172+F1173</f>
        <v>2567.56802154097</v>
      </c>
      <c r="G1174" s="21" t="n">
        <f aca="false">G1172+G1173</f>
        <v>2754.19810440687</v>
      </c>
    </row>
    <row r="1175" customFormat="false" ht="17.15" hidden="false" customHeight="false" outlineLevel="0" collapsed="false">
      <c r="A1175" s="4" t="s">
        <v>420</v>
      </c>
      <c r="B1175" s="0" t="s">
        <v>147</v>
      </c>
      <c r="C1175" s="21" t="n">
        <f aca="false">C1169+C1174</f>
        <v>2186.523</v>
      </c>
      <c r="D1175" s="21" t="n">
        <f aca="false">D1169+D1174</f>
        <v>4097.35195421038</v>
      </c>
      <c r="E1175" s="21" t="n">
        <f aca="false">E1169+E1174</f>
        <v>5959.35161443524</v>
      </c>
      <c r="F1175" s="21" t="n">
        <f aca="false">F1169+F1174</f>
        <v>6607.43521272701</v>
      </c>
      <c r="G1175" s="21" t="n">
        <f aca="false">G1169+G1174</f>
        <v>6856.84867923116</v>
      </c>
      <c r="H1175" s="26" t="n">
        <f aca="false">G1175*(1+H1176)</f>
        <v>7166.53776956726</v>
      </c>
      <c r="I1175" s="26" t="n">
        <f aca="false">H1175*(1+I1176)</f>
        <v>7543.37199085936</v>
      </c>
      <c r="J1175" s="26" t="n">
        <f aca="false">I1175*(1+J1176)</f>
        <v>7995.97431031092</v>
      </c>
      <c r="K1175" s="8" t="s">
        <v>580</v>
      </c>
    </row>
    <row r="1176" customFormat="false" ht="15" hidden="false" customHeight="false" outlineLevel="0" collapsed="false">
      <c r="A1176" s="4" t="s">
        <v>581</v>
      </c>
      <c r="B1176" s="0" t="s">
        <v>48</v>
      </c>
      <c r="D1176" s="20" t="n">
        <f aca="false">D1175/C1175-1</f>
        <v>0.873912121761526</v>
      </c>
      <c r="E1176" s="20" t="n">
        <f aca="false">E1175/D1175-1</f>
        <v>0.454439765251677</v>
      </c>
      <c r="F1176" s="20" t="n">
        <f aca="false">F1175/E1175-1</f>
        <v>0.108750689709586</v>
      </c>
      <c r="G1176" s="20" t="n">
        <f aca="false">G1175/F1175-1</f>
        <v>0.0377473949383174</v>
      </c>
      <c r="H1176" s="27" t="n">
        <f aca="false">$G1176+(fade_gA-$G1176)*1/3</f>
        <v>0.0451649299588782</v>
      </c>
      <c r="I1176" s="27" t="n">
        <f aca="false">$G1176+(fade_gA-$G1176)*2/3</f>
        <v>0.0525824649794391</v>
      </c>
      <c r="J1176" s="27" t="n">
        <f aca="false">$G1176+(fade_gA-$G1176)*3/3</f>
        <v>0.06</v>
      </c>
    </row>
    <row r="1177" customFormat="false" ht="17.15" hidden="false" customHeight="false" outlineLevel="0" collapsed="false">
      <c r="A1177" s="0" t="s">
        <v>582</v>
      </c>
      <c r="B1177" s="0" t="s">
        <v>48</v>
      </c>
      <c r="D1177" s="20" t="n">
        <f aca="false">(D1160+D1165+D1172)/D1175</f>
        <v>0.6546220793463</v>
      </c>
      <c r="E1177" s="20" t="n">
        <f aca="false">(E1160+E1165+E1172)/E1175</f>
        <v>0.749679139384196</v>
      </c>
      <c r="F1177" s="20" t="n">
        <f aca="false">(F1160+F1165+F1172)/F1175</f>
        <v>0.76500940322852</v>
      </c>
      <c r="G1177" s="20" t="n">
        <f aca="false">(G1160+G1165+G1172)/G1175</f>
        <v>0.765715820686707</v>
      </c>
    </row>
    <row r="1178" customFormat="false" ht="17.15" hidden="false" customHeight="false" outlineLevel="0" collapsed="false">
      <c r="A1178" s="4" t="s">
        <v>583</v>
      </c>
      <c r="B1178" s="0" t="s">
        <v>48</v>
      </c>
      <c r="C1178" s="20" t="n">
        <f aca="false">C1174/C1175</f>
        <v>0.434782986504144</v>
      </c>
      <c r="D1178" s="20" t="n">
        <f aca="false">D1174/D1175</f>
        <v>0.352819800728736</v>
      </c>
      <c r="E1178" s="20" t="n">
        <f aca="false">E1174/E1175</f>
        <v>0.359554272563384</v>
      </c>
      <c r="F1178" s="20" t="n">
        <f aca="false">F1174/F1175</f>
        <v>0.388587695358012</v>
      </c>
      <c r="G1178" s="20" t="n">
        <f aca="false">G1174/G1175</f>
        <v>0.40167112229691</v>
      </c>
    </row>
    <row r="1179" customFormat="false" ht="17.15" hidden="false" customHeight="false" outlineLevel="0" collapsed="false">
      <c r="A1179" s="4" t="s">
        <v>584</v>
      </c>
      <c r="B1179" s="4" t="s">
        <v>331</v>
      </c>
      <c r="D1179" s="21" t="n">
        <f aca="false">D1158/fx/(odm_gb*(1-vr26)+odm_vr*vr26)</f>
        <v>12.0597330420658</v>
      </c>
      <c r="E1179" s="21" t="n">
        <f aca="false">E1158/fx/odm_vr</f>
        <v>14.7674893195131</v>
      </c>
      <c r="F1179" s="21" t="n">
        <f aca="false">F1158/fx/odm_vr</f>
        <v>17.7835410591556</v>
      </c>
      <c r="G1179" s="21" t="n">
        <f aca="false">G1158/fx/odm_vr</f>
        <v>19.1920403465763</v>
      </c>
      <c r="K1179" s="4" t="s">
        <v>585</v>
      </c>
    </row>
    <row r="1180" customFormat="false" ht="17.15" hidden="false" customHeight="false" outlineLevel="0" collapsed="false">
      <c r="A1180" s="6" t="s">
        <v>586</v>
      </c>
    </row>
    <row r="1181" customFormat="false" ht="17.15" hidden="false" customHeight="false" outlineLevel="0" collapsed="false">
      <c r="A1181" s="4" t="s">
        <v>587</v>
      </c>
      <c r="B1181" s="0" t="s">
        <v>48</v>
      </c>
      <c r="D1181" s="17" t="n">
        <f aca="false">(a26_sgp-d_ai*D1160-d_brd*D1165-d_gen*D1167)/D1169</f>
        <v>0.0436423860147897</v>
      </c>
      <c r="K1181" s="8" t="s">
        <v>588</v>
      </c>
    </row>
    <row r="1182" customFormat="false" ht="17.15" hidden="false" customHeight="false" outlineLevel="0" collapsed="false">
      <c r="A1182" s="4" t="s">
        <v>589</v>
      </c>
      <c r="B1182" s="0" t="s">
        <v>147</v>
      </c>
      <c r="D1182" s="25" t="n">
        <f aca="false">($D$1181+d_ai)*D1158*(1-D1159*(1-keep))</f>
        <v>59.7866331026896</v>
      </c>
      <c r="E1182" s="25" t="n">
        <f aca="false">($D$1181+d_ai+vrd)*E1158*(1-E1159*(1-keep))</f>
        <v>99.9228552931035</v>
      </c>
      <c r="F1182" s="25" t="n">
        <f aca="false">($D$1181+d_ai+vrd)*F1158*(1-F1159*(1-keep))</f>
        <v>119.115229856887</v>
      </c>
      <c r="G1182" s="25" t="n">
        <f aca="false">($D$1181+d_ai+vrd)*G1158*(1-G1159*(1-keep))</f>
        <v>127.89357847157</v>
      </c>
    </row>
    <row r="1183" customFormat="false" ht="15" hidden="false" customHeight="false" outlineLevel="0" collapsed="false">
      <c r="A1183" s="4" t="s">
        <v>590</v>
      </c>
      <c r="B1183" s="0" t="s">
        <v>147</v>
      </c>
      <c r="C1183" s="21" t="n">
        <f aca="false">a25_sgp</f>
        <v>55.529</v>
      </c>
      <c r="D1183" s="21" t="n">
        <f aca="false">a26_sgp</f>
        <v>103.50638581015</v>
      </c>
      <c r="E1183" s="21" t="n">
        <f aca="false">$D$1181*E1168+($D$1181+d_brd)*E1165+($D$1181+d_gen)*E1167+E1182</f>
        <v>148.991928263534</v>
      </c>
      <c r="F1183" s="21" t="n">
        <f aca="false">$D$1181*F1168+($D$1181+d_brd)*F1165+($D$1181+d_gen)*F1167+F1182</f>
        <v>169.462997795485</v>
      </c>
      <c r="G1183" s="21" t="n">
        <f aca="false">$D$1181*G1168+($D$1181+d_brd)*G1165+($D$1181+d_gen)*G1167+G1182</f>
        <v>179.967696240984</v>
      </c>
    </row>
    <row r="1184" customFormat="false" ht="15" hidden="false" customHeight="false" outlineLevel="0" collapsed="false">
      <c r="A1184" s="4" t="s">
        <v>591</v>
      </c>
      <c r="B1184" s="0" t="s">
        <v>48</v>
      </c>
      <c r="C1184" s="17" t="n">
        <f aca="false">C1183/C1169</f>
        <v>0.0449314647290146</v>
      </c>
      <c r="D1184" s="17" t="n">
        <f aca="false">D1183/D1169</f>
        <v>0.0390336040479778</v>
      </c>
      <c r="E1184" s="17" t="n">
        <f aca="false">E1183/E1169</f>
        <v>0.0390374461057547</v>
      </c>
      <c r="F1184" s="17" t="n">
        <f aca="false">F1183/F1169</f>
        <v>0.0419476655483156</v>
      </c>
      <c r="G1184" s="17" t="n">
        <f aca="false">G1183/G1169</f>
        <v>0.0438662013639053</v>
      </c>
    </row>
    <row r="1185" customFormat="false" ht="15" hidden="false" customHeight="false" outlineLevel="0" collapsed="false">
      <c r="A1185" s="4" t="s">
        <v>592</v>
      </c>
      <c r="B1185" s="0" t="s">
        <v>48</v>
      </c>
      <c r="E1185" s="20" t="n">
        <f aca="false">MAX(0,phi*(E1169/D1169-1))</f>
        <v>0.13179151703879</v>
      </c>
      <c r="F1185" s="20" t="n">
        <f aca="false">MAX(0,phi*(F1169/E1169-1))</f>
        <v>0.0175462582202121</v>
      </c>
      <c r="G1185" s="20" t="n">
        <f aca="false">MAX(0,phi*(G1169/F1169-1))</f>
        <v>0.00466228571388885</v>
      </c>
    </row>
    <row r="1186" customFormat="false" ht="15" hidden="false" customHeight="false" outlineLevel="0" collapsed="false">
      <c r="A1186" s="4" t="s">
        <v>593</v>
      </c>
      <c r="B1186" s="0" t="s">
        <v>147</v>
      </c>
      <c r="C1186" s="21" t="n">
        <f aca="false">a25_sopx</f>
        <v>40.894</v>
      </c>
      <c r="D1186" s="21" t="n">
        <f aca="false">a26_sopx</f>
        <v>46.9914095398923</v>
      </c>
      <c r="E1186" s="21" t="n">
        <f aca="false">D1186*(1+E1185)+0*E1169</f>
        <v>53.1844786909457</v>
      </c>
      <c r="F1186" s="21" t="n">
        <f aca="false">E1186*(1+F1185)+0*F1169</f>
        <v>54.1176672873644</v>
      </c>
      <c r="G1186" s="21" t="n">
        <f aca="false">F1186*(1+G1185)+0*G1169</f>
        <v>54.3699793144273</v>
      </c>
    </row>
    <row r="1187" customFormat="false" ht="15" hidden="false" customHeight="false" outlineLevel="0" collapsed="false">
      <c r="A1187" s="4" t="s">
        <v>594</v>
      </c>
      <c r="B1187" s="0" t="s">
        <v>147</v>
      </c>
      <c r="C1187" s="21" t="n">
        <f aca="false">C1183-C1186</f>
        <v>14.635</v>
      </c>
      <c r="D1187" s="21" t="n">
        <f aca="false">D1183-D1186</f>
        <v>56.514976270258</v>
      </c>
      <c r="E1187" s="21" t="n">
        <f aca="false">E1183-E1186</f>
        <v>95.8074495725884</v>
      </c>
      <c r="F1187" s="21" t="n">
        <f aca="false">F1183-F1186</f>
        <v>115.345330508121</v>
      </c>
      <c r="G1187" s="21" t="n">
        <f aca="false">G1183-G1186</f>
        <v>125.597716926557</v>
      </c>
    </row>
    <row r="1188" customFormat="false" ht="15" hidden="false" customHeight="false" outlineLevel="0" collapsed="false">
      <c r="A1188" s="4" t="s">
        <v>595</v>
      </c>
      <c r="B1188" s="0" t="s">
        <v>48</v>
      </c>
      <c r="C1188" s="17" t="n">
        <f aca="false">C1187/C1169</f>
        <v>0.011841956208632</v>
      </c>
      <c r="D1188" s="17" t="n">
        <f aca="false">D1187/D1169</f>
        <v>0.0213125324514788</v>
      </c>
      <c r="E1188" s="17" t="n">
        <f aca="false">E1187/E1169</f>
        <v>0.0251025555062577</v>
      </c>
      <c r="F1188" s="17" t="n">
        <f aca="false">F1187/F1169</f>
        <v>0.0285517629786878</v>
      </c>
      <c r="G1188" s="17" t="n">
        <f aca="false">G1187/G1169</f>
        <v>0.0306137982350437</v>
      </c>
    </row>
    <row r="1189" customFormat="false" ht="15" hidden="false" customHeight="false" outlineLevel="0" collapsed="false">
      <c r="A1189" s="4" t="s">
        <v>596</v>
      </c>
      <c r="B1189" s="0" t="s">
        <v>147</v>
      </c>
      <c r="C1189" s="21" t="n">
        <f aca="false">a25_sni</f>
        <v>6.9608</v>
      </c>
      <c r="D1189" s="21" t="n">
        <f aca="false">a26_sni</f>
        <v>31.133746704</v>
      </c>
      <c r="E1189" s="21" t="n">
        <f aca="false">E1187*snio</f>
        <v>53.6521717606495</v>
      </c>
      <c r="F1189" s="21" t="n">
        <f aca="false">F1187*snio</f>
        <v>64.5933850845477</v>
      </c>
      <c r="G1189" s="21" t="n">
        <f aca="false">G1187*snio</f>
        <v>70.3347214788719</v>
      </c>
    </row>
    <row r="1190" customFormat="false" ht="17.15" hidden="false" customHeight="false" outlineLevel="0" collapsed="false">
      <c r="A1190" s="6" t="s">
        <v>597</v>
      </c>
    </row>
    <row r="1191" customFormat="false" ht="15" hidden="false" customHeight="false" outlineLevel="0" collapsed="false">
      <c r="A1191" s="4" t="s">
        <v>438</v>
      </c>
      <c r="B1191" s="0" t="s">
        <v>147</v>
      </c>
      <c r="C1191" s="21" t="n">
        <f aca="false">a25_wgp</f>
        <v>78.454</v>
      </c>
      <c r="D1191" s="21" t="n">
        <f aca="false">a26_wgp</f>
        <v>125.0519932</v>
      </c>
      <c r="E1191" s="21" t="n">
        <f aca="false">E1174*wgm</f>
        <v>182.130378447603</v>
      </c>
      <c r="F1191" s="21" t="n">
        <f aca="false">F1174*wgm</f>
        <v>218.243281830982</v>
      </c>
      <c r="G1191" s="21" t="n">
        <f aca="false">G1174*wgm</f>
        <v>234.106838874584</v>
      </c>
    </row>
    <row r="1192" customFormat="false" ht="15" hidden="false" customHeight="false" outlineLevel="0" collapsed="false">
      <c r="A1192" s="4" t="s">
        <v>440</v>
      </c>
      <c r="B1192" s="0" t="s">
        <v>147</v>
      </c>
      <c r="C1192" s="21" t="n">
        <f aca="false">a25_woi</f>
        <v>63.918</v>
      </c>
      <c r="D1192" s="21" t="n">
        <f aca="false">a26_woi</f>
        <v>98.2471632</v>
      </c>
      <c r="E1192" s="21" t="n">
        <f aca="false">E1174*wopm</f>
        <v>139.27617175405</v>
      </c>
      <c r="F1192" s="21" t="n">
        <f aca="false">F1174*wopm</f>
        <v>166.891921400163</v>
      </c>
      <c r="G1192" s="21" t="n">
        <f aca="false">G1174*wopm</f>
        <v>179.022876786446</v>
      </c>
    </row>
    <row r="1193" customFormat="false" ht="15" hidden="false" customHeight="false" outlineLevel="0" collapsed="false">
      <c r="A1193" s="4" t="s">
        <v>448</v>
      </c>
      <c r="B1193" s="0" t="s">
        <v>147</v>
      </c>
      <c r="C1193" s="21" t="n">
        <f aca="false">a25_wni</f>
        <v>51.118</v>
      </c>
      <c r="D1193" s="21" t="n">
        <f aca="false">a26_wni</f>
        <v>75.735026884</v>
      </c>
      <c r="E1193" s="21" t="n">
        <f aca="false">E1192*wnio</f>
        <v>108.635413968159</v>
      </c>
      <c r="F1193" s="21" t="n">
        <f aca="false">F1192*wnio</f>
        <v>130.175698692127</v>
      </c>
      <c r="G1193" s="21" t="n">
        <f aca="false">G1192*wnio</f>
        <v>139.637843893428</v>
      </c>
    </row>
    <row r="1194" customFormat="false" ht="15" hidden="false" customHeight="false" outlineLevel="0" collapsed="false">
      <c r="A1194" s="4" t="s">
        <v>450</v>
      </c>
      <c r="B1194" s="0" t="s">
        <v>48</v>
      </c>
      <c r="C1194" s="17" t="n">
        <f aca="false">stake25</f>
        <v>0.4</v>
      </c>
      <c r="D1194" s="17" t="n">
        <f aca="false">stake_lo</f>
        <v>0.35</v>
      </c>
      <c r="E1194" s="17" t="n">
        <f aca="false">stake_lo</f>
        <v>0.35</v>
      </c>
      <c r="F1194" s="17" t="n">
        <f aca="false">stake_lo</f>
        <v>0.35</v>
      </c>
      <c r="G1194" s="17" t="n">
        <f aca="false">stake_lo</f>
        <v>0.35</v>
      </c>
    </row>
    <row r="1195" customFormat="false" ht="17.15" hidden="false" customHeight="false" outlineLevel="0" collapsed="false">
      <c r="A1195" s="6" t="s">
        <v>598</v>
      </c>
    </row>
    <row r="1196" customFormat="false" ht="15" hidden="false" customHeight="false" outlineLevel="0" collapsed="false">
      <c r="A1196" s="4" t="s">
        <v>424</v>
      </c>
      <c r="B1196" s="0" t="s">
        <v>147</v>
      </c>
      <c r="C1196" s="21" t="n">
        <f aca="false">C1183+C1191</f>
        <v>133.983</v>
      </c>
      <c r="D1196" s="21" t="n">
        <f aca="false">D1183+D1191</f>
        <v>228.55837901015</v>
      </c>
      <c r="E1196" s="21" t="n">
        <f aca="false">E1183+E1191</f>
        <v>331.122306711138</v>
      </c>
      <c r="F1196" s="21" t="n">
        <f aca="false">F1183+F1191</f>
        <v>387.706279626467</v>
      </c>
      <c r="G1196" s="21" t="n">
        <f aca="false">G1183+G1191</f>
        <v>414.074535115568</v>
      </c>
    </row>
    <row r="1197" customFormat="false" ht="15" hidden="false" customHeight="false" outlineLevel="0" collapsed="false">
      <c r="A1197" s="4" t="s">
        <v>427</v>
      </c>
      <c r="B1197" s="0" t="s">
        <v>48</v>
      </c>
      <c r="C1197" s="17" t="n">
        <f aca="false">C1196/C1175</f>
        <v>0.0612767393711386</v>
      </c>
      <c r="D1197" s="17" t="n">
        <f aca="false">D1196/D1175</f>
        <v>0.055781973714825</v>
      </c>
      <c r="E1197" s="17" t="n">
        <f aca="false">E1196/E1175</f>
        <v>0.0555634787363554</v>
      </c>
      <c r="F1197" s="17" t="n">
        <f aca="false">F1196/F1175</f>
        <v>0.058677272972678</v>
      </c>
      <c r="G1197" s="17" t="n">
        <f aca="false">G1196/G1175</f>
        <v>0.0603884604264006</v>
      </c>
    </row>
    <row r="1198" customFormat="false" ht="15" hidden="false" customHeight="false" outlineLevel="0" collapsed="false">
      <c r="A1198" s="4" t="s">
        <v>428</v>
      </c>
      <c r="B1198" s="0" t="s">
        <v>147</v>
      </c>
      <c r="C1198" s="21" t="n">
        <f aca="false">C1187+C1192</f>
        <v>78.553</v>
      </c>
      <c r="D1198" s="21" t="n">
        <f aca="false">D1187+D1192</f>
        <v>154.762139470258</v>
      </c>
      <c r="E1198" s="21" t="n">
        <f aca="false">E1187+E1192</f>
        <v>235.083621326638</v>
      </c>
      <c r="F1198" s="21" t="n">
        <f aca="false">F1187+F1192</f>
        <v>282.237251908284</v>
      </c>
      <c r="G1198" s="21" t="n">
        <f aca="false">G1187+G1192</f>
        <v>304.620593713003</v>
      </c>
    </row>
    <row r="1199" customFormat="false" ht="15" hidden="false" customHeight="false" outlineLevel="0" collapsed="false">
      <c r="A1199" s="4" t="s">
        <v>431</v>
      </c>
      <c r="B1199" s="0" t="s">
        <v>48</v>
      </c>
      <c r="C1199" s="17" t="n">
        <f aca="false">C1198/C1175</f>
        <v>0.0359259884300325</v>
      </c>
      <c r="D1199" s="17" t="n">
        <f aca="false">D1198/D1175</f>
        <v>0.0377712584126992</v>
      </c>
      <c r="E1199" s="17" t="n">
        <f aca="false">E1198/E1175</f>
        <v>0.0394478521383432</v>
      </c>
      <c r="F1199" s="17" t="n">
        <f aca="false">F1198/F1175</f>
        <v>0.0427150994026621</v>
      </c>
      <c r="G1199" s="17" t="n">
        <f aca="false">G1198/G1175</f>
        <v>0.0444257424895017</v>
      </c>
    </row>
    <row r="1200" customFormat="false" ht="15" hidden="false" customHeight="false" outlineLevel="0" collapsed="false">
      <c r="A1200" s="4" t="s">
        <v>461</v>
      </c>
      <c r="B1200" s="0" t="s">
        <v>147</v>
      </c>
      <c r="C1200" s="21" t="n">
        <f aca="false">C1189+C1193</f>
        <v>58.0788</v>
      </c>
      <c r="D1200" s="21" t="n">
        <f aca="false">D1189+D1193</f>
        <v>106.868773588</v>
      </c>
      <c r="E1200" s="21" t="n">
        <f aca="false">E1189+E1193</f>
        <v>162.287585728808</v>
      </c>
      <c r="F1200" s="21" t="n">
        <f aca="false">F1189+F1193</f>
        <v>194.769083776675</v>
      </c>
      <c r="G1200" s="21" t="n">
        <f aca="false">G1189+G1193</f>
        <v>209.9725653723</v>
      </c>
    </row>
    <row r="1201" customFormat="false" ht="17.15" hidden="false" customHeight="false" outlineLevel="0" collapsed="false">
      <c r="A1201" s="4" t="s">
        <v>599</v>
      </c>
      <c r="B1201" s="0" t="s">
        <v>147</v>
      </c>
      <c r="C1201" s="21" t="n">
        <f aca="false">(1-C1194)*C1193</f>
        <v>30.6708</v>
      </c>
      <c r="D1201" s="21" t="n">
        <f aca="false">(1-D1194)*D1193</f>
        <v>49.2277674746</v>
      </c>
      <c r="E1201" s="21" t="n">
        <f aca="false">(1-E1194)*E1193</f>
        <v>70.6130190793032</v>
      </c>
      <c r="F1201" s="21" t="n">
        <f aca="false">(1-F1194)*F1193</f>
        <v>84.6142041498825</v>
      </c>
      <c r="G1201" s="21" t="n">
        <f aca="false">(1-G1194)*G1193</f>
        <v>90.7645985307283</v>
      </c>
    </row>
    <row r="1202" customFormat="false" ht="15" hidden="false" customHeight="false" outlineLevel="0" collapsed="false">
      <c r="A1202" s="4" t="s">
        <v>457</v>
      </c>
      <c r="B1202" s="0" t="s">
        <v>147</v>
      </c>
      <c r="C1202" s="21" t="n">
        <f aca="false">C1200-C1201</f>
        <v>27.408</v>
      </c>
      <c r="D1202" s="21" t="n">
        <f aca="false">D1200-D1201</f>
        <v>57.6410061134</v>
      </c>
      <c r="E1202" s="21" t="n">
        <f aca="false">E1200-E1201</f>
        <v>91.6745666495051</v>
      </c>
      <c r="F1202" s="21" t="n">
        <f aca="false">F1200-F1201</f>
        <v>110.154879626792</v>
      </c>
      <c r="G1202" s="21" t="n">
        <f aca="false">G1200-G1201</f>
        <v>119.207966841572</v>
      </c>
      <c r="H1202" s="26" t="n">
        <f aca="false">H1175*H1207</f>
        <v>125.895757872015</v>
      </c>
      <c r="I1202" s="26" t="n">
        <f aca="false">I1175*I1207</f>
        <v>133.887994231147</v>
      </c>
      <c r="J1202" s="26" t="n">
        <f aca="false">J1175*J1207</f>
        <v>143.375940589569</v>
      </c>
    </row>
    <row r="1203" customFormat="false" ht="17.15" hidden="false" customHeight="false" outlineLevel="0" collapsed="false">
      <c r="A1203" s="4" t="s">
        <v>600</v>
      </c>
      <c r="B1203" s="0" t="s">
        <v>48</v>
      </c>
      <c r="C1203" s="20" t="n">
        <f aca="false">C1194*C1193/C1202</f>
        <v>0.746030356100409</v>
      </c>
      <c r="D1203" s="20" t="n">
        <f aca="false">D1194*D1193/D1202</f>
        <v>0.459868090387787</v>
      </c>
      <c r="E1203" s="20" t="n">
        <f aca="false">E1194*E1193/E1202</f>
        <v>0.414754018246137</v>
      </c>
      <c r="F1203" s="20" t="n">
        <f aca="false">F1194*F1193/F1202</f>
        <v>0.413613039173644</v>
      </c>
      <c r="G1203" s="20" t="n">
        <f aca="false">G1194*G1193/G1202</f>
        <v>0.409983046079905</v>
      </c>
    </row>
    <row r="1204" customFormat="false" ht="17.15" hidden="false" customHeight="false" outlineLevel="0" collapsed="false">
      <c r="A1204" s="4" t="s">
        <v>601</v>
      </c>
      <c r="B1204" s="4" t="s">
        <v>282</v>
      </c>
      <c r="C1204" s="31" t="n">
        <f aca="false">a25_sh</f>
        <v>3.03185840707965</v>
      </c>
      <c r="D1204" s="31" t="n">
        <f aca="false">a26_sh</f>
        <v>3.23861720409076</v>
      </c>
      <c r="E1204" s="31" t="n">
        <f aca="false">q_sh4*(1+sh_g)</f>
        <v>3.43</v>
      </c>
      <c r="F1204" s="31" t="n">
        <f aca="false">E1204*(1+sh_g)</f>
        <v>3.43</v>
      </c>
      <c r="G1204" s="31" t="n">
        <f aca="false">F1204*(1+sh_g)</f>
        <v>3.43</v>
      </c>
      <c r="H1204" s="32" t="n">
        <f aca="false">G1204*(1+sh_g)</f>
        <v>3.43</v>
      </c>
      <c r="I1204" s="32" t="n">
        <f aca="false">H1204*(1+sh_g)</f>
        <v>3.43</v>
      </c>
      <c r="J1204" s="32" t="n">
        <f aca="false">I1204*(1+sh_g)</f>
        <v>3.43</v>
      </c>
      <c r="K1204" s="8" t="s">
        <v>602</v>
      </c>
    </row>
    <row r="1205" customFormat="false" ht="15" hidden="false" customHeight="false" outlineLevel="0" collapsed="false">
      <c r="A1205" s="0" t="s">
        <v>464</v>
      </c>
      <c r="B1205" s="0" t="s">
        <v>312</v>
      </c>
      <c r="C1205" s="18" t="n">
        <f aca="false">C1202/C1204</f>
        <v>9.04</v>
      </c>
      <c r="D1205" s="18" t="n">
        <f aca="false">D1202/D1204</f>
        <v>17.7980299865611</v>
      </c>
      <c r="E1205" s="18" t="n">
        <f aca="false">E1202/E1204</f>
        <v>26.7272789065612</v>
      </c>
      <c r="F1205" s="18" t="n">
        <f aca="false">F1202/F1204</f>
        <v>32.1151252556245</v>
      </c>
      <c r="G1205" s="18" t="n">
        <f aca="false">G1202/G1204</f>
        <v>34.7545092832571</v>
      </c>
      <c r="H1205" s="29" t="n">
        <f aca="false">H1202/H1204</f>
        <v>36.7043025865933</v>
      </c>
      <c r="I1205" s="29" t="n">
        <f aca="false">I1202/I1204</f>
        <v>39.0344006504803</v>
      </c>
      <c r="J1205" s="29" t="n">
        <f aca="false">J1202/J1204</f>
        <v>41.8005657695538</v>
      </c>
    </row>
    <row r="1206" customFormat="false" ht="17.15" hidden="false" customHeight="false" outlineLevel="0" collapsed="false">
      <c r="A1206" s="0" t="s">
        <v>603</v>
      </c>
      <c r="B1206" s="0" t="s">
        <v>48</v>
      </c>
      <c r="D1206" s="20" t="n">
        <f aca="false">D1205/C1205-1</f>
        <v>0.968808626831982</v>
      </c>
      <c r="E1206" s="20" t="n">
        <f aca="false">E1205/D1205-1</f>
        <v>0.501698723215007</v>
      </c>
      <c r="F1206" s="20" t="n">
        <f aca="false">F1205/E1205-1</f>
        <v>0.20158604128386</v>
      </c>
      <c r="G1206" s="20" t="n">
        <f aca="false">G1205/F1205-1</f>
        <v>0.0821850765526839</v>
      </c>
      <c r="H1206" s="27" t="n">
        <f aca="false">H1205/G1205-1</f>
        <v>0.05610187982932</v>
      </c>
      <c r="I1206" s="27" t="n">
        <f aca="false">I1205/H1205-1</f>
        <v>0.0634829679269824</v>
      </c>
      <c r="J1206" s="27" t="n">
        <f aca="false">J1205/I1205-1</f>
        <v>0.0708648031730299</v>
      </c>
    </row>
    <row r="1207" customFormat="false" ht="17.15" hidden="false" customHeight="false" outlineLevel="0" collapsed="false">
      <c r="A1207" s="4" t="s">
        <v>604</v>
      </c>
      <c r="B1207" s="0" t="s">
        <v>48</v>
      </c>
      <c r="C1207" s="17" t="n">
        <f aca="false">C1202/C1175</f>
        <v>0.0125349699042727</v>
      </c>
      <c r="D1207" s="17" t="n">
        <f aca="false">D1202/D1175</f>
        <v>0.0140678679199547</v>
      </c>
      <c r="E1207" s="17" t="n">
        <f aca="false">E1202/E1175</f>
        <v>0.0153833122428023</v>
      </c>
      <c r="F1207" s="17" t="n">
        <f aca="false">F1202/F1175</f>
        <v>0.016671352208587</v>
      </c>
      <c r="G1207" s="17" t="n">
        <f aca="false">G1202/G1175</f>
        <v>0.0173852410076721</v>
      </c>
      <c r="H1207" s="28" t="n">
        <f aca="false">$G1207+(fade_mA-$G1207)*1/3</f>
        <v>0.0175671658923828</v>
      </c>
      <c r="I1207" s="28" t="n">
        <f aca="false">$G1207+(fade_mA-$G1207)*2/3</f>
        <v>0.0177490907770935</v>
      </c>
      <c r="J1207" s="28" t="n">
        <f aca="false">$G1207+(fade_mA-$G1207)*3/3</f>
        <v>0.0179310156618042</v>
      </c>
    </row>
    <row r="1210" customFormat="false" ht="17.15" hidden="false" customHeight="false" outlineLevel="0" collapsed="false">
      <c r="A1210" s="1" t="s">
        <v>891</v>
      </c>
    </row>
    <row r="1211" customFormat="false" ht="17.15" hidden="false" customHeight="false" outlineLevel="0" collapsed="false">
      <c r="A1211" s="5" t="s">
        <v>17</v>
      </c>
      <c r="B1211" s="5" t="s">
        <v>18</v>
      </c>
      <c r="C1211" s="14" t="s">
        <v>414</v>
      </c>
      <c r="D1211" s="14" t="s">
        <v>529</v>
      </c>
      <c r="E1211" s="14" t="s">
        <v>530</v>
      </c>
      <c r="F1211" s="14" t="s">
        <v>531</v>
      </c>
      <c r="G1211" s="14" t="s">
        <v>532</v>
      </c>
      <c r="H1211" s="14" t="s">
        <v>533</v>
      </c>
      <c r="I1211" s="14" t="s">
        <v>534</v>
      </c>
      <c r="J1211" s="14" t="s">
        <v>535</v>
      </c>
      <c r="K1211" s="5" t="s">
        <v>496</v>
      </c>
    </row>
    <row r="1212" customFormat="false" ht="17.15" hidden="false" customHeight="false" outlineLevel="0" collapsed="false">
      <c r="A1212" s="6" t="s">
        <v>550</v>
      </c>
    </row>
    <row r="1213" customFormat="false" ht="17.15" hidden="false" customHeight="false" outlineLevel="0" collapsed="false">
      <c r="A1213" s="0" t="s">
        <v>551</v>
      </c>
      <c r="B1213" s="0" t="s">
        <v>28</v>
      </c>
      <c r="D1213" s="21" t="n">
        <f aca="false">itc_26*1</f>
        <v>781.872916666667</v>
      </c>
      <c r="E1213" s="21" t="n">
        <f aca="false">itc_27*1*1</f>
        <v>1565.35</v>
      </c>
      <c r="F1213" s="21" t="n">
        <f aca="false">itc_28*um28_A*1</f>
        <v>1984.26388888889</v>
      </c>
      <c r="G1213" s="21" t="n">
        <f aca="false">itc_29*um29_A*1</f>
        <v>2260.39027777778</v>
      </c>
    </row>
    <row r="1214" customFormat="false" ht="17.15" hidden="false" customHeight="false" outlineLevel="0" collapsed="false">
      <c r="A1214" s="4" t="s">
        <v>552</v>
      </c>
      <c r="B1214" s="0" t="s">
        <v>28</v>
      </c>
      <c r="D1214" s="21" t="n">
        <f aca="false">itpg_gb*(1-vr26)+itpg_vr*vr26</f>
        <v>33.41403216</v>
      </c>
      <c r="E1214" s="21" t="n">
        <f aca="false">itpg_vr</f>
        <v>37.586352</v>
      </c>
      <c r="F1214" s="21" t="n">
        <f aca="false">itpg_vr</f>
        <v>37.586352</v>
      </c>
      <c r="G1214" s="21" t="n">
        <f aca="false">itpg_vr</f>
        <v>37.586352</v>
      </c>
    </row>
    <row r="1215" customFormat="false" ht="17.15" hidden="false" customHeight="false" outlineLevel="0" collapsed="false">
      <c r="A1215" s="4" t="s">
        <v>553</v>
      </c>
      <c r="B1215" s="0" t="s">
        <v>498</v>
      </c>
      <c r="D1215" s="22" t="n">
        <f aca="false">D1213/D1214</f>
        <v>23.3995380420639</v>
      </c>
      <c r="E1215" s="22" t="n">
        <f aca="false">E1213/E1214</f>
        <v>41.6467658260637</v>
      </c>
      <c r="F1215" s="22" t="n">
        <f aca="false">F1213/F1214</f>
        <v>52.792138191248</v>
      </c>
      <c r="G1215" s="22" t="n">
        <f aca="false">G1213/G1214</f>
        <v>60.1385917361116</v>
      </c>
    </row>
    <row r="1216" customFormat="false" ht="17.15" hidden="false" customHeight="false" outlineLevel="0" collapsed="false">
      <c r="A1216" s="4" t="s">
        <v>554</v>
      </c>
      <c r="B1216" s="0" t="s">
        <v>555</v>
      </c>
      <c r="D1216" s="18" t="n">
        <f aca="false">(racks_gb*odm_gb*(1-vr26)+racks_vr*odm_vr*vr26)/1000</f>
        <v>27.1209</v>
      </c>
      <c r="E1216" s="18" t="n">
        <f aca="false">racks_vr*odm_vr/1000</f>
        <v>27.351</v>
      </c>
      <c r="F1216" s="18" t="n">
        <f aca="false">$E1216*vpg_28</f>
        <v>27.351</v>
      </c>
      <c r="G1216" s="18" t="n">
        <f aca="false">$E1216*vpg_29</f>
        <v>27.351</v>
      </c>
      <c r="K1216" s="4" t="s">
        <v>556</v>
      </c>
    </row>
    <row r="1217" customFormat="false" ht="17.15" hidden="false" customHeight="false" outlineLevel="0" collapsed="false">
      <c r="A1217" s="0" t="s">
        <v>557</v>
      </c>
      <c r="B1217" s="0" t="s">
        <v>28</v>
      </c>
      <c r="D1217" s="21" t="n">
        <f aca="false">D1215*D1216</f>
        <v>634.616531285011</v>
      </c>
      <c r="E1217" s="21" t="n">
        <f aca="false">E1215*E1216</f>
        <v>1139.08069210867</v>
      </c>
      <c r="F1217" s="21" t="n">
        <f aca="false">F1215*F1216</f>
        <v>1443.91777166882</v>
      </c>
      <c r="G1217" s="21" t="n">
        <f aca="false">G1215*G1216</f>
        <v>1644.85062257439</v>
      </c>
    </row>
    <row r="1218" customFormat="false" ht="17.15" hidden="false" customHeight="false" outlineLevel="0" collapsed="false">
      <c r="A1218" s="0" t="s">
        <v>558</v>
      </c>
      <c r="B1218" s="0" t="s">
        <v>147</v>
      </c>
      <c r="D1218" s="21" t="n">
        <f aca="false">D1217*fx</f>
        <v>20307.7290011204</v>
      </c>
      <c r="E1218" s="21" t="n">
        <f aca="false">E1217*fx</f>
        <v>36450.5821474774</v>
      </c>
      <c r="F1218" s="21" t="n">
        <f aca="false">F1217*fx</f>
        <v>46205.3686934024</v>
      </c>
      <c r="G1218" s="21" t="n">
        <f aca="false">G1217*fx</f>
        <v>52635.2199223804</v>
      </c>
    </row>
    <row r="1219" customFormat="false" ht="17.15" hidden="false" customHeight="false" outlineLevel="0" collapsed="false">
      <c r="A1219" s="6" t="s">
        <v>559</v>
      </c>
    </row>
    <row r="1220" customFormat="false" ht="17.15" hidden="false" customHeight="false" outlineLevel="0" collapsed="false">
      <c r="A1220" s="4" t="s">
        <v>560</v>
      </c>
      <c r="B1220" s="0" t="s">
        <v>48</v>
      </c>
      <c r="D1220" s="20" t="n">
        <f aca="false">a26_ais/D1218</f>
        <v>0.0875096501918446</v>
      </c>
      <c r="K1220" s="8" t="s">
        <v>561</v>
      </c>
    </row>
    <row r="1221" customFormat="false" ht="17.15" hidden="false" customHeight="false" outlineLevel="0" collapsed="false">
      <c r="A1221" s="4" t="s">
        <v>562</v>
      </c>
      <c r="B1221" s="0" t="s">
        <v>60</v>
      </c>
      <c r="D1221" s="18" t="n">
        <f aca="false">1</f>
        <v>1</v>
      </c>
      <c r="E1221" s="18" t="n">
        <f aca="false">rel_27</f>
        <v>1</v>
      </c>
      <c r="F1221" s="18" t="n">
        <f aca="false">rel_28</f>
        <v>0.95</v>
      </c>
      <c r="G1221" s="18" t="n">
        <f aca="false">rel_29</f>
        <v>0.9</v>
      </c>
    </row>
    <row r="1222" customFormat="false" ht="17.15" hidden="false" customHeight="false" outlineLevel="0" collapsed="false">
      <c r="A1222" s="4" t="s">
        <v>563</v>
      </c>
      <c r="B1222" s="0" t="s">
        <v>48</v>
      </c>
      <c r="D1222" s="20" t="n">
        <f aca="false">$D$1220*D1221</f>
        <v>0.0875096501918446</v>
      </c>
      <c r="E1222" s="20" t="n">
        <f aca="false">$D$1220*E1221</f>
        <v>0.0875096501918446</v>
      </c>
      <c r="F1222" s="20" t="n">
        <f aca="false">$D$1220*F1221</f>
        <v>0.0831341676822524</v>
      </c>
      <c r="G1222" s="20" t="n">
        <f aca="false">$D$1220*G1221</f>
        <v>0.0787586851726601</v>
      </c>
    </row>
    <row r="1223" customFormat="false" ht="17.15" hidden="false" customHeight="false" outlineLevel="0" collapsed="false">
      <c r="A1223" s="4" t="s">
        <v>564</v>
      </c>
      <c r="B1223" s="0" t="s">
        <v>147</v>
      </c>
      <c r="D1223" s="21" t="n">
        <f aca="false">D1218*D1222</f>
        <v>1777.12226107882</v>
      </c>
      <c r="E1223" s="21" t="n">
        <f aca="false">E1218*E1222</f>
        <v>3189.77769301484</v>
      </c>
      <c r="F1223" s="21" t="n">
        <f aca="false">F1218*F1222</f>
        <v>3841.24486877761</v>
      </c>
      <c r="G1223" s="21" t="n">
        <f aca="false">G1218*G1222</f>
        <v>4145.48071486049</v>
      </c>
    </row>
    <row r="1224" customFormat="false" ht="17.15" hidden="false" customHeight="false" outlineLevel="0" collapsed="false">
      <c r="A1224" s="4" t="s">
        <v>565</v>
      </c>
      <c r="B1224" s="0" t="s">
        <v>48</v>
      </c>
      <c r="D1224" s="20" t="n">
        <f aca="false">0</f>
        <v>0</v>
      </c>
      <c r="E1224" s="20" t="n">
        <f aca="false">cs_27</f>
        <v>0.1</v>
      </c>
      <c r="F1224" s="20" t="n">
        <f aca="false">cs_28</f>
        <v>0.2</v>
      </c>
      <c r="G1224" s="20" t="n">
        <f aca="false">cs_29</f>
        <v>0.25</v>
      </c>
      <c r="K1224" s="8" t="s">
        <v>566</v>
      </c>
    </row>
    <row r="1225" customFormat="false" ht="17.15" hidden="false" customHeight="false" outlineLevel="0" collapsed="false">
      <c r="A1225" s="4" t="s">
        <v>567</v>
      </c>
      <c r="B1225" s="0" t="s">
        <v>147</v>
      </c>
      <c r="D1225" s="21" t="n">
        <f aca="false">D1223*(1-D1224)</f>
        <v>1777.12226107882</v>
      </c>
      <c r="E1225" s="21" t="n">
        <f aca="false">E1223*(1-E1224)</f>
        <v>2870.79992371336</v>
      </c>
      <c r="F1225" s="21" t="n">
        <f aca="false">F1223*(1-F1224)</f>
        <v>3072.99589502208</v>
      </c>
      <c r="G1225" s="21" t="n">
        <f aca="false">G1223*(1-G1224)</f>
        <v>3109.11053614536</v>
      </c>
    </row>
    <row r="1226" customFormat="false" ht="17.15" hidden="false" customHeight="false" outlineLevel="0" collapsed="false">
      <c r="A1226" s="6" t="s">
        <v>568</v>
      </c>
    </row>
    <row r="1227" customFormat="false" ht="17.15" hidden="false" customHeight="false" outlineLevel="0" collapsed="false">
      <c r="A1227" s="0" t="s">
        <v>569</v>
      </c>
      <c r="B1227" s="4" t="s">
        <v>81</v>
      </c>
      <c r="D1227" s="18" t="n">
        <f aca="false">gu_26*1</f>
        <v>8.35</v>
      </c>
      <c r="E1227" s="18" t="n">
        <f aca="false">gu_27*1*1</f>
        <v>11.2</v>
      </c>
      <c r="F1227" s="18" t="n">
        <f aca="false">gu_28*um28_A*1</f>
        <v>11.5</v>
      </c>
      <c r="G1227" s="18" t="n">
        <f aca="false">gu_29*um29_A*1</f>
        <v>12.9</v>
      </c>
    </row>
    <row r="1228" customFormat="false" ht="15" hidden="false" customHeight="false" outlineLevel="0" collapsed="false">
      <c r="A1228" s="4" t="s">
        <v>570</v>
      </c>
      <c r="B1228" s="0" t="s">
        <v>48</v>
      </c>
      <c r="D1228" s="20" t="n">
        <f aca="false">bsh_26</f>
        <v>0.5</v>
      </c>
      <c r="E1228" s="20" t="n">
        <f aca="false">bsh_26*brel_27</f>
        <v>0.5</v>
      </c>
      <c r="F1228" s="20" t="n">
        <f aca="false">bsh_26*brel_28</f>
        <v>0.475</v>
      </c>
      <c r="G1228" s="20" t="n">
        <f aca="false">bsh_26*brel_29</f>
        <v>0.45</v>
      </c>
    </row>
    <row r="1229" customFormat="false" ht="17.15" hidden="false" customHeight="false" outlineLevel="0" collapsed="false">
      <c r="A1229" s="4" t="s">
        <v>571</v>
      </c>
      <c r="B1229" s="0" t="s">
        <v>520</v>
      </c>
      <c r="D1229" s="24" t="n">
        <f aca="false">a26_brd/fx/D1227/D1228*1000</f>
        <v>823.353293413174</v>
      </c>
      <c r="E1229" s="24" t="n">
        <f aca="false">$D1229*bv_27</f>
        <v>946.85628742515</v>
      </c>
      <c r="F1229" s="24" t="n">
        <f aca="false">$D1229*bv_28</f>
        <v>988.023952095808</v>
      </c>
      <c r="G1229" s="24" t="n">
        <f aca="false">$D1229*bv_29</f>
        <v>988.023952095808</v>
      </c>
      <c r="K1229" s="8" t="s">
        <v>572</v>
      </c>
    </row>
    <row r="1230" customFormat="false" ht="17.15" hidden="false" customHeight="false" outlineLevel="0" collapsed="false">
      <c r="A1230" s="0" t="s">
        <v>522</v>
      </c>
      <c r="B1230" s="0" t="s">
        <v>147</v>
      </c>
      <c r="D1230" s="21" t="n">
        <f aca="false">D1227*D1228*D1229*fx/1000</f>
        <v>110</v>
      </c>
      <c r="E1230" s="21" t="n">
        <f aca="false">E1227*E1228*E1229*fx/1000</f>
        <v>169.676646706587</v>
      </c>
      <c r="F1230" s="21" t="n">
        <f aca="false">F1227*F1228*F1229*fx/1000</f>
        <v>172.706586826347</v>
      </c>
      <c r="G1230" s="21" t="n">
        <f aca="false">G1227*G1228*G1229*fx/1000</f>
        <v>183.535329341317</v>
      </c>
    </row>
    <row r="1231" customFormat="false" ht="17.15" hidden="false" customHeight="false" outlineLevel="0" collapsed="false">
      <c r="A1231" s="6" t="s">
        <v>573</v>
      </c>
    </row>
    <row r="1232" customFormat="false" ht="15" hidden="false" customHeight="false" outlineLevel="0" collapsed="false">
      <c r="A1232" s="4" t="s">
        <v>574</v>
      </c>
      <c r="B1232" s="0" t="s">
        <v>147</v>
      </c>
      <c r="D1232" s="21" t="n">
        <f aca="false">a26_gen</f>
        <v>150</v>
      </c>
      <c r="E1232" s="21" t="n">
        <f aca="false">D1232*(1+g_gen27)</f>
        <v>180</v>
      </c>
      <c r="F1232" s="21" t="n">
        <f aca="false">E1232*(1+g_gen28)</f>
        <v>198</v>
      </c>
      <c r="G1232" s="21" t="n">
        <f aca="false">F1232*(1+g_gen29)</f>
        <v>213.84</v>
      </c>
    </row>
    <row r="1233" customFormat="false" ht="15" hidden="false" customHeight="false" outlineLevel="0" collapsed="false">
      <c r="A1233" s="4" t="s">
        <v>575</v>
      </c>
      <c r="B1233" s="0" t="s">
        <v>147</v>
      </c>
      <c r="D1233" s="21" t="n">
        <f aca="false">a26_pc</f>
        <v>614.602793131557</v>
      </c>
      <c r="E1233" s="21" t="n">
        <f aca="false">D1233*(1+g_pc27)</f>
        <v>596.16470933761</v>
      </c>
      <c r="F1233" s="21" t="n">
        <f aca="false">E1233*(1+g_pc28)</f>
        <v>596.16470933761</v>
      </c>
      <c r="G1233" s="21" t="n">
        <f aca="false">F1233*(1+g_pc29)</f>
        <v>596.16470933761</v>
      </c>
    </row>
    <row r="1234" customFormat="false" ht="15" hidden="false" customHeight="false" outlineLevel="0" collapsed="false">
      <c r="A1234" s="4" t="s">
        <v>576</v>
      </c>
      <c r="B1234" s="0" t="s">
        <v>147</v>
      </c>
      <c r="C1234" s="21" t="n">
        <f aca="false">a25_srev</f>
        <v>1235.86</v>
      </c>
      <c r="D1234" s="21" t="n">
        <f aca="false">D1225+D1230+D1232+D1233</f>
        <v>2651.72505421038</v>
      </c>
      <c r="E1234" s="21" t="n">
        <f aca="false">E1225+E1230+E1232+E1233</f>
        <v>3816.64127975755</v>
      </c>
      <c r="F1234" s="21" t="n">
        <f aca="false">F1225+F1230+F1232+F1233</f>
        <v>4039.86719118604</v>
      </c>
      <c r="G1234" s="21" t="n">
        <f aca="false">G1225+G1230+G1232+G1233</f>
        <v>4102.65057482429</v>
      </c>
    </row>
    <row r="1235" customFormat="false" ht="17.15" hidden="false" customHeight="false" outlineLevel="0" collapsed="false">
      <c r="A1235" s="4" t="s">
        <v>577</v>
      </c>
      <c r="B1235" s="0" t="s">
        <v>48</v>
      </c>
      <c r="D1235" s="20" t="n">
        <f aca="false">a26_wai/D1218</f>
        <v>0.0391523244650416</v>
      </c>
      <c r="K1235" s="8" t="s">
        <v>578</v>
      </c>
    </row>
    <row r="1236" customFormat="false" ht="17.15" hidden="false" customHeight="false" outlineLevel="0" collapsed="false">
      <c r="A1236" s="4" t="s">
        <v>504</v>
      </c>
      <c r="B1236" s="0" t="s">
        <v>48</v>
      </c>
      <c r="D1236" s="20" t="n">
        <f aca="false">D1235</f>
        <v>0.0391523244650416</v>
      </c>
      <c r="E1236" s="20" t="n">
        <f aca="false">$D$1235*wrel_27</f>
        <v>0.0391523244650416</v>
      </c>
      <c r="F1236" s="20" t="n">
        <f aca="false">$D$1235*wrel_28</f>
        <v>0.0391523244650416</v>
      </c>
      <c r="G1236" s="20" t="n">
        <f aca="false">$D$1235*wrel_29</f>
        <v>0.0371947082417896</v>
      </c>
    </row>
    <row r="1237" customFormat="false" ht="17.15" hidden="false" customHeight="false" outlineLevel="0" collapsed="false">
      <c r="A1237" s="4" t="s">
        <v>524</v>
      </c>
      <c r="B1237" s="0" t="s">
        <v>147</v>
      </c>
      <c r="D1237" s="21" t="n">
        <f aca="false">D1218*D1236</f>
        <v>795.094795</v>
      </c>
      <c r="E1237" s="21" t="n">
        <f aca="false">E1218*E1236</f>
        <v>1427.12501917769</v>
      </c>
      <c r="F1237" s="21" t="n">
        <f aca="false">F1218*F1236</f>
        <v>1809.04758711097</v>
      </c>
      <c r="G1237" s="21" t="n">
        <f aca="false">G1218*G1236</f>
        <v>1957.75164825537</v>
      </c>
    </row>
    <row r="1238" customFormat="false" ht="17.15" hidden="false" customHeight="false" outlineLevel="0" collapsed="false">
      <c r="A1238" s="4" t="s">
        <v>579</v>
      </c>
      <c r="B1238" s="0" t="s">
        <v>147</v>
      </c>
      <c r="D1238" s="21" t="n">
        <f aca="false">a26_wna</f>
        <v>650.532105</v>
      </c>
      <c r="E1238" s="21" t="n">
        <f aca="false">D1238*(1+g_wn27)</f>
        <v>715.5853155</v>
      </c>
      <c r="F1238" s="21" t="n">
        <f aca="false">E1238*(1+g_wn28)</f>
        <v>758.52043443</v>
      </c>
      <c r="G1238" s="21" t="n">
        <f aca="false">F1238*(1+g_wn29)</f>
        <v>796.4464561515</v>
      </c>
    </row>
    <row r="1239" customFormat="false" ht="15" hidden="false" customHeight="false" outlineLevel="0" collapsed="false">
      <c r="A1239" s="4" t="s">
        <v>434</v>
      </c>
      <c r="B1239" s="0" t="s">
        <v>147</v>
      </c>
      <c r="C1239" s="21" t="n">
        <f aca="false">a25_wrev</f>
        <v>950.663</v>
      </c>
      <c r="D1239" s="21" t="n">
        <f aca="false">D1237+D1238</f>
        <v>1445.6269</v>
      </c>
      <c r="E1239" s="21" t="n">
        <f aca="false">E1237+E1238</f>
        <v>2142.71033467769</v>
      </c>
      <c r="F1239" s="21" t="n">
        <f aca="false">F1237+F1238</f>
        <v>2567.56802154097</v>
      </c>
      <c r="G1239" s="21" t="n">
        <f aca="false">G1237+G1238</f>
        <v>2754.19810440687</v>
      </c>
    </row>
    <row r="1240" customFormat="false" ht="17.15" hidden="false" customHeight="false" outlineLevel="0" collapsed="false">
      <c r="A1240" s="4" t="s">
        <v>420</v>
      </c>
      <c r="B1240" s="0" t="s">
        <v>147</v>
      </c>
      <c r="C1240" s="21" t="n">
        <f aca="false">C1234+C1239</f>
        <v>2186.523</v>
      </c>
      <c r="D1240" s="21" t="n">
        <f aca="false">D1234+D1239</f>
        <v>4097.35195421038</v>
      </c>
      <c r="E1240" s="21" t="n">
        <f aca="false">E1234+E1239</f>
        <v>5959.35161443524</v>
      </c>
      <c r="F1240" s="21" t="n">
        <f aca="false">F1234+F1239</f>
        <v>6607.43521272701</v>
      </c>
      <c r="G1240" s="21" t="n">
        <f aca="false">G1234+G1239</f>
        <v>6856.84867923116</v>
      </c>
      <c r="H1240" s="26" t="n">
        <f aca="false">G1240*(1+H1241)</f>
        <v>7166.53776956726</v>
      </c>
      <c r="I1240" s="26" t="n">
        <f aca="false">H1240*(1+I1241)</f>
        <v>7543.37199085936</v>
      </c>
      <c r="J1240" s="26" t="n">
        <f aca="false">I1240*(1+J1241)</f>
        <v>7995.97431031092</v>
      </c>
      <c r="K1240" s="8" t="s">
        <v>580</v>
      </c>
    </row>
    <row r="1241" customFormat="false" ht="15" hidden="false" customHeight="false" outlineLevel="0" collapsed="false">
      <c r="A1241" s="4" t="s">
        <v>581</v>
      </c>
      <c r="B1241" s="0" t="s">
        <v>48</v>
      </c>
      <c r="D1241" s="20" t="n">
        <f aca="false">D1240/C1240-1</f>
        <v>0.873912121761526</v>
      </c>
      <c r="E1241" s="20" t="n">
        <f aca="false">E1240/D1240-1</f>
        <v>0.454439765251677</v>
      </c>
      <c r="F1241" s="20" t="n">
        <f aca="false">F1240/E1240-1</f>
        <v>0.108750689709586</v>
      </c>
      <c r="G1241" s="20" t="n">
        <f aca="false">G1240/F1240-1</f>
        <v>0.0377473949383174</v>
      </c>
      <c r="H1241" s="27" t="n">
        <f aca="false">$G1241+(fade_gA-$G1241)*1/3</f>
        <v>0.0451649299588782</v>
      </c>
      <c r="I1241" s="27" t="n">
        <f aca="false">$G1241+(fade_gA-$G1241)*2/3</f>
        <v>0.0525824649794391</v>
      </c>
      <c r="J1241" s="27" t="n">
        <f aca="false">$G1241+(fade_gA-$G1241)*3/3</f>
        <v>0.06</v>
      </c>
    </row>
    <row r="1242" customFormat="false" ht="17.15" hidden="false" customHeight="false" outlineLevel="0" collapsed="false">
      <c r="A1242" s="0" t="s">
        <v>582</v>
      </c>
      <c r="B1242" s="0" t="s">
        <v>48</v>
      </c>
      <c r="D1242" s="20" t="n">
        <f aca="false">(D1225+D1230+D1237)/D1240</f>
        <v>0.6546220793463</v>
      </c>
      <c r="E1242" s="20" t="n">
        <f aca="false">(E1225+E1230+E1237)/E1240</f>
        <v>0.749679139384196</v>
      </c>
      <c r="F1242" s="20" t="n">
        <f aca="false">(F1225+F1230+F1237)/F1240</f>
        <v>0.76500940322852</v>
      </c>
      <c r="G1242" s="20" t="n">
        <f aca="false">(G1225+G1230+G1237)/G1240</f>
        <v>0.765715820686707</v>
      </c>
    </row>
    <row r="1243" customFormat="false" ht="17.15" hidden="false" customHeight="false" outlineLevel="0" collapsed="false">
      <c r="A1243" s="4" t="s">
        <v>583</v>
      </c>
      <c r="B1243" s="0" t="s">
        <v>48</v>
      </c>
      <c r="C1243" s="20" t="n">
        <f aca="false">C1239/C1240</f>
        <v>0.434782986504144</v>
      </c>
      <c r="D1243" s="20" t="n">
        <f aca="false">D1239/D1240</f>
        <v>0.352819800728736</v>
      </c>
      <c r="E1243" s="20" t="n">
        <f aca="false">E1239/E1240</f>
        <v>0.359554272563384</v>
      </c>
      <c r="F1243" s="20" t="n">
        <f aca="false">F1239/F1240</f>
        <v>0.388587695358012</v>
      </c>
      <c r="G1243" s="20" t="n">
        <f aca="false">G1239/G1240</f>
        <v>0.40167112229691</v>
      </c>
    </row>
    <row r="1244" customFormat="false" ht="17.15" hidden="false" customHeight="false" outlineLevel="0" collapsed="false">
      <c r="A1244" s="4" t="s">
        <v>584</v>
      </c>
      <c r="B1244" s="4" t="s">
        <v>331</v>
      </c>
      <c r="D1244" s="21" t="n">
        <f aca="false">D1223/fx/(odm_gb*(1-vr26)+odm_vr*vr26)</f>
        <v>12.0597330420658</v>
      </c>
      <c r="E1244" s="21" t="n">
        <f aca="false">E1223/fx/odm_vr</f>
        <v>14.7674893195131</v>
      </c>
      <c r="F1244" s="21" t="n">
        <f aca="false">F1223/fx/odm_vr</f>
        <v>17.7835410591556</v>
      </c>
      <c r="G1244" s="21" t="n">
        <f aca="false">G1223/fx/odm_vr</f>
        <v>19.1920403465763</v>
      </c>
      <c r="K1244" s="4" t="s">
        <v>585</v>
      </c>
    </row>
    <row r="1245" customFormat="false" ht="17.15" hidden="false" customHeight="false" outlineLevel="0" collapsed="false">
      <c r="A1245" s="6" t="s">
        <v>586</v>
      </c>
    </row>
    <row r="1246" customFormat="false" ht="17.15" hidden="false" customHeight="false" outlineLevel="0" collapsed="false">
      <c r="A1246" s="4" t="s">
        <v>587</v>
      </c>
      <c r="B1246" s="0" t="s">
        <v>48</v>
      </c>
      <c r="D1246" s="17" t="n">
        <f aca="false">(a26_sgp-d_ai*D1225-d_brd*D1230-d_gen*D1232)/D1234</f>
        <v>0.0436423860147897</v>
      </c>
      <c r="K1246" s="8" t="s">
        <v>588</v>
      </c>
    </row>
    <row r="1247" customFormat="false" ht="17.15" hidden="false" customHeight="false" outlineLevel="0" collapsed="false">
      <c r="A1247" s="4" t="s">
        <v>589</v>
      </c>
      <c r="B1247" s="0" t="s">
        <v>147</v>
      </c>
      <c r="D1247" s="25" t="n">
        <f aca="false">($D$1246+d_ai)*D1223*(1-D1224*(1-keep))</f>
        <v>59.7866331026896</v>
      </c>
      <c r="E1247" s="25" t="n">
        <f aca="false">($D$1246+d_ai+vrd)*E1223*(1-E1224*(1-keep))</f>
        <v>99.9228552931035</v>
      </c>
      <c r="F1247" s="25" t="n">
        <f aca="false">($D$1246+d_ai+vrd)*F1223*(1-F1224*(1-keep))</f>
        <v>119.115229856887</v>
      </c>
      <c r="G1247" s="25" t="n">
        <f aca="false">($D$1246+d_ai+vrd)*G1223*(1-G1224*(1-keep))</f>
        <v>127.89357847157</v>
      </c>
    </row>
    <row r="1248" customFormat="false" ht="15" hidden="false" customHeight="false" outlineLevel="0" collapsed="false">
      <c r="A1248" s="4" t="s">
        <v>590</v>
      </c>
      <c r="B1248" s="0" t="s">
        <v>147</v>
      </c>
      <c r="C1248" s="21" t="n">
        <f aca="false">a25_sgp</f>
        <v>55.529</v>
      </c>
      <c r="D1248" s="21" t="n">
        <f aca="false">a26_sgp</f>
        <v>103.50638581015</v>
      </c>
      <c r="E1248" s="21" t="n">
        <f aca="false">$D$1246*E1233+($D$1246+d_brd)*E1230+($D$1246+d_gen)*E1232+E1247</f>
        <v>148.991928263534</v>
      </c>
      <c r="F1248" s="21" t="n">
        <f aca="false">$D$1246*F1233+($D$1246+d_brd)*F1230+($D$1246+d_gen)*F1232+F1247</f>
        <v>169.462997795485</v>
      </c>
      <c r="G1248" s="21" t="n">
        <f aca="false">$D$1246*G1233+($D$1246+d_brd)*G1230+($D$1246+d_gen)*G1232+G1247</f>
        <v>179.967696240984</v>
      </c>
    </row>
    <row r="1249" customFormat="false" ht="15" hidden="false" customHeight="false" outlineLevel="0" collapsed="false">
      <c r="A1249" s="4" t="s">
        <v>591</v>
      </c>
      <c r="B1249" s="0" t="s">
        <v>48</v>
      </c>
      <c r="C1249" s="17" t="n">
        <f aca="false">C1248/C1234</f>
        <v>0.0449314647290146</v>
      </c>
      <c r="D1249" s="17" t="n">
        <f aca="false">D1248/D1234</f>
        <v>0.0390336040479778</v>
      </c>
      <c r="E1249" s="17" t="n">
        <f aca="false">E1248/E1234</f>
        <v>0.0390374461057547</v>
      </c>
      <c r="F1249" s="17" t="n">
        <f aca="false">F1248/F1234</f>
        <v>0.0419476655483156</v>
      </c>
      <c r="G1249" s="17" t="n">
        <f aca="false">G1248/G1234</f>
        <v>0.0438662013639053</v>
      </c>
    </row>
    <row r="1250" customFormat="false" ht="15" hidden="false" customHeight="false" outlineLevel="0" collapsed="false">
      <c r="A1250" s="4" t="s">
        <v>592</v>
      </c>
      <c r="B1250" s="0" t="s">
        <v>48</v>
      </c>
      <c r="E1250" s="20" t="n">
        <f aca="false">MAX(0,phi*(E1234/D1234-1))</f>
        <v>0.13179151703879</v>
      </c>
      <c r="F1250" s="20" t="n">
        <f aca="false">MAX(0,phi*(F1234/E1234-1))</f>
        <v>0.0175462582202121</v>
      </c>
      <c r="G1250" s="20" t="n">
        <f aca="false">MAX(0,phi*(G1234/F1234-1))</f>
        <v>0.00466228571388885</v>
      </c>
    </row>
    <row r="1251" customFormat="false" ht="15" hidden="false" customHeight="false" outlineLevel="0" collapsed="false">
      <c r="A1251" s="4" t="s">
        <v>593</v>
      </c>
      <c r="B1251" s="0" t="s">
        <v>147</v>
      </c>
      <c r="C1251" s="21" t="n">
        <f aca="false">a25_sopx</f>
        <v>40.894</v>
      </c>
      <c r="D1251" s="21" t="n">
        <f aca="false">a26_sopx</f>
        <v>46.9914095398923</v>
      </c>
      <c r="E1251" s="21" t="n">
        <f aca="false">D1251*(1+E1250)+opx_adj_hi*E1234</f>
        <v>60.8177612504608</v>
      </c>
      <c r="F1251" s="21" t="n">
        <f aca="false">E1251*(1+F1250)+opx_adj_hi*F1234</f>
        <v>69.9646197761087</v>
      </c>
      <c r="G1251" s="21" t="n">
        <f aca="false">F1251*(1+G1250)+opx_adj_hi*G1234</f>
        <v>78.4961159730171</v>
      </c>
    </row>
    <row r="1252" customFormat="false" ht="15" hidden="false" customHeight="false" outlineLevel="0" collapsed="false">
      <c r="A1252" s="4" t="s">
        <v>594</v>
      </c>
      <c r="B1252" s="0" t="s">
        <v>147</v>
      </c>
      <c r="C1252" s="21" t="n">
        <f aca="false">C1248-C1251</f>
        <v>14.635</v>
      </c>
      <c r="D1252" s="21" t="n">
        <f aca="false">D1248-D1251</f>
        <v>56.514976270258</v>
      </c>
      <c r="E1252" s="21" t="n">
        <f aca="false">E1248-E1251</f>
        <v>88.1741670130733</v>
      </c>
      <c r="F1252" s="21" t="n">
        <f aca="false">F1248-F1251</f>
        <v>99.4983780193766</v>
      </c>
      <c r="G1252" s="21" t="n">
        <f aca="false">G1248-G1251</f>
        <v>101.471580267967</v>
      </c>
    </row>
    <row r="1253" customFormat="false" ht="15" hidden="false" customHeight="false" outlineLevel="0" collapsed="false">
      <c r="A1253" s="4" t="s">
        <v>595</v>
      </c>
      <c r="B1253" s="0" t="s">
        <v>48</v>
      </c>
      <c r="C1253" s="17" t="n">
        <f aca="false">C1252/C1234</f>
        <v>0.011841956208632</v>
      </c>
      <c r="D1253" s="17" t="n">
        <f aca="false">D1252/D1234</f>
        <v>0.0213125324514788</v>
      </c>
      <c r="E1253" s="17" t="n">
        <f aca="false">E1252/E1234</f>
        <v>0.0231025555062577</v>
      </c>
      <c r="F1253" s="17" t="n">
        <f aca="false">F1252/F1234</f>
        <v>0.0246291210355768</v>
      </c>
      <c r="G1253" s="17" t="n">
        <f aca="false">G1252/G1234</f>
        <v>0.0247331763739867</v>
      </c>
    </row>
    <row r="1254" customFormat="false" ht="15" hidden="false" customHeight="false" outlineLevel="0" collapsed="false">
      <c r="A1254" s="4" t="s">
        <v>596</v>
      </c>
      <c r="B1254" s="0" t="s">
        <v>147</v>
      </c>
      <c r="C1254" s="21" t="n">
        <f aca="false">a25_sni</f>
        <v>6.9608</v>
      </c>
      <c r="D1254" s="21" t="n">
        <f aca="false">a26_sni</f>
        <v>31.133746704</v>
      </c>
      <c r="E1254" s="21" t="n">
        <f aca="false">E1252*snio</f>
        <v>49.3775335273211</v>
      </c>
      <c r="F1254" s="21" t="n">
        <f aca="false">F1252*snio</f>
        <v>55.7190916908509</v>
      </c>
      <c r="G1254" s="21" t="n">
        <f aca="false">G1252*snio</f>
        <v>56.8240849500616</v>
      </c>
    </row>
    <row r="1255" customFormat="false" ht="17.15" hidden="false" customHeight="false" outlineLevel="0" collapsed="false">
      <c r="A1255" s="6" t="s">
        <v>597</v>
      </c>
    </row>
    <row r="1256" customFormat="false" ht="15" hidden="false" customHeight="false" outlineLevel="0" collapsed="false">
      <c r="A1256" s="4" t="s">
        <v>438</v>
      </c>
      <c r="B1256" s="0" t="s">
        <v>147</v>
      </c>
      <c r="C1256" s="21" t="n">
        <f aca="false">a25_wgp</f>
        <v>78.454</v>
      </c>
      <c r="D1256" s="21" t="n">
        <f aca="false">a26_wgp</f>
        <v>125.0519932</v>
      </c>
      <c r="E1256" s="21" t="n">
        <f aca="false">E1239*wgm</f>
        <v>182.130378447603</v>
      </c>
      <c r="F1256" s="21" t="n">
        <f aca="false">F1239*wgm</f>
        <v>218.243281830982</v>
      </c>
      <c r="G1256" s="21" t="n">
        <f aca="false">G1239*wgm</f>
        <v>234.106838874584</v>
      </c>
    </row>
    <row r="1257" customFormat="false" ht="15" hidden="false" customHeight="false" outlineLevel="0" collapsed="false">
      <c r="A1257" s="4" t="s">
        <v>440</v>
      </c>
      <c r="B1257" s="0" t="s">
        <v>147</v>
      </c>
      <c r="C1257" s="21" t="n">
        <f aca="false">a25_woi</f>
        <v>63.918</v>
      </c>
      <c r="D1257" s="21" t="n">
        <f aca="false">a26_woi</f>
        <v>98.2471632</v>
      </c>
      <c r="E1257" s="21" t="n">
        <f aca="false">E1239*wopm</f>
        <v>139.27617175405</v>
      </c>
      <c r="F1257" s="21" t="n">
        <f aca="false">F1239*wopm</f>
        <v>166.891921400163</v>
      </c>
      <c r="G1257" s="21" t="n">
        <f aca="false">G1239*wopm</f>
        <v>179.022876786446</v>
      </c>
    </row>
    <row r="1258" customFormat="false" ht="15" hidden="false" customHeight="false" outlineLevel="0" collapsed="false">
      <c r="A1258" s="4" t="s">
        <v>448</v>
      </c>
      <c r="B1258" s="0" t="s">
        <v>147</v>
      </c>
      <c r="C1258" s="21" t="n">
        <f aca="false">a25_wni</f>
        <v>51.118</v>
      </c>
      <c r="D1258" s="21" t="n">
        <f aca="false">a26_wni</f>
        <v>75.735026884</v>
      </c>
      <c r="E1258" s="21" t="n">
        <f aca="false">E1257*wnio</f>
        <v>108.635413968159</v>
      </c>
      <c r="F1258" s="21" t="n">
        <f aca="false">F1257*wnio</f>
        <v>130.175698692127</v>
      </c>
      <c r="G1258" s="21" t="n">
        <f aca="false">G1257*wnio</f>
        <v>139.637843893428</v>
      </c>
    </row>
    <row r="1259" customFormat="false" ht="15" hidden="false" customHeight="false" outlineLevel="0" collapsed="false">
      <c r="A1259" s="4" t="s">
        <v>450</v>
      </c>
      <c r="B1259" s="0" t="s">
        <v>48</v>
      </c>
      <c r="C1259" s="17" t="n">
        <f aca="false">stake25</f>
        <v>0.4</v>
      </c>
      <c r="D1259" s="17" t="n">
        <f aca="false">stake</f>
        <v>0.3768</v>
      </c>
      <c r="E1259" s="17" t="n">
        <f aca="false">stake</f>
        <v>0.3768</v>
      </c>
      <c r="F1259" s="17" t="n">
        <f aca="false">stake</f>
        <v>0.3768</v>
      </c>
      <c r="G1259" s="17" t="n">
        <f aca="false">stake</f>
        <v>0.3768</v>
      </c>
    </row>
    <row r="1260" customFormat="false" ht="17.15" hidden="false" customHeight="false" outlineLevel="0" collapsed="false">
      <c r="A1260" s="6" t="s">
        <v>598</v>
      </c>
    </row>
    <row r="1261" customFormat="false" ht="15" hidden="false" customHeight="false" outlineLevel="0" collapsed="false">
      <c r="A1261" s="4" t="s">
        <v>424</v>
      </c>
      <c r="B1261" s="0" t="s">
        <v>147</v>
      </c>
      <c r="C1261" s="21" t="n">
        <f aca="false">C1248+C1256</f>
        <v>133.983</v>
      </c>
      <c r="D1261" s="21" t="n">
        <f aca="false">D1248+D1256</f>
        <v>228.55837901015</v>
      </c>
      <c r="E1261" s="21" t="n">
        <f aca="false">E1248+E1256</f>
        <v>331.122306711138</v>
      </c>
      <c r="F1261" s="21" t="n">
        <f aca="false">F1248+F1256</f>
        <v>387.706279626467</v>
      </c>
      <c r="G1261" s="21" t="n">
        <f aca="false">G1248+G1256</f>
        <v>414.074535115568</v>
      </c>
    </row>
    <row r="1262" customFormat="false" ht="15" hidden="false" customHeight="false" outlineLevel="0" collapsed="false">
      <c r="A1262" s="4" t="s">
        <v>427</v>
      </c>
      <c r="B1262" s="0" t="s">
        <v>48</v>
      </c>
      <c r="C1262" s="17" t="n">
        <f aca="false">C1261/C1240</f>
        <v>0.0612767393711386</v>
      </c>
      <c r="D1262" s="17" t="n">
        <f aca="false">D1261/D1240</f>
        <v>0.055781973714825</v>
      </c>
      <c r="E1262" s="17" t="n">
        <f aca="false">E1261/E1240</f>
        <v>0.0555634787363554</v>
      </c>
      <c r="F1262" s="17" t="n">
        <f aca="false">F1261/F1240</f>
        <v>0.058677272972678</v>
      </c>
      <c r="G1262" s="17" t="n">
        <f aca="false">G1261/G1240</f>
        <v>0.0603884604264006</v>
      </c>
    </row>
    <row r="1263" customFormat="false" ht="15" hidden="false" customHeight="false" outlineLevel="0" collapsed="false">
      <c r="A1263" s="4" t="s">
        <v>428</v>
      </c>
      <c r="B1263" s="0" t="s">
        <v>147</v>
      </c>
      <c r="C1263" s="21" t="n">
        <f aca="false">C1252+C1257</f>
        <v>78.553</v>
      </c>
      <c r="D1263" s="21" t="n">
        <f aca="false">D1252+D1257</f>
        <v>154.762139470258</v>
      </c>
      <c r="E1263" s="21" t="n">
        <f aca="false">E1252+E1257</f>
        <v>227.450338767123</v>
      </c>
      <c r="F1263" s="21" t="n">
        <f aca="false">F1252+F1257</f>
        <v>266.390299419539</v>
      </c>
      <c r="G1263" s="21" t="n">
        <f aca="false">G1252+G1257</f>
        <v>280.494457054414</v>
      </c>
    </row>
    <row r="1264" customFormat="false" ht="15" hidden="false" customHeight="false" outlineLevel="0" collapsed="false">
      <c r="A1264" s="4" t="s">
        <v>431</v>
      </c>
      <c r="B1264" s="0" t="s">
        <v>48</v>
      </c>
      <c r="C1264" s="17" t="n">
        <f aca="false">C1263/C1240</f>
        <v>0.0359259884300325</v>
      </c>
      <c r="D1264" s="17" t="n">
        <f aca="false">D1263/D1240</f>
        <v>0.0377712584126992</v>
      </c>
      <c r="E1264" s="17" t="n">
        <f aca="false">E1263/E1240</f>
        <v>0.03816696068347</v>
      </c>
      <c r="F1264" s="17" t="n">
        <f aca="false">F1263/F1240</f>
        <v>0.0403167478519393</v>
      </c>
      <c r="G1264" s="17" t="n">
        <f aca="false">G1263/G1240</f>
        <v>0.0409071966111792</v>
      </c>
    </row>
    <row r="1265" customFormat="false" ht="15" hidden="false" customHeight="false" outlineLevel="0" collapsed="false">
      <c r="A1265" s="4" t="s">
        <v>461</v>
      </c>
      <c r="B1265" s="0" t="s">
        <v>147</v>
      </c>
      <c r="C1265" s="21" t="n">
        <f aca="false">C1254+C1258</f>
        <v>58.0788</v>
      </c>
      <c r="D1265" s="21" t="n">
        <f aca="false">D1254+D1258</f>
        <v>106.868773588</v>
      </c>
      <c r="E1265" s="21" t="n">
        <f aca="false">E1254+E1258</f>
        <v>158.01294749548</v>
      </c>
      <c r="F1265" s="21" t="n">
        <f aca="false">F1254+F1258</f>
        <v>185.894790382978</v>
      </c>
      <c r="G1265" s="21" t="n">
        <f aca="false">G1254+G1258</f>
        <v>196.46192884349</v>
      </c>
    </row>
    <row r="1266" customFormat="false" ht="17.15" hidden="false" customHeight="false" outlineLevel="0" collapsed="false">
      <c r="A1266" s="4" t="s">
        <v>599</v>
      </c>
      <c r="B1266" s="0" t="s">
        <v>147</v>
      </c>
      <c r="C1266" s="21" t="n">
        <f aca="false">(1-C1259)*C1258</f>
        <v>30.6708</v>
      </c>
      <c r="D1266" s="21" t="n">
        <f aca="false">(1-D1259)*D1258</f>
        <v>47.1980687541088</v>
      </c>
      <c r="E1266" s="21" t="n">
        <f aca="false">(1-E1259)*E1258</f>
        <v>67.7015899849565</v>
      </c>
      <c r="F1266" s="21" t="n">
        <f aca="false">(1-F1259)*F1258</f>
        <v>81.1254954249335</v>
      </c>
      <c r="G1266" s="21" t="n">
        <f aca="false">(1-G1259)*G1258</f>
        <v>87.0223043143844</v>
      </c>
    </row>
    <row r="1267" customFormat="false" ht="15" hidden="false" customHeight="false" outlineLevel="0" collapsed="false">
      <c r="A1267" s="4" t="s">
        <v>457</v>
      </c>
      <c r="B1267" s="0" t="s">
        <v>147</v>
      </c>
      <c r="C1267" s="21" t="n">
        <f aca="false">C1265-C1266</f>
        <v>27.408</v>
      </c>
      <c r="D1267" s="21" t="n">
        <f aca="false">D1265-D1266</f>
        <v>59.6707048338912</v>
      </c>
      <c r="E1267" s="21" t="n">
        <f aca="false">E1265-E1266</f>
        <v>90.3113575105233</v>
      </c>
      <c r="F1267" s="21" t="n">
        <f aca="false">F1265-F1266</f>
        <v>104.769294958044</v>
      </c>
      <c r="G1267" s="21" t="n">
        <f aca="false">G1265-G1266</f>
        <v>109.439624529105</v>
      </c>
      <c r="H1267" s="26" t="n">
        <f aca="false">H1240*H1272</f>
        <v>119.0894053328</v>
      </c>
      <c r="I1267" s="26" t="n">
        <f aca="false">I1240*I1272</f>
        <v>130.305870564524</v>
      </c>
      <c r="J1267" s="26" t="n">
        <f aca="false">J1240*J1272</f>
        <v>143.375940589569</v>
      </c>
    </row>
    <row r="1268" customFormat="false" ht="17.15" hidden="false" customHeight="false" outlineLevel="0" collapsed="false">
      <c r="A1268" s="4" t="s">
        <v>600</v>
      </c>
      <c r="B1268" s="0" t="s">
        <v>48</v>
      </c>
      <c r="C1268" s="20" t="n">
        <f aca="false">C1259*C1258/C1267</f>
        <v>0.746030356100409</v>
      </c>
      <c r="D1268" s="20" t="n">
        <f aca="false">D1259*D1258/D1267</f>
        <v>0.478240674537551</v>
      </c>
      <c r="E1268" s="20" t="n">
        <f aca="false">E1259*E1258/E1267</f>
        <v>0.453252227754771</v>
      </c>
      <c r="F1268" s="20" t="n">
        <f aca="false">F1259*F1258/F1267</f>
        <v>0.468173459474324</v>
      </c>
      <c r="G1268" s="20" t="n">
        <f aca="false">G1259*G1258/G1267</f>
        <v>0.480772296190131</v>
      </c>
    </row>
    <row r="1269" customFormat="false" ht="17.15" hidden="false" customHeight="false" outlineLevel="0" collapsed="false">
      <c r="A1269" s="4" t="s">
        <v>601</v>
      </c>
      <c r="B1269" s="4" t="s">
        <v>282</v>
      </c>
      <c r="C1269" s="31" t="n">
        <f aca="false">a25_sh</f>
        <v>3.03185840707965</v>
      </c>
      <c r="D1269" s="31" t="n">
        <f aca="false">a26_sh</f>
        <v>3.23861720409076</v>
      </c>
      <c r="E1269" s="31" t="n">
        <f aca="false">q_sh4*(1+sh_g)</f>
        <v>3.43</v>
      </c>
      <c r="F1269" s="31" t="n">
        <f aca="false">E1269*(1+sh_g)</f>
        <v>3.43</v>
      </c>
      <c r="G1269" s="31" t="n">
        <f aca="false">F1269*(1+sh_g)</f>
        <v>3.43</v>
      </c>
      <c r="H1269" s="32" t="n">
        <f aca="false">G1269*(1+sh_g)</f>
        <v>3.43</v>
      </c>
      <c r="I1269" s="32" t="n">
        <f aca="false">H1269*(1+sh_g)</f>
        <v>3.43</v>
      </c>
      <c r="J1269" s="32" t="n">
        <f aca="false">I1269*(1+sh_g)</f>
        <v>3.43</v>
      </c>
      <c r="K1269" s="8" t="s">
        <v>602</v>
      </c>
    </row>
    <row r="1270" customFormat="false" ht="15" hidden="false" customHeight="false" outlineLevel="0" collapsed="false">
      <c r="A1270" s="0" t="s">
        <v>464</v>
      </c>
      <c r="B1270" s="0" t="s">
        <v>312</v>
      </c>
      <c r="C1270" s="18" t="n">
        <f aca="false">C1267/C1269</f>
        <v>9.04</v>
      </c>
      <c r="D1270" s="18" t="n">
        <f aca="false">D1267/D1269</f>
        <v>18.4247476850676</v>
      </c>
      <c r="E1270" s="18" t="n">
        <f aca="false">E1267/E1269</f>
        <v>26.3298418398027</v>
      </c>
      <c r="F1270" s="18" t="n">
        <f aca="false">F1267/F1269</f>
        <v>30.5449839527826</v>
      </c>
      <c r="G1270" s="18" t="n">
        <f aca="false">G1267/G1269</f>
        <v>31.9065960726255</v>
      </c>
      <c r="H1270" s="29" t="n">
        <f aca="false">H1267/H1269</f>
        <v>34.7199432457142</v>
      </c>
      <c r="I1270" s="29" t="n">
        <f aca="false">I1267/I1269</f>
        <v>37.9900497272665</v>
      </c>
      <c r="J1270" s="29" t="n">
        <f aca="false">J1267/J1269</f>
        <v>41.8005657695538</v>
      </c>
    </row>
    <row r="1271" customFormat="false" ht="17.15" hidden="false" customHeight="false" outlineLevel="0" collapsed="false">
      <c r="A1271" s="0" t="s">
        <v>603</v>
      </c>
      <c r="B1271" s="0" t="s">
        <v>48</v>
      </c>
      <c r="D1271" s="20" t="n">
        <f aca="false">D1270/C1270-1</f>
        <v>1.03813580587031</v>
      </c>
      <c r="E1271" s="20" t="n">
        <f aca="false">E1270/D1270-1</f>
        <v>0.429047620616365</v>
      </c>
      <c r="F1271" s="20" t="n">
        <f aca="false">F1270/E1270-1</f>
        <v>0.160089913894123</v>
      </c>
      <c r="G1271" s="20" t="n">
        <f aca="false">G1270/F1270-1</f>
        <v>0.0445772740279606</v>
      </c>
      <c r="H1271" s="27" t="n">
        <f aca="false">H1270/G1270-1</f>
        <v>0.0881744692127298</v>
      </c>
      <c r="I1271" s="27" t="n">
        <f aca="false">I1270/H1270-1</f>
        <v>0.0941852484726056</v>
      </c>
      <c r="J1271" s="27" t="n">
        <f aca="false">J1270/I1270-1</f>
        <v>0.100303002224089</v>
      </c>
    </row>
    <row r="1272" customFormat="false" ht="17.15" hidden="false" customHeight="false" outlineLevel="0" collapsed="false">
      <c r="A1272" s="4" t="s">
        <v>604</v>
      </c>
      <c r="B1272" s="0" t="s">
        <v>48</v>
      </c>
      <c r="C1272" s="17" t="n">
        <f aca="false">C1267/C1240</f>
        <v>0.0125349699042727</v>
      </c>
      <c r="D1272" s="17" t="n">
        <f aca="false">D1267/D1240</f>
        <v>0.0145632363293992</v>
      </c>
      <c r="E1272" s="17" t="n">
        <f aca="false">E1267/E1240</f>
        <v>0.0151545609914615</v>
      </c>
      <c r="F1272" s="17" t="n">
        <f aca="false">F1267/F1240</f>
        <v>0.0158562727571269</v>
      </c>
      <c r="G1272" s="17" t="n">
        <f aca="false">G1267/G1240</f>
        <v>0.0159606299699436</v>
      </c>
      <c r="H1272" s="28" t="n">
        <f aca="false">$G1272+(fade_mA-$G1272)*1/3</f>
        <v>0.0166174252005638</v>
      </c>
      <c r="I1272" s="28" t="n">
        <f aca="false">$G1272+(fade_mA-$G1272)*2/3</f>
        <v>0.017274220431184</v>
      </c>
      <c r="J1272" s="28" t="n">
        <f aca="false">$G1272+(fade_mA-$G1272)*3/3</f>
        <v>0.0179310156618042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892</v>
      </c>
    </row>
    <row r="2" customFormat="false" ht="17.15" hidden="false" customHeight="false" outlineLevel="0" collapsed="false">
      <c r="A2" s="4" t="s">
        <v>893</v>
      </c>
      <c r="B2" s="0" t="s">
        <v>894</v>
      </c>
    </row>
    <row r="3" customFormat="false" ht="17.15" hidden="false" customHeight="false" outlineLevel="0" collapsed="false">
      <c r="A3" s="4" t="s">
        <v>895</v>
      </c>
      <c r="B3" s="0" t="s">
        <v>896</v>
      </c>
    </row>
    <row r="4" customFormat="false" ht="17.15" hidden="false" customHeight="false" outlineLevel="0" collapsed="false">
      <c r="A4" s="4" t="s">
        <v>897</v>
      </c>
      <c r="B4" s="0" t="s">
        <v>898</v>
      </c>
    </row>
    <row r="5" customFormat="false" ht="17.15" hidden="false" customHeight="false" outlineLevel="0" collapsed="false">
      <c r="A5" s="4" t="s">
        <v>899</v>
      </c>
      <c r="B5" s="0" t="s">
        <v>900</v>
      </c>
    </row>
    <row r="6" customFormat="false" ht="17.15" hidden="false" customHeight="false" outlineLevel="0" collapsed="false">
      <c r="A6" s="4" t="s">
        <v>901</v>
      </c>
      <c r="B6" s="0" t="s">
        <v>902</v>
      </c>
    </row>
    <row r="7" customFormat="false" ht="17.15" hidden="false" customHeight="false" outlineLevel="0" collapsed="false">
      <c r="A7" s="4" t="s">
        <v>903</v>
      </c>
      <c r="B7" s="0" t="s">
        <v>904</v>
      </c>
    </row>
    <row r="8" customFormat="false" ht="17.15" hidden="false" customHeight="false" outlineLevel="0" collapsed="false">
      <c r="A8" s="4" t="s">
        <v>905</v>
      </c>
      <c r="B8" s="0" t="s">
        <v>906</v>
      </c>
    </row>
    <row r="9" customFormat="false" ht="17.15" hidden="false" customHeight="false" outlineLevel="0" collapsed="false">
      <c r="A9" s="4" t="s">
        <v>907</v>
      </c>
      <c r="B9" s="0" t="s">
        <v>908</v>
      </c>
    </row>
    <row r="10" customFormat="false" ht="17.15" hidden="false" customHeight="false" outlineLevel="0" collapsed="false">
      <c r="A10" s="4" t="s">
        <v>909</v>
      </c>
      <c r="B10" s="0" t="s">
        <v>910</v>
      </c>
    </row>
    <row r="11" customFormat="false" ht="17.15" hidden="false" customHeight="false" outlineLevel="0" collapsed="false">
      <c r="A11" s="4" t="s">
        <v>911</v>
      </c>
      <c r="B11" s="0" t="s">
        <v>912</v>
      </c>
    </row>
    <row r="12" customFormat="false" ht="17.15" hidden="false" customHeight="false" outlineLevel="0" collapsed="false">
      <c r="A12" s="4" t="s">
        <v>913</v>
      </c>
      <c r="B12" s="0" t="s">
        <v>914</v>
      </c>
    </row>
    <row r="13" customFormat="false" ht="17.15" hidden="false" customHeight="false" outlineLevel="0" collapsed="false">
      <c r="A13" s="4" t="s">
        <v>915</v>
      </c>
      <c r="B13" s="0" t="s">
        <v>916</v>
      </c>
    </row>
    <row r="14" customFormat="false" ht="17.15" hidden="false" customHeight="false" outlineLevel="0" collapsed="false">
      <c r="A14" s="4" t="s">
        <v>917</v>
      </c>
      <c r="B14" s="0" t="s">
        <v>918</v>
      </c>
    </row>
    <row r="15" customFormat="false" ht="17.15" hidden="false" customHeight="false" outlineLevel="0" collapsed="false">
      <c r="A15" s="4" t="s">
        <v>919</v>
      </c>
      <c r="B15" s="0" t="s">
        <v>920</v>
      </c>
    </row>
    <row r="16" customFormat="false" ht="17.15" hidden="false" customHeight="false" outlineLevel="0" collapsed="false">
      <c r="A16" s="4" t="s">
        <v>921</v>
      </c>
      <c r="B16" s="0" t="s">
        <v>922</v>
      </c>
    </row>
    <row r="17" customFormat="false" ht="17.15" hidden="false" customHeight="false" outlineLevel="0" collapsed="false">
      <c r="A17" s="4" t="s">
        <v>923</v>
      </c>
      <c r="B17" s="0" t="s">
        <v>924</v>
      </c>
    </row>
    <row r="18" customFormat="false" ht="17.15" hidden="false" customHeight="false" outlineLevel="0" collapsed="false">
      <c r="A18" s="4" t="s">
        <v>925</v>
      </c>
      <c r="B18" s="0" t="s">
        <v>926</v>
      </c>
    </row>
    <row r="19" customFormat="false" ht="17.15" hidden="false" customHeight="false" outlineLevel="0" collapsed="false">
      <c r="A19" s="4" t="s">
        <v>927</v>
      </c>
      <c r="B19" s="0" t="s">
        <v>928</v>
      </c>
    </row>
    <row r="20" customFormat="false" ht="17.15" hidden="false" customHeight="false" outlineLevel="0" collapsed="false">
      <c r="A20" s="4" t="s">
        <v>929</v>
      </c>
      <c r="B20" s="0" t="s">
        <v>930</v>
      </c>
    </row>
    <row r="21" customFormat="false" ht="17.15" hidden="false" customHeight="false" outlineLevel="0" collapsed="false">
      <c r="A21" s="4" t="s">
        <v>931</v>
      </c>
      <c r="B21" s="0" t="s">
        <v>932</v>
      </c>
    </row>
    <row r="22" customFormat="false" ht="17.15" hidden="false" customHeight="false" outlineLevel="0" collapsed="false">
      <c r="A22" s="4" t="s">
        <v>933</v>
      </c>
      <c r="B22" s="0" t="s">
        <v>934</v>
      </c>
    </row>
    <row r="23" customFormat="false" ht="17.15" hidden="false" customHeight="false" outlineLevel="0" collapsed="false">
      <c r="A23" s="4" t="s">
        <v>935</v>
      </c>
      <c r="B23" s="0" t="s">
        <v>936</v>
      </c>
    </row>
    <row r="24" customFormat="false" ht="17.15" hidden="false" customHeight="false" outlineLevel="0" collapsed="false">
      <c r="A24" s="4" t="s">
        <v>937</v>
      </c>
      <c r="B24" s="0" t="s">
        <v>938</v>
      </c>
    </row>
    <row r="25" customFormat="false" ht="17.15" hidden="false" customHeight="false" outlineLevel="0" collapsed="false">
      <c r="A25" s="4" t="s">
        <v>939</v>
      </c>
      <c r="B25" s="0" t="s">
        <v>940</v>
      </c>
    </row>
    <row r="26" customFormat="false" ht="17.15" hidden="false" customHeight="false" outlineLevel="0" collapsed="false">
      <c r="A26" s="4" t="s">
        <v>941</v>
      </c>
      <c r="B26" s="0" t="s">
        <v>942</v>
      </c>
    </row>
    <row r="27" customFormat="false" ht="17.15" hidden="false" customHeight="false" outlineLevel="0" collapsed="false">
      <c r="A27" s="4" t="s">
        <v>943</v>
      </c>
      <c r="B27" s="4" t="s">
        <v>214</v>
      </c>
    </row>
    <row r="28" customFormat="false" ht="15" hidden="false" customHeight="false" outlineLevel="0" collapsed="false">
      <c r="A28" s="0" t="s">
        <v>944</v>
      </c>
      <c r="B28" s="4" t="s">
        <v>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2026-10-25T04:21:21Z</dcterms:created>
  <dc:creator>openpyxl</dc:creator>
  <dc:description/>
  <dc:language>en-US</dc:language>
  <cp:lastModifiedBy/>
  <dcterms:modified xsi:type="dcterms:W3CDTF">2026-10-25T04:21:22Z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