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<sst xmlns="http://schemas.openxmlformats.org/spreadsheetml/2006/main" count="4357" uniqueCount="946">
  <si>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</si>
  <si>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</si>
  <si>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</si>
  <si>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</si>
  <si>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</si>
  <si>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</si>
  <si>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</si>
  <si>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</si>
  <si>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</si>
  <si>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</si>
  <si>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</si>
  <si>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</si>
  <si>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</si>
  <si>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</si>
  <si>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</si>
  <si>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</si>
  <si>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</si>
  <si>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</si>
  <si>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</si>
  <si>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</si>
  <si>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</si>
  <si>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</si>
  <si>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</si>
  <si>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</si>
  <si>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</si>
  <si>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</si>
  <si>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</si>
  <si>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</si>
  <si>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</si>
  <si>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</si>
  <si>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</si>
  <si>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</si>
  <si>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</si>
  <si>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</si>
  <si>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</si>
  <si>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</si>
  <si>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</si>
  <si>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</si>
  <si>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</si>
  <si>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</si>
  <si>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</si>
  <si>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</si>
  <si>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</si>
  <si>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</si>
  <si>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</si>
  <si>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</si>
  <si>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</si>
  <si>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</si>
  <si>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</si>
  <si>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</si>
  <si>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</si>
  <si>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</si>
  <si>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</si>
  <si>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</si>
  <si>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</si>
  <si>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</si>
  <si>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</si>
  <si>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</si>
  <si>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</si>
  <si>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</si>
  <si>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</si>
  <si>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</si>
  <si>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</si>
  <si>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</si>
  <si>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</si>
  <si>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</si>
  <si>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</si>
  <si>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</si>
  <si>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</si>
  <si>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</si>
  <si>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</si>
  <si>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</si>
  <si>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</si>
  <si>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</si>
  <si>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</si>
  <si>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</si>
  <si>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</si>
  <si>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</si>
  <si>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</si>
  <si>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</si>
  <si>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</si>
  <si>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</si>
  <si>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</si>
  <si>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</si>
  <si>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</si>
  <si>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</si>
  <si>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</si>
  <si>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</si>
  <si>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</si>
  <si>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</si>
  <si>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</si>
  <si>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</si>
  <si>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</si>
  <si>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</si>
  <si>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</si>
  <si>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</si>
  <si>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</si>
  <si>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</si>
  <si>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</si>
  <si>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</si>
  <si>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</si>
  <si>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</si>
  <si>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</si>
  <si>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</si>
  <si>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</si>
  <si>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</si>
  <si>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</si>
  <si>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</si>
  <si>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</si>
  <si>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</si>
  <si>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</si>
  <si>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</si>
  <si>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</si>
  <si>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</si>
  <si>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</si>
  <si>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</si>
  <si>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</si>
  <si>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</si>
  <si>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</si>
  <si>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</si>
  <si>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</si>
  <si>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</si>
  <si>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</si>
  <si>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</si>
  <si>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</si>
  <si>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</si>
  <si>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</si>
  <si>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</si>
  <si>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</si>
  <si>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</si>
  <si>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</si>
  <si>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</si>
  <si>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</si>
  <si>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</si>
  <si>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</si>
  <si>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</si>
  <si>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</si>
  <si>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</si>
  <si>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</si>
  <si>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</si>
  <si>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</si>
  <si>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</si>
  <si>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</si>
  <si>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</si>
  <si>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</si>
  <si>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</si>
  <si>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</si>
  <si>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</si>
  <si>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</si>
  <si>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</si>
  <si>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</si>
  <si>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</si>
  <si>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</si>
  <si>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</si>
  <si>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</si>
  <si>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</si>
  <si>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</si>
  <si>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</si>
  <si>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</si>
  <si>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</si>
  <si>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</si>
  <si>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</si>
  <si>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</si>
  <si>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</si>
  <si>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</si>
  <si>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</si>
  <si>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</si>
  <si>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</si>
  <si>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</si>
  <si>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</si>
  <si>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</si>
  <si>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</si>
  <si>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</si>
  <si>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</si>
  <si>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</si>
  <si>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</si>
  <si>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</si>
  <si>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</si>
  <si>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</si>
  <si>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</si>
  <si>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</si>
  <si>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</si>
  <si>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</si>
  <si>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緯穎營收季增約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（月營收），新平台放量，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比重可能較高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</si>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</sst>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4" t="s">
        <v>15</v>
      </c>
    </row>
    <row r="3" customFormat="false" ht="17.15" hidden="false" customHeight="false" outlineLevel="0" collapsed="false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</row>
    <row r="4" customFormat="false" ht="17.15" hidden="false" customHeight="false" outlineLevel="0" collapsed="false">
      <c r="A4" s="6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0" t="s">
        <v>28</v>
      </c>
      <c r="E5" s="7" t="n">
        <v>781.872916666667</v>
      </c>
      <c r="G5" s="8" t="s">
        <v>29</v>
      </c>
      <c r="H5" s="8" t="s">
        <v>30</v>
      </c>
      <c r="I5" s="4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0" t="s">
        <v>28</v>
      </c>
      <c r="E6" s="7" t="n">
        <v>1565.35</v>
      </c>
      <c r="G6" s="8" t="s">
        <v>29</v>
      </c>
      <c r="H6" s="8" t="s">
        <v>30</v>
      </c>
      <c r="I6" s="4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0" t="s">
        <v>28</v>
      </c>
      <c r="E7" s="7" t="n">
        <v>1984.26388888889</v>
      </c>
      <c r="G7" s="8" t="s">
        <v>29</v>
      </c>
      <c r="H7" s="8" t="s">
        <v>30</v>
      </c>
      <c r="I7" s="4" t="s">
        <v>34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0" t="s">
        <v>28</v>
      </c>
      <c r="E8" s="7" t="n">
        <v>2260.39027777778</v>
      </c>
      <c r="G8" s="8" t="s">
        <v>29</v>
      </c>
      <c r="H8" s="8" t="s">
        <v>30</v>
      </c>
      <c r="I8" s="4" t="s">
        <v>34</v>
      </c>
    </row>
    <row r="9" customFormat="false" ht="17.15" hidden="false" customHeight="false" outlineLevel="0" collapsed="false">
      <c r="A9" s="0" t="s">
        <v>39</v>
      </c>
      <c r="B9" s="4" t="s">
        <v>40</v>
      </c>
      <c r="C9" s="0" t="s">
        <v>28</v>
      </c>
      <c r="E9" s="7" t="n">
        <v>32.237224</v>
      </c>
      <c r="G9" s="8" t="s">
        <v>29</v>
      </c>
      <c r="H9" s="8" t="s">
        <v>41</v>
      </c>
      <c r="I9" s="8" t="s">
        <v>42</v>
      </c>
    </row>
    <row r="10" customFormat="false" ht="17.15" hidden="false" customHeight="false" outlineLevel="0" collapsed="false">
      <c r="A10" s="0" t="s">
        <v>43</v>
      </c>
      <c r="B10" s="4" t="s">
        <v>44</v>
      </c>
      <c r="C10" s="0" t="s">
        <v>28</v>
      </c>
      <c r="E10" s="7" t="n">
        <v>37.586352</v>
      </c>
      <c r="G10" s="8" t="s">
        <v>29</v>
      </c>
      <c r="H10" s="8" t="s">
        <v>41</v>
      </c>
      <c r="I10" s="4" t="s">
        <v>45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0" t="s">
        <v>48</v>
      </c>
      <c r="D11" s="7" t="n">
        <v>0.15</v>
      </c>
      <c r="E11" s="7" t="n">
        <v>0.22</v>
      </c>
      <c r="F11" s="7" t="n">
        <v>0.3</v>
      </c>
      <c r="G11" s="8" t="s">
        <v>29</v>
      </c>
      <c r="H11" s="8" t="s">
        <v>49</v>
      </c>
      <c r="I11" s="4" t="s">
        <v>50</v>
      </c>
    </row>
    <row r="12" customFormat="false" ht="17.15" hidden="false" customHeight="false" outlineLevel="0" collapsed="false">
      <c r="A12" s="0" t="s">
        <v>51</v>
      </c>
      <c r="B12" s="4" t="s">
        <v>52</v>
      </c>
      <c r="C12" s="4" t="s">
        <v>53</v>
      </c>
      <c r="E12" s="7" t="n">
        <v>6764</v>
      </c>
      <c r="G12" s="8" t="s">
        <v>29</v>
      </c>
      <c r="H12" s="8" t="s">
        <v>54</v>
      </c>
      <c r="I12" s="8" t="s">
        <v>55</v>
      </c>
    </row>
    <row r="13" customFormat="false" ht="17.15" hidden="false" customHeight="false" outlineLevel="0" collapsed="false">
      <c r="A13" s="0" t="s">
        <v>56</v>
      </c>
      <c r="B13" s="4" t="s">
        <v>57</v>
      </c>
      <c r="C13" s="4" t="s">
        <v>53</v>
      </c>
      <c r="E13" s="7" t="n">
        <v>4052</v>
      </c>
      <c r="G13" s="8" t="s">
        <v>29</v>
      </c>
      <c r="H13" s="8" t="s">
        <v>54</v>
      </c>
      <c r="I13" s="4" t="s">
        <v>34</v>
      </c>
    </row>
    <row r="14" customFormat="false" ht="17.15" hidden="false" customHeight="false" outlineLevel="0" collapsed="false">
      <c r="A14" s="0" t="s">
        <v>58</v>
      </c>
      <c r="B14" s="4" t="s">
        <v>59</v>
      </c>
      <c r="C14" s="0" t="s">
        <v>60</v>
      </c>
      <c r="E14" s="7" t="n">
        <v>1</v>
      </c>
      <c r="G14" s="8" t="s">
        <v>61</v>
      </c>
      <c r="H14" s="8" t="s">
        <v>62</v>
      </c>
      <c r="I14" s="8" t="s">
        <v>63</v>
      </c>
    </row>
    <row r="15" customFormat="false" ht="17.15" hidden="false" customHeight="false" outlineLevel="0" collapsed="false">
      <c r="A15" s="0" t="s">
        <v>64</v>
      </c>
      <c r="B15" s="4" t="s">
        <v>65</v>
      </c>
      <c r="C15" s="0" t="s">
        <v>60</v>
      </c>
      <c r="E15" s="7" t="n">
        <v>1</v>
      </c>
      <c r="G15" s="8" t="s">
        <v>61</v>
      </c>
      <c r="H15" s="8" t="s">
        <v>66</v>
      </c>
      <c r="I15" s="4" t="s">
        <v>34</v>
      </c>
    </row>
    <row r="16" customFormat="false" ht="17.15" hidden="false" customHeight="false" outlineLevel="0" collapsed="false">
      <c r="A16" s="0" t="s">
        <v>67</v>
      </c>
      <c r="B16" s="4" t="s">
        <v>68</v>
      </c>
      <c r="C16" s="0" t="s">
        <v>60</v>
      </c>
      <c r="E16" s="7" t="n">
        <v>0.8</v>
      </c>
      <c r="G16" s="8" t="s">
        <v>61</v>
      </c>
      <c r="H16" s="8" t="s">
        <v>69</v>
      </c>
      <c r="I16" s="8" t="s">
        <v>63</v>
      </c>
    </row>
    <row r="17" customFormat="false" ht="17.15" hidden="false" customHeight="false" outlineLevel="0" collapsed="false">
      <c r="A17" s="0" t="s">
        <v>70</v>
      </c>
      <c r="B17" s="4" t="s">
        <v>71</v>
      </c>
      <c r="C17" s="0" t="s">
        <v>60</v>
      </c>
      <c r="E17" s="7" t="n">
        <v>0.85</v>
      </c>
      <c r="G17" s="8" t="s">
        <v>61</v>
      </c>
      <c r="H17" s="8" t="s">
        <v>72</v>
      </c>
      <c r="I17" s="4" t="s">
        <v>34</v>
      </c>
    </row>
    <row r="18" customFormat="false" ht="17.15" hidden="false" customHeight="false" outlineLevel="0" collapsed="false">
      <c r="A18" s="0" t="s">
        <v>73</v>
      </c>
      <c r="B18" s="4" t="s">
        <v>74</v>
      </c>
      <c r="C18" s="0" t="s">
        <v>60</v>
      </c>
      <c r="E18" s="7" t="n">
        <v>0.6</v>
      </c>
      <c r="G18" s="8" t="s">
        <v>61</v>
      </c>
      <c r="H18" s="8" t="s">
        <v>75</v>
      </c>
      <c r="I18" s="8" t="s">
        <v>63</v>
      </c>
    </row>
    <row r="19" customFormat="false" ht="17.15" hidden="false" customHeight="false" outlineLevel="0" collapsed="false">
      <c r="A19" s="0" t="s">
        <v>76</v>
      </c>
      <c r="B19" s="4" t="s">
        <v>77</v>
      </c>
      <c r="C19" s="0" t="s">
        <v>60</v>
      </c>
      <c r="E19" s="7" t="n">
        <v>0.6</v>
      </c>
      <c r="G19" s="8" t="s">
        <v>61</v>
      </c>
      <c r="H19" s="8" t="s">
        <v>78</v>
      </c>
      <c r="I19" s="4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4" t="s">
        <v>81</v>
      </c>
      <c r="E20" s="7" t="n">
        <v>8.35</v>
      </c>
      <c r="G20" s="8" t="s">
        <v>29</v>
      </c>
      <c r="H20" s="8" t="s">
        <v>82</v>
      </c>
      <c r="I20" s="8" t="s">
        <v>83</v>
      </c>
    </row>
    <row r="21" customFormat="false" ht="17.15" hidden="false" customHeight="false" outlineLevel="0" collapsed="false">
      <c r="A21" s="0" t="s">
        <v>84</v>
      </c>
      <c r="B21" s="0" t="s">
        <v>85</v>
      </c>
      <c r="C21" s="4" t="s">
        <v>81</v>
      </c>
      <c r="E21" s="7" t="n">
        <v>11.2</v>
      </c>
      <c r="G21" s="8" t="s">
        <v>29</v>
      </c>
      <c r="H21" s="4" t="s">
        <v>34</v>
      </c>
      <c r="I21" s="4" t="s">
        <v>34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4" t="s">
        <v>81</v>
      </c>
      <c r="E22" s="7" t="n">
        <v>11.5</v>
      </c>
      <c r="G22" s="8" t="s">
        <v>29</v>
      </c>
      <c r="H22" s="4" t="s">
        <v>34</v>
      </c>
      <c r="I22" s="4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4" t="s">
        <v>81</v>
      </c>
      <c r="E23" s="7" t="n">
        <v>12.9</v>
      </c>
      <c r="G23" s="8" t="s">
        <v>29</v>
      </c>
      <c r="H23" s="4" t="s">
        <v>34</v>
      </c>
      <c r="I23" s="4" t="s">
        <v>34</v>
      </c>
    </row>
    <row r="24" customFormat="false" ht="17.15" hidden="false" customHeight="false" outlineLevel="0" collapsed="false">
      <c r="A24" s="0" t="s">
        <v>90</v>
      </c>
      <c r="B24" s="4" t="s">
        <v>91</v>
      </c>
      <c r="C24" s="0" t="s">
        <v>92</v>
      </c>
      <c r="D24" s="7" t="n">
        <v>30.5</v>
      </c>
      <c r="E24" s="7" t="n">
        <v>32</v>
      </c>
      <c r="F24" s="7" t="n">
        <v>33</v>
      </c>
      <c r="G24" s="8" t="s">
        <v>29</v>
      </c>
      <c r="H24" s="8" t="s">
        <v>93</v>
      </c>
      <c r="I24" s="4" t="s">
        <v>94</v>
      </c>
    </row>
    <row r="25" customFormat="false" ht="17.15" hidden="false" customHeight="false" outlineLevel="0" collapsed="false">
      <c r="A25" s="6" t="s">
        <v>95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0" t="s">
        <v>98</v>
      </c>
      <c r="D26" s="7" t="n">
        <v>3.6</v>
      </c>
      <c r="E26" s="7" t="n">
        <v>4</v>
      </c>
      <c r="F26" s="7" t="n">
        <v>4.3</v>
      </c>
      <c r="G26" s="8" t="s">
        <v>29</v>
      </c>
      <c r="H26" s="8" t="s">
        <v>99</v>
      </c>
      <c r="I26" s="4" t="s">
        <v>100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0" t="s">
        <v>98</v>
      </c>
      <c r="D27" s="7" t="n">
        <v>6.5</v>
      </c>
      <c r="E27" s="7" t="n">
        <v>6.75</v>
      </c>
      <c r="F27" s="7" t="n">
        <v>7</v>
      </c>
      <c r="G27" s="8" t="s">
        <v>29</v>
      </c>
      <c r="H27" s="8" t="s">
        <v>103</v>
      </c>
      <c r="I27" s="4" t="s">
        <v>34</v>
      </c>
    </row>
    <row r="28" customFormat="false" ht="17.15" hidden="false" customHeight="false" outlineLevel="0" collapsed="false">
      <c r="A28" s="0" t="s">
        <v>104</v>
      </c>
      <c r="B28" s="4" t="s">
        <v>105</v>
      </c>
      <c r="C28" s="0" t="s">
        <v>60</v>
      </c>
      <c r="D28" s="7" t="n">
        <v>0.85</v>
      </c>
      <c r="E28" s="7" t="n">
        <v>1</v>
      </c>
      <c r="F28" s="7" t="n">
        <v>1.2</v>
      </c>
      <c r="G28" s="8" t="s">
        <v>61</v>
      </c>
      <c r="H28" s="8" t="s">
        <v>106</v>
      </c>
      <c r="I28" s="4" t="s">
        <v>107</v>
      </c>
    </row>
    <row r="29" customFormat="false" ht="17.15" hidden="false" customHeight="false" outlineLevel="0" collapsed="false">
      <c r="A29" s="0" t="s">
        <v>108</v>
      </c>
      <c r="B29" s="4" t="s">
        <v>109</v>
      </c>
      <c r="C29" s="0" t="s">
        <v>60</v>
      </c>
      <c r="D29" s="7" t="n">
        <v>0.85</v>
      </c>
      <c r="E29" s="7" t="n">
        <v>1</v>
      </c>
      <c r="F29" s="7" t="n">
        <v>1.2</v>
      </c>
      <c r="G29" s="8" t="s">
        <v>61</v>
      </c>
      <c r="H29" s="8" t="s">
        <v>110</v>
      </c>
      <c r="I29" s="4" t="s">
        <v>34</v>
      </c>
    </row>
    <row r="30" customFormat="false" ht="17.15" hidden="false" customHeight="false" outlineLevel="0" collapsed="false">
      <c r="A30" s="0" t="s">
        <v>111</v>
      </c>
      <c r="B30" s="4" t="s">
        <v>112</v>
      </c>
      <c r="C30" s="0" t="s">
        <v>48</v>
      </c>
      <c r="D30" s="7" t="n">
        <v>0</v>
      </c>
      <c r="E30" s="7" t="n">
        <v>0.1</v>
      </c>
      <c r="F30" s="7" t="n">
        <v>0.25</v>
      </c>
      <c r="G30" s="8" t="s">
        <v>61</v>
      </c>
      <c r="H30" s="8" t="s">
        <v>113</v>
      </c>
      <c r="I30" s="4" t="s">
        <v>114</v>
      </c>
    </row>
    <row r="31" customFormat="false" ht="17.15" hidden="false" customHeight="false" outlineLevel="0" collapsed="false">
      <c r="A31" s="0" t="s">
        <v>115</v>
      </c>
      <c r="B31" s="4" t="s">
        <v>116</v>
      </c>
      <c r="C31" s="0" t="s">
        <v>48</v>
      </c>
      <c r="D31" s="7" t="n">
        <v>0</v>
      </c>
      <c r="E31" s="7" t="n">
        <v>0.2</v>
      </c>
      <c r="F31" s="7" t="n">
        <v>0.4</v>
      </c>
      <c r="G31" s="8" t="s">
        <v>61</v>
      </c>
      <c r="H31" s="8" t="s">
        <v>117</v>
      </c>
      <c r="I31" s="4" t="s">
        <v>34</v>
      </c>
    </row>
    <row r="32" customFormat="false" ht="17.15" hidden="false" customHeight="false" outlineLevel="0" collapsed="false">
      <c r="A32" s="0" t="s">
        <v>118</v>
      </c>
      <c r="B32" s="4" t="s">
        <v>119</v>
      </c>
      <c r="C32" s="0" t="s">
        <v>48</v>
      </c>
      <c r="D32" s="7" t="n">
        <v>0</v>
      </c>
      <c r="E32" s="7" t="n">
        <v>0.25</v>
      </c>
      <c r="F32" s="7" t="n">
        <v>0.5</v>
      </c>
      <c r="G32" s="8" t="s">
        <v>61</v>
      </c>
      <c r="H32" s="8" t="s">
        <v>120</v>
      </c>
      <c r="I32" s="4" t="s">
        <v>34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0" t="s">
        <v>60</v>
      </c>
      <c r="D33" s="7" t="n">
        <v>0.7</v>
      </c>
      <c r="E33" s="7" t="n">
        <v>0.9</v>
      </c>
      <c r="F33" s="7" t="n">
        <v>1</v>
      </c>
      <c r="G33" s="8" t="s">
        <v>61</v>
      </c>
      <c r="H33" s="8" t="s">
        <v>123</v>
      </c>
      <c r="I33" s="4" t="s">
        <v>124</v>
      </c>
    </row>
    <row r="34" customFormat="false" ht="17.15" hidden="false" customHeight="false" outlineLevel="0" collapsed="false">
      <c r="A34" s="0" t="s">
        <v>125</v>
      </c>
      <c r="B34" s="4" t="s">
        <v>126</v>
      </c>
      <c r="C34" s="0" t="s">
        <v>60</v>
      </c>
      <c r="D34" s="7" t="n">
        <v>0.85</v>
      </c>
      <c r="E34" s="7" t="n">
        <v>1</v>
      </c>
      <c r="F34" s="7" t="n">
        <v>1.15</v>
      </c>
      <c r="G34" s="8" t="s">
        <v>61</v>
      </c>
      <c r="H34" s="4" t="s">
        <v>127</v>
      </c>
      <c r="I34" s="4" t="s">
        <v>128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60</v>
      </c>
      <c r="D35" s="7" t="n">
        <v>0.75</v>
      </c>
      <c r="E35" s="7" t="n">
        <v>0.95</v>
      </c>
      <c r="F35" s="7" t="n">
        <v>1.15</v>
      </c>
      <c r="G35" s="8" t="s">
        <v>61</v>
      </c>
      <c r="H35" s="4" t="s">
        <v>131</v>
      </c>
      <c r="I35" s="8" t="s">
        <v>132</v>
      </c>
    </row>
    <row r="36" customFormat="false" ht="17.15" hidden="false" customHeight="false" outlineLevel="0" collapsed="false">
      <c r="A36" s="0" t="s">
        <v>133</v>
      </c>
      <c r="B36" s="4" t="s">
        <v>134</v>
      </c>
      <c r="C36" s="0" t="s">
        <v>60</v>
      </c>
      <c r="D36" s="7" t="n">
        <v>0.7</v>
      </c>
      <c r="E36" s="7" t="n">
        <v>0.9</v>
      </c>
      <c r="F36" s="7" t="n">
        <v>1.15</v>
      </c>
      <c r="G36" s="8" t="s">
        <v>61</v>
      </c>
      <c r="H36" s="4" t="s">
        <v>34</v>
      </c>
      <c r="I36" s="8" t="s">
        <v>132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60</v>
      </c>
      <c r="D37" s="7" t="n">
        <v>0.85</v>
      </c>
      <c r="E37" s="7" t="n">
        <v>1</v>
      </c>
      <c r="F37" s="7" t="n">
        <v>1.2</v>
      </c>
      <c r="G37" s="8" t="s">
        <v>61</v>
      </c>
      <c r="H37" s="4" t="s">
        <v>137</v>
      </c>
      <c r="I37" s="4" t="s">
        <v>138</v>
      </c>
    </row>
    <row r="38" customFormat="false" ht="17.15" hidden="false" customHeight="false" outlineLevel="0" collapsed="false">
      <c r="A38" s="0" t="s">
        <v>139</v>
      </c>
      <c r="B38" s="4" t="s">
        <v>140</v>
      </c>
      <c r="C38" s="0" t="s">
        <v>60</v>
      </c>
      <c r="D38" s="7" t="n">
        <v>0.75</v>
      </c>
      <c r="E38" s="7" t="n">
        <v>1</v>
      </c>
      <c r="F38" s="7" t="n">
        <v>1.2</v>
      </c>
      <c r="G38" s="8" t="s">
        <v>61</v>
      </c>
      <c r="H38" s="4" t="s">
        <v>141</v>
      </c>
      <c r="I38" s="8" t="s">
        <v>132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60</v>
      </c>
      <c r="D39" s="7" t="n">
        <v>0.7</v>
      </c>
      <c r="E39" s="7" t="n">
        <v>0.95</v>
      </c>
      <c r="F39" s="7" t="n">
        <v>1.2</v>
      </c>
      <c r="G39" s="8" t="s">
        <v>61</v>
      </c>
      <c r="H39" s="4" t="s">
        <v>34</v>
      </c>
      <c r="I39" s="8" t="s">
        <v>132</v>
      </c>
    </row>
    <row r="40" customFormat="false" ht="17.15" hidden="false" customHeight="false" outlineLevel="0" collapsed="false">
      <c r="A40" s="6" t="s">
        <v>144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147</v>
      </c>
      <c r="D41" s="7" t="n">
        <v>100</v>
      </c>
      <c r="E41" s="7" t="n">
        <v>110</v>
      </c>
      <c r="F41" s="7" t="n">
        <v>140</v>
      </c>
      <c r="G41" s="8" t="s">
        <v>148</v>
      </c>
      <c r="H41" s="4" t="s">
        <v>149</v>
      </c>
      <c r="I41" s="4" t="s">
        <v>150</v>
      </c>
    </row>
    <row r="42" customFormat="false" ht="17.15" hidden="false" customHeight="false" outlineLevel="0" collapsed="false">
      <c r="A42" s="0" t="s">
        <v>151</v>
      </c>
      <c r="B42" s="4" t="s">
        <v>152</v>
      </c>
      <c r="C42" s="0" t="s">
        <v>48</v>
      </c>
      <c r="D42" s="7" t="n">
        <v>0.35</v>
      </c>
      <c r="E42" s="7" t="n">
        <v>0.5</v>
      </c>
      <c r="F42" s="7" t="n">
        <v>0.7</v>
      </c>
      <c r="G42" s="8" t="s">
        <v>61</v>
      </c>
      <c r="H42" s="4" t="s">
        <v>153</v>
      </c>
      <c r="I42" s="8" t="s">
        <v>154</v>
      </c>
    </row>
    <row r="43" customFormat="false" ht="17.15" hidden="false" customHeight="false" outlineLevel="0" collapsed="false">
      <c r="A43" s="0" t="s">
        <v>155</v>
      </c>
      <c r="B43" s="4" t="s">
        <v>156</v>
      </c>
      <c r="C43" s="0" t="s">
        <v>60</v>
      </c>
      <c r="D43" s="7" t="n">
        <v>1</v>
      </c>
      <c r="E43" s="7" t="n">
        <v>1.15</v>
      </c>
      <c r="F43" s="7" t="n">
        <v>1.4</v>
      </c>
      <c r="G43" s="8" t="s">
        <v>61</v>
      </c>
      <c r="H43" s="8" t="s">
        <v>157</v>
      </c>
      <c r="I43" s="4" t="s">
        <v>158</v>
      </c>
    </row>
    <row r="44" customFormat="false" ht="17.15" hidden="false" customHeight="false" outlineLevel="0" collapsed="false">
      <c r="A44" s="0" t="s">
        <v>159</v>
      </c>
      <c r="B44" s="4" t="s">
        <v>160</v>
      </c>
      <c r="C44" s="0" t="s">
        <v>60</v>
      </c>
      <c r="D44" s="7" t="n">
        <v>1</v>
      </c>
      <c r="E44" s="7" t="n">
        <v>1.2</v>
      </c>
      <c r="F44" s="7" t="n">
        <v>1.5</v>
      </c>
      <c r="G44" s="8" t="s">
        <v>61</v>
      </c>
      <c r="H44" s="4" t="s">
        <v>34</v>
      </c>
      <c r="I44" s="8" t="s">
        <v>132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60</v>
      </c>
      <c r="D45" s="7" t="n">
        <v>1</v>
      </c>
      <c r="E45" s="7" t="n">
        <v>1.2</v>
      </c>
      <c r="F45" s="7" t="n">
        <v>1.5</v>
      </c>
      <c r="G45" s="8" t="s">
        <v>61</v>
      </c>
      <c r="H45" s="4" t="s">
        <v>34</v>
      </c>
      <c r="I45" s="8" t="s">
        <v>132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60</v>
      </c>
      <c r="D46" s="7" t="n">
        <v>0.8</v>
      </c>
      <c r="E46" s="7" t="n">
        <v>1</v>
      </c>
      <c r="F46" s="7" t="n">
        <v>1.1</v>
      </c>
      <c r="G46" s="8" t="s">
        <v>61</v>
      </c>
      <c r="H46" s="4" t="s">
        <v>165</v>
      </c>
      <c r="I46" s="4" t="s">
        <v>166</v>
      </c>
    </row>
    <row r="47" customFormat="false" ht="17.15" hidden="false" customHeight="false" outlineLevel="0" collapsed="false">
      <c r="A47" s="0" t="s">
        <v>167</v>
      </c>
      <c r="B47" s="0" t="s">
        <v>168</v>
      </c>
      <c r="C47" s="0" t="s">
        <v>60</v>
      </c>
      <c r="D47" s="7" t="n">
        <v>0.7</v>
      </c>
      <c r="E47" s="7" t="n">
        <v>0.95</v>
      </c>
      <c r="F47" s="7" t="n">
        <v>1.1</v>
      </c>
      <c r="G47" s="8" t="s">
        <v>61</v>
      </c>
      <c r="H47" s="4" t="s">
        <v>34</v>
      </c>
      <c r="I47" s="8" t="s">
        <v>132</v>
      </c>
    </row>
    <row r="48" customFormat="false" ht="17.15" hidden="false" customHeight="false" outlineLevel="0" collapsed="false">
      <c r="A48" s="0" t="s">
        <v>169</v>
      </c>
      <c r="B48" s="0" t="s">
        <v>170</v>
      </c>
      <c r="C48" s="0" t="s">
        <v>60</v>
      </c>
      <c r="D48" s="7" t="n">
        <v>0.65</v>
      </c>
      <c r="E48" s="7" t="n">
        <v>0.9</v>
      </c>
      <c r="F48" s="7" t="n">
        <v>1.1</v>
      </c>
      <c r="G48" s="8" t="s">
        <v>61</v>
      </c>
      <c r="H48" s="4" t="s">
        <v>34</v>
      </c>
      <c r="I48" s="8" t="s">
        <v>132</v>
      </c>
    </row>
    <row r="49" customFormat="false" ht="17.15" hidden="false" customHeight="false" outlineLevel="0" collapsed="false">
      <c r="A49" s="6" t="s">
        <v>171</v>
      </c>
    </row>
    <row r="50" customFormat="false" ht="17.15" hidden="false" customHeight="false" outlineLevel="0" collapsed="false">
      <c r="A50" s="0" t="s">
        <v>172</v>
      </c>
      <c r="B50" s="0" t="s">
        <v>173</v>
      </c>
      <c r="C50" s="0" t="s">
        <v>48</v>
      </c>
      <c r="D50" s="7" t="n">
        <v>0.13</v>
      </c>
      <c r="E50" s="7" t="n">
        <v>0.15</v>
      </c>
      <c r="F50" s="7" t="n">
        <v>0.18</v>
      </c>
      <c r="G50" s="8" t="s">
        <v>148</v>
      </c>
      <c r="H50" s="4" t="s">
        <v>174</v>
      </c>
      <c r="I50" s="4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147</v>
      </c>
      <c r="D51" s="7" t="n">
        <v>80</v>
      </c>
      <c r="E51" s="7" t="n">
        <v>150</v>
      </c>
      <c r="F51" s="7" t="n">
        <v>250</v>
      </c>
      <c r="G51" s="8" t="s">
        <v>61</v>
      </c>
      <c r="H51" s="4" t="s">
        <v>178</v>
      </c>
      <c r="I51" s="4" t="s">
        <v>179</v>
      </c>
    </row>
    <row r="52" customFormat="false" ht="17.15" hidden="false" customHeight="false" outlineLevel="0" collapsed="false">
      <c r="A52" s="0" t="s">
        <v>180</v>
      </c>
      <c r="B52" s="0" t="s">
        <v>181</v>
      </c>
      <c r="C52" s="0" t="s">
        <v>48</v>
      </c>
      <c r="D52" s="7" t="n">
        <v>0.5</v>
      </c>
      <c r="E52" s="7" t="n">
        <v>0.55</v>
      </c>
      <c r="F52" s="7" t="n">
        <v>0.65</v>
      </c>
      <c r="G52" s="8" t="s">
        <v>148</v>
      </c>
      <c r="H52" s="4" t="s">
        <v>182</v>
      </c>
      <c r="I52" s="8" t="s">
        <v>183</v>
      </c>
    </row>
    <row r="53" customFormat="false" ht="17.15" hidden="false" customHeight="false" outlineLevel="0" collapsed="false">
      <c r="A53" s="0" t="s">
        <v>184</v>
      </c>
      <c r="B53" s="4" t="s">
        <v>185</v>
      </c>
      <c r="C53" s="0" t="s">
        <v>48</v>
      </c>
      <c r="D53" s="7" t="n">
        <v>0</v>
      </c>
      <c r="E53" s="7" t="n">
        <v>0.2</v>
      </c>
      <c r="F53" s="7" t="n">
        <v>0.4</v>
      </c>
      <c r="G53" s="8" t="s">
        <v>61</v>
      </c>
      <c r="H53" s="4" t="s">
        <v>186</v>
      </c>
      <c r="I53" s="8" t="s">
        <v>132</v>
      </c>
    </row>
    <row r="54" customFormat="false" ht="17.15" hidden="false" customHeight="false" outlineLevel="0" collapsed="false">
      <c r="A54" s="0" t="s">
        <v>187</v>
      </c>
      <c r="B54" s="4" t="s">
        <v>188</v>
      </c>
      <c r="C54" s="0" t="s">
        <v>48</v>
      </c>
      <c r="D54" s="7" t="n">
        <v>-0.05</v>
      </c>
      <c r="E54" s="7" t="n">
        <v>0.1</v>
      </c>
      <c r="F54" s="7" t="n">
        <v>0.25</v>
      </c>
      <c r="G54" s="8" t="s">
        <v>61</v>
      </c>
      <c r="H54" s="4" t="s">
        <v>34</v>
      </c>
      <c r="I54" s="8" t="s">
        <v>132</v>
      </c>
    </row>
    <row r="55" customFormat="false" ht="17.15" hidden="false" customHeight="false" outlineLevel="0" collapsed="false">
      <c r="A55" s="0" t="s">
        <v>189</v>
      </c>
      <c r="B55" s="4" t="s">
        <v>190</v>
      </c>
      <c r="C55" s="0" t="s">
        <v>48</v>
      </c>
      <c r="D55" s="7" t="n">
        <v>-0.05</v>
      </c>
      <c r="E55" s="7" t="n">
        <v>0.08</v>
      </c>
      <c r="F55" s="7" t="n">
        <v>0.2</v>
      </c>
      <c r="G55" s="8" t="s">
        <v>61</v>
      </c>
      <c r="H55" s="4" t="s">
        <v>34</v>
      </c>
      <c r="I55" s="8" t="s">
        <v>132</v>
      </c>
    </row>
    <row r="56" customFormat="false" ht="17.15" hidden="false" customHeight="false" outlineLevel="0" collapsed="false">
      <c r="A56" s="0" t="s">
        <v>191</v>
      </c>
      <c r="B56" s="4" t="s">
        <v>192</v>
      </c>
      <c r="C56" s="0" t="s">
        <v>48</v>
      </c>
      <c r="D56" s="7" t="n">
        <v>-0.15</v>
      </c>
      <c r="E56" s="7" t="n">
        <v>-0.03</v>
      </c>
      <c r="F56" s="7" t="n">
        <v>0.05</v>
      </c>
      <c r="G56" s="8" t="s">
        <v>61</v>
      </c>
      <c r="H56" s="4" t="s">
        <v>193</v>
      </c>
      <c r="I56" s="8" t="s">
        <v>132</v>
      </c>
    </row>
    <row r="57" customFormat="false" ht="17.15" hidden="false" customHeight="false" outlineLevel="0" collapsed="false">
      <c r="A57" s="0" t="s">
        <v>194</v>
      </c>
      <c r="B57" s="4" t="s">
        <v>195</v>
      </c>
      <c r="C57" s="0" t="s">
        <v>48</v>
      </c>
      <c r="D57" s="7" t="n">
        <v>-0.1</v>
      </c>
      <c r="E57" s="7" t="n">
        <v>0</v>
      </c>
      <c r="F57" s="7" t="n">
        <v>0.05</v>
      </c>
      <c r="G57" s="8" t="s">
        <v>61</v>
      </c>
      <c r="H57" s="4" t="s">
        <v>34</v>
      </c>
      <c r="I57" s="8" t="s">
        <v>132</v>
      </c>
    </row>
    <row r="58" customFormat="false" ht="17.15" hidden="false" customHeight="false" outlineLevel="0" collapsed="false">
      <c r="A58" s="0" t="s">
        <v>196</v>
      </c>
      <c r="B58" s="4" t="s">
        <v>197</v>
      </c>
      <c r="C58" s="0" t="s">
        <v>48</v>
      </c>
      <c r="D58" s="7" t="n">
        <v>-0.1</v>
      </c>
      <c r="E58" s="7" t="n">
        <v>0</v>
      </c>
      <c r="F58" s="7" t="n">
        <v>0.05</v>
      </c>
      <c r="G58" s="8" t="s">
        <v>61</v>
      </c>
      <c r="H58" s="4" t="s">
        <v>34</v>
      </c>
      <c r="I58" s="8" t="s">
        <v>132</v>
      </c>
    </row>
    <row r="59" customFormat="false" ht="17.15" hidden="false" customHeight="false" outlineLevel="0" collapsed="false">
      <c r="A59" s="0" t="s">
        <v>198</v>
      </c>
      <c r="B59" s="4" t="s">
        <v>199</v>
      </c>
      <c r="C59" s="0" t="s">
        <v>48</v>
      </c>
      <c r="D59" s="7" t="n">
        <v>0</v>
      </c>
      <c r="E59" s="7" t="n">
        <v>0.1</v>
      </c>
      <c r="F59" s="7" t="n">
        <v>0.25</v>
      </c>
      <c r="G59" s="8" t="s">
        <v>61</v>
      </c>
      <c r="H59" s="4" t="s">
        <v>200</v>
      </c>
      <c r="I59" s="8" t="s">
        <v>132</v>
      </c>
    </row>
    <row r="60" customFormat="false" ht="17.15" hidden="false" customHeight="false" outlineLevel="0" collapsed="false">
      <c r="A60" s="0" t="s">
        <v>201</v>
      </c>
      <c r="B60" s="4" t="s">
        <v>202</v>
      </c>
      <c r="C60" s="0" t="s">
        <v>48</v>
      </c>
      <c r="D60" s="7" t="n">
        <v>-0.05</v>
      </c>
      <c r="E60" s="7" t="n">
        <v>0.06</v>
      </c>
      <c r="F60" s="7" t="n">
        <v>0.2</v>
      </c>
      <c r="G60" s="8" t="s">
        <v>61</v>
      </c>
      <c r="H60" s="4" t="s">
        <v>34</v>
      </c>
      <c r="I60" s="8" t="s">
        <v>132</v>
      </c>
    </row>
    <row r="61" customFormat="false" ht="17.15" hidden="false" customHeight="false" outlineLevel="0" collapsed="false">
      <c r="A61" s="0" t="s">
        <v>203</v>
      </c>
      <c r="B61" s="4" t="s">
        <v>204</v>
      </c>
      <c r="C61" s="0" t="s">
        <v>48</v>
      </c>
      <c r="D61" s="7" t="n">
        <v>-0.05</v>
      </c>
      <c r="E61" s="7" t="n">
        <v>0.05</v>
      </c>
      <c r="F61" s="7" t="n">
        <v>0.15</v>
      </c>
      <c r="G61" s="8" t="s">
        <v>61</v>
      </c>
      <c r="H61" s="4" t="s">
        <v>34</v>
      </c>
      <c r="I61" s="8" t="s">
        <v>132</v>
      </c>
    </row>
    <row r="62" customFormat="false" ht="17.15" hidden="false" customHeight="false" outlineLevel="0" collapsed="false">
      <c r="A62" s="6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208</v>
      </c>
      <c r="D63" s="7" t="n">
        <v>-0.02</v>
      </c>
      <c r="E63" s="7" t="n">
        <v>-0.01</v>
      </c>
      <c r="F63" s="7" t="n">
        <v>0</v>
      </c>
      <c r="G63" s="8" t="s">
        <v>61</v>
      </c>
      <c r="H63" s="4" t="s">
        <v>209</v>
      </c>
      <c r="I63" s="4" t="s">
        <v>210</v>
      </c>
    </row>
    <row r="64" customFormat="false" ht="17.15" hidden="false" customHeight="false" outlineLevel="0" collapsed="false">
      <c r="A64" s="0" t="s">
        <v>211</v>
      </c>
      <c r="B64" s="0" t="s">
        <v>212</v>
      </c>
      <c r="C64" s="0" t="s">
        <v>208</v>
      </c>
      <c r="D64" s="7" t="n">
        <v>0.01</v>
      </c>
      <c r="E64" s="7" t="n">
        <v>0.03</v>
      </c>
      <c r="F64" s="7" t="n">
        <v>0.05</v>
      </c>
      <c r="G64" s="8" t="s">
        <v>61</v>
      </c>
      <c r="H64" s="4" t="s">
        <v>213</v>
      </c>
      <c r="I64" s="4" t="s">
        <v>214</v>
      </c>
    </row>
    <row r="65" customFormat="false" ht="17.15" hidden="false" customHeight="false" outlineLevel="0" collapsed="false">
      <c r="A65" s="0" t="s">
        <v>215</v>
      </c>
      <c r="B65" s="4" t="s">
        <v>216</v>
      </c>
      <c r="C65" s="0" t="s">
        <v>208</v>
      </c>
      <c r="D65" s="7" t="n">
        <v>0</v>
      </c>
      <c r="E65" s="7" t="n">
        <v>0.015</v>
      </c>
      <c r="F65" s="7" t="n">
        <v>0.03</v>
      </c>
      <c r="G65" s="8" t="s">
        <v>61</v>
      </c>
      <c r="H65" s="4" t="s">
        <v>217</v>
      </c>
      <c r="I65" s="4" t="s">
        <v>214</v>
      </c>
    </row>
    <row r="66" customFormat="false" ht="17.15" hidden="false" customHeight="false" outlineLevel="0" collapsed="false">
      <c r="A66" s="0" t="s">
        <v>218</v>
      </c>
      <c r="B66" s="0" t="s">
        <v>219</v>
      </c>
      <c r="C66" s="0" t="s">
        <v>208</v>
      </c>
      <c r="D66" s="7" t="n">
        <v>-0.005</v>
      </c>
      <c r="E66" s="7" t="n">
        <v>-0.002</v>
      </c>
      <c r="F66" s="7" t="n">
        <v>0</v>
      </c>
      <c r="G66" s="8" t="s">
        <v>61</v>
      </c>
      <c r="H66" s="4" t="s">
        <v>220</v>
      </c>
      <c r="I66" s="4" t="s">
        <v>221</v>
      </c>
    </row>
    <row r="67" customFormat="false" ht="17.15" hidden="false" customHeight="false" outlineLevel="0" collapsed="false">
      <c r="A67" s="0" t="s">
        <v>222</v>
      </c>
      <c r="B67" s="4" t="s">
        <v>223</v>
      </c>
      <c r="C67" s="0" t="s">
        <v>48</v>
      </c>
      <c r="D67" s="7" t="n">
        <v>0.075</v>
      </c>
      <c r="E67" s="7" t="n">
        <v>0.085</v>
      </c>
      <c r="F67" s="7" t="n">
        <v>0.095</v>
      </c>
      <c r="G67" s="8" t="s">
        <v>148</v>
      </c>
      <c r="H67" s="4" t="s">
        <v>224</v>
      </c>
      <c r="I67" s="4" t="s">
        <v>225</v>
      </c>
    </row>
    <row r="68" customFormat="false" ht="17.15" hidden="false" customHeight="false" outlineLevel="0" collapsed="false">
      <c r="A68" s="0" t="s">
        <v>226</v>
      </c>
      <c r="B68" s="4" t="s">
        <v>227</v>
      </c>
      <c r="C68" s="0" t="s">
        <v>48</v>
      </c>
      <c r="D68" s="7" t="n">
        <v>0.055</v>
      </c>
      <c r="E68" s="7" t="n">
        <v>0.065</v>
      </c>
      <c r="F68" s="7" t="n">
        <v>0.075</v>
      </c>
      <c r="G68" s="8" t="s">
        <v>61</v>
      </c>
      <c r="H68" s="8" t="s">
        <v>228</v>
      </c>
      <c r="I68" s="4" t="s">
        <v>229</v>
      </c>
    </row>
    <row r="69" customFormat="false" ht="17.15" hidden="false" customHeight="false" outlineLevel="0" collapsed="false">
      <c r="A69" s="0" t="s">
        <v>230</v>
      </c>
      <c r="B69" s="4" t="s">
        <v>231</v>
      </c>
      <c r="C69" s="0" t="s">
        <v>48</v>
      </c>
      <c r="D69" s="7" t="n">
        <v>0.74</v>
      </c>
      <c r="E69" s="7" t="n">
        <v>0.78</v>
      </c>
      <c r="F69" s="7" t="n">
        <v>0.82</v>
      </c>
      <c r="G69" s="8" t="s">
        <v>29</v>
      </c>
      <c r="H69" s="8" t="s">
        <v>232</v>
      </c>
      <c r="I69" s="8" t="s">
        <v>132</v>
      </c>
    </row>
    <row r="70" customFormat="false" ht="17.15" hidden="false" customHeight="false" outlineLevel="0" collapsed="false">
      <c r="A70" s="6" t="s">
        <v>233</v>
      </c>
    </row>
    <row r="71" customFormat="false" ht="17.15" hidden="false" customHeight="false" outlineLevel="0" collapsed="false">
      <c r="A71" s="0" t="s">
        <v>234</v>
      </c>
      <c r="B71" s="0" t="s">
        <v>235</v>
      </c>
      <c r="C71" s="0" t="s">
        <v>147</v>
      </c>
      <c r="E71" s="0" t="n">
        <f aca="false">308.219+460.065+380.806</f>
        <v>1149.09</v>
      </c>
      <c r="G71" s="0" t="s">
        <v>236</v>
      </c>
      <c r="H71" s="0" t="s">
        <v>237</v>
      </c>
      <c r="I71" s="4" t="s">
        <v>238</v>
      </c>
    </row>
    <row r="72" customFormat="false" ht="17.15" hidden="false" customHeight="false" outlineLevel="0" collapsed="false">
      <c r="A72" s="0" t="s">
        <v>239</v>
      </c>
      <c r="B72" s="0" t="s">
        <v>240</v>
      </c>
      <c r="C72" s="0" t="s">
        <v>48</v>
      </c>
      <c r="D72" s="7" t="n">
        <v>-0.08</v>
      </c>
      <c r="E72" s="7" t="n">
        <v>0.05</v>
      </c>
      <c r="F72" s="7" t="n">
        <v>0.15</v>
      </c>
      <c r="G72" s="8" t="s">
        <v>148</v>
      </c>
      <c r="H72" s="8" t="s">
        <v>241</v>
      </c>
      <c r="I72" s="4" t="s">
        <v>242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0" t="s">
        <v>147</v>
      </c>
      <c r="E73" s="0" t="n">
        <f aca="false">989.278-554.66</f>
        <v>434.618</v>
      </c>
      <c r="G73" s="0" t="s">
        <v>236</v>
      </c>
      <c r="H73" s="0" t="s">
        <v>245</v>
      </c>
      <c r="I73" s="4" t="s">
        <v>246</v>
      </c>
    </row>
    <row r="74" customFormat="false" ht="17.15" hidden="false" customHeight="false" outlineLevel="0" collapsed="false">
      <c r="A74" s="0" t="s">
        <v>247</v>
      </c>
      <c r="B74" s="0" t="s">
        <v>248</v>
      </c>
      <c r="C74" s="0" t="s">
        <v>48</v>
      </c>
      <c r="D74" s="7" t="n">
        <v>-0.1</v>
      </c>
      <c r="E74" s="7" t="n">
        <v>0.05</v>
      </c>
      <c r="F74" s="7" t="n">
        <v>0.15</v>
      </c>
      <c r="G74" s="8" t="s">
        <v>61</v>
      </c>
      <c r="H74" s="8" t="s">
        <v>249</v>
      </c>
      <c r="I74" s="8" t="s">
        <v>132</v>
      </c>
    </row>
    <row r="75" customFormat="false" ht="17.15" hidden="false" customHeight="false" outlineLevel="0" collapsed="false">
      <c r="A75" s="0" t="s">
        <v>250</v>
      </c>
      <c r="B75" s="0" t="s">
        <v>251</v>
      </c>
      <c r="C75" s="0" t="s">
        <v>48</v>
      </c>
      <c r="D75" s="7" t="n">
        <v>0.08</v>
      </c>
      <c r="E75" s="7" t="n">
        <v>0.088</v>
      </c>
      <c r="F75" s="7" t="n">
        <v>0.095</v>
      </c>
      <c r="G75" s="8" t="s">
        <v>148</v>
      </c>
      <c r="H75" s="8" t="s">
        <v>252</v>
      </c>
      <c r="I75" s="8" t="s">
        <v>132</v>
      </c>
    </row>
    <row r="76" customFormat="false" ht="17.15" hidden="false" customHeight="false" outlineLevel="0" collapsed="false">
      <c r="A76" s="0" t="s">
        <v>253</v>
      </c>
      <c r="B76" s="0" t="s">
        <v>254</v>
      </c>
      <c r="C76" s="0" t="s">
        <v>48</v>
      </c>
      <c r="D76" s="7" t="n">
        <v>0.06</v>
      </c>
      <c r="E76" s="7" t="n">
        <v>0.068</v>
      </c>
      <c r="F76" s="7" t="n">
        <v>0.075</v>
      </c>
      <c r="G76" s="8" t="s">
        <v>148</v>
      </c>
      <c r="H76" s="8" t="s">
        <v>255</v>
      </c>
      <c r="I76" s="4" t="s">
        <v>256</v>
      </c>
    </row>
    <row r="77" customFormat="false" ht="17.15" hidden="false" customHeight="false" outlineLevel="0" collapsed="false">
      <c r="A77" s="0" t="s">
        <v>257</v>
      </c>
      <c r="B77" s="0" t="s">
        <v>258</v>
      </c>
      <c r="C77" s="0" t="s">
        <v>48</v>
      </c>
      <c r="D77" s="7" t="n">
        <v>0.74</v>
      </c>
      <c r="E77" s="7" t="n">
        <v>0.77</v>
      </c>
      <c r="F77" s="7" t="n">
        <v>0.8</v>
      </c>
      <c r="G77" s="8" t="s">
        <v>29</v>
      </c>
      <c r="H77" s="8" t="s">
        <v>259</v>
      </c>
      <c r="I77" s="8" t="s">
        <v>132</v>
      </c>
    </row>
    <row r="78" customFormat="false" ht="17.15" hidden="false" customHeight="false" outlineLevel="0" collapsed="false">
      <c r="A78" s="0" t="s">
        <v>260</v>
      </c>
      <c r="B78" s="0" t="s">
        <v>261</v>
      </c>
      <c r="C78" s="0" t="s">
        <v>48</v>
      </c>
      <c r="D78" s="7" t="n">
        <v>0.036</v>
      </c>
      <c r="E78" s="7" t="n">
        <v>0.039</v>
      </c>
      <c r="F78" s="7" t="n">
        <v>0.042</v>
      </c>
      <c r="G78" s="8" t="s">
        <v>29</v>
      </c>
      <c r="H78" s="8" t="s">
        <v>262</v>
      </c>
      <c r="I78" s="4" t="s">
        <v>263</v>
      </c>
    </row>
    <row r="79" customFormat="false" ht="17.15" hidden="false" customHeight="false" outlineLevel="0" collapsed="false">
      <c r="A79" s="0" t="s">
        <v>264</v>
      </c>
      <c r="B79" s="0" t="s">
        <v>265</v>
      </c>
      <c r="C79" s="0" t="s">
        <v>48</v>
      </c>
      <c r="D79" s="7" t="n">
        <v>0.016</v>
      </c>
      <c r="E79" s="7" t="n">
        <v>0.0175</v>
      </c>
      <c r="F79" s="7" t="n">
        <v>0.019</v>
      </c>
      <c r="G79" s="8" t="s">
        <v>29</v>
      </c>
      <c r="H79" s="8" t="s">
        <v>266</v>
      </c>
      <c r="I79" s="4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48</v>
      </c>
      <c r="D80" s="7" t="n">
        <v>0.45</v>
      </c>
      <c r="E80" s="7" t="n">
        <v>0.56</v>
      </c>
      <c r="F80" s="7" t="n">
        <v>0.65</v>
      </c>
      <c r="G80" s="8" t="s">
        <v>29</v>
      </c>
      <c r="H80" s="8" t="s">
        <v>270</v>
      </c>
      <c r="I80" s="4" t="s">
        <v>271</v>
      </c>
    </row>
    <row r="81" customFormat="false" ht="17.15" hidden="false" customHeight="false" outlineLevel="0" collapsed="false">
      <c r="A81" s="0" t="s">
        <v>272</v>
      </c>
      <c r="B81" s="4" t="s">
        <v>273</v>
      </c>
      <c r="C81" s="0" t="s">
        <v>48</v>
      </c>
      <c r="D81" s="7" t="n">
        <v>0.35</v>
      </c>
      <c r="E81" s="7" t="n">
        <v>0.3768</v>
      </c>
      <c r="F81" s="7" t="n">
        <v>0.43</v>
      </c>
      <c r="G81" s="8" t="s">
        <v>148</v>
      </c>
      <c r="H81" s="4" t="s">
        <v>274</v>
      </c>
      <c r="I81" s="8" t="s">
        <v>275</v>
      </c>
    </row>
    <row r="82" customFormat="false" ht="17.15" hidden="false" customHeight="false" outlineLevel="0" collapsed="false">
      <c r="A82" s="0" t="s">
        <v>276</v>
      </c>
      <c r="B82" s="4" t="s">
        <v>277</v>
      </c>
      <c r="C82" s="0" t="s">
        <v>48</v>
      </c>
      <c r="D82" s="7" t="n">
        <v>0.3768</v>
      </c>
      <c r="E82" s="7" t="n">
        <v>0.4</v>
      </c>
      <c r="F82" s="7" t="n">
        <v>0.4266</v>
      </c>
      <c r="G82" s="8" t="s">
        <v>61</v>
      </c>
      <c r="H82" s="4" t="s">
        <v>278</v>
      </c>
      <c r="I82" s="4" t="s">
        <v>279</v>
      </c>
    </row>
    <row r="83" customFormat="false" ht="17.15" hidden="false" customHeight="false" outlineLevel="0" collapsed="false">
      <c r="A83" s="0" t="s">
        <v>280</v>
      </c>
      <c r="B83" s="0" t="s">
        <v>281</v>
      </c>
      <c r="C83" s="4" t="s">
        <v>282</v>
      </c>
      <c r="E83" s="0" t="n">
        <f aca="false">3.18+0.25*21/92</f>
        <v>3.2370652173913</v>
      </c>
      <c r="G83" s="0" t="s">
        <v>29</v>
      </c>
      <c r="H83" s="4" t="s">
        <v>283</v>
      </c>
      <c r="I83" s="0" t="s">
        <v>284</v>
      </c>
    </row>
    <row r="84" customFormat="false" ht="17.15" hidden="false" customHeight="false" outlineLevel="0" collapsed="false">
      <c r="A84" s="0" t="s">
        <v>285</v>
      </c>
      <c r="B84" s="0" t="s">
        <v>286</v>
      </c>
      <c r="C84" s="4" t="s">
        <v>282</v>
      </c>
      <c r="E84" s="0" t="n">
        <f aca="false">3.18+0.25</f>
        <v>3.43</v>
      </c>
      <c r="G84" s="0" t="s">
        <v>29</v>
      </c>
      <c r="H84" s="4" t="s">
        <v>34</v>
      </c>
      <c r="I84" s="0" t="s">
        <v>132</v>
      </c>
    </row>
    <row r="85" customFormat="false" ht="17.15" hidden="false" customHeight="false" outlineLevel="0" collapsed="false">
      <c r="A85" s="6" t="s">
        <v>287</v>
      </c>
    </row>
    <row r="86" customFormat="false" ht="17.15" hidden="false" customHeight="false" outlineLevel="0" collapsed="false">
      <c r="A86" s="0" t="s">
        <v>288</v>
      </c>
      <c r="B86" s="4" t="s">
        <v>289</v>
      </c>
      <c r="C86" s="0" t="s">
        <v>60</v>
      </c>
      <c r="D86" s="7" t="n">
        <v>0.15</v>
      </c>
      <c r="E86" s="7" t="n">
        <v>0.3</v>
      </c>
      <c r="F86" s="7" t="n">
        <v>0.6</v>
      </c>
      <c r="G86" s="8" t="s">
        <v>29</v>
      </c>
      <c r="H86" s="8" t="s">
        <v>290</v>
      </c>
      <c r="I86" s="4" t="s">
        <v>291</v>
      </c>
    </row>
    <row r="87" customFormat="false" ht="17.15" hidden="false" customHeight="false" outlineLevel="0" collapsed="false">
      <c r="A87" s="0" t="s">
        <v>292</v>
      </c>
      <c r="B87" s="4" t="s">
        <v>293</v>
      </c>
      <c r="C87" s="0" t="s">
        <v>208</v>
      </c>
      <c r="D87" s="7" t="n">
        <v>-0.002</v>
      </c>
      <c r="E87" s="7" t="n">
        <v>0</v>
      </c>
      <c r="F87" s="7" t="n">
        <v>0.002</v>
      </c>
      <c r="G87" s="8" t="s">
        <v>61</v>
      </c>
      <c r="H87" s="4" t="s">
        <v>294</v>
      </c>
      <c r="I87" s="4" t="s">
        <v>295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48</v>
      </c>
      <c r="D88" s="7" t="n">
        <v>0.45</v>
      </c>
      <c r="E88" s="7" t="n">
        <v>0.56</v>
      </c>
      <c r="F88" s="7" t="n">
        <v>0.65</v>
      </c>
      <c r="G88" s="8" t="s">
        <v>29</v>
      </c>
      <c r="H88" s="4" t="s">
        <v>298</v>
      </c>
      <c r="I88" s="8" t="s">
        <v>132</v>
      </c>
    </row>
    <row r="89" customFormat="false" ht="17.15" hidden="false" customHeight="false" outlineLevel="0" collapsed="false">
      <c r="A89" s="0" t="s">
        <v>299</v>
      </c>
      <c r="B89" s="4" t="s">
        <v>300</v>
      </c>
      <c r="C89" s="0" t="s">
        <v>48</v>
      </c>
      <c r="D89" s="7" t="n">
        <v>0</v>
      </c>
      <c r="E89" s="7" t="n">
        <v>0</v>
      </c>
      <c r="F89" s="7" t="n">
        <v>0.01</v>
      </c>
      <c r="G89" s="8" t="s">
        <v>61</v>
      </c>
      <c r="H89" s="8" t="s">
        <v>301</v>
      </c>
      <c r="I89" s="8" t="s">
        <v>132</v>
      </c>
    </row>
    <row r="90" customFormat="false" ht="17.15" hidden="false" customHeight="false" outlineLevel="0" collapsed="false">
      <c r="A90" s="0" t="s">
        <v>302</v>
      </c>
      <c r="B90" s="0" t="s">
        <v>303</v>
      </c>
      <c r="C90" s="0" t="s">
        <v>60</v>
      </c>
      <c r="D90" s="7" t="n">
        <v>0.8</v>
      </c>
      <c r="E90" s="7" t="n">
        <v>1</v>
      </c>
      <c r="F90" s="7" t="n">
        <v>1.2</v>
      </c>
      <c r="G90" s="8" t="s">
        <v>61</v>
      </c>
      <c r="H90" s="4" t="s">
        <v>304</v>
      </c>
      <c r="I90" s="8" t="s">
        <v>305</v>
      </c>
    </row>
    <row r="91" customFormat="false" ht="17.15" hidden="false" customHeight="false" outlineLevel="0" collapsed="false">
      <c r="A91" s="6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0" t="s">
        <v>147</v>
      </c>
      <c r="D92" s="7" t="n">
        <v>4000</v>
      </c>
      <c r="E92" s="7" t="n">
        <v>4100</v>
      </c>
      <c r="F92" s="7" t="n">
        <v>4200</v>
      </c>
      <c r="G92" s="8" t="s">
        <v>148</v>
      </c>
      <c r="H92" s="8" t="s">
        <v>309</v>
      </c>
      <c r="I92" s="8" t="s">
        <v>132</v>
      </c>
    </row>
    <row r="93" customFormat="false" ht="17.15" hidden="false" customHeight="false" outlineLevel="0" collapsed="false">
      <c r="A93" s="0" t="s">
        <v>310</v>
      </c>
      <c r="B93" s="4" t="s">
        <v>311</v>
      </c>
      <c r="C93" s="0" t="s">
        <v>312</v>
      </c>
      <c r="D93" s="7" t="n">
        <v>16.14</v>
      </c>
      <c r="E93" s="7" t="n">
        <v>17.09</v>
      </c>
      <c r="F93" s="7" t="n">
        <v>18.14</v>
      </c>
      <c r="G93" s="8" t="s">
        <v>148</v>
      </c>
      <c r="H93" s="8" t="s">
        <v>313</v>
      </c>
      <c r="I93" s="4" t="s">
        <v>314</v>
      </c>
    </row>
    <row r="94" customFormat="false" ht="17.15" hidden="false" customHeight="false" outlineLevel="0" collapsed="false">
      <c r="A94" s="0" t="s">
        <v>315</v>
      </c>
      <c r="B94" s="4" t="s">
        <v>316</v>
      </c>
      <c r="C94" s="0" t="s">
        <v>312</v>
      </c>
      <c r="E94" s="7" t="n">
        <v>20</v>
      </c>
      <c r="G94" s="8" t="s">
        <v>148</v>
      </c>
      <c r="H94" s="4" t="s">
        <v>317</v>
      </c>
      <c r="I94" s="4" t="s">
        <v>318</v>
      </c>
    </row>
    <row r="95" customFormat="false" ht="17.15" hidden="false" customHeight="false" outlineLevel="0" collapsed="false">
      <c r="A95" s="0" t="s">
        <v>319</v>
      </c>
      <c r="B95" s="4" t="s">
        <v>320</v>
      </c>
      <c r="C95" s="0" t="s">
        <v>312</v>
      </c>
      <c r="D95" s="7" t="n">
        <v>23.3</v>
      </c>
      <c r="E95" s="7" t="n">
        <v>24.85</v>
      </c>
      <c r="F95" s="7" t="n">
        <v>26.4</v>
      </c>
      <c r="G95" s="8" t="s">
        <v>148</v>
      </c>
      <c r="H95" s="4" t="s">
        <v>321</v>
      </c>
      <c r="I95" s="4" t="s">
        <v>322</v>
      </c>
    </row>
    <row r="96" customFormat="false" ht="17.15" hidden="false" customHeight="false" outlineLevel="0" collapsed="false">
      <c r="A96" s="0" t="s">
        <v>323</v>
      </c>
      <c r="B96" s="4" t="s">
        <v>324</v>
      </c>
      <c r="C96" s="0" t="s">
        <v>312</v>
      </c>
      <c r="E96" s="7" t="n">
        <v>13.96</v>
      </c>
      <c r="G96" s="8" t="s">
        <v>148</v>
      </c>
      <c r="H96" s="4" t="s">
        <v>325</v>
      </c>
      <c r="I96" s="4" t="s">
        <v>326</v>
      </c>
    </row>
    <row r="97" customFormat="false" ht="17.15" hidden="false" customHeight="false" outlineLevel="0" collapsed="false">
      <c r="A97" s="0" t="s">
        <v>327</v>
      </c>
      <c r="B97" s="4" t="s">
        <v>328</v>
      </c>
      <c r="C97" s="0" t="s">
        <v>312</v>
      </c>
      <c r="E97" s="7" t="n">
        <v>18.29</v>
      </c>
      <c r="G97" s="8" t="s">
        <v>148</v>
      </c>
      <c r="H97" s="4" t="s">
        <v>325</v>
      </c>
      <c r="I97" s="8" t="s">
        <v>132</v>
      </c>
    </row>
    <row r="98" customFormat="false" ht="17.15" hidden="false" customHeight="false" outlineLevel="0" collapsed="false">
      <c r="A98" s="0" t="s">
        <v>329</v>
      </c>
      <c r="B98" s="4" t="s">
        <v>330</v>
      </c>
      <c r="C98" s="4" t="s">
        <v>331</v>
      </c>
      <c r="E98" s="7" t="n">
        <v>15</v>
      </c>
      <c r="G98" s="8" t="s">
        <v>148</v>
      </c>
      <c r="H98" s="4" t="s">
        <v>332</v>
      </c>
      <c r="I98" s="8" t="s">
        <v>333</v>
      </c>
    </row>
    <row r="99" customFormat="false" ht="17.15" hidden="false" customHeight="false" outlineLevel="0" collapsed="false">
      <c r="A99" s="0" t="s">
        <v>334</v>
      </c>
      <c r="B99" s="4" t="s">
        <v>335</v>
      </c>
      <c r="C99" s="0" t="s">
        <v>48</v>
      </c>
      <c r="E99" s="0" t="n">
        <f aca="false">2350/(2600+2525+2350)</f>
        <v>0.31438127090301</v>
      </c>
      <c r="G99" s="0" t="s">
        <v>148</v>
      </c>
      <c r="H99" s="4" t="s">
        <v>336</v>
      </c>
      <c r="I99" s="4" t="s">
        <v>337</v>
      </c>
    </row>
    <row r="100" customFormat="false" ht="17.15" hidden="false" customHeight="false" outlineLevel="0" collapsed="false">
      <c r="A100" s="0" t="s">
        <v>338</v>
      </c>
      <c r="B100" s="4" t="s">
        <v>339</v>
      </c>
      <c r="C100" s="0" t="s">
        <v>147</v>
      </c>
      <c r="E100" s="7" t="n">
        <v>1361.998</v>
      </c>
      <c r="G100" s="8" t="s">
        <v>148</v>
      </c>
      <c r="H100" s="4" t="s">
        <v>340</v>
      </c>
      <c r="I100" s="8" t="s">
        <v>132</v>
      </c>
    </row>
    <row r="101" customFormat="false" ht="17.15" hidden="false" customHeight="false" outlineLevel="0" collapsed="false">
      <c r="A101" s="0" t="s">
        <v>341</v>
      </c>
      <c r="B101" s="4" t="s">
        <v>342</v>
      </c>
      <c r="C101" s="0" t="s">
        <v>147</v>
      </c>
      <c r="E101" s="7" t="n">
        <v>2368.079</v>
      </c>
      <c r="G101" s="8" t="s">
        <v>148</v>
      </c>
      <c r="H101" s="4" t="s">
        <v>340</v>
      </c>
      <c r="I101" s="8" t="s">
        <v>132</v>
      </c>
    </row>
    <row r="102" customFormat="false" ht="17.15" hidden="false" customHeight="false" outlineLevel="0" collapsed="false">
      <c r="A102" s="0" t="s">
        <v>343</v>
      </c>
      <c r="B102" s="4" t="s">
        <v>344</v>
      </c>
      <c r="C102" s="0" t="s">
        <v>147</v>
      </c>
      <c r="E102" s="7" t="n">
        <v>105.263</v>
      </c>
      <c r="G102" s="8" t="s">
        <v>148</v>
      </c>
      <c r="H102" s="4" t="s">
        <v>340</v>
      </c>
      <c r="I102" s="8" t="s">
        <v>132</v>
      </c>
    </row>
    <row r="103" customFormat="false" ht="17.15" hidden="false" customHeight="false" outlineLevel="0" collapsed="false">
      <c r="A103" s="6" t="s">
        <v>345</v>
      </c>
    </row>
    <row r="104" customFormat="false" ht="17.15" hidden="false" customHeight="false" outlineLevel="0" collapsed="false">
      <c r="A104" s="0" t="s">
        <v>346</v>
      </c>
      <c r="B104" s="4" t="s">
        <v>347</v>
      </c>
      <c r="C104" s="0" t="s">
        <v>312</v>
      </c>
      <c r="E104" s="7" t="n">
        <v>190</v>
      </c>
      <c r="G104" s="8" t="s">
        <v>148</v>
      </c>
      <c r="H104" s="4" t="s">
        <v>348</v>
      </c>
      <c r="I104" s="4" t="s">
        <v>349</v>
      </c>
    </row>
    <row r="105" customFormat="false" ht="17.15" hidden="false" customHeight="false" outlineLevel="0" collapsed="false">
      <c r="A105" s="0" t="s">
        <v>350</v>
      </c>
      <c r="B105" s="4" t="s">
        <v>351</v>
      </c>
      <c r="C105" s="0" t="s">
        <v>60</v>
      </c>
      <c r="E105" s="7" t="n">
        <v>15.09</v>
      </c>
      <c r="G105" s="8" t="s">
        <v>148</v>
      </c>
      <c r="H105" s="4" t="s">
        <v>352</v>
      </c>
      <c r="I105" s="8" t="s">
        <v>353</v>
      </c>
    </row>
    <row r="106" customFormat="false" ht="17.15" hidden="false" customHeight="false" outlineLevel="0" collapsed="false">
      <c r="A106" s="0" t="s">
        <v>354</v>
      </c>
      <c r="B106" s="4" t="s">
        <v>355</v>
      </c>
      <c r="C106" s="0" t="s">
        <v>60</v>
      </c>
      <c r="E106" s="7" t="n">
        <v>9.93</v>
      </c>
      <c r="G106" s="8" t="s">
        <v>148</v>
      </c>
      <c r="H106" s="8" t="s">
        <v>356</v>
      </c>
      <c r="I106" s="8" t="s">
        <v>132</v>
      </c>
    </row>
    <row r="107" customFormat="false" ht="17.15" hidden="false" customHeight="false" outlineLevel="0" collapsed="false">
      <c r="A107" s="0" t="s">
        <v>357</v>
      </c>
      <c r="B107" s="4" t="s">
        <v>358</v>
      </c>
      <c r="C107" s="0" t="s">
        <v>312</v>
      </c>
      <c r="E107" s="0" t="n">
        <f aca="false">185.5/fpe</f>
        <v>18.6807653575025</v>
      </c>
      <c r="G107" s="0" t="s">
        <v>29</v>
      </c>
      <c r="H107" s="0" t="s">
        <v>359</v>
      </c>
      <c r="I107" s="4" t="s">
        <v>360</v>
      </c>
    </row>
    <row r="108" customFormat="false" ht="17.15" hidden="false" customHeight="false" outlineLevel="0" collapsed="false">
      <c r="A108" s="0" t="s">
        <v>361</v>
      </c>
      <c r="B108" s="4" t="s">
        <v>362</v>
      </c>
      <c r="C108" s="0" t="s">
        <v>312</v>
      </c>
      <c r="D108" s="7" t="n">
        <v>165</v>
      </c>
      <c r="E108" s="7" t="n">
        <v>268.71</v>
      </c>
      <c r="F108" s="7" t="n">
        <v>400</v>
      </c>
      <c r="G108" s="8" t="s">
        <v>148</v>
      </c>
      <c r="H108" s="8" t="s">
        <v>363</v>
      </c>
      <c r="I108" s="4" t="s">
        <v>364</v>
      </c>
    </row>
    <row r="109" customFormat="false" ht="17.15" hidden="false" customHeight="false" outlineLevel="0" collapsed="false">
      <c r="A109" s="0" t="s">
        <v>365</v>
      </c>
      <c r="B109" s="4" t="s">
        <v>366</v>
      </c>
      <c r="C109" s="0" t="s">
        <v>48</v>
      </c>
      <c r="E109" s="0" t="n">
        <f aca="false">AVERAGE(10.468/862.083,11.162/984.619,11.472/867.057,17.446/1049.256,27.408/2186.523)</f>
        <v>0.0131744000852347</v>
      </c>
      <c r="G109" s="0" t="s">
        <v>29</v>
      </c>
      <c r="H109" s="0" t="s">
        <v>367</v>
      </c>
      <c r="I109" s="4" t="s">
        <v>368</v>
      </c>
    </row>
    <row r="110" customFormat="false" ht="17.15" hidden="false" customHeight="false" outlineLevel="0" collapsed="false">
      <c r="A110" s="6" t="s">
        <v>369</v>
      </c>
    </row>
    <row r="111" customFormat="false" ht="17.15" hidden="false" customHeight="false" outlineLevel="0" collapsed="false">
      <c r="A111" s="9" t="s">
        <v>370</v>
      </c>
      <c r="B111" s="10" t="s">
        <v>371</v>
      </c>
      <c r="C111" s="9" t="s">
        <v>48</v>
      </c>
      <c r="D111" s="9"/>
      <c r="E111" s="11" t="n">
        <v>0.3</v>
      </c>
      <c r="F111" s="9"/>
      <c r="G111" s="9" t="s">
        <v>61</v>
      </c>
      <c r="H111" s="9" t="s">
        <v>372</v>
      </c>
      <c r="I111" s="10" t="s">
        <v>373</v>
      </c>
    </row>
    <row r="112" customFormat="false" ht="17.15" hidden="false" customHeight="false" outlineLevel="0" collapsed="false">
      <c r="A112" s="9" t="s">
        <v>374</v>
      </c>
      <c r="B112" s="10" t="s">
        <v>375</v>
      </c>
      <c r="C112" s="9" t="s">
        <v>48</v>
      </c>
      <c r="D112" s="9"/>
      <c r="E112" s="11" t="n">
        <v>0.5</v>
      </c>
      <c r="F112" s="9"/>
      <c r="G112" s="9" t="s">
        <v>61</v>
      </c>
      <c r="H112" s="9" t="s">
        <v>372</v>
      </c>
      <c r="I112" s="10" t="s">
        <v>373</v>
      </c>
    </row>
    <row r="113" customFormat="false" ht="17.15" hidden="false" customHeight="false" outlineLevel="0" collapsed="false">
      <c r="A113" s="9" t="s">
        <v>376</v>
      </c>
      <c r="B113" s="10" t="s">
        <v>377</v>
      </c>
      <c r="C113" s="9" t="s">
        <v>48</v>
      </c>
      <c r="D113" s="9"/>
      <c r="E113" s="11" t="n">
        <v>0.2</v>
      </c>
      <c r="F113" s="9"/>
      <c r="G113" s="9" t="s">
        <v>61</v>
      </c>
      <c r="H113" s="9" t="s">
        <v>372</v>
      </c>
      <c r="I113" s="10" t="s">
        <v>373</v>
      </c>
    </row>
    <row r="114" customFormat="false" ht="17.15" hidden="false" customHeight="false" outlineLevel="0" collapsed="false">
      <c r="A114" s="9" t="s">
        <v>378</v>
      </c>
      <c r="B114" s="10" t="s">
        <v>379</v>
      </c>
      <c r="C114" s="9" t="s">
        <v>48</v>
      </c>
      <c r="D114" s="9"/>
      <c r="E114" s="11" t="n">
        <v>0.1</v>
      </c>
      <c r="F114" s="9"/>
      <c r="G114" s="9" t="s">
        <v>61</v>
      </c>
      <c r="H114" s="9" t="s">
        <v>380</v>
      </c>
      <c r="I114" s="9" t="s">
        <v>381</v>
      </c>
    </row>
    <row r="115" customFormat="false" ht="17.15" hidden="false" customHeight="false" outlineLevel="0" collapsed="false">
      <c r="A115" s="9" t="s">
        <v>382</v>
      </c>
      <c r="B115" s="10" t="s">
        <v>383</v>
      </c>
      <c r="C115" s="9" t="s">
        <v>48</v>
      </c>
      <c r="D115" s="9"/>
      <c r="E115" s="11" t="n">
        <v>0.04</v>
      </c>
      <c r="F115" s="9"/>
      <c r="G115" s="9" t="s">
        <v>61</v>
      </c>
      <c r="H115" s="9" t="s">
        <v>384</v>
      </c>
      <c r="I115" s="9" t="s">
        <v>385</v>
      </c>
    </row>
    <row r="116" customFormat="false" ht="17.15" hidden="false" customHeight="false" outlineLevel="0" collapsed="false">
      <c r="A116" s="9" t="s">
        <v>386</v>
      </c>
      <c r="B116" s="9" t="s">
        <v>387</v>
      </c>
      <c r="C116" s="9" t="s">
        <v>48</v>
      </c>
      <c r="D116" s="9"/>
      <c r="E116" s="9" t="n">
        <f aca="false">AVERAGE(0.1477,0.1942,0.2626)</f>
        <v>0.2015</v>
      </c>
      <c r="F116" s="9"/>
      <c r="G116" s="9" t="s">
        <v>29</v>
      </c>
      <c r="H116" s="9" t="s">
        <v>388</v>
      </c>
      <c r="I116" s="9" t="s">
        <v>389</v>
      </c>
    </row>
    <row r="117" customFormat="false" ht="17.15" hidden="false" customHeight="false" outlineLevel="0" collapsed="false">
      <c r="A117" s="9" t="s">
        <v>390</v>
      </c>
      <c r="B117" s="10" t="s">
        <v>391</v>
      </c>
      <c r="C117" s="9" t="s">
        <v>48</v>
      </c>
      <c r="D117" s="9"/>
      <c r="E117" s="11" t="n">
        <v>0.5</v>
      </c>
      <c r="F117" s="9"/>
      <c r="G117" s="9" t="s">
        <v>61</v>
      </c>
      <c r="H117" s="9" t="s">
        <v>392</v>
      </c>
      <c r="I117" s="9" t="s">
        <v>132</v>
      </c>
    </row>
    <row r="118" customFormat="false" ht="17.15" hidden="false" customHeight="false" outlineLevel="0" collapsed="false">
      <c r="A118" s="9" t="s">
        <v>393</v>
      </c>
      <c r="B118" s="10" t="s">
        <v>394</v>
      </c>
      <c r="C118" s="9" t="s">
        <v>48</v>
      </c>
      <c r="D118" s="9"/>
      <c r="E118" s="9" t="n">
        <f aca="false">tp_g+0.02</f>
        <v>0.06</v>
      </c>
      <c r="F118" s="9"/>
      <c r="G118" s="9" t="s">
        <v>61</v>
      </c>
      <c r="H118" s="10" t="s">
        <v>395</v>
      </c>
      <c r="I118" s="9" t="s">
        <v>396</v>
      </c>
    </row>
    <row r="119" customFormat="false" ht="17.15" hidden="false" customHeight="false" outlineLevel="0" collapsed="false">
      <c r="A119" s="9" t="s">
        <v>397</v>
      </c>
      <c r="B119" s="10" t="s">
        <v>398</v>
      </c>
      <c r="C119" s="9" t="s">
        <v>48</v>
      </c>
      <c r="D119" s="9"/>
      <c r="E119" s="9" t="n">
        <f aca="false">tp_g</f>
        <v>0.04</v>
      </c>
      <c r="F119" s="9"/>
      <c r="G119" s="9" t="s">
        <v>61</v>
      </c>
      <c r="H119" s="10" t="s">
        <v>34</v>
      </c>
      <c r="I119" s="9" t="s">
        <v>132</v>
      </c>
    </row>
    <row r="120" customFormat="false" ht="17.15" hidden="false" customHeight="false" outlineLevel="0" collapsed="false">
      <c r="A120" s="9" t="s">
        <v>399</v>
      </c>
      <c r="B120" s="10" t="s">
        <v>400</v>
      </c>
      <c r="C120" s="9" t="s">
        <v>48</v>
      </c>
      <c r="D120" s="9"/>
      <c r="E120" s="9" t="n">
        <f aca="false">tp_g-0.02</f>
        <v>0.02</v>
      </c>
      <c r="F120" s="9"/>
      <c r="G120" s="9" t="s">
        <v>61</v>
      </c>
      <c r="H120" s="10" t="s">
        <v>34</v>
      </c>
      <c r="I120" s="9" t="s">
        <v>132</v>
      </c>
    </row>
    <row r="121" customFormat="false" ht="17.15" hidden="false" customHeight="false" outlineLevel="0" collapsed="false">
      <c r="A121" s="9" t="s">
        <v>401</v>
      </c>
      <c r="B121" s="10" t="s">
        <v>402</v>
      </c>
      <c r="C121" s="9" t="s">
        <v>48</v>
      </c>
      <c r="D121" s="9"/>
      <c r="E121" s="12" t="n">
        <f aca="false">PL!G14</f>
        <v>0.0179310156618042</v>
      </c>
      <c r="F121" s="9"/>
      <c r="G121" s="9" t="s">
        <v>29</v>
      </c>
      <c r="H121" s="9" t="s">
        <v>403</v>
      </c>
      <c r="I121" s="9" t="s">
        <v>132</v>
      </c>
    </row>
    <row r="122" customFormat="false" ht="17.15" hidden="false" customHeight="false" outlineLevel="0" collapsed="false">
      <c r="A122" s="9" t="s">
        <v>404</v>
      </c>
      <c r="B122" s="10" t="s">
        <v>405</v>
      </c>
      <c r="C122" s="9" t="s">
        <v>48</v>
      </c>
      <c r="D122" s="9"/>
      <c r="E122" s="13" t="n">
        <f aca="false">PL!G28*0.9</f>
        <v>0.0156519209592294</v>
      </c>
      <c r="F122" s="9"/>
      <c r="G122" s="9" t="s">
        <v>61</v>
      </c>
      <c r="H122" s="10" t="s">
        <v>406</v>
      </c>
      <c r="I122" s="10" t="s">
        <v>407</v>
      </c>
    </row>
    <row r="123" customFormat="false" ht="17.15" hidden="false" customHeight="false" outlineLevel="0" collapsed="false">
      <c r="A123" s="9" t="s">
        <v>408</v>
      </c>
      <c r="B123" s="10" t="s">
        <v>409</v>
      </c>
      <c r="C123" s="9" t="s">
        <v>48</v>
      </c>
      <c r="D123" s="9"/>
      <c r="E123" s="13" t="n">
        <f aca="false">PL!G42*0.8</f>
        <v>0.0129224011412806</v>
      </c>
      <c r="F123" s="9"/>
      <c r="G123" s="9" t="s">
        <v>61</v>
      </c>
      <c r="H123" s="10" t="s">
        <v>410</v>
      </c>
      <c r="I123" s="9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412</v>
      </c>
    </row>
    <row r="2" customFormat="false" ht="17.15" hidden="false" customHeight="false" outlineLevel="0" collapsed="false">
      <c r="A2" s="0" t="s">
        <v>413</v>
      </c>
    </row>
    <row r="3" customFormat="false" ht="17.15" hidden="false" customHeight="false" outlineLevel="0" collapsed="false">
      <c r="A3" s="5" t="s">
        <v>17</v>
      </c>
      <c r="B3" s="14" t="s">
        <v>414</v>
      </c>
      <c r="C3" s="14" t="s">
        <v>415</v>
      </c>
      <c r="D3" s="14" t="s">
        <v>416</v>
      </c>
      <c r="E3" s="14" t="s">
        <v>417</v>
      </c>
      <c r="F3" s="14" t="s">
        <v>418</v>
      </c>
      <c r="G3" s="5" t="s">
        <v>22</v>
      </c>
      <c r="H3" s="5" t="s">
        <v>419</v>
      </c>
      <c r="I3" s="5" t="s">
        <v>24</v>
      </c>
    </row>
    <row r="4" customFormat="false" ht="17.15" hidden="false" customHeight="false" outlineLevel="0" collapsed="false">
      <c r="A4" s="4" t="s">
        <v>420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421</v>
      </c>
      <c r="H4" s="8" t="s">
        <v>422</v>
      </c>
      <c r="I4" s="8" t="s">
        <v>423</v>
      </c>
    </row>
    <row r="5" customFormat="false" ht="17.15" hidden="false" customHeight="false" outlineLevel="0" collapsed="false">
      <c r="A5" s="4" t="s">
        <v>424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425</v>
      </c>
      <c r="H5" s="8" t="s">
        <v>422</v>
      </c>
      <c r="I5" s="8" t="s">
        <v>426</v>
      </c>
    </row>
    <row r="6" customFormat="false" ht="15" hidden="false" customHeight="false" outlineLevel="0" collapsed="false">
      <c r="A6" s="4" t="s">
        <v>427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29</v>
      </c>
      <c r="H6" s="8" t="s">
        <v>132</v>
      </c>
      <c r="I6" s="8" t="s">
        <v>132</v>
      </c>
    </row>
    <row r="7" customFormat="false" ht="17.15" hidden="false" customHeight="false" outlineLevel="0" collapsed="false">
      <c r="A7" s="4" t="s">
        <v>428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429</v>
      </c>
      <c r="H7" s="8" t="s">
        <v>422</v>
      </c>
      <c r="I7" s="8" t="s">
        <v>430</v>
      </c>
    </row>
    <row r="8" customFormat="false" ht="15" hidden="false" customHeight="false" outlineLevel="0" collapsed="false">
      <c r="A8" s="4" t="s">
        <v>431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29</v>
      </c>
      <c r="H8" s="8" t="s">
        <v>132</v>
      </c>
      <c r="I8" s="8" t="s">
        <v>132</v>
      </c>
    </row>
    <row r="9" customFormat="false" ht="15" hidden="false" customHeight="false" outlineLevel="0" collapsed="false">
      <c r="A9" s="4" t="s">
        <v>432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29</v>
      </c>
      <c r="H9" s="4" t="s">
        <v>433</v>
      </c>
      <c r="I9" s="8" t="s">
        <v>132</v>
      </c>
    </row>
    <row r="10" customFormat="false" ht="17.15" hidden="false" customHeight="false" outlineLevel="0" collapsed="false">
      <c r="A10" s="4" t="s">
        <v>434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435</v>
      </c>
      <c r="H10" s="4" t="s">
        <v>436</v>
      </c>
      <c r="I10" s="8" t="s">
        <v>437</v>
      </c>
    </row>
    <row r="11" customFormat="false" ht="17.15" hidden="false" customHeight="false" outlineLevel="0" collapsed="false">
      <c r="A11" s="4" t="s">
        <v>438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429</v>
      </c>
      <c r="H11" s="4" t="s">
        <v>436</v>
      </c>
      <c r="I11" s="8" t="s">
        <v>439</v>
      </c>
    </row>
    <row r="12" customFormat="false" ht="17.15" hidden="false" customHeight="false" outlineLevel="0" collapsed="false">
      <c r="A12" s="4" t="s">
        <v>440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429</v>
      </c>
      <c r="H12" s="4" t="s">
        <v>436</v>
      </c>
      <c r="I12" s="8" t="s">
        <v>441</v>
      </c>
    </row>
    <row r="13" customFormat="false" ht="17.15" hidden="false" customHeight="false" outlineLevel="0" collapsed="false">
      <c r="A13" s="4" t="s">
        <v>442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29</v>
      </c>
      <c r="H13" s="8" t="s">
        <v>132</v>
      </c>
      <c r="I13" s="4" t="s">
        <v>443</v>
      </c>
    </row>
    <row r="14" customFormat="false" ht="15" hidden="false" customHeight="false" outlineLevel="0" collapsed="false">
      <c r="A14" s="4" t="s">
        <v>444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29</v>
      </c>
      <c r="H14" s="8" t="s">
        <v>132</v>
      </c>
      <c r="I14" s="8" t="s">
        <v>132</v>
      </c>
    </row>
    <row r="15" customFormat="false" ht="17.15" hidden="false" customHeight="false" outlineLevel="0" collapsed="false">
      <c r="A15" s="4" t="s">
        <v>445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29</v>
      </c>
      <c r="H15" s="8" t="s">
        <v>132</v>
      </c>
      <c r="I15" s="4" t="s">
        <v>446</v>
      </c>
    </row>
    <row r="16" customFormat="false" ht="15" hidden="false" customHeight="false" outlineLevel="0" collapsed="false">
      <c r="A16" s="4" t="s">
        <v>447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29</v>
      </c>
      <c r="H16" s="8" t="s">
        <v>132</v>
      </c>
      <c r="I16" s="8" t="s">
        <v>132</v>
      </c>
    </row>
    <row r="17" customFormat="false" ht="17.15" hidden="false" customHeight="false" outlineLevel="0" collapsed="false">
      <c r="A17" s="4" t="s">
        <v>448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429</v>
      </c>
      <c r="H17" s="4" t="s">
        <v>436</v>
      </c>
      <c r="I17" s="8" t="s">
        <v>449</v>
      </c>
    </row>
    <row r="18" customFormat="false" ht="17.15" hidden="false" customHeight="false" outlineLevel="0" collapsed="false">
      <c r="A18" s="4" t="s">
        <v>450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451</v>
      </c>
      <c r="H18" s="4" t="s">
        <v>452</v>
      </c>
      <c r="I18" s="8" t="s">
        <v>453</v>
      </c>
    </row>
    <row r="19" customFormat="false" ht="17.15" hidden="false" customHeight="false" outlineLevel="0" collapsed="false">
      <c r="A19" s="4" t="s">
        <v>454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29</v>
      </c>
      <c r="H19" s="4" t="s">
        <v>455</v>
      </c>
      <c r="I19" s="4" t="s">
        <v>456</v>
      </c>
    </row>
    <row r="20" customFormat="false" ht="17.15" hidden="false" customHeight="false" outlineLevel="0" collapsed="false">
      <c r="A20" s="4" t="s">
        <v>457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458</v>
      </c>
      <c r="H20" s="8" t="s">
        <v>422</v>
      </c>
      <c r="I20" s="8" t="s">
        <v>459</v>
      </c>
    </row>
    <row r="21" customFormat="false" ht="17.15" hidden="false" customHeight="false" outlineLevel="0" collapsed="false">
      <c r="A21" s="4" t="s">
        <v>460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29</v>
      </c>
      <c r="H21" s="8" t="s">
        <v>132</v>
      </c>
      <c r="I21" s="8" t="s">
        <v>132</v>
      </c>
    </row>
    <row r="22" customFormat="false" ht="15" hidden="false" customHeight="false" outlineLevel="0" collapsed="false">
      <c r="A22" s="4" t="s">
        <v>461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29</v>
      </c>
      <c r="H22" s="8" t="s">
        <v>132</v>
      </c>
      <c r="I22" s="8" t="s">
        <v>132</v>
      </c>
    </row>
    <row r="23" customFormat="false" ht="17.15" hidden="false" customHeight="false" outlineLevel="0" collapsed="false">
      <c r="A23" s="4" t="s">
        <v>462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29</v>
      </c>
      <c r="H23" s="8" t="s">
        <v>422</v>
      </c>
      <c r="I23" s="4" t="s">
        <v>463</v>
      </c>
    </row>
    <row r="24" customFormat="false" ht="17.15" hidden="false" customHeight="false" outlineLevel="0" collapsed="false">
      <c r="A24" s="0" t="s">
        <v>464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29</v>
      </c>
      <c r="H24" s="4" t="s">
        <v>465</v>
      </c>
      <c r="I24" s="8" t="s">
        <v>132</v>
      </c>
    </row>
    <row r="25" customFormat="false" ht="17.15" hidden="false" customHeight="false" outlineLevel="0" collapsed="false">
      <c r="A25" s="4" t="s">
        <v>466</v>
      </c>
      <c r="B25" s="19" t="n">
        <v>9.04</v>
      </c>
      <c r="C25" s="19" t="n">
        <v>7.78</v>
      </c>
      <c r="G25" s="8" t="s">
        <v>236</v>
      </c>
      <c r="H25" s="8" t="s">
        <v>422</v>
      </c>
      <c r="I25" s="8" t="s">
        <v>467</v>
      </c>
    </row>
    <row r="26" customFormat="false" ht="17.15" hidden="false" customHeight="false" outlineLevel="0" collapsed="false">
      <c r="A26" s="6" t="s">
        <v>468</v>
      </c>
    </row>
    <row r="27" customFormat="false" ht="17.15" hidden="false" customHeight="false" outlineLevel="0" collapsed="false">
      <c r="A27" s="4" t="s">
        <v>469</v>
      </c>
      <c r="F27" s="16" t="n">
        <f aca="false">brd_26</f>
        <v>110</v>
      </c>
      <c r="G27" s="8" t="s">
        <v>148</v>
      </c>
      <c r="H27" s="4" t="s">
        <v>470</v>
      </c>
      <c r="I27" s="8" t="s">
        <v>132</v>
      </c>
    </row>
    <row r="28" customFormat="false" ht="15" hidden="false" customHeight="false" outlineLevel="0" collapsed="false">
      <c r="A28" s="4" t="s">
        <v>471</v>
      </c>
      <c r="F28" s="16" t="n">
        <f aca="false">gen_26</f>
        <v>150</v>
      </c>
      <c r="G28" s="8" t="s">
        <v>61</v>
      </c>
      <c r="H28" s="8" t="s">
        <v>132</v>
      </c>
      <c r="I28" s="8" t="s">
        <v>132</v>
      </c>
    </row>
    <row r="29" customFormat="false" ht="17.15" hidden="false" customHeight="false" outlineLevel="0" collapsed="false">
      <c r="A29" s="4" t="s">
        <v>472</v>
      </c>
      <c r="F29" s="16" t="n">
        <f aca="false">F4*nsv_26</f>
        <v>614.602793131557</v>
      </c>
      <c r="G29" s="8" t="s">
        <v>148</v>
      </c>
      <c r="H29" s="4" t="s">
        <v>473</v>
      </c>
      <c r="I29" s="8" t="s">
        <v>132</v>
      </c>
    </row>
    <row r="30" customFormat="false" ht="17.15" hidden="false" customHeight="false" outlineLevel="0" collapsed="false">
      <c r="A30" s="4" t="s">
        <v>474</v>
      </c>
      <c r="F30" s="16" t="n">
        <f aca="false">F13-F27-F28-F29</f>
        <v>1777.12226107882</v>
      </c>
      <c r="G30" s="8" t="s">
        <v>29</v>
      </c>
      <c r="H30" s="4" t="s">
        <v>475</v>
      </c>
      <c r="I30" s="4" t="s">
        <v>476</v>
      </c>
    </row>
    <row r="31" customFormat="false" ht="17.15" hidden="false" customHeight="false" outlineLevel="0" collapsed="false">
      <c r="A31" s="4" t="s">
        <v>477</v>
      </c>
      <c r="F31" s="16" t="n">
        <f aca="false">F10*wai_26</f>
        <v>795.094795</v>
      </c>
      <c r="G31" s="8" t="s">
        <v>148</v>
      </c>
      <c r="H31" s="4" t="s">
        <v>478</v>
      </c>
      <c r="I31" s="8" t="s">
        <v>132</v>
      </c>
    </row>
    <row r="32" customFormat="false" ht="17.15" hidden="false" customHeight="false" outlineLevel="0" collapsed="false">
      <c r="A32" s="4" t="s">
        <v>479</v>
      </c>
      <c r="F32" s="16" t="n">
        <f aca="false">F10-F31</f>
        <v>650.532105</v>
      </c>
      <c r="G32" s="8" t="s">
        <v>29</v>
      </c>
      <c r="H32" s="8" t="s">
        <v>132</v>
      </c>
      <c r="I32" s="8" t="s">
        <v>132</v>
      </c>
    </row>
    <row r="34" customFormat="false" ht="17.15" hidden="false" customHeight="false" outlineLevel="0" collapsed="false">
      <c r="A34" s="6" t="s">
        <v>480</v>
      </c>
    </row>
    <row r="35" customFormat="false" ht="17.15" hidden="false" customHeight="false" outlineLevel="0" collapsed="false">
      <c r="A35" s="0" t="s">
        <v>481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482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483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484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485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486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487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488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489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490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491</v>
      </c>
    </row>
    <row r="3" customFormat="false" ht="15" hidden="false" customHeight="false" outlineLevel="0" collapsed="false">
      <c r="A3" s="5" t="s">
        <v>17</v>
      </c>
      <c r="B3" s="5" t="s">
        <v>18</v>
      </c>
      <c r="C3" s="14" t="s">
        <v>492</v>
      </c>
      <c r="D3" s="14" t="s">
        <v>493</v>
      </c>
      <c r="E3" s="14" t="s">
        <v>494</v>
      </c>
      <c r="F3" s="14" t="s">
        <v>495</v>
      </c>
      <c r="G3" s="5" t="s">
        <v>496</v>
      </c>
    </row>
    <row r="4" customFormat="false" ht="17.15" hidden="false" customHeight="false" outlineLevel="0" collapsed="false">
      <c r="A4" s="4" t="s">
        <v>497</v>
      </c>
      <c r="B4" s="0" t="s">
        <v>498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499</v>
      </c>
    </row>
    <row r="5" customFormat="false" ht="17.15" hidden="false" customHeight="false" outlineLevel="0" collapsed="false">
      <c r="A5" s="0" t="s">
        <v>500</v>
      </c>
      <c r="B5" s="0" t="s">
        <v>28</v>
      </c>
      <c r="C5" s="21" t="n">
        <f aca="false">PL!D67</f>
        <v>634.616531285011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501</v>
      </c>
    </row>
    <row r="6" customFormat="false" ht="17.15" hidden="false" customHeight="false" outlineLevel="0" collapsed="false">
      <c r="A6" s="4" t="s">
        <v>502</v>
      </c>
      <c r="B6" s="0" t="s">
        <v>48</v>
      </c>
      <c r="C6" s="20" t="n">
        <f aca="false">PL!D72</f>
        <v>0.0875096501918446</v>
      </c>
      <c r="D6" s="20" t="n">
        <f aca="false">PL!E72</f>
        <v>0.0875096501918446</v>
      </c>
      <c r="E6" s="20" t="n">
        <f aca="false">PL!F72</f>
        <v>0.0831341676822524</v>
      </c>
      <c r="F6" s="20" t="n">
        <f aca="false">PL!G72</f>
        <v>0.0787586851726601</v>
      </c>
      <c r="G6" s="8" t="s">
        <v>503</v>
      </c>
    </row>
    <row r="7" customFormat="false" ht="17.15" hidden="false" customHeight="false" outlineLevel="0" collapsed="false">
      <c r="A7" s="4" t="s">
        <v>504</v>
      </c>
      <c r="B7" s="0" t="s">
        <v>48</v>
      </c>
      <c r="C7" s="20" t="n">
        <f aca="false">PL!D86</f>
        <v>0.0391523244650416</v>
      </c>
      <c r="D7" s="20" t="n">
        <f aca="false">PL!E86</f>
        <v>0.0391523244650416</v>
      </c>
      <c r="E7" s="20" t="n">
        <f aca="false">PL!F86</f>
        <v>0.0391523244650416</v>
      </c>
      <c r="F7" s="20" t="n">
        <f aca="false">PL!G86</f>
        <v>0.0371947082417896</v>
      </c>
      <c r="G7" s="4" t="s">
        <v>505</v>
      </c>
    </row>
    <row r="8" customFormat="false" ht="17.15" hidden="false" customHeight="false" outlineLevel="0" collapsed="false">
      <c r="A8" s="4" t="s">
        <v>506</v>
      </c>
      <c r="B8" s="0" t="s">
        <v>48</v>
      </c>
      <c r="C8" s="20" t="n">
        <f aca="false">C6+C7</f>
        <v>0.126661974656886</v>
      </c>
      <c r="D8" s="20" t="n">
        <f aca="false">D6+D7</f>
        <v>0.126661974656886</v>
      </c>
      <c r="E8" s="20" t="n">
        <f aca="false">E6+E7</f>
        <v>0.122286492147294</v>
      </c>
      <c r="F8" s="20" t="n">
        <f aca="false">F6+F7</f>
        <v>0.11595339341445</v>
      </c>
    </row>
    <row r="9" customFormat="false" ht="17.15" hidden="false" customHeight="false" outlineLevel="0" collapsed="false">
      <c r="A9" s="4" t="s">
        <v>507</v>
      </c>
      <c r="B9" s="0" t="s">
        <v>48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0.120506511578177</v>
      </c>
      <c r="G9" s="4" t="s">
        <v>508</v>
      </c>
    </row>
    <row r="10" customFormat="false" ht="17.15" hidden="false" customHeight="false" outlineLevel="0" collapsed="false">
      <c r="A10" s="4" t="s">
        <v>509</v>
      </c>
      <c r="B10" s="0" t="s">
        <v>48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510</v>
      </c>
    </row>
    <row r="11" customFormat="false" ht="17.15" hidden="false" customHeight="false" outlineLevel="0" collapsed="false">
      <c r="A11" s="4" t="s">
        <v>511</v>
      </c>
      <c r="B11" s="0" t="s">
        <v>48</v>
      </c>
      <c r="C11" s="20" t="n">
        <f aca="false">C8+C9+C10</f>
        <v>0.435168156202561</v>
      </c>
      <c r="D11" s="20" t="n">
        <f aca="false">D8+D9+D10</f>
        <v>0.435168156202561</v>
      </c>
      <c r="E11" s="20" t="n">
        <f aca="false">E8+E9+E10</f>
        <v>0.424097867494181</v>
      </c>
      <c r="F11" s="20" t="n">
        <f aca="false">F8+F9+F10</f>
        <v>0.402339459684053</v>
      </c>
      <c r="G11" s="4" t="s">
        <v>512</v>
      </c>
    </row>
    <row r="12" customFormat="false" ht="17.15" hidden="false" customHeight="false" outlineLevel="0" collapsed="false">
      <c r="A12" s="4" t="s">
        <v>513</v>
      </c>
      <c r="B12" s="0" t="s">
        <v>28</v>
      </c>
      <c r="C12" s="21" t="n">
        <f aca="false">PL!D75/fx</f>
        <v>55.5350706587131</v>
      </c>
      <c r="D12" s="21" t="n">
        <f aca="false">PL!E75/fx</f>
        <v>89.7124976160423</v>
      </c>
      <c r="E12" s="21" t="n">
        <f aca="false">PL!F75/fx</f>
        <v>96.0311217194401</v>
      </c>
      <c r="F12" s="21" t="n">
        <f aca="false">PL!G75/fx</f>
        <v>97.1597042545426</v>
      </c>
      <c r="G12" s="4" t="s">
        <v>514</v>
      </c>
    </row>
    <row r="13" customFormat="false" ht="17.15" hidden="false" customHeight="false" outlineLevel="0" collapsed="false">
      <c r="A13" s="4" t="s">
        <v>515</v>
      </c>
      <c r="B13" s="4" t="s">
        <v>331</v>
      </c>
      <c r="C13" s="21" t="n">
        <f aca="false">PL!D94</f>
        <v>12.0597330420658</v>
      </c>
      <c r="D13" s="21" t="n">
        <f aca="false">PL!E94</f>
        <v>14.7674893195131</v>
      </c>
      <c r="E13" s="21" t="n">
        <f aca="false">PL!F94</f>
        <v>17.7835410591556</v>
      </c>
      <c r="F13" s="21" t="n">
        <f aca="false">PL!G94</f>
        <v>19.1920403465763</v>
      </c>
      <c r="G13" s="4" t="s">
        <v>516</v>
      </c>
    </row>
    <row r="14" customFormat="false" ht="17.15" hidden="false" customHeight="false" outlineLevel="0" collapsed="false">
      <c r="A14" s="0" t="s">
        <v>517</v>
      </c>
      <c r="B14" s="4" t="s">
        <v>81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518</v>
      </c>
    </row>
    <row r="15" customFormat="false" ht="17.15" hidden="false" customHeight="false" outlineLevel="0" collapsed="false">
      <c r="A15" s="4" t="s">
        <v>519</v>
      </c>
      <c r="B15" s="0" t="s">
        <v>520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521</v>
      </c>
    </row>
    <row r="16" customFormat="false" ht="17.15" hidden="false" customHeight="false" outlineLevel="0" collapsed="false">
      <c r="A16" s="0" t="s">
        <v>522</v>
      </c>
      <c r="B16" s="0" t="s">
        <v>28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523</v>
      </c>
    </row>
    <row r="17" customFormat="false" ht="17.15" hidden="false" customHeight="false" outlineLevel="0" collapsed="false">
      <c r="A17" s="4" t="s">
        <v>524</v>
      </c>
      <c r="B17" s="0" t="s">
        <v>28</v>
      </c>
      <c r="C17" s="21" t="n">
        <f aca="false">PL!D87/fx</f>
        <v>24.84671234375</v>
      </c>
      <c r="D17" s="21" t="n">
        <f aca="false">PL!E87/fx</f>
        <v>44.5976568493027</v>
      </c>
      <c r="E17" s="21" t="n">
        <f aca="false">PL!F87/fx</f>
        <v>56.5327370972177</v>
      </c>
      <c r="F17" s="21" t="n">
        <f aca="false">PL!G87/fx</f>
        <v>61.1797390079802</v>
      </c>
    </row>
    <row r="19" customFormat="false" ht="17.15" hidden="false" customHeight="false" outlineLevel="0" collapsed="false">
      <c r="A19" s="1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4" t="s">
        <v>527</v>
      </c>
    </row>
    <row r="3" customFormat="false" ht="17.15" hidden="false" customHeight="false" outlineLevel="0" collapsed="false">
      <c r="A3" s="5" t="s">
        <v>528</v>
      </c>
      <c r="B3" s="5" t="s">
        <v>18</v>
      </c>
      <c r="C3" s="14" t="s">
        <v>414</v>
      </c>
      <c r="D3" s="14" t="s">
        <v>529</v>
      </c>
      <c r="E3" s="14" t="s">
        <v>530</v>
      </c>
      <c r="F3" s="14" t="s">
        <v>531</v>
      </c>
      <c r="G3" s="14" t="s">
        <v>532</v>
      </c>
      <c r="H3" s="14" t="s">
        <v>533</v>
      </c>
      <c r="I3" s="14" t="s">
        <v>534</v>
      </c>
      <c r="J3" s="14" t="s">
        <v>535</v>
      </c>
      <c r="K3" s="5" t="s">
        <v>496</v>
      </c>
    </row>
    <row r="4" customFormat="false" ht="17.15" hidden="false" customHeight="false" outlineLevel="0" collapsed="false">
      <c r="A4" s="1" t="s">
        <v>536</v>
      </c>
    </row>
    <row r="5" customFormat="false" ht="15" hidden="false" customHeight="false" outlineLevel="0" collapsed="false">
      <c r="A5" s="4" t="s">
        <v>420</v>
      </c>
      <c r="B5" s="0" t="s">
        <v>147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5959.35161443524</v>
      </c>
      <c r="F5" s="21" t="n">
        <f aca="false">F90</f>
        <v>6607.43521272701</v>
      </c>
      <c r="G5" s="21" t="n">
        <f aca="false">G90</f>
        <v>6856.84867923116</v>
      </c>
      <c r="H5" s="26" t="n">
        <f aca="false">H90</f>
        <v>7166.53776956726</v>
      </c>
      <c r="I5" s="26" t="n">
        <f aca="false">I90</f>
        <v>7543.37199085936</v>
      </c>
      <c r="J5" s="26" t="n">
        <f aca="false">J90</f>
        <v>7995.97431031092</v>
      </c>
    </row>
    <row r="6" customFormat="false" ht="15" hidden="false" customHeight="false" outlineLevel="0" collapsed="false">
      <c r="A6" s="4" t="s">
        <v>537</v>
      </c>
      <c r="B6" s="0" t="s">
        <v>48</v>
      </c>
      <c r="D6" s="20" t="n">
        <f aca="false">D91</f>
        <v>0.873912121761526</v>
      </c>
      <c r="E6" s="20" t="n">
        <f aca="false">E91</f>
        <v>0.454439765251677</v>
      </c>
      <c r="F6" s="20" t="n">
        <f aca="false">F91</f>
        <v>0.108750689709586</v>
      </c>
      <c r="G6" s="20" t="n">
        <f aca="false">G91</f>
        <v>0.0377473949383174</v>
      </c>
      <c r="H6" s="27" t="n">
        <f aca="false">H91</f>
        <v>0.0451649299588782</v>
      </c>
      <c r="I6" s="27" t="n">
        <f aca="false">I91</f>
        <v>0.0525824649794391</v>
      </c>
      <c r="J6" s="27" t="n">
        <f aca="false">J91</f>
        <v>0.06</v>
      </c>
    </row>
    <row r="7" customFormat="false" ht="17.15" hidden="false" customHeight="false" outlineLevel="0" collapsed="false">
      <c r="A7" s="4" t="s">
        <v>538</v>
      </c>
      <c r="B7" s="0" t="s">
        <v>147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3072.99589502208</v>
      </c>
      <c r="G7" s="21" t="n">
        <f aca="false">G75</f>
        <v>3109.11053614536</v>
      </c>
    </row>
    <row r="8" customFormat="false" ht="17.15" hidden="false" customHeight="false" outlineLevel="0" collapsed="false">
      <c r="A8" s="0" t="s">
        <v>539</v>
      </c>
      <c r="B8" s="0" t="s">
        <v>147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540</v>
      </c>
      <c r="B9" s="0" t="s">
        <v>147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2142.71033467769</v>
      </c>
      <c r="F9" s="21" t="n">
        <f aca="false">F89</f>
        <v>2567.56802154097</v>
      </c>
      <c r="G9" s="21" t="n">
        <f aca="false">G89</f>
        <v>2754.19810440687</v>
      </c>
    </row>
    <row r="10" customFormat="false" ht="15" hidden="false" customHeight="false" outlineLevel="0" collapsed="false">
      <c r="A10" s="4" t="s">
        <v>427</v>
      </c>
      <c r="B10" s="0" t="s">
        <v>48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0.0555634787363554</v>
      </c>
      <c r="F10" s="17" t="n">
        <f aca="false">F112</f>
        <v>0.058677272972678</v>
      </c>
      <c r="G10" s="17" t="n">
        <f aca="false">G112</f>
        <v>0.0603884604264006</v>
      </c>
    </row>
    <row r="11" customFormat="false" ht="15" hidden="false" customHeight="false" outlineLevel="0" collapsed="false">
      <c r="A11" s="4" t="s">
        <v>431</v>
      </c>
      <c r="B11" s="0" t="s">
        <v>48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0.0394478521383432</v>
      </c>
      <c r="F11" s="17" t="n">
        <f aca="false">F114</f>
        <v>0.0427150994026621</v>
      </c>
      <c r="G11" s="17" t="n">
        <f aca="false">G114</f>
        <v>0.0444257424895017</v>
      </c>
    </row>
    <row r="12" customFormat="false" ht="15" hidden="false" customHeight="false" outlineLevel="0" collapsed="false">
      <c r="A12" s="4" t="s">
        <v>461</v>
      </c>
      <c r="B12" s="0" t="s">
        <v>147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162.287585728808</v>
      </c>
      <c r="F12" s="21" t="n">
        <f aca="false">F115</f>
        <v>194.769083776675</v>
      </c>
      <c r="G12" s="21" t="n">
        <f aca="false">G115</f>
        <v>209.9725653723</v>
      </c>
    </row>
    <row r="13" customFormat="false" ht="15" hidden="false" customHeight="false" outlineLevel="0" collapsed="false">
      <c r="A13" s="4" t="s">
        <v>457</v>
      </c>
      <c r="B13" s="0" t="s">
        <v>147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94.5859957438517</v>
      </c>
      <c r="F13" s="21" t="n">
        <f aca="false">F117</f>
        <v>113.643588351741</v>
      </c>
      <c r="G13" s="21" t="n">
        <f aca="false">G117</f>
        <v>122.950261057916</v>
      </c>
      <c r="H13" s="26" t="n">
        <f aca="false">H117</f>
        <v>128.503300987022</v>
      </c>
      <c r="I13" s="26" t="n">
        <f aca="false">I117</f>
        <v>135.260321310915</v>
      </c>
      <c r="J13" s="26" t="n">
        <f aca="false">J117</f>
        <v>143.375940589569</v>
      </c>
    </row>
    <row r="14" customFormat="false" ht="15" hidden="false" customHeight="false" outlineLevel="0" collapsed="false">
      <c r="A14" s="4" t="s">
        <v>541</v>
      </c>
      <c r="B14" s="0" t="s">
        <v>48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0.0158718602061905</v>
      </c>
      <c r="F14" s="17" t="n">
        <f aca="false">F122</f>
        <v>0.0171993496255317</v>
      </c>
      <c r="G14" s="17" t="n">
        <f aca="false">G122</f>
        <v>0.0179310156618042</v>
      </c>
      <c r="H14" s="28" t="n">
        <f aca="false">H122</f>
        <v>0.0179310156618042</v>
      </c>
      <c r="I14" s="28" t="n">
        <f aca="false">I122</f>
        <v>0.0179310156618042</v>
      </c>
      <c r="J14" s="28" t="n">
        <f aca="false">J122</f>
        <v>0.0179310156618042</v>
      </c>
    </row>
    <row r="15" customFormat="false" ht="15" hidden="false" customHeight="false" outlineLevel="0" collapsed="false">
      <c r="A15" s="0" t="s">
        <v>464</v>
      </c>
      <c r="B15" s="0" t="s">
        <v>312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27.5760920536011</v>
      </c>
      <c r="F15" s="18" t="n">
        <f aca="false">F120</f>
        <v>33.1322415019653</v>
      </c>
      <c r="G15" s="18" t="n">
        <f aca="false">G120</f>
        <v>35.8455571597422</v>
      </c>
      <c r="H15" s="29" t="n">
        <f aca="false">H120</f>
        <v>37.4645192381989</v>
      </c>
      <c r="I15" s="29" t="n">
        <f aca="false">I120</f>
        <v>39.434496009013</v>
      </c>
      <c r="J15" s="29" t="n">
        <f aca="false">J120</f>
        <v>41.8005657695538</v>
      </c>
    </row>
    <row r="16" customFormat="false" ht="17.15" hidden="false" customHeight="false" outlineLevel="0" collapsed="false">
      <c r="A16" s="0" t="s">
        <v>542</v>
      </c>
      <c r="B16" s="0" t="s">
        <v>48</v>
      </c>
      <c r="D16" s="20" t="n">
        <f aca="false">D121</f>
        <v>1.03813580587031</v>
      </c>
      <c r="E16" s="20" t="n">
        <f aca="false">E121</f>
        <v>0.496687635833963</v>
      </c>
      <c r="F16" s="20" t="n">
        <f aca="false">F121</f>
        <v>0.201484294350501</v>
      </c>
      <c r="G16" s="20" t="n">
        <f aca="false">G121</f>
        <v>0.081893513229881</v>
      </c>
      <c r="H16" s="27" t="n">
        <f aca="false">H121</f>
        <v>0.0451649299588786</v>
      </c>
      <c r="I16" s="27" t="n">
        <f aca="false">I121</f>
        <v>0.0525824649794391</v>
      </c>
      <c r="J16" s="27" t="n">
        <f aca="false">J121</f>
        <v>0.0599999999999998</v>
      </c>
    </row>
    <row r="18" customFormat="false" ht="17.15" hidden="false" customHeight="false" outlineLevel="0" collapsed="false">
      <c r="A18" s="1" t="s">
        <v>543</v>
      </c>
    </row>
    <row r="19" customFormat="false" ht="15" hidden="false" customHeight="false" outlineLevel="0" collapsed="false">
      <c r="A19" s="4" t="s">
        <v>420</v>
      </c>
      <c r="B19" s="0" t="s">
        <v>147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5959.35161443524</v>
      </c>
      <c r="F19" s="21" t="n">
        <f aca="false">F155</f>
        <v>5596.48519893513</v>
      </c>
      <c r="G19" s="21" t="n">
        <f aca="false">G155</f>
        <v>6069.28905216985</v>
      </c>
      <c r="H19" s="26" t="n">
        <f aca="false">H155</f>
        <v>6492.04450802955</v>
      </c>
      <c r="I19" s="26" t="n">
        <f aca="false">I155</f>
        <v>6847.98661135219</v>
      </c>
      <c r="J19" s="26" t="n">
        <f aca="false">J155</f>
        <v>7121.90607580627</v>
      </c>
    </row>
    <row r="20" customFormat="false" ht="15" hidden="false" customHeight="false" outlineLevel="0" collapsed="false">
      <c r="A20" s="4" t="s">
        <v>537</v>
      </c>
      <c r="B20" s="0" t="s">
        <v>48</v>
      </c>
      <c r="D20" s="20" t="n">
        <f aca="false">D156</f>
        <v>0.873912121761526</v>
      </c>
      <c r="E20" s="20" t="n">
        <f aca="false">E156</f>
        <v>0.454439765251677</v>
      </c>
      <c r="F20" s="20" t="n">
        <f aca="false">F156</f>
        <v>-0.0608902509832018</v>
      </c>
      <c r="G20" s="20" t="n">
        <f aca="false">G156</f>
        <v>0.0844822842245141</v>
      </c>
      <c r="H20" s="27" t="n">
        <f aca="false">H156</f>
        <v>0.0696548561496761</v>
      </c>
      <c r="I20" s="27" t="n">
        <f aca="false">I156</f>
        <v>0.054827428074838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538</v>
      </c>
      <c r="B21" s="0" t="s">
        <v>147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539</v>
      </c>
      <c r="B22" s="0" t="s">
        <v>147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540</v>
      </c>
      <c r="B23" s="0" t="s">
        <v>147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2142.71033467769</v>
      </c>
      <c r="F23" s="21" t="n">
        <f aca="false">F154</f>
        <v>2205.75850411877</v>
      </c>
      <c r="G23" s="21" t="n">
        <f aca="false">G154</f>
        <v>2460.53535716856</v>
      </c>
    </row>
    <row r="24" customFormat="false" ht="15" hidden="false" customHeight="false" outlineLevel="0" collapsed="false">
      <c r="A24" s="4" t="s">
        <v>427</v>
      </c>
      <c r="B24" s="0" t="s">
        <v>48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0.0555634787363554</v>
      </c>
      <c r="F24" s="17" t="n">
        <f aca="false">F177</f>
        <v>0.0590702392477038</v>
      </c>
      <c r="G24" s="17" t="n">
        <f aca="false">G177</f>
        <v>0.0606169461911591</v>
      </c>
    </row>
    <row r="25" customFormat="false" ht="15" hidden="false" customHeight="false" outlineLevel="0" collapsed="false">
      <c r="A25" s="4" t="s">
        <v>431</v>
      </c>
      <c r="B25" s="0" t="s">
        <v>48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0.0394478521383432</v>
      </c>
      <c r="F25" s="17" t="n">
        <f aca="false">F179</f>
        <v>0.0416843898592635</v>
      </c>
      <c r="G25" s="17" t="n">
        <f aca="false">G179</f>
        <v>0.0435768729726996</v>
      </c>
    </row>
    <row r="26" customFormat="false" ht="15" hidden="false" customHeight="false" outlineLevel="0" collapsed="false">
      <c r="A26" s="4" t="s">
        <v>461</v>
      </c>
      <c r="B26" s="0" t="s">
        <v>147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162.287585728808</v>
      </c>
      <c r="F26" s="21" t="n">
        <f aca="false">F180</f>
        <v>162.182546298344</v>
      </c>
      <c r="G26" s="21" t="n">
        <f aca="false">G180</f>
        <v>183.294812921672</v>
      </c>
    </row>
    <row r="27" customFormat="false" ht="15" hidden="false" customHeight="false" outlineLevel="0" collapsed="false">
      <c r="A27" s="4" t="s">
        <v>457</v>
      </c>
      <c r="B27" s="0" t="s">
        <v>147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94.5859957438517</v>
      </c>
      <c r="F27" s="21" t="n">
        <f aca="false">F182</f>
        <v>92.4888712201663</v>
      </c>
      <c r="G27" s="21" t="n">
        <f aca="false">G182</f>
        <v>105.551147248088</v>
      </c>
      <c r="H27" s="26" t="n">
        <f aca="false">H182</f>
        <v>109.139853985217</v>
      </c>
      <c r="I27" s="26" t="n">
        <f aca="false">I182</f>
        <v>111.153928325218</v>
      </c>
      <c r="J27" s="26" t="n">
        <f aca="false">J182</f>
        <v>111.471510977576</v>
      </c>
    </row>
    <row r="28" customFormat="false" ht="15" hidden="false" customHeight="false" outlineLevel="0" collapsed="false">
      <c r="A28" s="4" t="s">
        <v>541</v>
      </c>
      <c r="B28" s="0" t="s">
        <v>48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0.0158718602061905</v>
      </c>
      <c r="F28" s="17" t="n">
        <f aca="false">F187</f>
        <v>0.0165262424419106</v>
      </c>
      <c r="G28" s="17" t="n">
        <f aca="false">G187</f>
        <v>0.0173910232880327</v>
      </c>
      <c r="H28" s="28" t="n">
        <f aca="false">H187</f>
        <v>0.016811322511765</v>
      </c>
      <c r="I28" s="28" t="n">
        <f aca="false">I187</f>
        <v>0.0162316217354972</v>
      </c>
      <c r="J28" s="28" t="n">
        <f aca="false">J187</f>
        <v>0.0156519209592294</v>
      </c>
    </row>
    <row r="29" customFormat="false" ht="15" hidden="false" customHeight="false" outlineLevel="0" collapsed="false">
      <c r="A29" s="0" t="s">
        <v>464</v>
      </c>
      <c r="B29" s="0" t="s">
        <v>312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27.5760920536011</v>
      </c>
      <c r="F29" s="18" t="n">
        <f aca="false">F185</f>
        <v>26.9646854869289</v>
      </c>
      <c r="G29" s="18" t="n">
        <f aca="false">G185</f>
        <v>30.7729292268478</v>
      </c>
      <c r="H29" s="29" t="n">
        <f aca="false">H185</f>
        <v>31.8191994125998</v>
      </c>
      <c r="I29" s="29" t="n">
        <f aca="false">I185</f>
        <v>32.4063930977312</v>
      </c>
      <c r="J29" s="29" t="n">
        <f aca="false">J185</f>
        <v>32.4989827922961</v>
      </c>
    </row>
    <row r="30" customFormat="false" ht="17.15" hidden="false" customHeight="false" outlineLevel="0" collapsed="false">
      <c r="A30" s="0" t="s">
        <v>542</v>
      </c>
      <c r="B30" s="0" t="s">
        <v>48</v>
      </c>
      <c r="D30" s="20" t="n">
        <f aca="false">D186</f>
        <v>1.03813580587031</v>
      </c>
      <c r="E30" s="20" t="n">
        <f aca="false">E186</f>
        <v>0.496687635833963</v>
      </c>
      <c r="F30" s="20" t="n">
        <f aca="false">F186</f>
        <v>-0.0221716175549359</v>
      </c>
      <c r="G30" s="20" t="n">
        <f aca="false">G186</f>
        <v>0.14123078653244</v>
      </c>
      <c r="H30" s="27" t="n">
        <f aca="false">H186</f>
        <v>0.0339996942780203</v>
      </c>
      <c r="I30" s="27" t="n">
        <f aca="false">I186</f>
        <v>0.0184540684860506</v>
      </c>
      <c r="J30" s="27" t="n">
        <f aca="false">J186</f>
        <v>0.00285714285714289</v>
      </c>
    </row>
    <row r="32" customFormat="false" ht="17.15" hidden="false" customHeight="false" outlineLevel="0" collapsed="false">
      <c r="A32" s="1" t="s">
        <v>544</v>
      </c>
    </row>
    <row r="33" customFormat="false" ht="15" hidden="false" customHeight="false" outlineLevel="0" collapsed="false">
      <c r="A33" s="4" t="s">
        <v>420</v>
      </c>
      <c r="B33" s="0" t="s">
        <v>147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5959.35161443524</v>
      </c>
      <c r="F33" s="21" t="n">
        <f aca="false">F220</f>
        <v>4585.53518514325</v>
      </c>
      <c r="G33" s="21" t="n">
        <f aca="false">G220</f>
        <v>4756.68967373434</v>
      </c>
      <c r="H33" s="26" t="n">
        <f aca="false">H220</f>
        <v>4906.76280957769</v>
      </c>
      <c r="I33" s="26" t="n">
        <f aca="false">I220</f>
        <v>5033.23440263453</v>
      </c>
      <c r="J33" s="26" t="n">
        <f aca="false">J220</f>
        <v>5133.89909068723</v>
      </c>
    </row>
    <row r="34" customFormat="false" ht="15" hidden="false" customHeight="false" outlineLevel="0" collapsed="false">
      <c r="A34" s="4" t="s">
        <v>537</v>
      </c>
      <c r="B34" s="0" t="s">
        <v>48</v>
      </c>
      <c r="D34" s="20" t="n">
        <f aca="false">D221</f>
        <v>0.873912121761526</v>
      </c>
      <c r="E34" s="20" t="n">
        <f aca="false">E221</f>
        <v>0.454439765251677</v>
      </c>
      <c r="F34" s="20" t="n">
        <f aca="false">F221</f>
        <v>-0.23053119167599</v>
      </c>
      <c r="G34" s="20" t="n">
        <f aca="false">G221</f>
        <v>0.0373248664944532</v>
      </c>
      <c r="H34" s="27" t="n">
        <f aca="false">H221</f>
        <v>0.0315499109963021</v>
      </c>
      <c r="I34" s="27" t="n">
        <f aca="false">I221</f>
        <v>0.0257749554981511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538</v>
      </c>
      <c r="B35" s="0" t="s">
        <v>147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539</v>
      </c>
      <c r="B36" s="0" t="s">
        <v>147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540</v>
      </c>
      <c r="B37" s="0" t="s">
        <v>147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2142.71033467769</v>
      </c>
      <c r="F37" s="21" t="n">
        <f aca="false">F219</f>
        <v>1843.94898669658</v>
      </c>
      <c r="G37" s="21" t="n">
        <f aca="false">G219</f>
        <v>1971.09744510472</v>
      </c>
    </row>
    <row r="38" customFormat="false" ht="15" hidden="false" customHeight="false" outlineLevel="0" collapsed="false">
      <c r="A38" s="4" t="s">
        <v>427</v>
      </c>
      <c r="B38" s="0" t="s">
        <v>48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0.0555634787363554</v>
      </c>
      <c r="F38" s="17" t="n">
        <f aca="false">F242</f>
        <v>0.0596364761422394</v>
      </c>
      <c r="G38" s="17" t="n">
        <f aca="false">G242</f>
        <v>0.0611658896868001</v>
      </c>
    </row>
    <row r="39" customFormat="false" ht="15" hidden="false" customHeight="false" outlineLevel="0" collapsed="false">
      <c r="A39" s="4" t="s">
        <v>431</v>
      </c>
      <c r="B39" s="0" t="s">
        <v>48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0.0394478521383432</v>
      </c>
      <c r="F39" s="17" t="n">
        <f aca="false">F244</f>
        <v>0.0399957025381734</v>
      </c>
      <c r="G39" s="17" t="n">
        <f aca="false">G244</f>
        <v>0.0416433776009068</v>
      </c>
    </row>
    <row r="40" customFormat="false" ht="15" hidden="false" customHeight="false" outlineLevel="0" collapsed="false">
      <c r="A40" s="4" t="s">
        <v>461</v>
      </c>
      <c r="B40" s="0" t="s">
        <v>147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162.287585728808</v>
      </c>
      <c r="F40" s="21" t="n">
        <f aca="false">F245</f>
        <v>129.073423206019</v>
      </c>
      <c r="G40" s="21" t="n">
        <f aca="false">G245</f>
        <v>139.114083024643</v>
      </c>
    </row>
    <row r="41" customFormat="false" ht="15" hidden="false" customHeight="false" outlineLevel="0" collapsed="false">
      <c r="A41" s="4" t="s">
        <v>457</v>
      </c>
      <c r="B41" s="0" t="s">
        <v>147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94.5859957438517</v>
      </c>
      <c r="F41" s="21" t="n">
        <f aca="false">F247</f>
        <v>70.8115684745968</v>
      </c>
      <c r="G41" s="21" t="n">
        <f aca="false">G247</f>
        <v>76.8348150857277</v>
      </c>
      <c r="H41" s="26" t="n">
        <f aca="false">H247</f>
        <v>73.9750168855598</v>
      </c>
      <c r="I41" s="26" t="n">
        <f aca="false">I247</f>
        <v>70.4615968213486</v>
      </c>
      <c r="J41" s="26" t="n">
        <f aca="false">J247</f>
        <v>66.342303468716</v>
      </c>
    </row>
    <row r="42" customFormat="false" ht="15" hidden="false" customHeight="false" outlineLevel="0" collapsed="false">
      <c r="A42" s="4" t="s">
        <v>541</v>
      </c>
      <c r="B42" s="0" t="s">
        <v>48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0.0158718602061905</v>
      </c>
      <c r="F42" s="17" t="n">
        <f aca="false">F252</f>
        <v>0.0154423781773653</v>
      </c>
      <c r="G42" s="17" t="n">
        <f aca="false">G252</f>
        <v>0.0161530014266007</v>
      </c>
      <c r="H42" s="28" t="n">
        <f aca="false">H252</f>
        <v>0.0150761346648274</v>
      </c>
      <c r="I42" s="28" t="n">
        <f aca="false">I252</f>
        <v>0.013999267903054</v>
      </c>
      <c r="J42" s="28" t="n">
        <f aca="false">J252</f>
        <v>0.0129224011412806</v>
      </c>
    </row>
    <row r="43" customFormat="false" ht="15" hidden="false" customHeight="false" outlineLevel="0" collapsed="false">
      <c r="A43" s="0" t="s">
        <v>464</v>
      </c>
      <c r="B43" s="0" t="s">
        <v>312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27.5760920536011</v>
      </c>
      <c r="F43" s="18" t="n">
        <f aca="false">F250</f>
        <v>20.6447721500282</v>
      </c>
      <c r="G43" s="18" t="n">
        <f aca="false">G250</f>
        <v>22.400820724702</v>
      </c>
      <c r="H43" s="29" t="n">
        <f aca="false">H250</f>
        <v>21.5670603164897</v>
      </c>
      <c r="I43" s="29" t="n">
        <f aca="false">I250</f>
        <v>20.5427395980608</v>
      </c>
      <c r="J43" s="29" t="n">
        <f aca="false">J250</f>
        <v>19.3417794369434</v>
      </c>
    </row>
    <row r="44" customFormat="false" ht="17.15" hidden="false" customHeight="false" outlineLevel="0" collapsed="false">
      <c r="A44" s="0" t="s">
        <v>542</v>
      </c>
      <c r="B44" s="0" t="s">
        <v>48</v>
      </c>
      <c r="D44" s="20" t="n">
        <f aca="false">D251</f>
        <v>1.03813580587031</v>
      </c>
      <c r="E44" s="20" t="n">
        <f aca="false">E251</f>
        <v>0.496687635833963</v>
      </c>
      <c r="F44" s="20" t="n">
        <f aca="false">F251</f>
        <v>-0.251352508183542</v>
      </c>
      <c r="G44" s="20" t="n">
        <f aca="false">G251</f>
        <v>0.0850602061341395</v>
      </c>
      <c r="H44" s="27" t="n">
        <f aca="false">H251</f>
        <v>-0.0372200830701178</v>
      </c>
      <c r="I44" s="27" t="n">
        <f aca="false">I251</f>
        <v>-0.0474946841802886</v>
      </c>
      <c r="J44" s="27" t="n">
        <f aca="false">J251</f>
        <v>-0.0584615384615383</v>
      </c>
    </row>
    <row r="46" customFormat="false" ht="17.15" hidden="false" customHeight="false" outlineLevel="0" collapsed="false">
      <c r="A46" s="1" t="s">
        <v>545</v>
      </c>
    </row>
    <row r="47" customFormat="false" ht="17.15" hidden="false" customHeight="false" outlineLevel="0" collapsed="false">
      <c r="A47" s="4" t="s">
        <v>546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547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548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549</v>
      </c>
    </row>
    <row r="61" customFormat="false" ht="17.15" hidden="false" customHeight="false" outlineLevel="0" collapsed="false">
      <c r="A61" s="5" t="s">
        <v>17</v>
      </c>
      <c r="B61" s="5" t="s">
        <v>18</v>
      </c>
      <c r="C61" s="14" t="s">
        <v>414</v>
      </c>
      <c r="D61" s="14" t="s">
        <v>529</v>
      </c>
      <c r="E61" s="14" t="s">
        <v>530</v>
      </c>
      <c r="F61" s="14" t="s">
        <v>531</v>
      </c>
      <c r="G61" s="14" t="s">
        <v>532</v>
      </c>
      <c r="H61" s="14" t="s">
        <v>533</v>
      </c>
      <c r="I61" s="14" t="s">
        <v>534</v>
      </c>
      <c r="J61" s="14" t="s">
        <v>535</v>
      </c>
      <c r="K61" s="5" t="s">
        <v>496</v>
      </c>
    </row>
    <row r="62" customFormat="false" ht="17.15" hidden="false" customHeight="false" outlineLevel="0" collapsed="false">
      <c r="A62" s="6" t="s">
        <v>550</v>
      </c>
    </row>
    <row r="63" customFormat="false" ht="17.15" hidden="false" customHeight="false" outlineLevel="0" collapsed="false">
      <c r="A63" s="0" t="s">
        <v>551</v>
      </c>
      <c r="B63" s="0" t="s">
        <v>28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552</v>
      </c>
      <c r="B64" s="0" t="s">
        <v>28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553</v>
      </c>
      <c r="B65" s="0" t="s">
        <v>498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554</v>
      </c>
      <c r="B66" s="0" t="s">
        <v>555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556</v>
      </c>
    </row>
    <row r="67" customFormat="false" ht="17.15" hidden="false" customHeight="false" outlineLevel="0" collapsed="false">
      <c r="A67" s="0" t="s">
        <v>557</v>
      </c>
      <c r="B67" s="0" t="s">
        <v>28</v>
      </c>
      <c r="D67" s="21" t="n">
        <f aca="false">D65*D66</f>
        <v>634.616531285011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558</v>
      </c>
      <c r="B68" s="0" t="s">
        <v>147</v>
      </c>
      <c r="D68" s="21" t="n">
        <f aca="false">D67*fx</f>
        <v>20307.7290011204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559</v>
      </c>
    </row>
    <row r="70" customFormat="false" ht="17.15" hidden="false" customHeight="false" outlineLevel="0" collapsed="false">
      <c r="A70" s="4" t="s">
        <v>560</v>
      </c>
      <c r="B70" s="0" t="s">
        <v>48</v>
      </c>
      <c r="D70" s="20" t="n">
        <f aca="false">a26_ais/D68</f>
        <v>0.0875096501918446</v>
      </c>
      <c r="K70" s="8" t="s">
        <v>561</v>
      </c>
    </row>
    <row r="71" customFormat="false" ht="17.15" hidden="false" customHeight="false" outlineLevel="0" collapsed="false">
      <c r="A71" s="4" t="s">
        <v>562</v>
      </c>
      <c r="B71" s="0" t="s">
        <v>60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563</v>
      </c>
      <c r="B72" s="0" t="s">
        <v>48</v>
      </c>
      <c r="D72" s="20" t="n">
        <f aca="false">$D$70*D71</f>
        <v>0.0875096501918446</v>
      </c>
      <c r="E72" s="20" t="n">
        <f aca="false">$D$70*E71</f>
        <v>0.0875096501918446</v>
      </c>
      <c r="F72" s="20" t="n">
        <f aca="false">$D$70*F71</f>
        <v>0.0831341676822524</v>
      </c>
      <c r="G72" s="20" t="n">
        <f aca="false">$D$70*G71</f>
        <v>0.0787586851726601</v>
      </c>
    </row>
    <row r="73" customFormat="false" ht="17.15" hidden="false" customHeight="false" outlineLevel="0" collapsed="false">
      <c r="A73" s="4" t="s">
        <v>564</v>
      </c>
      <c r="B73" s="0" t="s">
        <v>147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565</v>
      </c>
      <c r="B74" s="0" t="s">
        <v>48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566</v>
      </c>
    </row>
    <row r="75" customFormat="false" ht="17.15" hidden="false" customHeight="false" outlineLevel="0" collapsed="false">
      <c r="A75" s="4" t="s">
        <v>567</v>
      </c>
      <c r="B75" s="0" t="s">
        <v>147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3072.99589502208</v>
      </c>
      <c r="G75" s="21" t="n">
        <f aca="false">G73*(1-G74)</f>
        <v>3109.11053614536</v>
      </c>
    </row>
    <row r="76" customFormat="false" ht="17.15" hidden="false" customHeight="false" outlineLevel="0" collapsed="false">
      <c r="A76" s="6" t="s">
        <v>568</v>
      </c>
    </row>
    <row r="77" customFormat="false" ht="17.15" hidden="false" customHeight="false" outlineLevel="0" collapsed="false">
      <c r="A77" s="0" t="s">
        <v>569</v>
      </c>
      <c r="B77" s="4" t="s">
        <v>81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570</v>
      </c>
      <c r="B78" s="0" t="s">
        <v>48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571</v>
      </c>
      <c r="B79" s="0" t="s">
        <v>520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572</v>
      </c>
    </row>
    <row r="80" customFormat="false" ht="17.15" hidden="false" customHeight="false" outlineLevel="0" collapsed="false">
      <c r="A80" s="0" t="s">
        <v>522</v>
      </c>
      <c r="B80" s="0" t="s">
        <v>147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573</v>
      </c>
    </row>
    <row r="82" customFormat="false" ht="15" hidden="false" customHeight="false" outlineLevel="0" collapsed="false">
      <c r="A82" s="4" t="s">
        <v>574</v>
      </c>
      <c r="B82" s="0" t="s">
        <v>147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575</v>
      </c>
      <c r="B83" s="0" t="s">
        <v>147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576</v>
      </c>
      <c r="B84" s="0" t="s">
        <v>147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3816.64127975755</v>
      </c>
      <c r="F84" s="21" t="n">
        <f aca="false">F75+F80+F82+F83</f>
        <v>4039.86719118604</v>
      </c>
      <c r="G84" s="21" t="n">
        <f aca="false">G75+G80+G82+G83</f>
        <v>4102.65057482429</v>
      </c>
    </row>
    <row r="85" customFormat="false" ht="17.15" hidden="false" customHeight="false" outlineLevel="0" collapsed="false">
      <c r="A85" s="4" t="s">
        <v>577</v>
      </c>
      <c r="B85" s="0" t="s">
        <v>48</v>
      </c>
      <c r="D85" s="20" t="n">
        <f aca="false">a26_wai/D68</f>
        <v>0.0391523244650416</v>
      </c>
      <c r="K85" s="8" t="s">
        <v>578</v>
      </c>
    </row>
    <row r="86" customFormat="false" ht="17.15" hidden="false" customHeight="false" outlineLevel="0" collapsed="false">
      <c r="A86" s="4" t="s">
        <v>504</v>
      </c>
      <c r="B86" s="0" t="s">
        <v>48</v>
      </c>
      <c r="D86" s="20" t="n">
        <f aca="false">D85</f>
        <v>0.0391523244650416</v>
      </c>
      <c r="E86" s="20" t="n">
        <f aca="false">$D$85*wrel_27</f>
        <v>0.0391523244650416</v>
      </c>
      <c r="F86" s="20" t="n">
        <f aca="false">$D$85*wrel_28</f>
        <v>0.0391523244650416</v>
      </c>
      <c r="G86" s="20" t="n">
        <f aca="false">$D$85*wrel_29</f>
        <v>0.0371947082417896</v>
      </c>
    </row>
    <row r="87" customFormat="false" ht="17.15" hidden="false" customHeight="false" outlineLevel="0" collapsed="false">
      <c r="A87" s="4" t="s">
        <v>524</v>
      </c>
      <c r="B87" s="0" t="s">
        <v>147</v>
      </c>
      <c r="D87" s="21" t="n">
        <f aca="false">D68*D86</f>
        <v>795.094795</v>
      </c>
      <c r="E87" s="21" t="n">
        <f aca="false">E68*E86</f>
        <v>1427.12501917769</v>
      </c>
      <c r="F87" s="21" t="n">
        <f aca="false">F68*F86</f>
        <v>1809.04758711097</v>
      </c>
      <c r="G87" s="21" t="n">
        <f aca="false">G68*G86</f>
        <v>1957.75164825537</v>
      </c>
    </row>
    <row r="88" customFormat="false" ht="17.15" hidden="false" customHeight="false" outlineLevel="0" collapsed="false">
      <c r="A88" s="4" t="s">
        <v>579</v>
      </c>
      <c r="B88" s="0" t="s">
        <v>147</v>
      </c>
      <c r="D88" s="21" t="n">
        <f aca="false">a26_wna</f>
        <v>650.532105</v>
      </c>
      <c r="E88" s="21" t="n">
        <f aca="false">D88*(1+g_wn27)</f>
        <v>715.5853155</v>
      </c>
      <c r="F88" s="21" t="n">
        <f aca="false">E88*(1+g_wn28)</f>
        <v>758.52043443</v>
      </c>
      <c r="G88" s="21" t="n">
        <f aca="false">F88*(1+g_wn29)</f>
        <v>796.4464561515</v>
      </c>
    </row>
    <row r="89" customFormat="false" ht="15" hidden="false" customHeight="false" outlineLevel="0" collapsed="false">
      <c r="A89" s="4" t="s">
        <v>434</v>
      </c>
      <c r="B89" s="0" t="s">
        <v>147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2142.71033467769</v>
      </c>
      <c r="F89" s="21" t="n">
        <f aca="false">F87+F88</f>
        <v>2567.56802154097</v>
      </c>
      <c r="G89" s="21" t="n">
        <f aca="false">G87+G88</f>
        <v>2754.19810440687</v>
      </c>
    </row>
    <row r="90" customFormat="false" ht="17.15" hidden="false" customHeight="false" outlineLevel="0" collapsed="false">
      <c r="A90" s="4" t="s">
        <v>420</v>
      </c>
      <c r="B90" s="0" t="s">
        <v>147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5959.35161443524</v>
      </c>
      <c r="F90" s="21" t="n">
        <f aca="false">F84+F89</f>
        <v>6607.43521272701</v>
      </c>
      <c r="G90" s="21" t="n">
        <f aca="false">G84+G89</f>
        <v>6856.84867923116</v>
      </c>
      <c r="H90" s="26" t="n">
        <f aca="false">G90*(1+H91)</f>
        <v>7166.53776956726</v>
      </c>
      <c r="I90" s="26" t="n">
        <f aca="false">H90*(1+I91)</f>
        <v>7543.37199085936</v>
      </c>
      <c r="J90" s="26" t="n">
        <f aca="false">I90*(1+J91)</f>
        <v>7995.97431031092</v>
      </c>
      <c r="K90" s="8" t="s">
        <v>580</v>
      </c>
    </row>
    <row r="91" customFormat="false" ht="15" hidden="false" customHeight="false" outlineLevel="0" collapsed="false">
      <c r="A91" s="4" t="s">
        <v>581</v>
      </c>
      <c r="B91" s="0" t="s">
        <v>48</v>
      </c>
      <c r="D91" s="20" t="n">
        <f aca="false">D90/C90-1</f>
        <v>0.873912121761526</v>
      </c>
      <c r="E91" s="20" t="n">
        <f aca="false">E90/D90-1</f>
        <v>0.454439765251677</v>
      </c>
      <c r="F91" s="20" t="n">
        <f aca="false">F90/E90-1</f>
        <v>0.108750689709586</v>
      </c>
      <c r="G91" s="20" t="n">
        <f aca="false">G90/F90-1</f>
        <v>0.0377473949383174</v>
      </c>
      <c r="H91" s="27" t="n">
        <f aca="false">$G91+(fade_gA-$G91)*1/3</f>
        <v>0.0451649299588782</v>
      </c>
      <c r="I91" s="27" t="n">
        <f aca="false">$G91+(fade_gA-$G91)*2/3</f>
        <v>0.0525824649794391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582</v>
      </c>
      <c r="B92" s="0" t="s">
        <v>48</v>
      </c>
      <c r="D92" s="20" t="n">
        <f aca="false">(D75+D80+D87)/D90</f>
        <v>0.6546220793463</v>
      </c>
      <c r="E92" s="20" t="n">
        <f aca="false">(E75+E80+E87)/E90</f>
        <v>0.749679139384196</v>
      </c>
      <c r="F92" s="20" t="n">
        <f aca="false">(F75+F80+F87)/F90</f>
        <v>0.76500940322852</v>
      </c>
      <c r="G92" s="20" t="n">
        <f aca="false">(G75+G80+G87)/G90</f>
        <v>0.765715820686707</v>
      </c>
    </row>
    <row r="93" customFormat="false" ht="17.15" hidden="false" customHeight="false" outlineLevel="0" collapsed="false">
      <c r="A93" s="4" t="s">
        <v>583</v>
      </c>
      <c r="B93" s="0" t="s">
        <v>48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0.359554272563384</v>
      </c>
      <c r="F93" s="20" t="n">
        <f aca="false">F89/F90</f>
        <v>0.388587695358012</v>
      </c>
      <c r="G93" s="20" t="n">
        <f aca="false">G89/G90</f>
        <v>0.40167112229691</v>
      </c>
    </row>
    <row r="94" customFormat="false" ht="17.15" hidden="false" customHeight="false" outlineLevel="0" collapsed="false">
      <c r="A94" s="4" t="s">
        <v>584</v>
      </c>
      <c r="B94" s="4" t="s">
        <v>331</v>
      </c>
      <c r="D94" s="21" t="n">
        <f aca="false">D73/fx/(odm_gb*(1-vr26)+odm_vr*vr26)</f>
        <v>12.0597330420658</v>
      </c>
      <c r="E94" s="21" t="n">
        <f aca="false">E73/fx/odm_vr</f>
        <v>14.7674893195131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585</v>
      </c>
    </row>
    <row r="95" customFormat="false" ht="17.15" hidden="false" customHeight="false" outlineLevel="0" collapsed="false">
      <c r="A95" s="6" t="s">
        <v>586</v>
      </c>
    </row>
    <row r="96" customFormat="false" ht="17.15" hidden="false" customHeight="false" outlineLevel="0" collapsed="false">
      <c r="A96" s="4" t="s">
        <v>587</v>
      </c>
      <c r="B96" s="0" t="s">
        <v>48</v>
      </c>
      <c r="D96" s="17" t="n">
        <f aca="false">(a26_sgp-d_ai*D75-d_brd*D80-d_gen*D82)/D84</f>
        <v>0.0436423860147897</v>
      </c>
      <c r="K96" s="8" t="s">
        <v>588</v>
      </c>
    </row>
    <row r="97" customFormat="false" ht="17.15" hidden="false" customHeight="false" outlineLevel="0" collapsed="false">
      <c r="A97" s="4" t="s">
        <v>589</v>
      </c>
      <c r="B97" s="0" t="s">
        <v>147</v>
      </c>
      <c r="D97" s="25" t="n">
        <f aca="false">($D$96+d_ai)*D73*(1-D74*(1-keep))</f>
        <v>59.7866331026896</v>
      </c>
      <c r="E97" s="25" t="n">
        <f aca="false">($D$96+d_ai+vrd)*E73*(1-E74*(1-keep))</f>
        <v>99.9228552931035</v>
      </c>
      <c r="F97" s="25" t="n">
        <f aca="false">($D$96+d_ai+vrd)*F73*(1-F74*(1-keep))</f>
        <v>119.115229856887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590</v>
      </c>
      <c r="B98" s="0" t="s">
        <v>147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591</v>
      </c>
      <c r="B99" s="0" t="s">
        <v>48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592</v>
      </c>
      <c r="B100" s="0" t="s">
        <v>48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593</v>
      </c>
      <c r="B101" s="0" t="s">
        <v>147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594</v>
      </c>
      <c r="B102" s="0" t="s">
        <v>147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95.8074495725884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595</v>
      </c>
      <c r="B103" s="0" t="s">
        <v>48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596</v>
      </c>
      <c r="B104" s="0" t="s">
        <v>147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53.6521717606495</v>
      </c>
      <c r="F104" s="21" t="n">
        <f aca="false">F102*snio</f>
        <v>64.5933850845477</v>
      </c>
      <c r="G104" s="21" t="n">
        <f aca="false">G102*snio</f>
        <v>70.3347214788719</v>
      </c>
    </row>
    <row r="105" customFormat="false" ht="17.15" hidden="false" customHeight="false" outlineLevel="0" collapsed="false">
      <c r="A105" s="6" t="s">
        <v>597</v>
      </c>
    </row>
    <row r="106" customFormat="false" ht="15" hidden="false" customHeight="false" outlineLevel="0" collapsed="false">
      <c r="A106" s="4" t="s">
        <v>438</v>
      </c>
      <c r="B106" s="0" t="s">
        <v>147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182.130378447603</v>
      </c>
      <c r="F106" s="21" t="n">
        <f aca="false">F89*wgm</f>
        <v>218.243281830982</v>
      </c>
      <c r="G106" s="21" t="n">
        <f aca="false">G89*wgm</f>
        <v>234.106838874584</v>
      </c>
    </row>
    <row r="107" customFormat="false" ht="15" hidden="false" customHeight="false" outlineLevel="0" collapsed="false">
      <c r="A107" s="4" t="s">
        <v>440</v>
      </c>
      <c r="B107" s="0" t="s">
        <v>147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139.27617175405</v>
      </c>
      <c r="F107" s="21" t="n">
        <f aca="false">F89*wopm</f>
        <v>166.891921400163</v>
      </c>
      <c r="G107" s="21" t="n">
        <f aca="false">G89*wopm</f>
        <v>179.022876786446</v>
      </c>
    </row>
    <row r="108" customFormat="false" ht="15" hidden="false" customHeight="false" outlineLevel="0" collapsed="false">
      <c r="A108" s="4" t="s">
        <v>448</v>
      </c>
      <c r="B108" s="0" t="s">
        <v>147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108.635413968159</v>
      </c>
      <c r="F108" s="21" t="n">
        <f aca="false">F107*wnio</f>
        <v>130.175698692127</v>
      </c>
      <c r="G108" s="21" t="n">
        <f aca="false">G107*wnio</f>
        <v>139.637843893428</v>
      </c>
    </row>
    <row r="109" customFormat="false" ht="15" hidden="false" customHeight="false" outlineLevel="0" collapsed="false">
      <c r="A109" s="4" t="s">
        <v>450</v>
      </c>
      <c r="B109" s="0" t="s">
        <v>48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598</v>
      </c>
    </row>
    <row r="111" customFormat="false" ht="15" hidden="false" customHeight="false" outlineLevel="0" collapsed="false">
      <c r="A111" s="4" t="s">
        <v>424</v>
      </c>
      <c r="B111" s="0" t="s">
        <v>147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331.122306711138</v>
      </c>
      <c r="F111" s="21" t="n">
        <f aca="false">F98+F106</f>
        <v>387.706279626467</v>
      </c>
      <c r="G111" s="21" t="n">
        <f aca="false">G98+G106</f>
        <v>414.074535115568</v>
      </c>
    </row>
    <row r="112" customFormat="false" ht="15" hidden="false" customHeight="false" outlineLevel="0" collapsed="false">
      <c r="A112" s="4" t="s">
        <v>427</v>
      </c>
      <c r="B112" s="0" t="s">
        <v>48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0.0555634787363554</v>
      </c>
      <c r="F112" s="17" t="n">
        <f aca="false">F111/F90</f>
        <v>0.058677272972678</v>
      </c>
      <c r="G112" s="17" t="n">
        <f aca="false">G111/G90</f>
        <v>0.0603884604264006</v>
      </c>
    </row>
    <row r="113" customFormat="false" ht="15" hidden="false" customHeight="false" outlineLevel="0" collapsed="false">
      <c r="A113" s="4" t="s">
        <v>428</v>
      </c>
      <c r="B113" s="0" t="s">
        <v>147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235.083621326638</v>
      </c>
      <c r="F113" s="21" t="n">
        <f aca="false">F102+F107</f>
        <v>282.237251908284</v>
      </c>
      <c r="G113" s="21" t="n">
        <f aca="false">G102+G107</f>
        <v>304.620593713003</v>
      </c>
    </row>
    <row r="114" customFormat="false" ht="15" hidden="false" customHeight="false" outlineLevel="0" collapsed="false">
      <c r="A114" s="4" t="s">
        <v>431</v>
      </c>
      <c r="B114" s="0" t="s">
        <v>48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0.0394478521383432</v>
      </c>
      <c r="F114" s="17" t="n">
        <f aca="false">F113/F90</f>
        <v>0.0427150994026621</v>
      </c>
      <c r="G114" s="17" t="n">
        <f aca="false">G113/G90</f>
        <v>0.0444257424895017</v>
      </c>
    </row>
    <row r="115" customFormat="false" ht="15" hidden="false" customHeight="false" outlineLevel="0" collapsed="false">
      <c r="A115" s="4" t="s">
        <v>461</v>
      </c>
      <c r="B115" s="0" t="s">
        <v>147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162.287585728808</v>
      </c>
      <c r="F115" s="21" t="n">
        <f aca="false">F104+F108</f>
        <v>194.769083776675</v>
      </c>
      <c r="G115" s="21" t="n">
        <f aca="false">G104+G108</f>
        <v>209.9725653723</v>
      </c>
    </row>
    <row r="116" customFormat="false" ht="17.15" hidden="false" customHeight="false" outlineLevel="0" collapsed="false">
      <c r="A116" s="4" t="s">
        <v>599</v>
      </c>
      <c r="B116" s="0" t="s">
        <v>147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67.7015899849565</v>
      </c>
      <c r="F116" s="21" t="n">
        <f aca="false">(1-F109)*F108</f>
        <v>81.1254954249335</v>
      </c>
      <c r="G116" s="21" t="n">
        <f aca="false">(1-G109)*G108</f>
        <v>87.0223043143844</v>
      </c>
    </row>
    <row r="117" customFormat="false" ht="15" hidden="false" customHeight="false" outlineLevel="0" collapsed="false">
      <c r="A117" s="4" t="s">
        <v>457</v>
      </c>
      <c r="B117" s="0" t="s">
        <v>147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94.5859957438517</v>
      </c>
      <c r="F117" s="21" t="n">
        <f aca="false">F115-F116</f>
        <v>113.643588351741</v>
      </c>
      <c r="G117" s="21" t="n">
        <f aca="false">G115-G116</f>
        <v>122.950261057916</v>
      </c>
      <c r="H117" s="26" t="n">
        <f aca="false">H90*H122</f>
        <v>128.503300987022</v>
      </c>
      <c r="I117" s="26" t="n">
        <f aca="false">I90*I122</f>
        <v>135.260321310915</v>
      </c>
      <c r="J117" s="26" t="n">
        <f aca="false">J90*J122</f>
        <v>143.375940589569</v>
      </c>
    </row>
    <row r="118" customFormat="false" ht="17.15" hidden="false" customHeight="false" outlineLevel="0" collapsed="false">
      <c r="A118" s="4" t="s">
        <v>600</v>
      </c>
      <c r="B118" s="0" t="s">
        <v>48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0.432768335960168</v>
      </c>
      <c r="F118" s="20" t="n">
        <f aca="false">F109*F108/F117</f>
        <v>0.431614347792125</v>
      </c>
      <c r="G118" s="20" t="n">
        <f aca="false">G109*G108/G117</f>
        <v>0.427941666217847</v>
      </c>
    </row>
    <row r="119" customFormat="false" ht="17.15" hidden="false" customHeight="false" outlineLevel="0" collapsed="false">
      <c r="A119" s="4" t="s">
        <v>601</v>
      </c>
      <c r="B119" s="4" t="s">
        <v>282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602</v>
      </c>
    </row>
    <row r="120" customFormat="false" ht="15" hidden="false" customHeight="false" outlineLevel="0" collapsed="false">
      <c r="A120" s="0" t="s">
        <v>464</v>
      </c>
      <c r="B120" s="0" t="s">
        <v>312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27.5760920536011</v>
      </c>
      <c r="F120" s="18" t="n">
        <f aca="false">F117/F119</f>
        <v>33.1322415019653</v>
      </c>
      <c r="G120" s="18" t="n">
        <f aca="false">G117/G119</f>
        <v>35.8455571597422</v>
      </c>
      <c r="H120" s="29" t="n">
        <f aca="false">H117/H119</f>
        <v>37.4645192381989</v>
      </c>
      <c r="I120" s="29" t="n">
        <f aca="false">I117/I119</f>
        <v>39.434496009013</v>
      </c>
      <c r="J120" s="29" t="n">
        <f aca="false">J117/J119</f>
        <v>41.8005657695538</v>
      </c>
    </row>
    <row r="121" customFormat="false" ht="17.15" hidden="false" customHeight="false" outlineLevel="0" collapsed="false">
      <c r="A121" s="0" t="s">
        <v>603</v>
      </c>
      <c r="B121" s="0" t="s">
        <v>48</v>
      </c>
      <c r="D121" s="20" t="n">
        <f aca="false">D120/C120-1</f>
        <v>1.03813580587031</v>
      </c>
      <c r="E121" s="20" t="n">
        <f aca="false">E120/D120-1</f>
        <v>0.496687635833963</v>
      </c>
      <c r="F121" s="20" t="n">
        <f aca="false">F120/E120-1</f>
        <v>0.201484294350501</v>
      </c>
      <c r="G121" s="20" t="n">
        <f aca="false">G120/F120-1</f>
        <v>0.081893513229881</v>
      </c>
      <c r="H121" s="27" t="n">
        <f aca="false">H120/G120-1</f>
        <v>0.0451649299588786</v>
      </c>
      <c r="I121" s="27" t="n">
        <f aca="false">I120/H120-1</f>
        <v>0.0525824649794391</v>
      </c>
      <c r="J121" s="27" t="n">
        <f aca="false">J120/I120-1</f>
        <v>0.0599999999999998</v>
      </c>
    </row>
    <row r="122" customFormat="false" ht="17.15" hidden="false" customHeight="false" outlineLevel="0" collapsed="false">
      <c r="A122" s="4" t="s">
        <v>604</v>
      </c>
      <c r="B122" s="0" t="s">
        <v>48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0.0158718602061905</v>
      </c>
      <c r="F122" s="17" t="n">
        <f aca="false">F117/F90</f>
        <v>0.0171993496255317</v>
      </c>
      <c r="G122" s="17" t="n">
        <f aca="false">G117/G90</f>
        <v>0.0179310156618042</v>
      </c>
      <c r="H122" s="28" t="n">
        <f aca="false">$G122+(fade_mA-$G122)*1/3</f>
        <v>0.0179310156618042</v>
      </c>
      <c r="I122" s="28" t="n">
        <f aca="false">$G122+(fade_mA-$G122)*2/3</f>
        <v>0.0179310156618042</v>
      </c>
      <c r="J122" s="28" t="n">
        <f aca="false">$G122+(fade_mA-$G122)*3/3</f>
        <v>0.0179310156618042</v>
      </c>
    </row>
    <row r="125" customFormat="false" ht="17.15" hidden="false" customHeight="false" outlineLevel="0" collapsed="false">
      <c r="A125" s="1" t="s">
        <v>605</v>
      </c>
    </row>
    <row r="126" customFormat="false" ht="17.15" hidden="false" customHeight="false" outlineLevel="0" collapsed="false">
      <c r="A126" s="5" t="s">
        <v>17</v>
      </c>
      <c r="B126" s="5" t="s">
        <v>18</v>
      </c>
      <c r="C126" s="14" t="s">
        <v>414</v>
      </c>
      <c r="D126" s="14" t="s">
        <v>529</v>
      </c>
      <c r="E126" s="14" t="s">
        <v>530</v>
      </c>
      <c r="F126" s="14" t="s">
        <v>531</v>
      </c>
      <c r="G126" s="14" t="s">
        <v>532</v>
      </c>
      <c r="H126" s="14" t="s">
        <v>533</v>
      </c>
      <c r="I126" s="14" t="s">
        <v>534</v>
      </c>
      <c r="J126" s="14" t="s">
        <v>535</v>
      </c>
      <c r="K126" s="5" t="s">
        <v>496</v>
      </c>
    </row>
    <row r="127" customFormat="false" ht="17.15" hidden="false" customHeight="false" outlineLevel="0" collapsed="false">
      <c r="A127" s="6" t="s">
        <v>550</v>
      </c>
    </row>
    <row r="128" customFormat="false" ht="17.15" hidden="false" customHeight="false" outlineLevel="0" collapsed="false">
      <c r="A128" s="0" t="s">
        <v>551</v>
      </c>
      <c r="B128" s="0" t="s">
        <v>28</v>
      </c>
      <c r="D128" s="21" t="n">
        <f aca="false">itc_26*1</f>
        <v>781.872916666667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552</v>
      </c>
      <c r="B129" s="0" t="s">
        <v>28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553</v>
      </c>
      <c r="B130" s="0" t="s">
        <v>498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554</v>
      </c>
      <c r="B131" s="0" t="s">
        <v>555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556</v>
      </c>
    </row>
    <row r="132" customFormat="false" ht="17.15" hidden="false" customHeight="false" outlineLevel="0" collapsed="false">
      <c r="A132" s="0" t="s">
        <v>557</v>
      </c>
      <c r="B132" s="0" t="s">
        <v>28</v>
      </c>
      <c r="D132" s="21" t="n">
        <f aca="false">D130*D131</f>
        <v>634.616531285011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558</v>
      </c>
      <c r="B133" s="0" t="s">
        <v>147</v>
      </c>
      <c r="D133" s="21" t="n">
        <f aca="false">D132*fx</f>
        <v>20307.7290011204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559</v>
      </c>
    </row>
    <row r="135" customFormat="false" ht="17.15" hidden="false" customHeight="false" outlineLevel="0" collapsed="false">
      <c r="A135" s="4" t="s">
        <v>560</v>
      </c>
      <c r="B135" s="0" t="s">
        <v>48</v>
      </c>
      <c r="D135" s="20" t="n">
        <f aca="false">a26_ais/D133</f>
        <v>0.0875096501918446</v>
      </c>
      <c r="K135" s="8" t="s">
        <v>561</v>
      </c>
    </row>
    <row r="136" customFormat="false" ht="17.15" hidden="false" customHeight="false" outlineLevel="0" collapsed="false">
      <c r="A136" s="4" t="s">
        <v>562</v>
      </c>
      <c r="B136" s="0" t="s">
        <v>60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563</v>
      </c>
      <c r="B137" s="0" t="s">
        <v>48</v>
      </c>
      <c r="D137" s="20" t="n">
        <f aca="false">$D$135*D136</f>
        <v>0.0875096501918446</v>
      </c>
      <c r="E137" s="20" t="n">
        <f aca="false">$D$135*E136</f>
        <v>0.0875096501918446</v>
      </c>
      <c r="F137" s="20" t="n">
        <f aca="false">$D$135*F136</f>
        <v>0.0831341676822524</v>
      </c>
      <c r="G137" s="20" t="n">
        <f aca="false">$D$135*G136</f>
        <v>0.0787586851726601</v>
      </c>
    </row>
    <row r="138" customFormat="false" ht="17.15" hidden="false" customHeight="false" outlineLevel="0" collapsed="false">
      <c r="A138" s="4" t="s">
        <v>564</v>
      </c>
      <c r="B138" s="0" t="s">
        <v>147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3072.99589502208</v>
      </c>
      <c r="G138" s="21" t="n">
        <f aca="false">G133*G137</f>
        <v>3523.65860763141</v>
      </c>
    </row>
    <row r="139" customFormat="false" ht="17.15" hidden="false" customHeight="false" outlineLevel="0" collapsed="false">
      <c r="A139" s="4" t="s">
        <v>565</v>
      </c>
      <c r="B139" s="0" t="s">
        <v>48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566</v>
      </c>
    </row>
    <row r="140" customFormat="false" ht="17.15" hidden="false" customHeight="false" outlineLevel="0" collapsed="false">
      <c r="A140" s="4" t="s">
        <v>567</v>
      </c>
      <c r="B140" s="0" t="s">
        <v>147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568</v>
      </c>
    </row>
    <row r="142" customFormat="false" ht="17.15" hidden="false" customHeight="false" outlineLevel="0" collapsed="false">
      <c r="A142" s="0" t="s">
        <v>569</v>
      </c>
      <c r="B142" s="4" t="s">
        <v>81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570</v>
      </c>
      <c r="B143" s="0" t="s">
        <v>48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571</v>
      </c>
      <c r="B144" s="0" t="s">
        <v>520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572</v>
      </c>
    </row>
    <row r="145" customFormat="false" ht="17.15" hidden="false" customHeight="false" outlineLevel="0" collapsed="false">
      <c r="A145" s="0" t="s">
        <v>522</v>
      </c>
      <c r="B145" s="0" t="s">
        <v>147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573</v>
      </c>
    </row>
    <row r="147" customFormat="false" ht="15" hidden="false" customHeight="false" outlineLevel="0" collapsed="false">
      <c r="A147" s="4" t="s">
        <v>574</v>
      </c>
      <c r="B147" s="0" t="s">
        <v>147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575</v>
      </c>
      <c r="B148" s="0" t="s">
        <v>147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576</v>
      </c>
      <c r="B149" s="0" t="s">
        <v>147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3816.64127975755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577</v>
      </c>
      <c r="B150" s="0" t="s">
        <v>48</v>
      </c>
      <c r="D150" s="20" t="n">
        <f aca="false">a26_wai/D133</f>
        <v>0.0391523244650416</v>
      </c>
      <c r="K150" s="8" t="s">
        <v>578</v>
      </c>
    </row>
    <row r="151" customFormat="false" ht="17.15" hidden="false" customHeight="false" outlineLevel="0" collapsed="false">
      <c r="A151" s="4" t="s">
        <v>504</v>
      </c>
      <c r="B151" s="0" t="s">
        <v>48</v>
      </c>
      <c r="D151" s="20" t="n">
        <f aca="false">D150</f>
        <v>0.0391523244650416</v>
      </c>
      <c r="E151" s="20" t="n">
        <f aca="false">$D$150*wrel_27</f>
        <v>0.0391523244650416</v>
      </c>
      <c r="F151" s="20" t="n">
        <f aca="false">$D$150*wrel_28</f>
        <v>0.0391523244650416</v>
      </c>
      <c r="G151" s="20" t="n">
        <f aca="false">$D$150*wrel_29</f>
        <v>0.0371947082417896</v>
      </c>
    </row>
    <row r="152" customFormat="false" ht="17.15" hidden="false" customHeight="false" outlineLevel="0" collapsed="false">
      <c r="A152" s="4" t="s">
        <v>524</v>
      </c>
      <c r="B152" s="0" t="s">
        <v>147</v>
      </c>
      <c r="D152" s="21" t="n">
        <f aca="false">D133*D151</f>
        <v>795.094795</v>
      </c>
      <c r="E152" s="21" t="n">
        <f aca="false">E133*E151</f>
        <v>1427.12501917769</v>
      </c>
      <c r="F152" s="21" t="n">
        <f aca="false">F133*F151</f>
        <v>1447.23806968877</v>
      </c>
      <c r="G152" s="21" t="n">
        <f aca="false">G133*G151</f>
        <v>1664.08890101706</v>
      </c>
    </row>
    <row r="153" customFormat="false" ht="17.15" hidden="false" customHeight="false" outlineLevel="0" collapsed="false">
      <c r="A153" s="4" t="s">
        <v>579</v>
      </c>
      <c r="B153" s="0" t="s">
        <v>147</v>
      </c>
      <c r="D153" s="21" t="n">
        <f aca="false">a26_wna</f>
        <v>650.532105</v>
      </c>
      <c r="E153" s="21" t="n">
        <f aca="false">D153*(1+g_wn27)</f>
        <v>715.5853155</v>
      </c>
      <c r="F153" s="21" t="n">
        <f aca="false">E153*(1+g_wn28)</f>
        <v>758.52043443</v>
      </c>
      <c r="G153" s="21" t="n">
        <f aca="false">F153*(1+g_wn29)</f>
        <v>796.4464561515</v>
      </c>
    </row>
    <row r="154" customFormat="false" ht="15" hidden="false" customHeight="false" outlineLevel="0" collapsed="false">
      <c r="A154" s="4" t="s">
        <v>434</v>
      </c>
      <c r="B154" s="0" t="s">
        <v>147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2142.71033467769</v>
      </c>
      <c r="F154" s="21" t="n">
        <f aca="false">F152+F153</f>
        <v>2205.75850411877</v>
      </c>
      <c r="G154" s="21" t="n">
        <f aca="false">G152+G153</f>
        <v>2460.53535716856</v>
      </c>
    </row>
    <row r="155" customFormat="false" ht="17.15" hidden="false" customHeight="false" outlineLevel="0" collapsed="false">
      <c r="A155" s="4" t="s">
        <v>420</v>
      </c>
      <c r="B155" s="0" t="s">
        <v>147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5959.35161443524</v>
      </c>
      <c r="F155" s="21" t="n">
        <f aca="false">F149+F154</f>
        <v>5596.48519893513</v>
      </c>
      <c r="G155" s="21" t="n">
        <f aca="false">G149+G154</f>
        <v>6069.28905216985</v>
      </c>
      <c r="H155" s="26" t="n">
        <f aca="false">G155*(1+H156)</f>
        <v>6492.04450802955</v>
      </c>
      <c r="I155" s="26" t="n">
        <f aca="false">H155*(1+I156)</f>
        <v>6847.98661135219</v>
      </c>
      <c r="J155" s="26" t="n">
        <f aca="false">I155*(1+J156)</f>
        <v>7121.90607580627</v>
      </c>
      <c r="K155" s="8" t="s">
        <v>580</v>
      </c>
    </row>
    <row r="156" customFormat="false" ht="15" hidden="false" customHeight="false" outlineLevel="0" collapsed="false">
      <c r="A156" s="4" t="s">
        <v>581</v>
      </c>
      <c r="B156" s="0" t="s">
        <v>48</v>
      </c>
      <c r="D156" s="20" t="n">
        <f aca="false">D155/C155-1</f>
        <v>0.873912121761526</v>
      </c>
      <c r="E156" s="20" t="n">
        <f aca="false">E155/D155-1</f>
        <v>0.454439765251677</v>
      </c>
      <c r="F156" s="20" t="n">
        <f aca="false">F155/E155-1</f>
        <v>-0.0608902509832018</v>
      </c>
      <c r="G156" s="20" t="n">
        <f aca="false">G155/F155-1</f>
        <v>0.0844822842245141</v>
      </c>
      <c r="H156" s="27" t="n">
        <f aca="false">$G156+(fade_gB-$G156)*1/3</f>
        <v>0.0696548561496761</v>
      </c>
      <c r="I156" s="27" t="n">
        <f aca="false">$G156+(fade_gB-$G156)*2/3</f>
        <v>0.054827428074838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582</v>
      </c>
      <c r="B157" s="0" t="s">
        <v>48</v>
      </c>
      <c r="D157" s="20" t="n">
        <f aca="false">(D140+D145+D152)/D155</f>
        <v>0.6546220793463</v>
      </c>
      <c r="E157" s="20" t="n">
        <f aca="false">(E140+E145+E152)/E155</f>
        <v>0.749679139384196</v>
      </c>
      <c r="F157" s="20" t="n">
        <f aca="false">(F140+F145+F152)/F155</f>
        <v>0.722560662884797</v>
      </c>
      <c r="G157" s="20" t="n">
        <f aca="false">(G140+G145+G152)/G155</f>
        <v>0.735314770530696</v>
      </c>
    </row>
    <row r="158" customFormat="false" ht="17.15" hidden="false" customHeight="false" outlineLevel="0" collapsed="false">
      <c r="A158" s="4" t="s">
        <v>583</v>
      </c>
      <c r="B158" s="0" t="s">
        <v>48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0.359554272563384</v>
      </c>
      <c r="F158" s="20" t="n">
        <f aca="false">F154/F155</f>
        <v>0.394132821889438</v>
      </c>
      <c r="G158" s="20" t="n">
        <f aca="false">G154/G155</f>
        <v>0.405407509185757</v>
      </c>
    </row>
    <row r="159" customFormat="false" ht="17.15" hidden="false" customHeight="false" outlineLevel="0" collapsed="false">
      <c r="A159" s="4" t="s">
        <v>584</v>
      </c>
      <c r="B159" s="4" t="s">
        <v>331</v>
      </c>
      <c r="D159" s="21" t="n">
        <f aca="false">D138/fx/(odm_gb*(1-vr26)+odm_vr*vr26)</f>
        <v>12.0597330420658</v>
      </c>
      <c r="E159" s="21" t="n">
        <f aca="false">E138/fx/odm_vr</f>
        <v>14.7674893195131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585</v>
      </c>
    </row>
    <row r="160" customFormat="false" ht="17.15" hidden="false" customHeight="false" outlineLevel="0" collapsed="false">
      <c r="A160" s="6" t="s">
        <v>586</v>
      </c>
    </row>
    <row r="161" customFormat="false" ht="17.15" hidden="false" customHeight="false" outlineLevel="0" collapsed="false">
      <c r="A161" s="4" t="s">
        <v>587</v>
      </c>
      <c r="B161" s="0" t="s">
        <v>48</v>
      </c>
      <c r="D161" s="17" t="n">
        <f aca="false">(a26_sgp-d_ai*D140-d_brd*D145-d_gen*D147)/D149</f>
        <v>0.0436423860147897</v>
      </c>
      <c r="K161" s="8" t="s">
        <v>588</v>
      </c>
    </row>
    <row r="162" customFormat="false" ht="17.15" hidden="false" customHeight="false" outlineLevel="0" collapsed="false">
      <c r="A162" s="4" t="s">
        <v>589</v>
      </c>
      <c r="B162" s="0" t="s">
        <v>147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99.9228552931035</v>
      </c>
      <c r="F162" s="25" t="n">
        <f aca="false">($D$161+d_ai+vrd)*F138*(1-F139*(1-keep))</f>
        <v>95.2921838855099</v>
      </c>
      <c r="G162" s="25" t="n">
        <f aca="false">($D$161+d_ai+vrd)*G138*(1-G139*(1-keep))</f>
        <v>108.709541700834</v>
      </c>
    </row>
    <row r="163" customFormat="false" ht="15" hidden="false" customHeight="false" outlineLevel="0" collapsed="false">
      <c r="A163" s="4" t="s">
        <v>590</v>
      </c>
      <c r="B163" s="0" t="s">
        <v>147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591</v>
      </c>
      <c r="B164" s="0" t="s">
        <v>48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592</v>
      </c>
      <c r="B165" s="0" t="s">
        <v>48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593</v>
      </c>
      <c r="B166" s="0" t="s">
        <v>147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594</v>
      </c>
      <c r="B167" s="0" t="s">
        <v>147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95.8074495725884</v>
      </c>
      <c r="F167" s="21" t="n">
        <f aca="false">F163-F166</f>
        <v>89.9117681062896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595</v>
      </c>
      <c r="B168" s="0" t="s">
        <v>48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0.0289700679738432</v>
      </c>
    </row>
    <row r="169" customFormat="false" ht="15" hidden="false" customHeight="false" outlineLevel="0" collapsed="false">
      <c r="A169" s="4" t="s">
        <v>596</v>
      </c>
      <c r="B169" s="0" t="s">
        <v>147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53.6521717606495</v>
      </c>
      <c r="F169" s="21" t="n">
        <f aca="false">F167*snio</f>
        <v>50.3505901395222</v>
      </c>
      <c r="G169" s="21" t="n">
        <f aca="false">G167*snio</f>
        <v>58.5456703132254</v>
      </c>
    </row>
    <row r="170" customFormat="false" ht="17.15" hidden="false" customHeight="false" outlineLevel="0" collapsed="false">
      <c r="A170" s="6" t="s">
        <v>597</v>
      </c>
    </row>
    <row r="171" customFormat="false" ht="15" hidden="false" customHeight="false" outlineLevel="0" collapsed="false">
      <c r="A171" s="4" t="s">
        <v>438</v>
      </c>
      <c r="B171" s="0" t="s">
        <v>147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182.130378447603</v>
      </c>
      <c r="F171" s="21" t="n">
        <f aca="false">F154*wgm</f>
        <v>187.489472850096</v>
      </c>
      <c r="G171" s="21" t="n">
        <f aca="false">G154*wgm</f>
        <v>209.145505359328</v>
      </c>
    </row>
    <row r="172" customFormat="false" ht="15" hidden="false" customHeight="false" outlineLevel="0" collapsed="false">
      <c r="A172" s="4" t="s">
        <v>440</v>
      </c>
      <c r="B172" s="0" t="s">
        <v>147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139.27617175405</v>
      </c>
      <c r="F172" s="21" t="n">
        <f aca="false">F154*wopm</f>
        <v>143.37430276772</v>
      </c>
      <c r="G172" s="21" t="n">
        <f aca="false">G154*wopm</f>
        <v>159.934798215957</v>
      </c>
    </row>
    <row r="173" customFormat="false" ht="15" hidden="false" customHeight="false" outlineLevel="0" collapsed="false">
      <c r="A173" s="4" t="s">
        <v>448</v>
      </c>
      <c r="B173" s="0" t="s">
        <v>147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108.635413968159</v>
      </c>
      <c r="F173" s="21" t="n">
        <f aca="false">F172*wnio</f>
        <v>111.831956158822</v>
      </c>
      <c r="G173" s="21" t="n">
        <f aca="false">G172*wnio</f>
        <v>124.749142608446</v>
      </c>
    </row>
    <row r="174" customFormat="false" ht="15" hidden="false" customHeight="false" outlineLevel="0" collapsed="false">
      <c r="A174" s="4" t="s">
        <v>450</v>
      </c>
      <c r="B174" s="0" t="s">
        <v>48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598</v>
      </c>
    </row>
    <row r="176" customFormat="false" ht="15" hidden="false" customHeight="false" outlineLevel="0" collapsed="false">
      <c r="A176" s="4" t="s">
        <v>424</v>
      </c>
      <c r="B176" s="0" t="s">
        <v>147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331.122306711138</v>
      </c>
      <c r="F176" s="21" t="n">
        <f aca="false">F163+F171</f>
        <v>330.585719647331</v>
      </c>
      <c r="G176" s="21" t="n">
        <f aca="false">G163+G171</f>
        <v>367.901767893971</v>
      </c>
    </row>
    <row r="177" customFormat="false" ht="15" hidden="false" customHeight="false" outlineLevel="0" collapsed="false">
      <c r="A177" s="4" t="s">
        <v>427</v>
      </c>
      <c r="B177" s="0" t="s">
        <v>48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0.0555634787363554</v>
      </c>
      <c r="F177" s="17" t="n">
        <f aca="false">F176/F155</f>
        <v>0.0590702392477038</v>
      </c>
      <c r="G177" s="17" t="n">
        <f aca="false">G176/G155</f>
        <v>0.0606169461911591</v>
      </c>
    </row>
    <row r="178" customFormat="false" ht="15" hidden="false" customHeight="false" outlineLevel="0" collapsed="false">
      <c r="A178" s="4" t="s">
        <v>428</v>
      </c>
      <c r="B178" s="0" t="s">
        <v>147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235.083621326638</v>
      </c>
      <c r="F178" s="21" t="n">
        <f aca="false">F167+F172</f>
        <v>233.28607087401</v>
      </c>
      <c r="G178" s="21" t="n">
        <f aca="false">G167+G172</f>
        <v>264.480638061002</v>
      </c>
    </row>
    <row r="179" customFormat="false" ht="15" hidden="false" customHeight="false" outlineLevel="0" collapsed="false">
      <c r="A179" s="4" t="s">
        <v>431</v>
      </c>
      <c r="B179" s="0" t="s">
        <v>48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0.0394478521383432</v>
      </c>
      <c r="F179" s="17" t="n">
        <f aca="false">F178/F155</f>
        <v>0.0416843898592635</v>
      </c>
      <c r="G179" s="17" t="n">
        <f aca="false">G178/G155</f>
        <v>0.0435768729726996</v>
      </c>
    </row>
    <row r="180" customFormat="false" ht="15" hidden="false" customHeight="false" outlineLevel="0" collapsed="false">
      <c r="A180" s="4" t="s">
        <v>461</v>
      </c>
      <c r="B180" s="0" t="s">
        <v>147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162.287585728808</v>
      </c>
      <c r="F180" s="21" t="n">
        <f aca="false">F169+F173</f>
        <v>162.182546298344</v>
      </c>
      <c r="G180" s="21" t="n">
        <f aca="false">G169+G173</f>
        <v>183.294812921672</v>
      </c>
    </row>
    <row r="181" customFormat="false" ht="17.15" hidden="false" customHeight="false" outlineLevel="0" collapsed="false">
      <c r="A181" s="4" t="s">
        <v>599</v>
      </c>
      <c r="B181" s="0" t="s">
        <v>147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67.7015899849565</v>
      </c>
      <c r="F181" s="21" t="n">
        <f aca="false">(1-F174)*F173</f>
        <v>69.6936750781778</v>
      </c>
      <c r="G181" s="21" t="n">
        <f aca="false">(1-G174)*G173</f>
        <v>77.7436656735836</v>
      </c>
    </row>
    <row r="182" customFormat="false" ht="15" hidden="false" customHeight="false" outlineLevel="0" collapsed="false">
      <c r="A182" s="4" t="s">
        <v>457</v>
      </c>
      <c r="B182" s="0" t="s">
        <v>147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94.5859957438517</v>
      </c>
      <c r="F182" s="21" t="n">
        <f aca="false">F180-F181</f>
        <v>92.4888712201663</v>
      </c>
      <c r="G182" s="21" t="n">
        <f aca="false">G180-G181</f>
        <v>105.551147248088</v>
      </c>
      <c r="H182" s="26" t="n">
        <f aca="false">H155*H187</f>
        <v>109.139853985217</v>
      </c>
      <c r="I182" s="26" t="n">
        <f aca="false">I155*I187</f>
        <v>111.153928325218</v>
      </c>
      <c r="J182" s="26" t="n">
        <f aca="false">J155*J187</f>
        <v>111.471510977576</v>
      </c>
    </row>
    <row r="183" customFormat="false" ht="17.15" hidden="false" customHeight="false" outlineLevel="0" collapsed="false">
      <c r="A183" s="4" t="s">
        <v>600</v>
      </c>
      <c r="B183" s="0" t="s">
        <v>48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0.432768335960168</v>
      </c>
      <c r="F183" s="20" t="n">
        <f aca="false">F174*F173/F182</f>
        <v>0.455603798865006</v>
      </c>
      <c r="G183" s="20" t="n">
        <f aca="false">G174*G173/G182</f>
        <v>0.445333643076191</v>
      </c>
    </row>
    <row r="184" customFormat="false" ht="17.15" hidden="false" customHeight="false" outlineLevel="0" collapsed="false">
      <c r="A184" s="4" t="s">
        <v>601</v>
      </c>
      <c r="B184" s="4" t="s">
        <v>282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602</v>
      </c>
    </row>
    <row r="185" customFormat="false" ht="15" hidden="false" customHeight="false" outlineLevel="0" collapsed="false">
      <c r="A185" s="0" t="s">
        <v>464</v>
      </c>
      <c r="B185" s="0" t="s">
        <v>312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27.5760920536011</v>
      </c>
      <c r="F185" s="18" t="n">
        <f aca="false">F182/F184</f>
        <v>26.9646854869289</v>
      </c>
      <c r="G185" s="18" t="n">
        <f aca="false">G182/G184</f>
        <v>30.7729292268478</v>
      </c>
      <c r="H185" s="29" t="n">
        <f aca="false">H182/H184</f>
        <v>31.8191994125998</v>
      </c>
      <c r="I185" s="29" t="n">
        <f aca="false">I182/I184</f>
        <v>32.4063930977312</v>
      </c>
      <c r="J185" s="29" t="n">
        <f aca="false">J182/J184</f>
        <v>32.4989827922961</v>
      </c>
    </row>
    <row r="186" customFormat="false" ht="17.15" hidden="false" customHeight="false" outlineLevel="0" collapsed="false">
      <c r="A186" s="0" t="s">
        <v>603</v>
      </c>
      <c r="B186" s="0" t="s">
        <v>48</v>
      </c>
      <c r="D186" s="20" t="n">
        <f aca="false">D185/C185-1</f>
        <v>1.03813580587031</v>
      </c>
      <c r="E186" s="20" t="n">
        <f aca="false">E185/D185-1</f>
        <v>0.496687635833963</v>
      </c>
      <c r="F186" s="20" t="n">
        <f aca="false">F185/E185-1</f>
        <v>-0.0221716175549359</v>
      </c>
      <c r="G186" s="20" t="n">
        <f aca="false">G185/F185-1</f>
        <v>0.14123078653244</v>
      </c>
      <c r="H186" s="27" t="n">
        <f aca="false">H185/G185-1</f>
        <v>0.0339996942780203</v>
      </c>
      <c r="I186" s="27" t="n">
        <f aca="false">I185/H185-1</f>
        <v>0.0184540684860506</v>
      </c>
      <c r="J186" s="27" t="n">
        <f aca="false">J185/I185-1</f>
        <v>0.00285714285714289</v>
      </c>
    </row>
    <row r="187" customFormat="false" ht="17.15" hidden="false" customHeight="false" outlineLevel="0" collapsed="false">
      <c r="A187" s="4" t="s">
        <v>604</v>
      </c>
      <c r="B187" s="0" t="s">
        <v>48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0.0158718602061905</v>
      </c>
      <c r="F187" s="17" t="n">
        <f aca="false">F182/F155</f>
        <v>0.0165262424419106</v>
      </c>
      <c r="G187" s="17" t="n">
        <f aca="false">G182/G155</f>
        <v>0.0173910232880327</v>
      </c>
      <c r="H187" s="28" t="n">
        <f aca="false">$G187+(fade_mB-$G187)*1/3</f>
        <v>0.016811322511765</v>
      </c>
      <c r="I187" s="28" t="n">
        <f aca="false">$G187+(fade_mB-$G187)*2/3</f>
        <v>0.0162316217354972</v>
      </c>
      <c r="J187" s="28" t="n">
        <f aca="false">$G187+(fade_mB-$G187)*3/3</f>
        <v>0.0156519209592294</v>
      </c>
    </row>
    <row r="190" customFormat="false" ht="17.15" hidden="false" customHeight="false" outlineLevel="0" collapsed="false">
      <c r="A190" s="1" t="s">
        <v>606</v>
      </c>
    </row>
    <row r="191" customFormat="false" ht="17.15" hidden="false" customHeight="false" outlineLevel="0" collapsed="false">
      <c r="A191" s="5" t="s">
        <v>17</v>
      </c>
      <c r="B191" s="5" t="s">
        <v>18</v>
      </c>
      <c r="C191" s="14" t="s">
        <v>414</v>
      </c>
      <c r="D191" s="14" t="s">
        <v>529</v>
      </c>
      <c r="E191" s="14" t="s">
        <v>530</v>
      </c>
      <c r="F191" s="14" t="s">
        <v>531</v>
      </c>
      <c r="G191" s="14" t="s">
        <v>532</v>
      </c>
      <c r="H191" s="14" t="s">
        <v>533</v>
      </c>
      <c r="I191" s="14" t="s">
        <v>534</v>
      </c>
      <c r="J191" s="14" t="s">
        <v>535</v>
      </c>
      <c r="K191" s="5" t="s">
        <v>496</v>
      </c>
    </row>
    <row r="192" customFormat="false" ht="17.15" hidden="false" customHeight="false" outlineLevel="0" collapsed="false">
      <c r="A192" s="6" t="s">
        <v>550</v>
      </c>
    </row>
    <row r="193" customFormat="false" ht="17.15" hidden="false" customHeight="false" outlineLevel="0" collapsed="false">
      <c r="A193" s="0" t="s">
        <v>551</v>
      </c>
      <c r="B193" s="0" t="s">
        <v>28</v>
      </c>
      <c r="D193" s="21" t="n">
        <f aca="false">itc_26*1</f>
        <v>781.872916666667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552</v>
      </c>
      <c r="B194" s="0" t="s">
        <v>28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553</v>
      </c>
      <c r="B195" s="0" t="s">
        <v>498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554</v>
      </c>
      <c r="B196" s="0" t="s">
        <v>555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556</v>
      </c>
    </row>
    <row r="197" customFormat="false" ht="17.15" hidden="false" customHeight="false" outlineLevel="0" collapsed="false">
      <c r="A197" s="0" t="s">
        <v>557</v>
      </c>
      <c r="B197" s="0" t="s">
        <v>28</v>
      </c>
      <c r="D197" s="21" t="n">
        <f aca="false">D195*D196</f>
        <v>634.616531285011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558</v>
      </c>
      <c r="B198" s="0" t="s">
        <v>147</v>
      </c>
      <c r="D198" s="21" t="n">
        <f aca="false">D197*fx</f>
        <v>20307.7290011204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559</v>
      </c>
    </row>
    <row r="200" customFormat="false" ht="17.15" hidden="false" customHeight="false" outlineLevel="0" collapsed="false">
      <c r="A200" s="4" t="s">
        <v>560</v>
      </c>
      <c r="B200" s="0" t="s">
        <v>48</v>
      </c>
      <c r="D200" s="20" t="n">
        <f aca="false">a26_ais/D198</f>
        <v>0.0875096501918446</v>
      </c>
      <c r="K200" s="8" t="s">
        <v>561</v>
      </c>
    </row>
    <row r="201" customFormat="false" ht="17.15" hidden="false" customHeight="false" outlineLevel="0" collapsed="false">
      <c r="A201" s="4" t="s">
        <v>562</v>
      </c>
      <c r="B201" s="0" t="s">
        <v>60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563</v>
      </c>
      <c r="B202" s="0" t="s">
        <v>48</v>
      </c>
      <c r="D202" s="20" t="n">
        <f aca="false">$D$200*D201</f>
        <v>0.0875096501918446</v>
      </c>
      <c r="E202" s="20" t="n">
        <f aca="false">$D$200*E201</f>
        <v>0.0875096501918446</v>
      </c>
      <c r="F202" s="20" t="n">
        <f aca="false">$D$200*F201</f>
        <v>0.0831341676822524</v>
      </c>
      <c r="G202" s="20" t="n">
        <f aca="false">$D$200*G201</f>
        <v>0.0787586851726601</v>
      </c>
    </row>
    <row r="203" customFormat="false" ht="17.15" hidden="false" customHeight="false" outlineLevel="0" collapsed="false">
      <c r="A203" s="4" t="s">
        <v>564</v>
      </c>
      <c r="B203" s="0" t="s">
        <v>147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2304.74692126656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565</v>
      </c>
      <c r="B204" s="0" t="s">
        <v>48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566</v>
      </c>
    </row>
    <row r="205" customFormat="false" ht="17.15" hidden="false" customHeight="false" outlineLevel="0" collapsed="false">
      <c r="A205" s="4" t="s">
        <v>567</v>
      </c>
      <c r="B205" s="0" t="s">
        <v>147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568</v>
      </c>
    </row>
    <row r="207" customFormat="false" ht="17.15" hidden="false" customHeight="false" outlineLevel="0" collapsed="false">
      <c r="A207" s="0" t="s">
        <v>569</v>
      </c>
      <c r="B207" s="4" t="s">
        <v>81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570</v>
      </c>
      <c r="B208" s="0" t="s">
        <v>48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571</v>
      </c>
      <c r="B209" s="0" t="s">
        <v>520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572</v>
      </c>
    </row>
    <row r="210" customFormat="false" ht="17.15" hidden="false" customHeight="false" outlineLevel="0" collapsed="false">
      <c r="A210" s="0" t="s">
        <v>522</v>
      </c>
      <c r="B210" s="0" t="s">
        <v>147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573</v>
      </c>
    </row>
    <row r="212" customFormat="false" ht="15" hidden="false" customHeight="false" outlineLevel="0" collapsed="false">
      <c r="A212" s="4" t="s">
        <v>574</v>
      </c>
      <c r="B212" s="0" t="s">
        <v>147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575</v>
      </c>
      <c r="B213" s="0" t="s">
        <v>147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576</v>
      </c>
      <c r="B214" s="0" t="s">
        <v>147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3816.64127975755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577</v>
      </c>
      <c r="B215" s="0" t="s">
        <v>48</v>
      </c>
      <c r="D215" s="20" t="n">
        <f aca="false">a26_wai/D198</f>
        <v>0.0391523244650416</v>
      </c>
      <c r="K215" s="8" t="s">
        <v>578</v>
      </c>
    </row>
    <row r="216" customFormat="false" ht="17.15" hidden="false" customHeight="false" outlineLevel="0" collapsed="false">
      <c r="A216" s="4" t="s">
        <v>504</v>
      </c>
      <c r="B216" s="0" t="s">
        <v>48</v>
      </c>
      <c r="D216" s="20" t="n">
        <f aca="false">D215</f>
        <v>0.0391523244650416</v>
      </c>
      <c r="E216" s="20" t="n">
        <f aca="false">$D$215*wrel_27</f>
        <v>0.0391523244650416</v>
      </c>
      <c r="F216" s="20" t="n">
        <f aca="false">$D$215*wrel_28</f>
        <v>0.0391523244650416</v>
      </c>
      <c r="G216" s="20" t="n">
        <f aca="false">$D$215*wrel_29</f>
        <v>0.0371947082417896</v>
      </c>
    </row>
    <row r="217" customFormat="false" ht="17.15" hidden="false" customHeight="false" outlineLevel="0" collapsed="false">
      <c r="A217" s="4" t="s">
        <v>524</v>
      </c>
      <c r="B217" s="0" t="s">
        <v>147</v>
      </c>
      <c r="D217" s="21" t="n">
        <f aca="false">D198*D216</f>
        <v>795.094795</v>
      </c>
      <c r="E217" s="21" t="n">
        <f aca="false">E198*E216</f>
        <v>1427.12501917769</v>
      </c>
      <c r="F217" s="21" t="n">
        <f aca="false">F198*F216</f>
        <v>1085.42855226658</v>
      </c>
      <c r="G217" s="21" t="n">
        <f aca="false">G198*G216</f>
        <v>1174.65098895322</v>
      </c>
    </row>
    <row r="218" customFormat="false" ht="17.15" hidden="false" customHeight="false" outlineLevel="0" collapsed="false">
      <c r="A218" s="4" t="s">
        <v>579</v>
      </c>
      <c r="B218" s="0" t="s">
        <v>147</v>
      </c>
      <c r="D218" s="21" t="n">
        <f aca="false">a26_wna</f>
        <v>650.532105</v>
      </c>
      <c r="E218" s="21" t="n">
        <f aca="false">D218*(1+g_wn27)</f>
        <v>715.5853155</v>
      </c>
      <c r="F218" s="21" t="n">
        <f aca="false">E218*(1+g_wn28)</f>
        <v>758.52043443</v>
      </c>
      <c r="G218" s="21" t="n">
        <f aca="false">F218*(1+g_wn29)</f>
        <v>796.4464561515</v>
      </c>
    </row>
    <row r="219" customFormat="false" ht="15" hidden="false" customHeight="false" outlineLevel="0" collapsed="false">
      <c r="A219" s="4" t="s">
        <v>434</v>
      </c>
      <c r="B219" s="0" t="s">
        <v>147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2142.71033467769</v>
      </c>
      <c r="F219" s="21" t="n">
        <f aca="false">F217+F218</f>
        <v>1843.94898669658</v>
      </c>
      <c r="G219" s="21" t="n">
        <f aca="false">G217+G218</f>
        <v>1971.09744510472</v>
      </c>
    </row>
    <row r="220" customFormat="false" ht="17.15" hidden="false" customHeight="false" outlineLevel="0" collapsed="false">
      <c r="A220" s="4" t="s">
        <v>420</v>
      </c>
      <c r="B220" s="0" t="s">
        <v>147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5959.35161443524</v>
      </c>
      <c r="F220" s="21" t="n">
        <f aca="false">F214+F219</f>
        <v>4585.53518514325</v>
      </c>
      <c r="G220" s="21" t="n">
        <f aca="false">G214+G219</f>
        <v>4756.68967373434</v>
      </c>
      <c r="H220" s="26" t="n">
        <f aca="false">G220*(1+H221)</f>
        <v>4906.76280957769</v>
      </c>
      <c r="I220" s="26" t="n">
        <f aca="false">H220*(1+I221)</f>
        <v>5033.23440263453</v>
      </c>
      <c r="J220" s="26" t="n">
        <f aca="false">I220*(1+J221)</f>
        <v>5133.89909068723</v>
      </c>
      <c r="K220" s="8" t="s">
        <v>580</v>
      </c>
    </row>
    <row r="221" customFormat="false" ht="15" hidden="false" customHeight="false" outlineLevel="0" collapsed="false">
      <c r="A221" s="4" t="s">
        <v>581</v>
      </c>
      <c r="B221" s="0" t="s">
        <v>48</v>
      </c>
      <c r="D221" s="20" t="n">
        <f aca="false">D220/C220-1</f>
        <v>0.873912121761526</v>
      </c>
      <c r="E221" s="20" t="n">
        <f aca="false">E220/D220-1</f>
        <v>0.454439765251677</v>
      </c>
      <c r="F221" s="20" t="n">
        <f aca="false">F220/E220-1</f>
        <v>-0.23053119167599</v>
      </c>
      <c r="G221" s="20" t="n">
        <f aca="false">G220/F220-1</f>
        <v>0.0373248664944532</v>
      </c>
      <c r="H221" s="27" t="n">
        <f aca="false">$G221+(fade_gC-$G221)*1/3</f>
        <v>0.0315499109963021</v>
      </c>
      <c r="I221" s="27" t="n">
        <f aca="false">$G221+(fade_gC-$G221)*2/3</f>
        <v>0.0257749554981511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582</v>
      </c>
      <c r="B222" s="0" t="s">
        <v>48</v>
      </c>
      <c r="D222" s="20" t="n">
        <f aca="false">(D205+D210+D217)/D220</f>
        <v>0.6546220793463</v>
      </c>
      <c r="E222" s="20" t="n">
        <f aca="false">(E205+E210+E217)/E220</f>
        <v>0.749679139384196</v>
      </c>
      <c r="F222" s="20" t="n">
        <f aca="false">(F205+F210+F217)/F220</f>
        <v>0.66139499947614</v>
      </c>
      <c r="G222" s="20" t="n">
        <f aca="false">(G205+G210+G217)/G220</f>
        <v>0.662275389887284</v>
      </c>
    </row>
    <row r="223" customFormat="false" ht="17.15" hidden="false" customHeight="false" outlineLevel="0" collapsed="false">
      <c r="A223" s="4" t="s">
        <v>583</v>
      </c>
      <c r="B223" s="0" t="s">
        <v>48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0.359554272563384</v>
      </c>
      <c r="F223" s="20" t="n">
        <f aca="false">F219/F220</f>
        <v>0.402122961060428</v>
      </c>
      <c r="G223" s="20" t="n">
        <f aca="false">G219/G220</f>
        <v>0.414384284093368</v>
      </c>
    </row>
    <row r="224" customFormat="false" ht="17.15" hidden="false" customHeight="false" outlineLevel="0" collapsed="false">
      <c r="A224" s="4" t="s">
        <v>584</v>
      </c>
      <c r="B224" s="4" t="s">
        <v>331</v>
      </c>
      <c r="D224" s="21" t="n">
        <f aca="false">D203/fx/(odm_gb*(1-vr26)+odm_vr*vr26)</f>
        <v>12.0597330420658</v>
      </c>
      <c r="E224" s="21" t="n">
        <f aca="false">E203/fx/odm_vr</f>
        <v>14.7674893195131</v>
      </c>
      <c r="F224" s="21" t="n">
        <f aca="false">F203/fx/odm_vr</f>
        <v>10.6701246354933</v>
      </c>
      <c r="G224" s="21" t="n">
        <f aca="false">G203/fx/odm_vr</f>
        <v>11.5152242079458</v>
      </c>
      <c r="K224" s="4" t="s">
        <v>585</v>
      </c>
    </row>
    <row r="225" customFormat="false" ht="17.15" hidden="false" customHeight="false" outlineLevel="0" collapsed="false">
      <c r="A225" s="6" t="s">
        <v>586</v>
      </c>
    </row>
    <row r="226" customFormat="false" ht="17.15" hidden="false" customHeight="false" outlineLevel="0" collapsed="false">
      <c r="A226" s="4" t="s">
        <v>587</v>
      </c>
      <c r="B226" s="0" t="s">
        <v>48</v>
      </c>
      <c r="D226" s="17" t="n">
        <f aca="false">(a26_sgp-d_ai*D205-d_brd*D210-d_gen*D212)/D214</f>
        <v>0.0436423860147897</v>
      </c>
      <c r="K226" s="8" t="s">
        <v>588</v>
      </c>
    </row>
    <row r="227" customFormat="false" ht="17.15" hidden="false" customHeight="false" outlineLevel="0" collapsed="false">
      <c r="A227" s="4" t="s">
        <v>589</v>
      </c>
      <c r="B227" s="0" t="s">
        <v>147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99.9228552931035</v>
      </c>
      <c r="F227" s="25" t="n">
        <f aca="false">($D$226+d_ai+vrd)*F203*(1-F204*(1-keep))</f>
        <v>71.4691379141325</v>
      </c>
      <c r="G227" s="25" t="n">
        <f aca="false">($D$226+d_ai+vrd)*G203*(1-G204*(1-keep))</f>
        <v>76.7361470829419</v>
      </c>
    </row>
    <row r="228" customFormat="false" ht="15" hidden="false" customHeight="false" outlineLevel="0" collapsed="false">
      <c r="A228" s="4" t="s">
        <v>590</v>
      </c>
      <c r="B228" s="0" t="s">
        <v>147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591</v>
      </c>
      <c r="B229" s="0" t="s">
        <v>48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592</v>
      </c>
      <c r="B230" s="0" t="s">
        <v>48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0.00481539083555522</v>
      </c>
    </row>
    <row r="231" customFormat="false" ht="15" hidden="false" customHeight="false" outlineLevel="0" collapsed="false">
      <c r="A231" s="4" t="s">
        <v>593</v>
      </c>
      <c r="B231" s="0" t="s">
        <v>147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594</v>
      </c>
      <c r="B232" s="0" t="s">
        <v>147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95.8074495725884</v>
      </c>
      <c r="F232" s="21" t="n">
        <f aca="false">F228-F231</f>
        <v>63.5450171080396</v>
      </c>
      <c r="G232" s="21" t="n">
        <f aca="false">G228-G231</f>
        <v>69.9632902818464</v>
      </c>
    </row>
    <row r="233" customFormat="false" ht="15" hidden="false" customHeight="false" outlineLevel="0" collapsed="false">
      <c r="A233" s="4" t="s">
        <v>595</v>
      </c>
      <c r="B233" s="0" t="s">
        <v>48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596</v>
      </c>
      <c r="B234" s="0" t="s">
        <v>147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53.6521717606495</v>
      </c>
      <c r="F234" s="21" t="n">
        <f aca="false">F232*snio</f>
        <v>35.5852095805022</v>
      </c>
      <c r="G234" s="21" t="n">
        <f aca="false">G232*snio</f>
        <v>39.179442557834</v>
      </c>
    </row>
    <row r="235" customFormat="false" ht="17.15" hidden="false" customHeight="false" outlineLevel="0" collapsed="false">
      <c r="A235" s="6" t="s">
        <v>597</v>
      </c>
    </row>
    <row r="236" customFormat="false" ht="15" hidden="false" customHeight="false" outlineLevel="0" collapsed="false">
      <c r="A236" s="4" t="s">
        <v>438</v>
      </c>
      <c r="B236" s="0" t="s">
        <v>147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182.130378447603</v>
      </c>
      <c r="F236" s="21" t="n">
        <f aca="false">F219*wgm</f>
        <v>156.735663869209</v>
      </c>
      <c r="G236" s="21" t="n">
        <f aca="false">G219*wgm</f>
        <v>167.543282833901</v>
      </c>
    </row>
    <row r="237" customFormat="false" ht="15" hidden="false" customHeight="false" outlineLevel="0" collapsed="false">
      <c r="A237" s="4" t="s">
        <v>440</v>
      </c>
      <c r="B237" s="0" t="s">
        <v>147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139.27617175405</v>
      </c>
      <c r="F237" s="21" t="n">
        <f aca="false">F219*wopm</f>
        <v>119.856684135278</v>
      </c>
      <c r="G237" s="21" t="n">
        <f aca="false">G219*wopm</f>
        <v>128.121333931807</v>
      </c>
    </row>
    <row r="238" customFormat="false" ht="15" hidden="false" customHeight="false" outlineLevel="0" collapsed="false">
      <c r="A238" s="4" t="s">
        <v>448</v>
      </c>
      <c r="B238" s="0" t="s">
        <v>147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108.635413968159</v>
      </c>
      <c r="F238" s="21" t="n">
        <f aca="false">F237*wnio</f>
        <v>93.4882136255166</v>
      </c>
      <c r="G238" s="21" t="n">
        <f aca="false">G237*wnio</f>
        <v>99.9346404668093</v>
      </c>
    </row>
    <row r="239" customFormat="false" ht="15" hidden="false" customHeight="false" outlineLevel="0" collapsed="false">
      <c r="A239" s="4" t="s">
        <v>450</v>
      </c>
      <c r="B239" s="0" t="s">
        <v>48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598</v>
      </c>
    </row>
    <row r="241" customFormat="false" ht="15" hidden="false" customHeight="false" outlineLevel="0" collapsed="false">
      <c r="A241" s="4" t="s">
        <v>424</v>
      </c>
      <c r="B241" s="0" t="s">
        <v>147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331.122306711138</v>
      </c>
      <c r="F241" s="21" t="n">
        <f aca="false">F228+F236</f>
        <v>273.465159668195</v>
      </c>
      <c r="G241" s="21" t="n">
        <f aca="false">G228+G236</f>
        <v>290.947155857976</v>
      </c>
    </row>
    <row r="242" customFormat="false" ht="15" hidden="false" customHeight="false" outlineLevel="0" collapsed="false">
      <c r="A242" s="4" t="s">
        <v>427</v>
      </c>
      <c r="B242" s="0" t="s">
        <v>48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0.0555634787363554</v>
      </c>
      <c r="F242" s="17" t="n">
        <f aca="false">F241/F220</f>
        <v>0.0596364761422394</v>
      </c>
      <c r="G242" s="17" t="n">
        <f aca="false">G241/G220</f>
        <v>0.0611658896868001</v>
      </c>
    </row>
    <row r="243" customFormat="false" ht="15" hidden="false" customHeight="false" outlineLevel="0" collapsed="false">
      <c r="A243" s="4" t="s">
        <v>428</v>
      </c>
      <c r="B243" s="0" t="s">
        <v>147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235.083621326638</v>
      </c>
      <c r="F243" s="21" t="n">
        <f aca="false">F232+F237</f>
        <v>183.401701243317</v>
      </c>
      <c r="G243" s="21" t="n">
        <f aca="false">G232+G237</f>
        <v>198.084624213653</v>
      </c>
    </row>
    <row r="244" customFormat="false" ht="15" hidden="false" customHeight="false" outlineLevel="0" collapsed="false">
      <c r="A244" s="4" t="s">
        <v>431</v>
      </c>
      <c r="B244" s="0" t="s">
        <v>48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0.0394478521383432</v>
      </c>
      <c r="F244" s="17" t="n">
        <f aca="false">F243/F220</f>
        <v>0.0399957025381734</v>
      </c>
      <c r="G244" s="17" t="n">
        <f aca="false">G243/G220</f>
        <v>0.0416433776009068</v>
      </c>
    </row>
    <row r="245" customFormat="false" ht="15" hidden="false" customHeight="false" outlineLevel="0" collapsed="false">
      <c r="A245" s="4" t="s">
        <v>461</v>
      </c>
      <c r="B245" s="0" t="s">
        <v>147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162.287585728808</v>
      </c>
      <c r="F245" s="21" t="n">
        <f aca="false">F234+F238</f>
        <v>129.073423206019</v>
      </c>
      <c r="G245" s="21" t="n">
        <f aca="false">G234+G238</f>
        <v>139.114083024643</v>
      </c>
    </row>
    <row r="246" customFormat="false" ht="17.15" hidden="false" customHeight="false" outlineLevel="0" collapsed="false">
      <c r="A246" s="4" t="s">
        <v>599</v>
      </c>
      <c r="B246" s="0" t="s">
        <v>147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67.7015899849565</v>
      </c>
      <c r="F246" s="21" t="n">
        <f aca="false">(1-F239)*F238</f>
        <v>58.2618547314219</v>
      </c>
      <c r="G246" s="21" t="n">
        <f aca="false">(1-G239)*G238</f>
        <v>62.2792679389156</v>
      </c>
    </row>
    <row r="247" customFormat="false" ht="15" hidden="false" customHeight="false" outlineLevel="0" collapsed="false">
      <c r="A247" s="4" t="s">
        <v>457</v>
      </c>
      <c r="B247" s="0" t="s">
        <v>147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94.5859957438517</v>
      </c>
      <c r="F247" s="21" t="n">
        <f aca="false">F245-F246</f>
        <v>70.8115684745968</v>
      </c>
      <c r="G247" s="21" t="n">
        <f aca="false">G245-G246</f>
        <v>76.8348150857277</v>
      </c>
      <c r="H247" s="26" t="n">
        <f aca="false">H220*H252</f>
        <v>73.9750168855598</v>
      </c>
      <c r="I247" s="26" t="n">
        <f aca="false">I220*I252</f>
        <v>70.4615968213486</v>
      </c>
      <c r="J247" s="26" t="n">
        <f aca="false">J220*J252</f>
        <v>66.342303468716</v>
      </c>
    </row>
    <row r="248" customFormat="false" ht="17.15" hidden="false" customHeight="false" outlineLevel="0" collapsed="false">
      <c r="A248" s="4" t="s">
        <v>600</v>
      </c>
      <c r="B248" s="0" t="s">
        <v>48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0.432768335960168</v>
      </c>
      <c r="F248" s="20" t="n">
        <f aca="false">F239*F238/F247</f>
        <v>0.497466157761099</v>
      </c>
      <c r="G248" s="20" t="n">
        <f aca="false">G239*G238/G247</f>
        <v>0.490082165043023</v>
      </c>
    </row>
    <row r="249" customFormat="false" ht="17.15" hidden="false" customHeight="false" outlineLevel="0" collapsed="false">
      <c r="A249" s="4" t="s">
        <v>601</v>
      </c>
      <c r="B249" s="4" t="s">
        <v>282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602</v>
      </c>
    </row>
    <row r="250" customFormat="false" ht="15" hidden="false" customHeight="false" outlineLevel="0" collapsed="false">
      <c r="A250" s="0" t="s">
        <v>464</v>
      </c>
      <c r="B250" s="0" t="s">
        <v>312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27.5760920536011</v>
      </c>
      <c r="F250" s="18" t="n">
        <f aca="false">F247/F249</f>
        <v>20.6447721500282</v>
      </c>
      <c r="G250" s="18" t="n">
        <f aca="false">G247/G249</f>
        <v>22.400820724702</v>
      </c>
      <c r="H250" s="29" t="n">
        <f aca="false">H247/H249</f>
        <v>21.5670603164897</v>
      </c>
      <c r="I250" s="29" t="n">
        <f aca="false">I247/I249</f>
        <v>20.5427395980608</v>
      </c>
      <c r="J250" s="29" t="n">
        <f aca="false">J247/J249</f>
        <v>19.3417794369434</v>
      </c>
    </row>
    <row r="251" customFormat="false" ht="17.15" hidden="false" customHeight="false" outlineLevel="0" collapsed="false">
      <c r="A251" s="0" t="s">
        <v>603</v>
      </c>
      <c r="B251" s="0" t="s">
        <v>48</v>
      </c>
      <c r="D251" s="20" t="n">
        <f aca="false">D250/C250-1</f>
        <v>1.03813580587031</v>
      </c>
      <c r="E251" s="20" t="n">
        <f aca="false">E250/D250-1</f>
        <v>0.496687635833963</v>
      </c>
      <c r="F251" s="20" t="n">
        <f aca="false">F250/E250-1</f>
        <v>-0.251352508183542</v>
      </c>
      <c r="G251" s="20" t="n">
        <f aca="false">G250/F250-1</f>
        <v>0.0850602061341395</v>
      </c>
      <c r="H251" s="27" t="n">
        <f aca="false">H250/G250-1</f>
        <v>-0.0372200830701178</v>
      </c>
      <c r="I251" s="27" t="n">
        <f aca="false">I250/H250-1</f>
        <v>-0.0474946841802886</v>
      </c>
      <c r="J251" s="27" t="n">
        <f aca="false">J250/I250-1</f>
        <v>-0.0584615384615383</v>
      </c>
    </row>
    <row r="252" customFormat="false" ht="17.15" hidden="false" customHeight="false" outlineLevel="0" collapsed="false">
      <c r="A252" s="4" t="s">
        <v>604</v>
      </c>
      <c r="B252" s="0" t="s">
        <v>48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0.0158718602061905</v>
      </c>
      <c r="F252" s="17" t="n">
        <f aca="false">F247/F220</f>
        <v>0.0154423781773653</v>
      </c>
      <c r="G252" s="17" t="n">
        <f aca="false">G247/G220</f>
        <v>0.0161530014266007</v>
      </c>
      <c r="H252" s="28" t="n">
        <f aca="false">$G252+(fade_mC-$G252)*1/3</f>
        <v>0.0150761346648274</v>
      </c>
      <c r="I252" s="28" t="n">
        <f aca="false">$G252+(fade_mC-$G252)*2/3</f>
        <v>0.013999267903054</v>
      </c>
      <c r="J252" s="28" t="n">
        <f aca="false">$G252+(fade_mC-$G252)*3/3</f>
        <v>0.0129224011412806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607</v>
      </c>
    </row>
    <row r="2" customFormat="false" ht="17.15" hidden="false" customHeight="false" outlineLevel="0" collapsed="false">
      <c r="A2" s="4" t="s">
        <v>608</v>
      </c>
    </row>
    <row r="4" customFormat="false" ht="17.15" hidden="false" customHeight="false" outlineLevel="0" collapsed="false">
      <c r="A4" s="6" t="s">
        <v>609</v>
      </c>
    </row>
    <row r="5" customFormat="false" ht="17.15" hidden="false" customHeight="false" outlineLevel="0" collapsed="false">
      <c r="A5" s="6" t="s">
        <v>610</v>
      </c>
    </row>
    <row r="6" customFormat="false" ht="17.15" hidden="false" customHeight="false" outlineLevel="0" collapsed="false">
      <c r="A6" s="5" t="s">
        <v>17</v>
      </c>
      <c r="B6" s="14" t="s">
        <v>611</v>
      </c>
      <c r="C6" s="14" t="s">
        <v>612</v>
      </c>
      <c r="D6" s="14" t="s">
        <v>613</v>
      </c>
      <c r="E6" s="5" t="s">
        <v>496</v>
      </c>
    </row>
    <row r="7" customFormat="false" ht="17.15" hidden="false" customHeight="false" outlineLevel="0" collapsed="false">
      <c r="A7" s="4" t="s">
        <v>614</v>
      </c>
      <c r="E7" s="0" t="s">
        <v>615</v>
      </c>
    </row>
    <row r="8" customFormat="false" ht="15" hidden="false" customHeight="false" outlineLevel="0" collapsed="false">
      <c r="A8" s="0" t="s">
        <v>616</v>
      </c>
      <c r="B8" s="18" t="n">
        <f aca="false">PL!E15</f>
        <v>27.5760920536011</v>
      </c>
      <c r="C8" s="18" t="n">
        <f aca="false">PL!E29</f>
        <v>27.5760920536011</v>
      </c>
      <c r="D8" s="18" t="n">
        <f aca="false">PL!E43</f>
        <v>27.5760920536011</v>
      </c>
    </row>
    <row r="9" customFormat="false" ht="15" hidden="false" customHeight="false" outlineLevel="0" collapsed="false">
      <c r="A9" s="0" t="s">
        <v>617</v>
      </c>
      <c r="B9" s="18" t="n">
        <f aca="false">PL!F15</f>
        <v>33.1322415019653</v>
      </c>
      <c r="C9" s="18" t="n">
        <f aca="false">PL!F29</f>
        <v>26.9646854869289</v>
      </c>
      <c r="D9" s="18" t="n">
        <f aca="false">PL!F43</f>
        <v>20.6447721500282</v>
      </c>
    </row>
    <row r="10" customFormat="false" ht="15" hidden="false" customHeight="false" outlineLevel="0" collapsed="false">
      <c r="A10" s="0" t="s">
        <v>618</v>
      </c>
      <c r="B10" s="18" t="n">
        <f aca="false">PL!G15</f>
        <v>35.8455571597422</v>
      </c>
      <c r="C10" s="18" t="n">
        <f aca="false">PL!G29</f>
        <v>30.7729292268478</v>
      </c>
      <c r="D10" s="18" t="n">
        <f aca="false">PL!G43</f>
        <v>22.400820724702</v>
      </c>
    </row>
    <row r="11" customFormat="false" ht="15" hidden="false" customHeight="false" outlineLevel="0" collapsed="false">
      <c r="A11" s="0" t="s">
        <v>619</v>
      </c>
      <c r="B11" s="18" t="n">
        <f aca="false">PL!H15</f>
        <v>37.4645192381989</v>
      </c>
      <c r="C11" s="18" t="n">
        <f aca="false">PL!H29</f>
        <v>31.8191994125998</v>
      </c>
      <c r="D11" s="18" t="n">
        <f aca="false">PL!H43</f>
        <v>21.5670603164897</v>
      </c>
    </row>
    <row r="12" customFormat="false" ht="15" hidden="false" customHeight="false" outlineLevel="0" collapsed="false">
      <c r="A12" s="0" t="s">
        <v>620</v>
      </c>
      <c r="B12" s="18" t="n">
        <f aca="false">PL!I15</f>
        <v>39.434496009013</v>
      </c>
      <c r="C12" s="18" t="n">
        <f aca="false">PL!I29</f>
        <v>32.4063930977312</v>
      </c>
      <c r="D12" s="18" t="n">
        <f aca="false">PL!I43</f>
        <v>20.5427395980608</v>
      </c>
    </row>
    <row r="13" customFormat="false" ht="15" hidden="false" customHeight="false" outlineLevel="0" collapsed="false">
      <c r="A13" s="0" t="s">
        <v>621</v>
      </c>
      <c r="B13" s="18" t="n">
        <f aca="false">PL!J15</f>
        <v>41.8005657695538</v>
      </c>
      <c r="C13" s="18" t="n">
        <f aca="false">PL!J29</f>
        <v>32.4989827922961</v>
      </c>
      <c r="D13" s="18" t="n">
        <f aca="false">PL!J43</f>
        <v>19.3417794369434</v>
      </c>
    </row>
    <row r="14" customFormat="false" ht="17.15" hidden="false" customHeight="false" outlineLevel="0" collapsed="false">
      <c r="A14" s="4" t="s">
        <v>622</v>
      </c>
    </row>
    <row r="15" customFormat="false" ht="17.15" hidden="false" customHeight="false" outlineLevel="0" collapsed="false">
      <c r="A15" s="4" t="s">
        <v>623</v>
      </c>
      <c r="B15" s="20" t="n">
        <f aca="false">MIN(tp_g/tp_roe,0.8)</f>
        <v>0.198511166253102</v>
      </c>
      <c r="E15" s="8" t="s">
        <v>624</v>
      </c>
    </row>
    <row r="16" customFormat="false" ht="15" hidden="false" customHeight="false" outlineLevel="0" collapsed="false">
      <c r="A16" s="0" t="s">
        <v>616</v>
      </c>
      <c r="B16" s="18" t="n">
        <f aca="false">B8*(1-$B$15)</f>
        <v>22.1019298593378</v>
      </c>
      <c r="C16" s="18" t="n">
        <f aca="false">C8*(1-$B$15)</f>
        <v>22.1019298593378</v>
      </c>
      <c r="D16" s="18" t="n">
        <f aca="false">D8*(1-$B$15)</f>
        <v>22.1019298593378</v>
      </c>
    </row>
    <row r="17" customFormat="false" ht="15" hidden="false" customHeight="false" outlineLevel="0" collapsed="false">
      <c r="A17" s="0" t="s">
        <v>617</v>
      </c>
      <c r="B17" s="18" t="n">
        <f aca="false">B9*(1-$B$15)</f>
        <v>26.5551216008308</v>
      </c>
      <c r="C17" s="18" t="n">
        <f aca="false">C9*(1-$B$15)</f>
        <v>21.6118943232706</v>
      </c>
      <c r="D17" s="18" t="n">
        <f aca="false">D9*(1-$B$15)</f>
        <v>16.5465543534966</v>
      </c>
    </row>
    <row r="18" customFormat="false" ht="15" hidden="false" customHeight="false" outlineLevel="0" collapsed="false">
      <c r="A18" s="0" t="s">
        <v>618</v>
      </c>
      <c r="B18" s="18" t="n">
        <f aca="false">B10*(1-$B$15)</f>
        <v>28.7298138029695</v>
      </c>
      <c r="C18" s="18" t="n">
        <f aca="false">C10*(1-$B$15)</f>
        <v>24.6641591570021</v>
      </c>
      <c r="D18" s="18" t="n">
        <f aca="false">D10*(1-$B$15)</f>
        <v>17.9540076776147</v>
      </c>
    </row>
    <row r="19" customFormat="false" ht="15" hidden="false" customHeight="false" outlineLevel="0" collapsed="false">
      <c r="A19" s="0" t="s">
        <v>619</v>
      </c>
      <c r="B19" s="18" t="n">
        <f aca="false">B11*(1-$B$15)</f>
        <v>30.0273938311123</v>
      </c>
      <c r="C19" s="18" t="n">
        <f aca="false">C11*(1-$B$15)</f>
        <v>25.5027330279646</v>
      </c>
      <c r="D19" s="18" t="n">
        <f aca="false">D11*(1-$B$15)</f>
        <v>17.2857580204124</v>
      </c>
    </row>
    <row r="20" customFormat="false" ht="15" hidden="false" customHeight="false" outlineLevel="0" collapsed="false">
      <c r="A20" s="0" t="s">
        <v>620</v>
      </c>
      <c r="B20" s="18" t="n">
        <f aca="false">B12*(1-$B$15)</f>
        <v>31.6063082156605</v>
      </c>
      <c r="C20" s="18" t="n">
        <f aca="false">C12*(1-$B$15)</f>
        <v>25.9733622098441</v>
      </c>
      <c r="D20" s="18" t="n">
        <f aca="false">D12*(1-$B$15)</f>
        <v>16.464776402416</v>
      </c>
    </row>
    <row r="21" customFormat="false" ht="15" hidden="false" customHeight="false" outlineLevel="0" collapsed="false">
      <c r="A21" s="0" t="s">
        <v>621</v>
      </c>
      <c r="B21" s="18" t="n">
        <f aca="false">B13*(1-$B$15)</f>
        <v>33.5026867086002</v>
      </c>
      <c r="C21" s="18" t="n">
        <f aca="false">C13*(1-$B$15)</f>
        <v>26.0475718161579</v>
      </c>
      <c r="D21" s="18" t="n">
        <f aca="false">D13*(1-$B$15)</f>
        <v>15.5022202435055</v>
      </c>
    </row>
    <row r="22" customFormat="false" ht="17.15" hidden="false" customHeight="false" outlineLevel="0" collapsed="false">
      <c r="A22" s="0" t="s">
        <v>625</v>
      </c>
      <c r="B22" s="18" t="n">
        <f aca="false">SUMPRODUCT(B16:B21,1/(1+tp_r)^{1;2;3;4;5;6})+B21*(1+tp_g)/(tp_r-tp_g)/(1+tp_r)^6</f>
        <v>450.467200016915</v>
      </c>
      <c r="C22" s="18" t="n">
        <f aca="false">SUMPRODUCT(C16:C21,1/(1+tp_r)^{1;2;3;4;5;6})+C21*(1+tp_g)/(tp_r-tp_g)/(1+tp_r)^6</f>
        <v>359.588617834023</v>
      </c>
      <c r="D22" s="18" t="n">
        <f aca="false">SUMPRODUCT(D16:D21,1/(1+tp_r)^{1;2;3;4;5;6})+D21*(1+tp_g)/(tp_r-tp_g)/(1+tp_r)^6</f>
        <v>229.714001315175</v>
      </c>
      <c r="E22" s="8" t="s">
        <v>626</v>
      </c>
    </row>
    <row r="23" customFormat="false" ht="17.15" hidden="false" customHeight="false" outlineLevel="0" collapsed="false">
      <c r="A23" s="0" t="s">
        <v>627</v>
      </c>
      <c r="B23" s="18" t="n">
        <f aca="false">B22*(1+tp_r)</f>
        <v>495.513920018607</v>
      </c>
      <c r="C23" s="18" t="n">
        <f aca="false">C22*(1+tp_r)</f>
        <v>395.547479617426</v>
      </c>
      <c r="D23" s="18" t="n">
        <f aca="false">D22*(1+tp_r)</f>
        <v>252.685401446693</v>
      </c>
    </row>
    <row r="24" customFormat="false" ht="17.15" hidden="false" customHeight="false" outlineLevel="0" collapsed="false">
      <c r="A24" s="0" t="s">
        <v>628</v>
      </c>
      <c r="B24" s="33" t="n">
        <f aca="false">tp_wA*B23+tp_wB*C23+tp_wC*D23</f>
        <v>396.964996103633</v>
      </c>
      <c r="E24" s="8" t="s">
        <v>629</v>
      </c>
    </row>
    <row r="26" customFormat="false" ht="17.15" hidden="false" customHeight="false" outlineLevel="0" collapsed="false">
      <c r="A26" s="6" t="s">
        <v>630</v>
      </c>
    </row>
    <row r="27" customFormat="false" ht="17.15" hidden="false" customHeight="false" outlineLevel="0" collapsed="false">
      <c r="A27" s="5" t="s">
        <v>631</v>
      </c>
      <c r="B27" s="5" t="s">
        <v>632</v>
      </c>
      <c r="C27" s="5" t="s">
        <v>633</v>
      </c>
      <c r="D27" s="5" t="s">
        <v>634</v>
      </c>
      <c r="E27" s="5" t="s">
        <v>635</v>
      </c>
      <c r="F27" s="5" t="s">
        <v>22</v>
      </c>
    </row>
    <row r="28" customFormat="false" ht="17.15" hidden="false" customHeight="false" outlineLevel="0" collapsed="false">
      <c r="A28" s="4" t="s">
        <v>636</v>
      </c>
      <c r="B28" s="0" t="s">
        <v>637</v>
      </c>
      <c r="C28" s="34" t="n">
        <v>11.31</v>
      </c>
      <c r="D28" s="8" t="s">
        <v>638</v>
      </c>
      <c r="E28" s="8" t="s">
        <v>639</v>
      </c>
      <c r="F28" s="8" t="s">
        <v>148</v>
      </c>
    </row>
    <row r="29" customFormat="false" ht="17.15" hidden="false" customHeight="false" outlineLevel="0" collapsed="false">
      <c r="A29" s="4" t="s">
        <v>640</v>
      </c>
      <c r="B29" s="0" t="s">
        <v>641</v>
      </c>
      <c r="C29" s="34" t="n">
        <v>11.37</v>
      </c>
      <c r="D29" s="8" t="s">
        <v>642</v>
      </c>
      <c r="E29" s="8" t="s">
        <v>639</v>
      </c>
      <c r="F29" s="8" t="s">
        <v>148</v>
      </c>
    </row>
    <row r="30" customFormat="false" ht="17.15" hidden="false" customHeight="false" outlineLevel="0" collapsed="false">
      <c r="A30" s="4" t="s">
        <v>643</v>
      </c>
      <c r="B30" s="0" t="s">
        <v>644</v>
      </c>
      <c r="C30" s="34" t="n">
        <v>18</v>
      </c>
      <c r="D30" s="8" t="s">
        <v>645</v>
      </c>
      <c r="E30" s="8" t="s">
        <v>639</v>
      </c>
      <c r="F30" s="8" t="s">
        <v>148</v>
      </c>
    </row>
    <row r="31" customFormat="false" ht="17.15" hidden="false" customHeight="false" outlineLevel="0" collapsed="false">
      <c r="A31" s="4" t="s">
        <v>646</v>
      </c>
      <c r="B31" s="0" t="s">
        <v>647</v>
      </c>
      <c r="C31" s="34" t="n">
        <v>13.87</v>
      </c>
      <c r="D31" s="8" t="s">
        <v>648</v>
      </c>
      <c r="E31" s="8" t="s">
        <v>639</v>
      </c>
      <c r="F31" s="8" t="s">
        <v>148</v>
      </c>
    </row>
    <row r="32" customFormat="false" ht="17.15" hidden="false" customHeight="false" outlineLevel="0" collapsed="false">
      <c r="A32" s="4" t="s">
        <v>649</v>
      </c>
      <c r="B32" s="0" t="s">
        <v>650</v>
      </c>
      <c r="C32" s="34" t="n">
        <v>7.06</v>
      </c>
      <c r="D32" s="8" t="s">
        <v>651</v>
      </c>
      <c r="E32" s="8" t="s">
        <v>639</v>
      </c>
      <c r="F32" s="8" t="s">
        <v>148</v>
      </c>
    </row>
    <row r="33" customFormat="false" ht="17.15" hidden="false" customHeight="false" outlineLevel="0" collapsed="false">
      <c r="A33" s="4" t="s">
        <v>652</v>
      </c>
      <c r="B33" s="22" t="n">
        <f aca="false">MEDIAN(C28:C32)</f>
        <v>11.37</v>
      </c>
      <c r="E33" s="4" t="s">
        <v>653</v>
      </c>
    </row>
    <row r="34" customFormat="false" ht="17.15" hidden="false" customHeight="false" outlineLevel="0" collapsed="false">
      <c r="A34" s="0" t="s">
        <v>654</v>
      </c>
      <c r="B34" s="18" t="n">
        <f aca="false">tp_wA*(2/12*B8+10/12*B9)+tp_wB*(2/12*C8+10/12*C9)+tp_wC*(2/12*D8+10/12*D9)</f>
        <v>27.5551566956499</v>
      </c>
      <c r="E34" s="4" t="s">
        <v>655</v>
      </c>
    </row>
    <row r="35" customFormat="false" ht="17.15" hidden="false" customHeight="false" outlineLevel="0" collapsed="false">
      <c r="A35" s="0" t="s">
        <v>656</v>
      </c>
      <c r="B35" s="33" t="n">
        <f aca="false">B33*B34</f>
        <v>313.30213162954</v>
      </c>
      <c r="E35" s="4" t="s">
        <v>657</v>
      </c>
    </row>
    <row r="37" customFormat="false" ht="17.15" hidden="false" customHeight="false" outlineLevel="0" collapsed="false">
      <c r="A37" s="6" t="s">
        <v>658</v>
      </c>
    </row>
    <row r="38" customFormat="false" ht="15" hidden="false" customHeight="false" outlineLevel="0" collapsed="false">
      <c r="A38" s="5" t="s">
        <v>17</v>
      </c>
      <c r="B38" s="5" t="s">
        <v>659</v>
      </c>
      <c r="C38" s="5"/>
      <c r="D38" s="5"/>
      <c r="E38" s="5" t="s">
        <v>496</v>
      </c>
    </row>
    <row r="39" customFormat="false" ht="17.15" hidden="false" customHeight="false" outlineLevel="0" collapsed="false">
      <c r="A39" s="4" t="s">
        <v>660</v>
      </c>
      <c r="B39" s="33" t="n">
        <f aca="false">tp_w_dcf*B24+(1-tp_w_dcf)*B35</f>
        <v>355.133563866587</v>
      </c>
      <c r="E39" s="8" t="s">
        <v>661</v>
      </c>
    </row>
    <row r="40" customFormat="false" ht="17.15" hidden="false" customHeight="false" outlineLevel="0" collapsed="false">
      <c r="A40" s="0" t="s">
        <v>662</v>
      </c>
      <c r="B40" s="18" t="n">
        <f aca="false">B35</f>
        <v>313.30213162954</v>
      </c>
    </row>
    <row r="41" customFormat="false" ht="17.15" hidden="false" customHeight="false" outlineLevel="0" collapsed="false">
      <c r="A41" s="4" t="s">
        <v>663</v>
      </c>
      <c r="B41" s="18" t="n">
        <f aca="false">cons_tp</f>
        <v>268.71</v>
      </c>
      <c r="E41" s="8" t="s">
        <v>664</v>
      </c>
    </row>
    <row r="42" customFormat="false" ht="17.15" hidden="false" customHeight="false" outlineLevel="0" collapsed="false">
      <c r="A42" s="4" t="s">
        <v>665</v>
      </c>
      <c r="B42" s="20" t="n">
        <f aca="false">B39/px-1</f>
        <v>0.869124020350456</v>
      </c>
      <c r="E42" s="4" t="s">
        <v>666</v>
      </c>
    </row>
    <row r="43" customFormat="false" ht="17.15" hidden="false" customHeight="false" outlineLevel="0" collapsed="false">
      <c r="A43" s="4" t="s">
        <v>667</v>
      </c>
      <c r="B43" s="20" t="n">
        <f aca="false">B40/px-1</f>
        <v>0.648958587523894</v>
      </c>
    </row>
    <row r="44" customFormat="false" ht="17.15" hidden="false" customHeight="false" outlineLevel="0" collapsed="false">
      <c r="A44" s="4" t="s">
        <v>668</v>
      </c>
      <c r="B44" s="20" t="n">
        <f aca="false">B34/cons_feps-1</f>
        <v>0.475055018802177</v>
      </c>
      <c r="E44" s="4" t="s">
        <v>669</v>
      </c>
    </row>
    <row r="45" customFormat="false" ht="17.15" hidden="false" customHeight="false" outlineLevel="0" collapsed="false">
      <c r="A45" s="4" t="s">
        <v>670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671</v>
      </c>
      <c r="B46" s="35" t="str">
        <f aca="false">TEXT(D23,"0.0")&amp;"～"&amp;TEXT(B23,"0.0")</f>
        <v>252.7～495.5</v>
      </c>
      <c r="E46" s="8" t="s">
        <v>672</v>
      </c>
    </row>
    <row r="47" customFormat="false" ht="17.15" hidden="false" customHeight="false" outlineLevel="0" collapsed="false">
      <c r="A47" s="4" t="s">
        <v>673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0.204</v>
      </c>
      <c r="E47" s="4" t="s">
        <v>674</v>
      </c>
    </row>
    <row r="48" customFormat="false" ht="17.15" hidden="false" customHeight="false" outlineLevel="0" collapsed="false">
      <c r="A48" s="4" t="s">
        <v>675</v>
      </c>
      <c r="B48" s="0" t="s">
        <v>676</v>
      </c>
    </row>
    <row r="51" customFormat="false" ht="17.15" hidden="false" customHeight="false" outlineLevel="0" collapsed="false">
      <c r="A51" s="6" t="s">
        <v>677</v>
      </c>
    </row>
    <row r="52" customFormat="false" ht="15" hidden="false" customHeight="false" outlineLevel="0" collapsed="false">
      <c r="A52" s="5" t="s">
        <v>17</v>
      </c>
      <c r="B52" s="14" t="s">
        <v>678</v>
      </c>
      <c r="C52" s="14" t="s">
        <v>679</v>
      </c>
      <c r="D52" s="14" t="s">
        <v>680</v>
      </c>
      <c r="E52" s="5" t="s">
        <v>496</v>
      </c>
    </row>
    <row r="53" customFormat="false" ht="17.15" hidden="false" customHeight="false" outlineLevel="0" collapsed="false">
      <c r="A53" s="4" t="s">
        <v>681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682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683</v>
      </c>
    </row>
    <row r="55" customFormat="false" ht="17.15" hidden="false" customHeight="false" outlineLevel="0" collapsed="false">
      <c r="A55" s="4" t="s">
        <v>684</v>
      </c>
      <c r="B55" s="22" t="n">
        <f aca="false">px/PL!E15</f>
        <v>6.89002631811234</v>
      </c>
      <c r="C55" s="22" t="n">
        <f aca="false">px/PL!E29</f>
        <v>6.89002631811234</v>
      </c>
      <c r="D55" s="22" t="n">
        <f aca="false">px/PL!E43</f>
        <v>6.89002631811234</v>
      </c>
      <c r="E55" s="8" t="s">
        <v>685</v>
      </c>
    </row>
    <row r="56" customFormat="false" ht="17.15" hidden="false" customHeight="false" outlineLevel="0" collapsed="false">
      <c r="A56" s="4" t="s">
        <v>686</v>
      </c>
      <c r="B56" s="22" t="n">
        <f aca="false">px/PL!F15</f>
        <v>5.73459540878722</v>
      </c>
      <c r="C56" s="22" t="n">
        <f aca="false">px/PL!F29</f>
        <v>7.04625314810744</v>
      </c>
      <c r="D56" s="22" t="n">
        <f aca="false">px/PL!F43</f>
        <v>9.20329847281653</v>
      </c>
    </row>
    <row r="57" customFormat="false" ht="17.15" hidden="false" customHeight="false" outlineLevel="0" collapsed="false">
      <c r="A57" s="4" t="s">
        <v>687</v>
      </c>
      <c r="B57" s="22" t="n">
        <f aca="false">px/PL!G15</f>
        <v>5.30051741568094</v>
      </c>
      <c r="C57" s="22" t="n">
        <f aca="false">px/PL!G29</f>
        <v>6.17425785499272</v>
      </c>
      <c r="D57" s="22" t="n">
        <f aca="false">px/PL!G43</f>
        <v>8.48183208709322</v>
      </c>
    </row>
    <row r="58" customFormat="false" ht="17.15" hidden="false" customHeight="false" outlineLevel="0" collapsed="false">
      <c r="A58" s="4" t="s">
        <v>688</v>
      </c>
      <c r="B58" s="18" t="n">
        <f aca="false">0.2*PL!D29+0.8*PL!E29</f>
        <v>25.7458231798944</v>
      </c>
    </row>
    <row r="59" customFormat="false" ht="17.15" hidden="false" customHeight="false" outlineLevel="0" collapsed="false">
      <c r="A59" s="4" t="s">
        <v>689</v>
      </c>
      <c r="B59" s="22" t="n">
        <f aca="false">px/B58</f>
        <v>7.37983783514742</v>
      </c>
    </row>
    <row r="60" customFormat="false" ht="17.15" hidden="false" customHeight="false" outlineLevel="0" collapsed="false">
      <c r="A60" s="4" t="s">
        <v>351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355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690</v>
      </c>
    </row>
    <row r="64" customFormat="false" ht="17.15" hidden="false" customHeight="false" outlineLevel="0" collapsed="false">
      <c r="A64" s="5" t="s">
        <v>691</v>
      </c>
      <c r="B64" s="5" t="s">
        <v>692</v>
      </c>
      <c r="C64" s="14" t="s">
        <v>693</v>
      </c>
      <c r="D64" s="5" t="s">
        <v>694</v>
      </c>
      <c r="E64" s="5" t="s">
        <v>695</v>
      </c>
      <c r="F64" s="5" t="s">
        <v>496</v>
      </c>
    </row>
    <row r="65" customFormat="false" ht="17.15" hidden="false" customHeight="false" outlineLevel="0" collapsed="false">
      <c r="A65" s="0" t="s">
        <v>678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696</v>
      </c>
    </row>
    <row r="66" customFormat="false" ht="15" hidden="false" customHeight="false" outlineLevel="0" collapsed="false">
      <c r="A66" s="0" t="s">
        <v>679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34</v>
      </c>
    </row>
    <row r="67" customFormat="false" ht="15" hidden="false" customHeight="false" outlineLevel="0" collapsed="false">
      <c r="A67" s="0" t="s">
        <v>680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34</v>
      </c>
    </row>
    <row r="69" customFormat="false" ht="17.15" hidden="false" customHeight="false" outlineLevel="0" collapsed="false">
      <c r="A69" s="6" t="s">
        <v>697</v>
      </c>
    </row>
    <row r="70" customFormat="false" ht="17.15" hidden="false" customHeight="false" outlineLevel="0" collapsed="false">
      <c r="A70" s="5" t="s">
        <v>691</v>
      </c>
      <c r="B70" s="14" t="s">
        <v>698</v>
      </c>
      <c r="C70" s="5" t="s">
        <v>699</v>
      </c>
      <c r="D70" s="5" t="s">
        <v>700</v>
      </c>
      <c r="E70" s="5" t="s">
        <v>701</v>
      </c>
      <c r="F70" s="5" t="s">
        <v>702</v>
      </c>
      <c r="G70" s="5" t="s">
        <v>703</v>
      </c>
    </row>
    <row r="71" customFormat="false" ht="15" hidden="false" customHeight="false" outlineLevel="0" collapsed="false">
      <c r="A71" s="9" t="s">
        <v>678</v>
      </c>
      <c r="B71" s="33" t="n">
        <f aca="false">PL!E15</f>
        <v>27.5760920536011</v>
      </c>
      <c r="C71" s="33" t="n">
        <f aca="false">B71</f>
        <v>27.5760920536011</v>
      </c>
      <c r="D71" s="37" t="n">
        <f aca="false">D65</f>
        <v>14.52</v>
      </c>
      <c r="E71" s="38" t="n">
        <f aca="false">C71*D71</f>
        <v>400.404856618288</v>
      </c>
      <c r="F71" s="39" t="n">
        <f aca="false">E71/px-1</f>
        <v>1.10739398220151</v>
      </c>
      <c r="G71" s="37" t="n">
        <f aca="false">px/C71</f>
        <v>6.89002631811234</v>
      </c>
    </row>
    <row r="72" customFormat="false" ht="15" hidden="false" customHeight="false" outlineLevel="0" collapsed="false">
      <c r="A72" s="9" t="s">
        <v>679</v>
      </c>
      <c r="B72" s="33" t="n">
        <f aca="false">PL!E29</f>
        <v>27.5760920536011</v>
      </c>
      <c r="C72" s="33" t="n">
        <f aca="false">B72</f>
        <v>27.5760920536011</v>
      </c>
      <c r="D72" s="37" t="n">
        <f aca="false">D66</f>
        <v>14.52</v>
      </c>
      <c r="E72" s="38" t="n">
        <f aca="false">C72*D72</f>
        <v>400.404856618288</v>
      </c>
      <c r="F72" s="39" t="n">
        <f aca="false">E72/px-1</f>
        <v>1.10739398220151</v>
      </c>
      <c r="G72" s="37" t="n">
        <f aca="false">px/C72</f>
        <v>6.89002631811234</v>
      </c>
    </row>
    <row r="73" customFormat="false" ht="15" hidden="false" customHeight="false" outlineLevel="0" collapsed="false">
      <c r="A73" s="9" t="s">
        <v>680</v>
      </c>
      <c r="B73" s="33" t="n">
        <f aca="false">PL!E43</f>
        <v>27.5760920536011</v>
      </c>
      <c r="C73" s="33" t="n">
        <f aca="false">B73</f>
        <v>27.5760920536011</v>
      </c>
      <c r="D73" s="37" t="n">
        <f aca="false">D67</f>
        <v>8.96</v>
      </c>
      <c r="E73" s="38" t="n">
        <f aca="false">C73*D73</f>
        <v>247.081784800266</v>
      </c>
      <c r="F73" s="39" t="n">
        <f aca="false">E73/px-1</f>
        <v>0.300430446317188</v>
      </c>
      <c r="G73" s="37" t="n">
        <f aca="false">px/C73</f>
        <v>6.89002631811234</v>
      </c>
    </row>
    <row r="75" customFormat="false" ht="17.15" hidden="false" customHeight="false" outlineLevel="0" collapsed="false">
      <c r="A75" s="6" t="s">
        <v>704</v>
      </c>
    </row>
    <row r="76" customFormat="false" ht="17.15" hidden="false" customHeight="false" outlineLevel="0" collapsed="false">
      <c r="A76" s="14" t="s">
        <v>705</v>
      </c>
      <c r="B76" s="5" t="s">
        <v>706</v>
      </c>
      <c r="C76" s="5" t="s">
        <v>707</v>
      </c>
      <c r="D76" s="5" t="s">
        <v>708</v>
      </c>
      <c r="E76" s="5" t="s">
        <v>709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5.73459540878722</v>
      </c>
      <c r="C77" s="22" t="n">
        <f aca="false">px*A77/PL!F29</f>
        <v>7.04625314810744</v>
      </c>
      <c r="D77" s="22" t="n">
        <f aca="false">px*A77/PL!F43</f>
        <v>9.20329847281653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6.30805494966595</v>
      </c>
      <c r="C78" s="22" t="n">
        <f aca="false">px*A78/PL!F29</f>
        <v>7.75087846291819</v>
      </c>
      <c r="D78" s="22" t="n">
        <f aca="false">px*A78/PL!F43</f>
        <v>10.1236283200982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6.93886044463254</v>
      </c>
      <c r="C79" s="22" t="n">
        <f aca="false">px*A79/PL!F29</f>
        <v>8.52596630921</v>
      </c>
      <c r="D79" s="22" t="n">
        <f aca="false">px*A79/PL!F43</f>
        <v>11.135991152108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8.60189311318084</v>
      </c>
      <c r="C80" s="22" t="n">
        <f aca="false">px*A80/PL!F29</f>
        <v>10.5693797221612</v>
      </c>
      <c r="D80" s="22" t="n">
        <f aca="false">px*A80/PL!F43</f>
        <v>13.8049477092248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11.4691908175744</v>
      </c>
      <c r="C81" s="22" t="n">
        <f aca="false">px*A81/PL!F29</f>
        <v>14.0925062962149</v>
      </c>
      <c r="D81" s="22" t="n">
        <f aca="false">px*A81/PL!F43</f>
        <v>18.4065969456331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710</v>
      </c>
    </row>
    <row r="84" customFormat="false" ht="17.15" hidden="false" customHeight="false" outlineLevel="0" collapsed="false">
      <c r="A84" s="6" t="s">
        <v>711</v>
      </c>
    </row>
    <row r="85" customFormat="false" ht="17.15" hidden="false" customHeight="false" outlineLevel="0" collapsed="false">
      <c r="A85" s="5" t="s">
        <v>712</v>
      </c>
      <c r="B85" s="5" t="s">
        <v>713</v>
      </c>
      <c r="C85" s="14" t="s">
        <v>714</v>
      </c>
      <c r="D85" s="14" t="s">
        <v>715</v>
      </c>
    </row>
    <row r="86" customFormat="false" ht="15" hidden="false" customHeight="false" outlineLevel="0" collapsed="false">
      <c r="A86" s="0" t="s">
        <v>716</v>
      </c>
    </row>
    <row r="87" customFormat="false" ht="15" hidden="false" customHeight="false" outlineLevel="0" collapsed="false">
      <c r="A87" s="0" t="s">
        <v>717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718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719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720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721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722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723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724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725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726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727</v>
      </c>
    </row>
    <row r="101" customFormat="false" ht="17.15" hidden="false" customHeight="false" outlineLevel="0" collapsed="false">
      <c r="A101" s="4" t="s">
        <v>728</v>
      </c>
    </row>
    <row r="103" customFormat="false" ht="17.15" hidden="false" customHeight="false" outlineLevel="0" collapsed="false">
      <c r="A103" s="6" t="s">
        <v>729</v>
      </c>
    </row>
    <row r="104" customFormat="false" ht="17.15" hidden="false" customHeight="false" outlineLevel="0" collapsed="false">
      <c r="A104" s="5" t="s">
        <v>712</v>
      </c>
      <c r="B104" s="14" t="s">
        <v>714</v>
      </c>
      <c r="C104" s="14" t="s">
        <v>715</v>
      </c>
      <c r="D104" s="5" t="s">
        <v>730</v>
      </c>
    </row>
    <row r="105" customFormat="false" ht="17.15" hidden="false" customHeight="false" outlineLevel="0" collapsed="false">
      <c r="A105" s="0" t="s">
        <v>716</v>
      </c>
      <c r="D105" s="0" t="s">
        <v>731</v>
      </c>
    </row>
    <row r="106" customFormat="false" ht="15" hidden="false" customHeight="false" outlineLevel="0" collapsed="false">
      <c r="A106" s="0" t="s">
        <v>717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718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719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720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721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722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723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724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725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732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733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734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735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736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737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738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739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740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741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742</v>
      </c>
    </row>
    <row r="127" customFormat="false" ht="17.15" hidden="false" customHeight="false" outlineLevel="0" collapsed="false">
      <c r="A127" s="5" t="s">
        <v>743</v>
      </c>
      <c r="B127" s="5" t="s">
        <v>744</v>
      </c>
      <c r="C127" s="5" t="s">
        <v>745</v>
      </c>
      <c r="D127" s="5" t="s">
        <v>20</v>
      </c>
      <c r="E127" s="5" t="s">
        <v>746</v>
      </c>
      <c r="F127" s="5" t="s">
        <v>701</v>
      </c>
      <c r="G127" s="5" t="s">
        <v>747</v>
      </c>
      <c r="H127" s="5" t="s">
        <v>748</v>
      </c>
    </row>
    <row r="128" customFormat="false" ht="17.15" hidden="false" customHeight="false" outlineLevel="0" collapsed="false">
      <c r="A128" s="4" t="s">
        <v>749</v>
      </c>
      <c r="B128" s="0" t="s">
        <v>750</v>
      </c>
      <c r="C128" s="18" t="n">
        <f aca="false">B120</f>
        <v>8.96</v>
      </c>
      <c r="D128" s="8" t="s">
        <v>751</v>
      </c>
      <c r="E128" s="25" t="n">
        <f aca="false">C72</f>
        <v>27.5760920536011</v>
      </c>
      <c r="F128" s="21" t="n">
        <f aca="false">C128*E128</f>
        <v>247.081784800266</v>
      </c>
      <c r="G128" s="20" t="n">
        <f aca="false">F128/px-1</f>
        <v>0.300430446317188</v>
      </c>
      <c r="H128" s="18" t="n">
        <f aca="false">px/E128</f>
        <v>6.89002631811234</v>
      </c>
    </row>
    <row r="129" customFormat="false" ht="17.15" hidden="false" customHeight="false" outlineLevel="0" collapsed="false">
      <c r="A129" s="4" t="s">
        <v>752</v>
      </c>
      <c r="B129" s="4" t="s">
        <v>753</v>
      </c>
      <c r="C129" s="18" t="n">
        <f aca="false">B121</f>
        <v>14.52</v>
      </c>
      <c r="D129" s="8" t="s">
        <v>751</v>
      </c>
      <c r="E129" s="25" t="n">
        <f aca="false">C72</f>
        <v>27.5760920536011</v>
      </c>
      <c r="F129" s="21" t="n">
        <f aca="false">C129*E129</f>
        <v>400.404856618288</v>
      </c>
      <c r="G129" s="20" t="n">
        <f aca="false">F129/px-1</f>
        <v>1.10739398220151</v>
      </c>
      <c r="H129" s="18" t="n">
        <f aca="false">px/E129</f>
        <v>6.89002631811234</v>
      </c>
    </row>
    <row r="130" customFormat="false" ht="17.15" hidden="false" customHeight="false" outlineLevel="0" collapsed="false">
      <c r="A130" s="4" t="s">
        <v>754</v>
      </c>
      <c r="B130" s="0" t="s">
        <v>755</v>
      </c>
      <c r="C130" s="18" t="n">
        <f aca="false">B122</f>
        <v>17.05</v>
      </c>
      <c r="D130" s="8" t="s">
        <v>751</v>
      </c>
      <c r="E130" s="25" t="n">
        <f aca="false">C72</f>
        <v>27.5760920536011</v>
      </c>
      <c r="F130" s="21" t="n">
        <f aca="false">C130*E130</f>
        <v>470.172369513899</v>
      </c>
      <c r="G130" s="20" t="n">
        <f aca="false">F130/px-1</f>
        <v>1.4745914184942</v>
      </c>
      <c r="H130" s="18" t="n">
        <f aca="false">px/E130</f>
        <v>6.89002631811234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756</v>
      </c>
    </row>
    <row r="3" customFormat="false" ht="17.15" hidden="false" customHeight="false" outlineLevel="0" collapsed="false">
      <c r="A3" s="5" t="s">
        <v>17</v>
      </c>
      <c r="B3" s="5" t="s">
        <v>757</v>
      </c>
      <c r="C3" s="5" t="s">
        <v>758</v>
      </c>
      <c r="D3" s="5" t="s">
        <v>759</v>
      </c>
      <c r="E3" s="5" t="s">
        <v>760</v>
      </c>
      <c r="F3" s="5" t="s">
        <v>761</v>
      </c>
      <c r="G3" s="5" t="s">
        <v>762</v>
      </c>
      <c r="H3" s="5" t="s">
        <v>763</v>
      </c>
      <c r="I3" s="5" t="s">
        <v>764</v>
      </c>
      <c r="J3" s="5" t="s">
        <v>496</v>
      </c>
    </row>
    <row r="4" customFormat="false" ht="17.15" hidden="false" customHeight="false" outlineLevel="0" collapsed="false">
      <c r="A4" s="6" t="s">
        <v>765</v>
      </c>
    </row>
    <row r="5" customFormat="false" ht="17.15" hidden="false" customHeight="false" outlineLevel="0" collapsed="false">
      <c r="A5" s="0" t="s">
        <v>766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767</v>
      </c>
    </row>
    <row r="6" customFormat="false" ht="17.15" hidden="false" customHeight="false" outlineLevel="0" collapsed="false">
      <c r="A6" s="0" t="s">
        <v>768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767</v>
      </c>
      <c r="J6" s="8" t="s">
        <v>769</v>
      </c>
    </row>
    <row r="7" customFormat="false" ht="17.15" hidden="false" customHeight="false" outlineLevel="0" collapsed="false">
      <c r="A7" s="0" t="s">
        <v>770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771</v>
      </c>
    </row>
    <row r="8" customFormat="false" ht="17.15" hidden="false" customHeight="false" outlineLevel="0" collapsed="false">
      <c r="A8" s="0" t="s">
        <v>772</v>
      </c>
      <c r="B8" s="25" t="n">
        <f aca="false">b_eps27</f>
        <v>20</v>
      </c>
      <c r="C8" s="25" t="n">
        <f aca="false">PL!E120</f>
        <v>27.5760920536011</v>
      </c>
      <c r="D8" s="20" t="n">
        <f aca="false">C8/B8-1</f>
        <v>0.378804602680054</v>
      </c>
      <c r="E8" s="25" t="n">
        <f aca="false">PL!E185</f>
        <v>27.5760920536011</v>
      </c>
      <c r="F8" s="20" t="n">
        <f aca="false">E8/B8-1</f>
        <v>0.378804602680054</v>
      </c>
      <c r="G8" s="25" t="n">
        <f aca="false">PL!E250</f>
        <v>27.5760920536011</v>
      </c>
      <c r="H8" s="20" t="n">
        <f aca="false">G8/B8-1</f>
        <v>0.378804602680054</v>
      </c>
      <c r="I8" s="4" t="s">
        <v>321</v>
      </c>
    </row>
    <row r="9" customFormat="false" ht="17.15" hidden="false" customHeight="false" outlineLevel="0" collapsed="false">
      <c r="A9" s="0" t="s">
        <v>773</v>
      </c>
      <c r="B9" s="25" t="n">
        <f aca="false">b_eps27h</f>
        <v>24.85</v>
      </c>
      <c r="C9" s="25" t="n">
        <f aca="false">PL!E120</f>
        <v>27.5760920536011</v>
      </c>
      <c r="D9" s="20" t="n">
        <f aca="false">C9/B9-1</f>
        <v>0.109701893505074</v>
      </c>
      <c r="E9" s="25" t="n">
        <f aca="false">PL!E185</f>
        <v>27.5760920536011</v>
      </c>
      <c r="F9" s="20" t="n">
        <f aca="false">E9/B9-1</f>
        <v>0.109701893505074</v>
      </c>
      <c r="G9" s="25" t="n">
        <f aca="false">PL!E250</f>
        <v>27.5760920536011</v>
      </c>
      <c r="H9" s="20" t="n">
        <f aca="false">G9/B9-1</f>
        <v>0.109701893505074</v>
      </c>
      <c r="I9" s="4" t="s">
        <v>321</v>
      </c>
    </row>
    <row r="10" customFormat="false" ht="17.15" hidden="false" customHeight="false" outlineLevel="0" collapsed="false">
      <c r="A10" s="0" t="s">
        <v>774</v>
      </c>
      <c r="B10" s="25" t="n">
        <f aca="false">k_eps27</f>
        <v>18.29</v>
      </c>
      <c r="C10" s="25" t="n">
        <f aca="false">PL!E120</f>
        <v>27.5760920536011</v>
      </c>
      <c r="D10" s="20" t="n">
        <f aca="false">C10/B10-1</f>
        <v>0.507714163674198</v>
      </c>
      <c r="E10" s="25" t="n">
        <f aca="false">PL!E185</f>
        <v>27.5760920536011</v>
      </c>
      <c r="F10" s="20" t="n">
        <f aca="false">E10/B10-1</f>
        <v>0.507714163674198</v>
      </c>
      <c r="G10" s="25" t="n">
        <f aca="false">PL!E250</f>
        <v>27.5760920536011</v>
      </c>
      <c r="H10" s="20" t="n">
        <f aca="false">G10/B10-1</f>
        <v>0.507714163674198</v>
      </c>
      <c r="I10" s="4" t="s">
        <v>771</v>
      </c>
      <c r="J10" s="8" t="s">
        <v>775</v>
      </c>
    </row>
    <row r="11" customFormat="false" ht="17.15" hidden="false" customHeight="false" outlineLevel="0" collapsed="false">
      <c r="A11" s="0" t="s">
        <v>776</v>
      </c>
      <c r="C11" s="20" t="n">
        <f aca="false">PL!E91</f>
        <v>0.454439765251677</v>
      </c>
      <c r="E11" s="20" t="n">
        <f aca="false">PL!E156</f>
        <v>0.454439765251677</v>
      </c>
      <c r="G11" s="20" t="n">
        <f aca="false">PL!E221</f>
        <v>0.454439765251677</v>
      </c>
      <c r="I11" s="8" t="s">
        <v>132</v>
      </c>
    </row>
    <row r="12" customFormat="false" ht="17.15" hidden="false" customHeight="false" outlineLevel="0" collapsed="false">
      <c r="A12" s="6" t="s">
        <v>777</v>
      </c>
    </row>
    <row r="13" customFormat="false" ht="17.15" hidden="false" customHeight="false" outlineLevel="0" collapsed="false">
      <c r="A13" s="0" t="s">
        <v>778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779</v>
      </c>
      <c r="J13" s="8" t="s">
        <v>780</v>
      </c>
    </row>
    <row r="14" customFormat="false" ht="17.15" hidden="false" customHeight="false" outlineLevel="0" collapsed="false">
      <c r="A14" s="0" t="s">
        <v>781</v>
      </c>
      <c r="B14" s="21" t="n">
        <f aca="false">kw_rev27</f>
        <v>2368.079</v>
      </c>
      <c r="C14" s="21" t="n">
        <f aca="false">PL!E89</f>
        <v>2142.71033467769</v>
      </c>
      <c r="D14" s="20" t="n">
        <f aca="false">C14/B14-1</f>
        <v>-0.0951694032683507</v>
      </c>
      <c r="E14" s="21" t="n">
        <f aca="false">PL!E154</f>
        <v>2142.71033467769</v>
      </c>
      <c r="F14" s="20" t="n">
        <f aca="false">E14/B14-1</f>
        <v>-0.0951694032683507</v>
      </c>
      <c r="G14" s="21" t="n">
        <f aca="false">PL!E219</f>
        <v>2142.71033467769</v>
      </c>
      <c r="H14" s="20" t="n">
        <f aca="false">G14/B14-1</f>
        <v>-0.0951694032683507</v>
      </c>
      <c r="I14" s="4" t="s">
        <v>779</v>
      </c>
    </row>
    <row r="15" customFormat="false" ht="17.15" hidden="false" customHeight="false" outlineLevel="0" collapsed="false">
      <c r="A15" s="0" t="s">
        <v>782</v>
      </c>
      <c r="B15" s="21" t="n">
        <f aca="false">kw_ni27</f>
        <v>105.263</v>
      </c>
      <c r="C15" s="21" t="n">
        <f aca="false">PL!E108</f>
        <v>108.635413968159</v>
      </c>
      <c r="D15" s="20" t="n">
        <f aca="false">C15/B15-1</f>
        <v>0.0320379807544795</v>
      </c>
      <c r="E15" s="21" t="n">
        <f aca="false">PL!E173</f>
        <v>108.635413968159</v>
      </c>
      <c r="F15" s="20" t="n">
        <f aca="false">E15/B15-1</f>
        <v>0.0320379807544795</v>
      </c>
      <c r="G15" s="21" t="n">
        <f aca="false">PL!E238</f>
        <v>108.635413968159</v>
      </c>
      <c r="H15" s="20" t="n">
        <f aca="false">G15/B15-1</f>
        <v>0.0320379807544795</v>
      </c>
      <c r="I15" s="4" t="s">
        <v>779</v>
      </c>
    </row>
    <row r="16" customFormat="false" ht="17.15" hidden="false" customHeight="false" outlineLevel="0" collapsed="false">
      <c r="A16" s="0" t="s">
        <v>783</v>
      </c>
      <c r="C16" s="20" t="n">
        <f aca="false">PL!E118</f>
        <v>0.432768335960168</v>
      </c>
      <c r="E16" s="20" t="n">
        <f aca="false">PL!E183</f>
        <v>0.432768335960168</v>
      </c>
      <c r="G16" s="20" t="n">
        <f aca="false">PL!E248</f>
        <v>0.432768335960168</v>
      </c>
      <c r="I16" s="8" t="s">
        <v>132</v>
      </c>
      <c r="J16" s="4" t="s">
        <v>784</v>
      </c>
    </row>
    <row r="17" customFormat="false" ht="17.15" hidden="false" customHeight="false" outlineLevel="0" collapsed="false">
      <c r="A17" s="6" t="s">
        <v>785</v>
      </c>
    </row>
    <row r="18" customFormat="false" ht="17.15" hidden="false" customHeight="false" outlineLevel="0" collapsed="false">
      <c r="A18" s="0" t="s">
        <v>786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771</v>
      </c>
      <c r="J18" s="4" t="s">
        <v>787</v>
      </c>
    </row>
    <row r="19" customFormat="false" ht="17.15" hidden="false" customHeight="false" outlineLevel="0" collapsed="false">
      <c r="A19" s="0" t="s">
        <v>788</v>
      </c>
      <c r="B19" s="20" t="n">
        <f aca="false">rk_sh</f>
        <v>0.31438127090301</v>
      </c>
      <c r="C19" s="20" t="n">
        <f aca="false">PL!D70</f>
        <v>0.0875096501918446</v>
      </c>
      <c r="D19" s="20" t="n">
        <f aca="false">C19-B19</f>
        <v>-0.226871620711165</v>
      </c>
      <c r="E19" s="20" t="n">
        <f aca="false">PL!D135</f>
        <v>0.0875096501918446</v>
      </c>
      <c r="F19" s="20" t="n">
        <f aca="false">E19-B19</f>
        <v>-0.226871620711165</v>
      </c>
      <c r="G19" s="20" t="n">
        <f aca="false">PL!D200</f>
        <v>0.0875096501918446</v>
      </c>
      <c r="H19" s="20" t="n">
        <f aca="false">G19-B19</f>
        <v>-0.226871620711165</v>
      </c>
      <c r="I19" s="4" t="s">
        <v>789</v>
      </c>
      <c r="J19" s="4" t="s">
        <v>790</v>
      </c>
    </row>
    <row r="20" customFormat="false" ht="17.15" hidden="false" customHeight="false" outlineLevel="0" collapsed="false">
      <c r="A20" s="0" t="s">
        <v>791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792</v>
      </c>
      <c r="J20" s="4" t="s">
        <v>793</v>
      </c>
    </row>
    <row r="21" customFormat="false" ht="17.15" hidden="false" customHeight="false" outlineLevel="0" collapsed="false">
      <c r="A21" s="0" t="s">
        <v>794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771</v>
      </c>
      <c r="J21" s="4" t="s">
        <v>795</v>
      </c>
    </row>
    <row r="22" customFormat="false" ht="17.15" hidden="false" customHeight="false" outlineLevel="0" collapsed="false">
      <c r="A22" s="0" t="s">
        <v>796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771</v>
      </c>
      <c r="J22" s="4" t="s">
        <v>797</v>
      </c>
    </row>
    <row r="23" customFormat="false" ht="17.15" hidden="false" customHeight="false" outlineLevel="0" collapsed="false">
      <c r="A23" s="6" t="s">
        <v>798</v>
      </c>
    </row>
    <row r="24" customFormat="false" ht="17.15" hidden="false" customHeight="false" outlineLevel="0" collapsed="false">
      <c r="A24" s="0" t="s">
        <v>799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132</v>
      </c>
      <c r="J24" s="4" t="s">
        <v>800</v>
      </c>
    </row>
    <row r="25" customFormat="false" ht="17.15" hidden="false" customHeight="false" outlineLevel="0" collapsed="false">
      <c r="A25" s="0" t="s">
        <v>801</v>
      </c>
      <c r="C25" s="20" t="n">
        <f aca="false">PL!E93</f>
        <v>0.359554272563384</v>
      </c>
      <c r="E25" s="20" t="n">
        <f aca="false">PL!E158</f>
        <v>0.359554272563384</v>
      </c>
      <c r="G25" s="20" t="n">
        <f aca="false">PL!E223</f>
        <v>0.359554272563384</v>
      </c>
      <c r="I25" s="8" t="s">
        <v>132</v>
      </c>
    </row>
    <row r="26" customFormat="false" ht="17.15" hidden="false" customHeight="false" outlineLevel="0" collapsed="false">
      <c r="A26" s="0" t="s">
        <v>802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132</v>
      </c>
    </row>
    <row r="27" customFormat="false" ht="17.15" hidden="false" customHeight="false" outlineLevel="0" collapsed="false">
      <c r="A27" s="6" t="s">
        <v>803</v>
      </c>
    </row>
    <row r="28" customFormat="false" ht="17.15" hidden="false" customHeight="false" outlineLevel="0" collapsed="false">
      <c r="A28" s="0" t="s">
        <v>804</v>
      </c>
      <c r="J28" s="4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806</v>
      </c>
    </row>
    <row r="3" customFormat="false" ht="17.15" hidden="false" customHeight="false" outlineLevel="0" collapsed="false">
      <c r="A3" s="5" t="s">
        <v>807</v>
      </c>
      <c r="B3" s="5" t="s">
        <v>808</v>
      </c>
      <c r="C3" s="14" t="s">
        <v>809</v>
      </c>
      <c r="D3" s="14" t="s">
        <v>810</v>
      </c>
      <c r="E3" s="14" t="s">
        <v>698</v>
      </c>
      <c r="F3" s="14" t="s">
        <v>811</v>
      </c>
      <c r="G3" s="14" t="s">
        <v>812</v>
      </c>
      <c r="H3" s="14" t="s">
        <v>813</v>
      </c>
      <c r="I3" s="14" t="s">
        <v>814</v>
      </c>
      <c r="J3" s="14" t="s">
        <v>815</v>
      </c>
    </row>
    <row r="4" customFormat="false" ht="17.15" hidden="false" customHeight="false" outlineLevel="0" collapsed="false">
      <c r="A4" s="4" t="s">
        <v>816</v>
      </c>
      <c r="B4" s="0" t="s">
        <v>817</v>
      </c>
      <c r="C4" s="24" t="n">
        <f aca="false">PL!E90</f>
        <v>5959.35161443524</v>
      </c>
      <c r="D4" s="17" t="n">
        <f aca="false">PL!E112</f>
        <v>0.0555634787363554</v>
      </c>
      <c r="E4" s="18" t="n">
        <f aca="false">PL!E120</f>
        <v>27.5760920536011</v>
      </c>
      <c r="F4" s="20" t="n">
        <f aca="false">E4/E$4-1</f>
        <v>0</v>
      </c>
      <c r="G4" s="24" t="n">
        <f aca="false">PL!F90</f>
        <v>6607.43521272701</v>
      </c>
      <c r="H4" s="17" t="n">
        <f aca="false">PL!F112</f>
        <v>0.058677272972678</v>
      </c>
      <c r="I4" s="18" t="n">
        <f aca="false">PL!F120</f>
        <v>33.1322415019653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818</v>
      </c>
      <c r="B5" s="0" t="s">
        <v>819</v>
      </c>
      <c r="C5" s="24" t="n">
        <f aca="false">E70</f>
        <v>5065.83129651572</v>
      </c>
      <c r="D5" s="17" t="n">
        <f aca="false">E92</f>
        <v>0.0561363999427299</v>
      </c>
      <c r="E5" s="18" t="n">
        <f aca="false">E100</f>
        <v>22.8433953502795</v>
      </c>
      <c r="F5" s="20" t="n">
        <f aca="false">E5/E$4-1</f>
        <v>-0.171623183376469</v>
      </c>
      <c r="G5" s="24" t="n">
        <f aca="false">F70</f>
        <v>5596.48519893513</v>
      </c>
      <c r="H5" s="17" t="n">
        <f aca="false">F92</f>
        <v>0.0590702392477038</v>
      </c>
      <c r="I5" s="18" t="n">
        <f aca="false">F100</f>
        <v>27.3535762925457</v>
      </c>
      <c r="J5" s="20" t="n">
        <f aca="false">I5/I$4-1</f>
        <v>-0.174412141993981</v>
      </c>
    </row>
    <row r="6" customFormat="false" ht="17.15" hidden="false" customHeight="false" outlineLevel="0" collapsed="false">
      <c r="A6" s="0" t="s">
        <v>820</v>
      </c>
      <c r="B6" s="0" t="s">
        <v>821</v>
      </c>
      <c r="C6" s="24" t="n">
        <f aca="false">E135</f>
        <v>6852.87193235477</v>
      </c>
      <c r="D6" s="17" t="n">
        <f aca="false">E157</f>
        <v>0.0551399596327827</v>
      </c>
      <c r="E6" s="18" t="n">
        <f aca="false">E165</f>
        <v>32.3087887569227</v>
      </c>
      <c r="F6" s="20" t="n">
        <f aca="false">E6/E$4-1</f>
        <v>0.171623183376469</v>
      </c>
      <c r="G6" s="24" t="n">
        <f aca="false">F135</f>
        <v>7618.38522651889</v>
      </c>
      <c r="H6" s="17" t="n">
        <f aca="false">F157</f>
        <v>0.0583885989457718</v>
      </c>
      <c r="I6" s="18" t="n">
        <f aca="false">F165</f>
        <v>38.9116629416845</v>
      </c>
      <c r="J6" s="20" t="n">
        <f aca="false">I6/I$4-1</f>
        <v>0.17443496659821</v>
      </c>
    </row>
    <row r="7" customFormat="false" ht="17.15" hidden="false" customHeight="false" outlineLevel="0" collapsed="false">
      <c r="A7" s="4" t="s">
        <v>822</v>
      </c>
      <c r="B7" s="4" t="s">
        <v>823</v>
      </c>
      <c r="C7" s="24" t="n">
        <f aca="false">E200</f>
        <v>5528.73162587824</v>
      </c>
      <c r="D7" s="17" t="n">
        <f aca="false">E222</f>
        <v>0.0571801816057502</v>
      </c>
      <c r="E7" s="18" t="n">
        <f aca="false">E230</f>
        <v>25.5027673189832</v>
      </c>
      <c r="F7" s="20" t="n">
        <f aca="false">E7/E$4-1</f>
        <v>-0.0751855894079516</v>
      </c>
      <c r="G7" s="24" t="n">
        <f aca="false">F200</f>
        <v>5960.48870851183</v>
      </c>
      <c r="H7" s="17" t="n">
        <f aca="false">F222</f>
        <v>0.0608388685666715</v>
      </c>
      <c r="I7" s="18" t="n">
        <f aca="false">F230</f>
        <v>29.5590988119518</v>
      </c>
      <c r="J7" s="20" t="n">
        <f aca="false">I7/I$4-1</f>
        <v>-0.10784488244786</v>
      </c>
    </row>
    <row r="8" customFormat="false" ht="17.15" hidden="false" customHeight="false" outlineLevel="0" collapsed="false">
      <c r="A8" s="4" t="s">
        <v>824</v>
      </c>
      <c r="B8" s="4" t="s">
        <v>825</v>
      </c>
      <c r="C8" s="24" t="n">
        <f aca="false">E265</f>
        <v>6389.97160299224</v>
      </c>
      <c r="D8" s="17" t="n">
        <f aca="false">E287</f>
        <v>0.0541646749796242</v>
      </c>
      <c r="E8" s="18" t="n">
        <f aca="false">E295</f>
        <v>29.649416788219</v>
      </c>
      <c r="F8" s="20" t="n">
        <f aca="false">E8/E$4-1</f>
        <v>0.0751855894079521</v>
      </c>
      <c r="G8" s="24" t="n">
        <f aca="false">F265</f>
        <v>7254.38171694218</v>
      </c>
      <c r="H8" s="17" t="n">
        <f aca="false">F287</f>
        <v>0.0569012200114344</v>
      </c>
      <c r="I8" s="18" t="n">
        <f aca="false">F295</f>
        <v>36.7238262836718</v>
      </c>
      <c r="J8" s="20" t="n">
        <f aca="false">I8/I$4-1</f>
        <v>0.108401503154967</v>
      </c>
    </row>
    <row r="9" customFormat="false" ht="17.15" hidden="false" customHeight="false" outlineLevel="0" collapsed="false">
      <c r="A9" s="4" t="s">
        <v>826</v>
      </c>
      <c r="B9" s="4" t="s">
        <v>823</v>
      </c>
      <c r="C9" s="24" t="n">
        <f aca="false">E330</f>
        <v>5745.28286155859</v>
      </c>
      <c r="D9" s="17" t="n">
        <f aca="false">E352</f>
        <v>0.0544666764469332</v>
      </c>
      <c r="E9" s="18" t="n">
        <f aca="false">E360</f>
        <v>26.3838127304364</v>
      </c>
      <c r="F9" s="20" t="n">
        <f aca="false">E9/E$4-1</f>
        <v>-0.0432359785007677</v>
      </c>
      <c r="G9" s="24" t="n">
        <f aca="false">F330</f>
        <v>6155.17331594927</v>
      </c>
      <c r="H9" s="17" t="n">
        <f aca="false">F352</f>
        <v>0.0567431655409845</v>
      </c>
      <c r="I9" s="18" t="n">
        <f aca="false">F360</f>
        <v>30.6133194223191</v>
      </c>
      <c r="J9" s="20" t="n">
        <f aca="false">I9/I$4-1</f>
        <v>-0.0760263104896437</v>
      </c>
    </row>
    <row r="10" customFormat="false" ht="17.15" hidden="false" customHeight="false" outlineLevel="0" collapsed="false">
      <c r="A10" s="4" t="s">
        <v>827</v>
      </c>
      <c r="B10" s="4" t="s">
        <v>828</v>
      </c>
      <c r="C10" s="24" t="n">
        <f aca="false">E395</f>
        <v>6244.77661827078</v>
      </c>
      <c r="D10" s="17" t="n">
        <f aca="false">E417</f>
        <v>0.0569089102398616</v>
      </c>
      <c r="E10" s="18" t="n">
        <f aca="false">E425</f>
        <v>29.1657978178207</v>
      </c>
      <c r="F10" s="20" t="n">
        <f aca="false">E10/E$4-1</f>
        <v>0.0576479713343572</v>
      </c>
      <c r="G10" s="24" t="n">
        <f aca="false">F395</f>
        <v>6969.2447301492</v>
      </c>
      <c r="H10" s="17" t="n">
        <f aca="false">F417</f>
        <v>0.0600438217927806</v>
      </c>
      <c r="I10" s="18" t="n">
        <f aca="false">F425</f>
        <v>35.1473791656824</v>
      </c>
      <c r="J10" s="20" t="n">
        <f aca="false">I10/I$4-1</f>
        <v>0.0608210483917153</v>
      </c>
    </row>
    <row r="11" customFormat="false" ht="17.15" hidden="false" customHeight="false" outlineLevel="0" collapsed="false">
      <c r="A11" s="4" t="s">
        <v>829</v>
      </c>
      <c r="B11" s="4" t="s">
        <v>830</v>
      </c>
      <c r="C11" s="24" t="n">
        <f aca="false">E460</f>
        <v>5480.88496048301</v>
      </c>
      <c r="D11" s="17" t="n">
        <f aca="false">E482</f>
        <v>0.0601377927892386</v>
      </c>
      <c r="E11" s="18" t="n">
        <f aca="false">E490</f>
        <v>27.7442063219131</v>
      </c>
      <c r="F11" s="20" t="n">
        <f aca="false">E11/E$4-1</f>
        <v>0.00609637754273806</v>
      </c>
      <c r="G11" s="24" t="n">
        <f aca="false">F460</f>
        <v>5839.18623897149</v>
      </c>
      <c r="H11" s="17" t="n">
        <f aca="false">F482</f>
        <v>0.0659810015986108</v>
      </c>
      <c r="I11" s="18" t="n">
        <f aca="false">F490</f>
        <v>33.3030085366563</v>
      </c>
      <c r="J11" s="20" t="n">
        <f aca="false">I11/I$4-1</f>
        <v>0.00515410449005871</v>
      </c>
    </row>
    <row r="12" customFormat="false" ht="17.15" hidden="false" customHeight="false" outlineLevel="0" collapsed="false">
      <c r="A12" s="4" t="s">
        <v>831</v>
      </c>
      <c r="B12" s="4" t="s">
        <v>832</v>
      </c>
      <c r="C12" s="24" t="n">
        <f aca="false">E525</f>
        <v>5959.35161443524</v>
      </c>
      <c r="D12" s="17" t="n">
        <f aca="false">E547</f>
        <v>0.0552247433047381</v>
      </c>
      <c r="E12" s="18" t="n">
        <f aca="false">E555</f>
        <v>27.2465175978828</v>
      </c>
      <c r="F12" s="20" t="n">
        <f aca="false">E12/E$4-1</f>
        <v>-0.0119514561772467</v>
      </c>
      <c r="G12" s="24" t="n">
        <f aca="false">F525</f>
        <v>6607.43521272701</v>
      </c>
      <c r="H12" s="17" t="n">
        <f aca="false">F547</f>
        <v>0.0579414585514873</v>
      </c>
      <c r="I12" s="18" t="n">
        <f aca="false">F555</f>
        <v>32.3384707074172</v>
      </c>
      <c r="J12" s="20" t="n">
        <f aca="false">I12/I$4-1</f>
        <v>-0.0239576544949757</v>
      </c>
    </row>
    <row r="13" customFormat="false" ht="17.15" hidden="false" customHeight="false" outlineLevel="0" collapsed="false">
      <c r="A13" s="4" t="s">
        <v>833</v>
      </c>
      <c r="B13" s="0" t="s">
        <v>834</v>
      </c>
      <c r="C13" s="24" t="n">
        <f aca="false">E590</f>
        <v>5959.35161443524</v>
      </c>
      <c r="D13" s="17" t="n">
        <f aca="false">E612</f>
        <v>0.0555634787363554</v>
      </c>
      <c r="E13" s="18" t="n">
        <f aca="false">E620</f>
        <v>27.5760920536011</v>
      </c>
      <c r="F13" s="20" t="n">
        <f aca="false">E13/E$4-1</f>
        <v>0</v>
      </c>
      <c r="G13" s="24" t="n">
        <f aca="false">F590</f>
        <v>5875.12869040705</v>
      </c>
      <c r="H13" s="17" t="n">
        <f aca="false">F612</f>
        <v>0.0590240072491491</v>
      </c>
      <c r="I13" s="18" t="n">
        <f aca="false">F620</f>
        <v>28.8561379060773</v>
      </c>
      <c r="J13" s="20" t="n">
        <f aca="false">I13/I$4-1</f>
        <v>-0.129061705518307</v>
      </c>
    </row>
    <row r="14" customFormat="false" ht="17.15" hidden="false" customHeight="false" outlineLevel="0" collapsed="false">
      <c r="A14" s="4" t="s">
        <v>835</v>
      </c>
      <c r="B14" s="0" t="s">
        <v>821</v>
      </c>
      <c r="C14" s="24" t="n">
        <f aca="false">E655</f>
        <v>5959.35161443524</v>
      </c>
      <c r="D14" s="17" t="n">
        <f aca="false">E677</f>
        <v>0.0555634787363554</v>
      </c>
      <c r="E14" s="18" t="n">
        <f aca="false">E685</f>
        <v>27.5760920536011</v>
      </c>
      <c r="F14" s="20" t="n">
        <f aca="false">E14/E$4-1</f>
        <v>0</v>
      </c>
      <c r="G14" s="24" t="n">
        <f aca="false">F655</f>
        <v>7583.84390915362</v>
      </c>
      <c r="H14" s="17" t="n">
        <f aca="false">F677</f>
        <v>0.0583191241640536</v>
      </c>
      <c r="I14" s="18" t="n">
        <f aca="false">F685</f>
        <v>38.6173765983007</v>
      </c>
      <c r="J14" s="20" t="n">
        <f aca="false">I14/I$4-1</f>
        <v>0.165552792315907</v>
      </c>
    </row>
    <row r="15" customFormat="false" ht="17.15" hidden="false" customHeight="false" outlineLevel="0" collapsed="false">
      <c r="A15" s="4" t="s">
        <v>836</v>
      </c>
      <c r="B15" s="0" t="s">
        <v>837</v>
      </c>
      <c r="C15" s="24" t="n">
        <f aca="false">E720</f>
        <v>5925.41628509392</v>
      </c>
      <c r="D15" s="17" t="n">
        <f aca="false">E742</f>
        <v>0.0554599393995213</v>
      </c>
      <c r="E15" s="18" t="n">
        <f aca="false">E750</f>
        <v>27.1975340939897</v>
      </c>
      <c r="F15" s="20" t="n">
        <f aca="false">E15/E$4-1</f>
        <v>-0.0137277594981761</v>
      </c>
      <c r="G15" s="24" t="n">
        <f aca="false">F720</f>
        <v>6561.9861109306</v>
      </c>
      <c r="H15" s="17" t="n">
        <f aca="false">F742</f>
        <v>0.058573622807233</v>
      </c>
      <c r="I15" s="18" t="n">
        <f aca="false">F750</f>
        <v>32.6223072939905</v>
      </c>
      <c r="J15" s="20" t="n">
        <f aca="false">I15/I$4-1</f>
        <v>-0.0153908756201913</v>
      </c>
    </row>
    <row r="16" customFormat="false" ht="17.15" hidden="false" customHeight="false" outlineLevel="0" collapsed="false">
      <c r="A16" s="4" t="s">
        <v>838</v>
      </c>
      <c r="B16" s="0" t="s">
        <v>839</v>
      </c>
      <c r="C16" s="24" t="n">
        <f aca="false">E785</f>
        <v>5996.23784198015</v>
      </c>
      <c r="D16" s="17" t="n">
        <f aca="false">E807</f>
        <v>0.0556746922514309</v>
      </c>
      <c r="E16" s="18" t="n">
        <f aca="false">E815</f>
        <v>27.987568096657</v>
      </c>
      <c r="F16" s="20" t="n">
        <f aca="false">E16/E$4-1</f>
        <v>0.0149214777154092</v>
      </c>
      <c r="G16" s="24" t="n">
        <f aca="false">F785</f>
        <v>6650.6118594336</v>
      </c>
      <c r="H16" s="17" t="n">
        <f aca="false">F807</f>
        <v>0.058774428454369</v>
      </c>
      <c r="I16" s="18" t="n">
        <f aca="false">F815</f>
        <v>33.6159828420607</v>
      </c>
      <c r="J16" s="20" t="n">
        <f aca="false">I16/I$4-1</f>
        <v>0.0146003203576375</v>
      </c>
    </row>
    <row r="17" customFormat="false" ht="17.15" hidden="false" customHeight="false" outlineLevel="0" collapsed="false">
      <c r="A17" s="4" t="s">
        <v>840</v>
      </c>
      <c r="B17" s="4" t="s">
        <v>841</v>
      </c>
      <c r="C17" s="24" t="n">
        <f aca="false">E850</f>
        <v>5959.35161443524</v>
      </c>
      <c r="D17" s="17" t="n">
        <f aca="false">E872</f>
        <v>0.0548794030359215</v>
      </c>
      <c r="E17" s="18" t="n">
        <f aca="false">E880</f>
        <v>26.9105169303723</v>
      </c>
      <c r="F17" s="20" t="n">
        <f aca="false">E17/E$4-1</f>
        <v>-0.0241359479775131</v>
      </c>
      <c r="G17" s="24" t="n">
        <f aca="false">F850</f>
        <v>6607.43521272701</v>
      </c>
      <c r="H17" s="17" t="n">
        <f aca="false">F872</f>
        <v>0.0577788570153779</v>
      </c>
      <c r="I17" s="18" t="n">
        <f aca="false">F880</f>
        <v>32.1630618722607</v>
      </c>
      <c r="J17" s="20" t="n">
        <f aca="false">I17/I$4-1</f>
        <v>-0.0292518581831277</v>
      </c>
    </row>
    <row r="18" customFormat="false" ht="17.15" hidden="false" customHeight="false" outlineLevel="0" collapsed="false">
      <c r="A18" s="4" t="s">
        <v>842</v>
      </c>
      <c r="B18" s="4" t="s">
        <v>843</v>
      </c>
      <c r="C18" s="24" t="n">
        <f aca="false">E915</f>
        <v>5959.35161443524</v>
      </c>
      <c r="D18" s="17" t="n">
        <f aca="false">E937</f>
        <v>0.0555634787363554</v>
      </c>
      <c r="E18" s="18" t="n">
        <f aca="false">E945</f>
        <v>25.7400829043209</v>
      </c>
      <c r="F18" s="20" t="n">
        <f aca="false">E18/E$4-1</f>
        <v>-0.0665797439938719</v>
      </c>
      <c r="G18" s="24" t="n">
        <f aca="false">F915</f>
        <v>6607.43521272701</v>
      </c>
      <c r="H18" s="17" t="n">
        <f aca="false">F937</f>
        <v>0.058677272972678</v>
      </c>
      <c r="I18" s="18" t="n">
        <f aca="false">F945</f>
        <v>30.9321875316943</v>
      </c>
      <c r="J18" s="20" t="n">
        <f aca="false">I18/I$4-1</f>
        <v>-0.0664022073526346</v>
      </c>
    </row>
    <row r="19" customFormat="false" ht="17.15" hidden="false" customHeight="false" outlineLevel="0" collapsed="false">
      <c r="A19" s="4" t="s">
        <v>844</v>
      </c>
      <c r="C19" s="24" t="n">
        <f aca="false">E980</f>
        <v>5959.35161443524</v>
      </c>
      <c r="D19" s="17" t="n">
        <f aca="false">E1002</f>
        <v>0.0555634787363554</v>
      </c>
      <c r="E19" s="18" t="n">
        <f aca="false">E1010</f>
        <v>29.4121012028813</v>
      </c>
      <c r="F19" s="20" t="n">
        <f aca="false">E19/E$4-1</f>
        <v>0.0665797439938718</v>
      </c>
      <c r="G19" s="24" t="n">
        <f aca="false">F980</f>
        <v>6607.43521272701</v>
      </c>
      <c r="H19" s="17" t="n">
        <f aca="false">F1002</f>
        <v>0.058677272972678</v>
      </c>
      <c r="I19" s="18" t="n">
        <f aca="false">F1010</f>
        <v>35.3322954722364</v>
      </c>
      <c r="J19" s="20" t="n">
        <f aca="false">I19/I$4-1</f>
        <v>0.0664022073526347</v>
      </c>
    </row>
    <row r="20" customFormat="false" ht="17.15" hidden="false" customHeight="false" outlineLevel="0" collapsed="false">
      <c r="A20" s="4" t="s">
        <v>845</v>
      </c>
      <c r="B20" s="4" t="s">
        <v>846</v>
      </c>
      <c r="C20" s="24" t="n">
        <f aca="false">E1045</f>
        <v>5959.35161443524</v>
      </c>
      <c r="D20" s="17" t="n">
        <f aca="false">E1067</f>
        <v>0.0555634787363554</v>
      </c>
      <c r="E20" s="18" t="n">
        <f aca="false">E1075</f>
        <v>24.5035499390283</v>
      </c>
      <c r="F20" s="20" t="n">
        <f aca="false">E20/E$4-1</f>
        <v>-0.111420505436395</v>
      </c>
      <c r="G20" s="24" t="n">
        <f aca="false">F1045</f>
        <v>6607.43521272701</v>
      </c>
      <c r="H20" s="17" t="n">
        <f aca="false">F1067</f>
        <v>0.058677272972678</v>
      </c>
      <c r="I20" s="18" t="n">
        <f aca="false">F1075</f>
        <v>29.4331201154075</v>
      </c>
      <c r="J20" s="20" t="n">
        <f aca="false">I20/I$4-1</f>
        <v>-0.11164718168369</v>
      </c>
    </row>
    <row r="21" customFormat="false" ht="17.15" hidden="false" customHeight="false" outlineLevel="0" collapsed="false">
      <c r="A21" s="4" t="s">
        <v>847</v>
      </c>
      <c r="C21" s="24" t="n">
        <f aca="false">E1110</f>
        <v>5959.35161443524</v>
      </c>
      <c r="D21" s="17" t="n">
        <f aca="false">E1132</f>
        <v>0.0555634787363554</v>
      </c>
      <c r="E21" s="18" t="n">
        <f aca="false">E1140</f>
        <v>30.0899901473425</v>
      </c>
      <c r="F21" s="20" t="n">
        <f aca="false">E21/E$4-1</f>
        <v>0.0911622317206873</v>
      </c>
      <c r="G21" s="24" t="n">
        <f aca="false">F1110</f>
        <v>6607.43521272701</v>
      </c>
      <c r="H21" s="17" t="n">
        <f aca="false">F1132</f>
        <v>0.058677272972678</v>
      </c>
      <c r="I21" s="18" t="n">
        <f aca="false">F1140</f>
        <v>36.1587953636945</v>
      </c>
      <c r="J21" s="20" t="n">
        <f aca="false">I21/I$4-1</f>
        <v>0.0913476941048372</v>
      </c>
    </row>
    <row r="22" customFormat="false" ht="17.15" hidden="false" customHeight="false" outlineLevel="0" collapsed="false">
      <c r="A22" s="4" t="s">
        <v>848</v>
      </c>
      <c r="B22" s="4" t="s">
        <v>849</v>
      </c>
      <c r="C22" s="24" t="n">
        <f aca="false">E1175</f>
        <v>5959.35161443524</v>
      </c>
      <c r="D22" s="17" t="n">
        <f aca="false">E1197</f>
        <v>0.0555634787363554</v>
      </c>
      <c r="E22" s="18" t="n">
        <f aca="false">E1205</f>
        <v>26.7272789065612</v>
      </c>
      <c r="F22" s="20" t="n">
        <f aca="false">E22/E$4-1</f>
        <v>-0.0307807627487593</v>
      </c>
      <c r="G22" s="24" t="n">
        <f aca="false">F1175</f>
        <v>6607.43521272701</v>
      </c>
      <c r="H22" s="17" t="n">
        <f aca="false">F1197</f>
        <v>0.058677272972678</v>
      </c>
      <c r="I22" s="18" t="n">
        <f aca="false">F1205</f>
        <v>32.1151252556245</v>
      </c>
      <c r="J22" s="20" t="n">
        <f aca="false">I22/I$4-1</f>
        <v>-0.0306986850340472</v>
      </c>
    </row>
    <row r="23" customFormat="false" ht="17.15" hidden="false" customHeight="false" outlineLevel="0" collapsed="false">
      <c r="A23" s="4" t="s">
        <v>850</v>
      </c>
      <c r="B23" s="4" t="s">
        <v>851</v>
      </c>
      <c r="C23" s="24" t="n">
        <f aca="false">E1240</f>
        <v>5959.35161443524</v>
      </c>
      <c r="D23" s="17" t="n">
        <f aca="false">E1262</f>
        <v>0.0555634787363554</v>
      </c>
      <c r="E23" s="18" t="n">
        <f aca="false">E1270</f>
        <v>26.3298418398027</v>
      </c>
      <c r="F23" s="20" t="n">
        <f aca="false">E23/E$4-1</f>
        <v>-0.0451931409053894</v>
      </c>
      <c r="G23" s="24" t="n">
        <f aca="false">F1240</f>
        <v>6607.43521272701</v>
      </c>
      <c r="H23" s="17" t="n">
        <f aca="false">F1262</f>
        <v>0.058677272972678</v>
      </c>
      <c r="I23" s="18" t="n">
        <f aca="false">F1270</f>
        <v>30.5449839527826</v>
      </c>
      <c r="J23" s="20" t="n">
        <f aca="false">I23/I$4-1</f>
        <v>-0.0780888171731233</v>
      </c>
    </row>
    <row r="24" customFormat="false" ht="17.15" hidden="false" customHeight="false" outlineLevel="0" collapsed="false">
      <c r="A24" s="4" t="s">
        <v>852</v>
      </c>
      <c r="B24" s="0" t="s">
        <v>853</v>
      </c>
      <c r="C24" s="24" t="n">
        <f aca="false">PL!E155</f>
        <v>5959.35161443524</v>
      </c>
      <c r="D24" s="17" t="n">
        <f aca="false">PL!E177</f>
        <v>0.0555634787363554</v>
      </c>
      <c r="E24" s="18" t="n">
        <f aca="false">PL!E185</f>
        <v>27.5760920536011</v>
      </c>
      <c r="F24" s="20" t="n">
        <f aca="false">E24/E$4-1</f>
        <v>0</v>
      </c>
      <c r="G24" s="24" t="n">
        <f aca="false">PL!F155</f>
        <v>5596.48519893513</v>
      </c>
      <c r="H24" s="17" t="n">
        <f aca="false">PL!F177</f>
        <v>0.0590702392477038</v>
      </c>
      <c r="I24" s="18" t="n">
        <f aca="false">PL!F185</f>
        <v>26.9646854869289</v>
      </c>
      <c r="J24" s="20" t="n">
        <f aca="false">I24/I$4-1</f>
        <v>-0.186149675827715</v>
      </c>
    </row>
    <row r="25" customFormat="false" ht="17.15" hidden="false" customHeight="false" outlineLevel="0" collapsed="false">
      <c r="A25" s="4" t="s">
        <v>854</v>
      </c>
      <c r="B25" s="0" t="s">
        <v>855</v>
      </c>
      <c r="C25" s="24" t="n">
        <f aca="false">PL!E220</f>
        <v>5959.35161443524</v>
      </c>
      <c r="D25" s="17" t="n">
        <f aca="false">PL!E242</f>
        <v>0.0555634787363554</v>
      </c>
      <c r="E25" s="18" t="n">
        <f aca="false">PL!E250</f>
        <v>27.5760920536011</v>
      </c>
      <c r="F25" s="20" t="n">
        <f aca="false">E25/E$4-1</f>
        <v>0</v>
      </c>
      <c r="G25" s="24" t="n">
        <f aca="false">PL!F220</f>
        <v>4585.53518514325</v>
      </c>
      <c r="H25" s="17" t="n">
        <f aca="false">PL!F242</f>
        <v>0.0596364761422394</v>
      </c>
      <c r="I25" s="18" t="n">
        <f aca="false">PL!F250</f>
        <v>20.6447721500282</v>
      </c>
      <c r="J25" s="20" t="n">
        <f aca="false">I25/I$4-1</f>
        <v>-0.376897812699946</v>
      </c>
    </row>
    <row r="27" customFormat="false" ht="17.15" hidden="false" customHeight="false" outlineLevel="0" collapsed="false">
      <c r="A27" s="4" t="s">
        <v>856</v>
      </c>
    </row>
    <row r="29" customFormat="false" ht="17.15" hidden="false" customHeight="false" outlineLevel="0" collapsed="false">
      <c r="A29" s="1" t="s">
        <v>857</v>
      </c>
    </row>
    <row r="30" customFormat="false" ht="17.15" hidden="false" customHeight="false" outlineLevel="0" collapsed="false">
      <c r="A30" s="5" t="s">
        <v>807</v>
      </c>
      <c r="B30" s="5" t="s">
        <v>808</v>
      </c>
      <c r="C30" s="14" t="s">
        <v>858</v>
      </c>
      <c r="D30" s="14" t="s">
        <v>859</v>
      </c>
      <c r="E30" s="5" t="s">
        <v>860</v>
      </c>
      <c r="F30" s="5" t="s">
        <v>861</v>
      </c>
    </row>
    <row r="31" customFormat="false" ht="17.15" hidden="false" customHeight="false" outlineLevel="0" collapsed="false">
      <c r="A31" s="4" t="s">
        <v>20</v>
      </c>
      <c r="B31" s="0" t="s">
        <v>862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1" s="18" t="n">
        <f aca="false">Val!B35</f>
        <v>313.30213162954</v>
      </c>
      <c r="E31" s="18" t="n">
        <f aca="false">tp_w_dcf*C31+(1-tp_w_dcf)*D31</f>
        <v>355.133563866587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863</v>
      </c>
      <c r="B32" s="0" t="s">
        <v>864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343.640982182417</v>
      </c>
      <c r="D32" s="18" t="n">
        <f aca="false">Val!B35</f>
        <v>313.30213162954</v>
      </c>
      <c r="E32" s="18" t="n">
        <f aca="false">tp_w_dcf*C32+(1-tp_w_dcf)*D32</f>
        <v>328.471556905979</v>
      </c>
      <c r="F32" s="20" t="n">
        <f aca="false">E32/E$31-1</f>
        <v>-0.0750759986477203</v>
      </c>
    </row>
    <row r="33" customFormat="false" ht="17.15" hidden="false" customHeight="false" outlineLevel="0" collapsed="false">
      <c r="A33" s="4" t="s">
        <v>865</v>
      </c>
      <c r="B33" s="0" t="s">
        <v>866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471.599991554808</v>
      </c>
      <c r="D33" s="18" t="n">
        <f aca="false">Val!B35</f>
        <v>313.30213162954</v>
      </c>
      <c r="E33" s="18" t="n">
        <f aca="false">tp_w_dcf*C33+(1-tp_w_dcf)*D33</f>
        <v>392.451061592174</v>
      </c>
      <c r="F33" s="20" t="n">
        <f aca="false">E33/E$31-1</f>
        <v>0.105080176931985</v>
      </c>
    </row>
    <row r="34" customFormat="false" ht="17.15" hidden="false" customHeight="false" outlineLevel="0" collapsed="false">
      <c r="A34" s="4" t="s">
        <v>867</v>
      </c>
      <c r="B34" s="0" t="s">
        <v>868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428.288156652495</v>
      </c>
      <c r="D34" s="18" t="n">
        <f aca="false">Val!B35</f>
        <v>313.30213162954</v>
      </c>
      <c r="E34" s="18" t="n">
        <f aca="false">tp_w_dcf*C34+(1-tp_w_dcf)*D34</f>
        <v>370.795144141017</v>
      </c>
      <c r="F34" s="20" t="n">
        <f aca="false">E34/E$31-1</f>
        <v>0.0441005353138475</v>
      </c>
    </row>
    <row r="35" customFormat="false" ht="17.15" hidden="false" customHeight="false" outlineLevel="0" collapsed="false">
      <c r="A35" s="4" t="s">
        <v>869</v>
      </c>
      <c r="B35" s="0" t="s">
        <v>870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376.342746825987</v>
      </c>
      <c r="D35" s="18" t="n">
        <f aca="false">Val!B35</f>
        <v>313.30213162954</v>
      </c>
      <c r="E35" s="18" t="n">
        <f aca="false">tp_w_dcf*C35+(1-tp_w_dcf)*D35</f>
        <v>344.822439227763</v>
      </c>
      <c r="F35" s="20" t="n">
        <f aca="false">E35/E$31-1</f>
        <v>-0.029034497687458</v>
      </c>
    </row>
    <row r="36" customFormat="false" ht="17.15" hidden="false" customHeight="false" outlineLevel="0" collapsed="false">
      <c r="A36" s="0" t="s">
        <v>871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6" s="18" t="n">
        <f aca="false">Val!B35</f>
        <v>313.30213162954</v>
      </c>
      <c r="E36" s="18" t="n">
        <f aca="false">0.3*C36+(1-0.3)*D36</f>
        <v>338.400990971768</v>
      </c>
      <c r="F36" s="20" t="n">
        <f aca="false">E36/E$31-1</f>
        <v>-0.0471162813017151</v>
      </c>
    </row>
    <row r="37" customFormat="false" ht="17.15" hidden="false" customHeight="false" outlineLevel="0" collapsed="false">
      <c r="A37" s="0" t="s">
        <v>872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7" s="18" t="n">
        <f aca="false">Val!B35</f>
        <v>313.30213162954</v>
      </c>
      <c r="E37" s="18" t="n">
        <f aca="false">0.7*C37+(1-0.7)*D37</f>
        <v>371.866136761405</v>
      </c>
      <c r="F37" s="20" t="n">
        <f aca="false">E37/E$31-1</f>
        <v>0.0471162813017152</v>
      </c>
    </row>
    <row r="40" customFormat="false" ht="17.15" hidden="false" customHeight="false" outlineLevel="0" collapsed="false">
      <c r="A40" s="1" t="s">
        <v>873</v>
      </c>
    </row>
    <row r="41" customFormat="false" ht="17.15" hidden="false" customHeight="false" outlineLevel="0" collapsed="false">
      <c r="A41" s="5" t="s">
        <v>17</v>
      </c>
      <c r="B41" s="5" t="s">
        <v>18</v>
      </c>
      <c r="C41" s="14" t="s">
        <v>414</v>
      </c>
      <c r="D41" s="14" t="s">
        <v>529</v>
      </c>
      <c r="E41" s="14" t="s">
        <v>530</v>
      </c>
      <c r="F41" s="14" t="s">
        <v>531</v>
      </c>
      <c r="G41" s="14" t="s">
        <v>532</v>
      </c>
      <c r="H41" s="14" t="s">
        <v>533</v>
      </c>
      <c r="I41" s="14" t="s">
        <v>534</v>
      </c>
      <c r="J41" s="14" t="s">
        <v>535</v>
      </c>
      <c r="K41" s="5" t="s">
        <v>496</v>
      </c>
    </row>
    <row r="42" customFormat="false" ht="17.15" hidden="false" customHeight="false" outlineLevel="0" collapsed="false">
      <c r="A42" s="6" t="s">
        <v>550</v>
      </c>
    </row>
    <row r="43" customFormat="false" ht="17.15" hidden="false" customHeight="false" outlineLevel="0" collapsed="false">
      <c r="A43" s="0" t="s">
        <v>551</v>
      </c>
      <c r="B43" s="0" t="s">
        <v>28</v>
      </c>
      <c r="D43" s="21" t="n">
        <f aca="false">itc_26*1</f>
        <v>781.872916666667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552</v>
      </c>
      <c r="B44" s="0" t="s">
        <v>28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553</v>
      </c>
      <c r="B45" s="0" t="s">
        <v>498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554</v>
      </c>
      <c r="B46" s="0" t="s">
        <v>555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556</v>
      </c>
    </row>
    <row r="47" customFormat="false" ht="17.15" hidden="false" customHeight="false" outlineLevel="0" collapsed="false">
      <c r="A47" s="0" t="s">
        <v>557</v>
      </c>
      <c r="B47" s="0" t="s">
        <v>28</v>
      </c>
      <c r="D47" s="21" t="n">
        <f aca="false">D45*D46</f>
        <v>634.616531285011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558</v>
      </c>
      <c r="B48" s="0" t="s">
        <v>147</v>
      </c>
      <c r="D48" s="21" t="n">
        <f aca="false">D47*fx</f>
        <v>20307.7290011204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559</v>
      </c>
    </row>
    <row r="50" customFormat="false" ht="17.15" hidden="false" customHeight="false" outlineLevel="0" collapsed="false">
      <c r="A50" s="4" t="s">
        <v>560</v>
      </c>
      <c r="B50" s="0" t="s">
        <v>48</v>
      </c>
      <c r="D50" s="20" t="n">
        <f aca="false">a26_ais/D48</f>
        <v>0.0875096501918446</v>
      </c>
      <c r="K50" s="8" t="s">
        <v>561</v>
      </c>
    </row>
    <row r="51" customFormat="false" ht="17.15" hidden="false" customHeight="false" outlineLevel="0" collapsed="false">
      <c r="A51" s="4" t="s">
        <v>562</v>
      </c>
      <c r="B51" s="0" t="s">
        <v>60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563</v>
      </c>
      <c r="B52" s="0" t="s">
        <v>48</v>
      </c>
      <c r="D52" s="20" t="n">
        <f aca="false">$D$50*D51</f>
        <v>0.0875096501918446</v>
      </c>
      <c r="E52" s="20" t="n">
        <f aca="false">$D$50*E51</f>
        <v>0.0875096501918446</v>
      </c>
      <c r="F52" s="20" t="n">
        <f aca="false">$D$50*F51</f>
        <v>0.0831341676822524</v>
      </c>
      <c r="G52" s="20" t="n">
        <f aca="false">$D$50*G51</f>
        <v>0.0787586851726601</v>
      </c>
    </row>
    <row r="53" customFormat="false" ht="17.15" hidden="false" customHeight="false" outlineLevel="0" collapsed="false">
      <c r="A53" s="4" t="s">
        <v>564</v>
      </c>
      <c r="B53" s="0" t="s">
        <v>147</v>
      </c>
      <c r="D53" s="21" t="n">
        <f aca="false">D48*D52</f>
        <v>1777.12226107882</v>
      </c>
      <c r="E53" s="21" t="n">
        <f aca="false">E48*E52</f>
        <v>2551.82215441187</v>
      </c>
      <c r="F53" s="21" t="n">
        <f aca="false">F48*F52</f>
        <v>3072.99589502208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565</v>
      </c>
      <c r="B54" s="0" t="s">
        <v>48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566</v>
      </c>
    </row>
    <row r="55" customFormat="false" ht="17.15" hidden="false" customHeight="false" outlineLevel="0" collapsed="false">
      <c r="A55" s="4" t="s">
        <v>567</v>
      </c>
      <c r="B55" s="0" t="s">
        <v>147</v>
      </c>
      <c r="D55" s="21" t="n">
        <f aca="false">D53*(1-D54)</f>
        <v>1777.12226107882</v>
      </c>
      <c r="E55" s="21" t="n">
        <f aca="false">E53*(1-E54)</f>
        <v>2296.63993897068</v>
      </c>
      <c r="F55" s="21" t="n">
        <f aca="false">F53*(1-F54)</f>
        <v>2458.39671601767</v>
      </c>
      <c r="G55" s="21" t="n">
        <f aca="false">G53*(1-G54)</f>
        <v>2487.28842891629</v>
      </c>
    </row>
    <row r="56" customFormat="false" ht="17.15" hidden="false" customHeight="false" outlineLevel="0" collapsed="false">
      <c r="A56" s="6" t="s">
        <v>568</v>
      </c>
    </row>
    <row r="57" customFormat="false" ht="17.15" hidden="false" customHeight="false" outlineLevel="0" collapsed="false">
      <c r="A57" s="0" t="s">
        <v>569</v>
      </c>
      <c r="B57" s="4" t="s">
        <v>81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570</v>
      </c>
      <c r="B58" s="0" t="s">
        <v>48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571</v>
      </c>
      <c r="B59" s="0" t="s">
        <v>520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572</v>
      </c>
    </row>
    <row r="60" customFormat="false" ht="17.15" hidden="false" customHeight="false" outlineLevel="0" collapsed="false">
      <c r="A60" s="0" t="s">
        <v>522</v>
      </c>
      <c r="B60" s="0" t="s">
        <v>147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573</v>
      </c>
    </row>
    <row r="62" customFormat="false" ht="15" hidden="false" customHeight="false" outlineLevel="0" collapsed="false">
      <c r="A62" s="4" t="s">
        <v>574</v>
      </c>
      <c r="B62" s="0" t="s">
        <v>147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575</v>
      </c>
      <c r="B63" s="0" t="s">
        <v>147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576</v>
      </c>
      <c r="B64" s="0" t="s">
        <v>147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3208.54596567356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577</v>
      </c>
      <c r="B65" s="0" t="s">
        <v>48</v>
      </c>
      <c r="D65" s="20" t="n">
        <f aca="false">a26_wai/D48</f>
        <v>0.0391523244650416</v>
      </c>
      <c r="K65" s="8" t="s">
        <v>578</v>
      </c>
    </row>
    <row r="66" customFormat="false" ht="17.15" hidden="false" customHeight="false" outlineLevel="0" collapsed="false">
      <c r="A66" s="4" t="s">
        <v>504</v>
      </c>
      <c r="B66" s="0" t="s">
        <v>48</v>
      </c>
      <c r="D66" s="20" t="n">
        <f aca="false">D65</f>
        <v>0.0391523244650416</v>
      </c>
      <c r="E66" s="20" t="n">
        <f aca="false">$D$65*wrel_27</f>
        <v>0.0391523244650416</v>
      </c>
      <c r="F66" s="20" t="n">
        <f aca="false">$D$65*wrel_28</f>
        <v>0.0391523244650416</v>
      </c>
      <c r="G66" s="20" t="n">
        <f aca="false">$D$65*wrel_29</f>
        <v>0.0371947082417896</v>
      </c>
    </row>
    <row r="67" customFormat="false" ht="17.15" hidden="false" customHeight="false" outlineLevel="0" collapsed="false">
      <c r="A67" s="4" t="s">
        <v>524</v>
      </c>
      <c r="B67" s="0" t="s">
        <v>147</v>
      </c>
      <c r="D67" s="21" t="n">
        <f aca="false">D48*D66</f>
        <v>795.094795</v>
      </c>
      <c r="E67" s="21" t="n">
        <f aca="false">E48*E66</f>
        <v>1141.70001534215</v>
      </c>
      <c r="F67" s="21" t="n">
        <f aca="false">F48*F66</f>
        <v>1447.23806968877</v>
      </c>
      <c r="G67" s="21" t="n">
        <f aca="false">G48*G66</f>
        <v>1566.20131860429</v>
      </c>
    </row>
    <row r="68" customFormat="false" ht="17.15" hidden="false" customHeight="false" outlineLevel="0" collapsed="false">
      <c r="A68" s="4" t="s">
        <v>579</v>
      </c>
      <c r="B68" s="0" t="s">
        <v>147</v>
      </c>
      <c r="D68" s="21" t="n">
        <f aca="false">a26_wna</f>
        <v>650.532105</v>
      </c>
      <c r="E68" s="21" t="n">
        <f aca="false">D68*(1+g_wn27)</f>
        <v>715.5853155</v>
      </c>
      <c r="F68" s="21" t="n">
        <f aca="false">E68*(1+g_wn28)</f>
        <v>758.52043443</v>
      </c>
      <c r="G68" s="21" t="n">
        <f aca="false">F68*(1+g_wn29)</f>
        <v>796.4464561515</v>
      </c>
    </row>
    <row r="69" customFormat="false" ht="15" hidden="false" customHeight="false" outlineLevel="0" collapsed="false">
      <c r="A69" s="4" t="s">
        <v>434</v>
      </c>
      <c r="B69" s="0" t="s">
        <v>147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1857.28533084215</v>
      </c>
      <c r="F69" s="21" t="n">
        <f aca="false">F67+F68</f>
        <v>2205.75850411877</v>
      </c>
      <c r="G69" s="21" t="n">
        <f aca="false">G67+G68</f>
        <v>2362.64777475579</v>
      </c>
    </row>
    <row r="70" customFormat="false" ht="17.15" hidden="false" customHeight="false" outlineLevel="0" collapsed="false">
      <c r="A70" s="4" t="s">
        <v>420</v>
      </c>
      <c r="B70" s="0" t="s">
        <v>147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5065.83129651572</v>
      </c>
      <c r="F70" s="21" t="n">
        <f aca="false">F64+F69</f>
        <v>5596.48519893513</v>
      </c>
      <c r="G70" s="21" t="n">
        <f aca="false">G64+G69</f>
        <v>5806.76917648275</v>
      </c>
      <c r="H70" s="26" t="n">
        <f aca="false">G70*(1+H71)</f>
        <v>6068.36139297417</v>
      </c>
      <c r="I70" s="26" t="n">
        <f aca="false">H70*(1+I71)</f>
        <v>6387.10064608238</v>
      </c>
      <c r="J70" s="26" t="n">
        <f aca="false">I70*(1+J71)</f>
        <v>6770.32668484733</v>
      </c>
      <c r="K70" s="8" t="s">
        <v>580</v>
      </c>
    </row>
    <row r="71" customFormat="false" ht="15" hidden="false" customHeight="false" outlineLevel="0" collapsed="false">
      <c r="A71" s="4" t="s">
        <v>581</v>
      </c>
      <c r="B71" s="0" t="s">
        <v>48</v>
      </c>
      <c r="D71" s="20" t="n">
        <f aca="false">D70/C70-1</f>
        <v>0.873912121761526</v>
      </c>
      <c r="E71" s="20" t="n">
        <f aca="false">E70/D70-1</f>
        <v>0.236367134951671</v>
      </c>
      <c r="F71" s="20" t="n">
        <f aca="false">F70/E70-1</f>
        <v>0.104751593837007</v>
      </c>
      <c r="G71" s="20" t="n">
        <f aca="false">G70/F70-1</f>
        <v>0.0375742935204462</v>
      </c>
      <c r="H71" s="27" t="n">
        <f aca="false">$G71+(fade_gA-$G71)*1/3</f>
        <v>0.0450495290136308</v>
      </c>
      <c r="I71" s="27" t="n">
        <f aca="false">$G71+(fade_gA-$G71)*2/3</f>
        <v>0.0525247645068154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582</v>
      </c>
      <c r="B72" s="0" t="s">
        <v>48</v>
      </c>
      <c r="D72" s="20" t="n">
        <f aca="false">(D55+D60+D67)/D70</f>
        <v>0.6546220793463</v>
      </c>
      <c r="E72" s="20" t="n">
        <f aca="false">(E55+E60+E67)/E70</f>
        <v>0.705527101570943</v>
      </c>
      <c r="F72" s="20" t="n">
        <f aca="false">(F55+F60+F67)/F70</f>
        <v>0.722560662884797</v>
      </c>
      <c r="G72" s="20" t="n">
        <f aca="false">(G55+G60+G67)/G70</f>
        <v>0.723348540872747</v>
      </c>
    </row>
    <row r="73" customFormat="false" ht="17.15" hidden="false" customHeight="false" outlineLevel="0" collapsed="false">
      <c r="A73" s="4" t="s">
        <v>583</v>
      </c>
      <c r="B73" s="0" t="s">
        <v>48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0.366629921552973</v>
      </c>
      <c r="F73" s="20" t="n">
        <f aca="false">F69/F70</f>
        <v>0.394132821889438</v>
      </c>
      <c r="G73" s="20" t="n">
        <f aca="false">G69/G70</f>
        <v>0.406878197315721</v>
      </c>
    </row>
    <row r="74" customFormat="false" ht="17.15" hidden="false" customHeight="false" outlineLevel="0" collapsed="false">
      <c r="A74" s="4" t="s">
        <v>584</v>
      </c>
      <c r="B74" s="4" t="s">
        <v>331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585</v>
      </c>
    </row>
    <row r="75" customFormat="false" ht="17.15" hidden="false" customHeight="false" outlineLevel="0" collapsed="false">
      <c r="A75" s="6" t="s">
        <v>586</v>
      </c>
    </row>
    <row r="76" customFormat="false" ht="17.15" hidden="false" customHeight="false" outlineLevel="0" collapsed="false">
      <c r="A76" s="4" t="s">
        <v>587</v>
      </c>
      <c r="B76" s="0" t="s">
        <v>48</v>
      </c>
      <c r="D76" s="17" t="n">
        <f aca="false">(a26_sgp-d_ai*D55-d_brd*D60-d_gen*D62)/D64</f>
        <v>0.0436423860147897</v>
      </c>
      <c r="K76" s="8" t="s">
        <v>588</v>
      </c>
    </row>
    <row r="77" customFormat="false" ht="17.15" hidden="false" customHeight="false" outlineLevel="0" collapsed="false">
      <c r="A77" s="4" t="s">
        <v>589</v>
      </c>
      <c r="B77" s="0" t="s">
        <v>147</v>
      </c>
      <c r="D77" s="25" t="n">
        <f aca="false">($D$76+d_ai)*D53*(1-D54*(1-keep))</f>
        <v>59.7866331026896</v>
      </c>
      <c r="E77" s="25" t="n">
        <f aca="false">($D$76+d_ai+vrd)*E53*(1-E54*(1-keep))</f>
        <v>79.9382842344828</v>
      </c>
      <c r="F77" s="25" t="n">
        <f aca="false">($D$76+d_ai+vrd)*F53*(1-F54*(1-keep))</f>
        <v>95.2921838855099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590</v>
      </c>
      <c r="B78" s="0" t="s">
        <v>147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591</v>
      </c>
      <c r="B79" s="0" t="s">
        <v>48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592</v>
      </c>
      <c r="B80" s="0" t="s">
        <v>48</v>
      </c>
      <c r="E80" s="20" t="n">
        <f aca="false">MAX(0,phi*(E64/D64-1))</f>
        <v>0.0629953219221284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593</v>
      </c>
      <c r="B81" s="0" t="s">
        <v>147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49.9516485114323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594</v>
      </c>
      <c r="B82" s="0" t="s">
        <v>147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76.5566300705887</v>
      </c>
      <c r="F82" s="21" t="n">
        <f aca="false">F78-F81</f>
        <v>92.2937242906922</v>
      </c>
      <c r="G82" s="21" t="n">
        <f aca="false">G78-G81</f>
        <v>100.643261732822</v>
      </c>
    </row>
    <row r="83" customFormat="false" ht="15" hidden="false" customHeight="false" outlineLevel="0" collapsed="false">
      <c r="A83" s="4" t="s">
        <v>595</v>
      </c>
      <c r="B83" s="0" t="s">
        <v>48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0.0238602254384463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596</v>
      </c>
      <c r="B84" s="0" t="s">
        <v>147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42.8717128395297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597</v>
      </c>
    </row>
    <row r="86" customFormat="false" ht="15" hidden="false" customHeight="false" outlineLevel="0" collapsed="false">
      <c r="A86" s="4" t="s">
        <v>438</v>
      </c>
      <c r="B86" s="0" t="s">
        <v>147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157.869253121583</v>
      </c>
      <c r="F86" s="21" t="n">
        <f aca="false">F69*wgm</f>
        <v>187.489472850096</v>
      </c>
      <c r="G86" s="21" t="n">
        <f aca="false">G69*wgm</f>
        <v>200.825060854243</v>
      </c>
    </row>
    <row r="87" customFormat="false" ht="15" hidden="false" customHeight="false" outlineLevel="0" collapsed="false">
      <c r="A87" s="4" t="s">
        <v>440</v>
      </c>
      <c r="B87" s="0" t="s">
        <v>147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120.72354650474</v>
      </c>
      <c r="F87" s="21" t="n">
        <f aca="false">F69*wopm</f>
        <v>143.37430276772</v>
      </c>
      <c r="G87" s="21" t="n">
        <f aca="false">G69*wopm</f>
        <v>153.572105359127</v>
      </c>
    </row>
    <row r="88" customFormat="false" ht="15" hidden="false" customHeight="false" outlineLevel="0" collapsed="false">
      <c r="A88" s="4" t="s">
        <v>448</v>
      </c>
      <c r="B88" s="0" t="s">
        <v>147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94.164366273697</v>
      </c>
      <c r="F88" s="21" t="n">
        <f aca="false">F87*wnio</f>
        <v>111.831956158822</v>
      </c>
      <c r="G88" s="21" t="n">
        <f aca="false">G87*wnio</f>
        <v>119.786242180119</v>
      </c>
    </row>
    <row r="89" customFormat="false" ht="15" hidden="false" customHeight="false" outlineLevel="0" collapsed="false">
      <c r="A89" s="4" t="s">
        <v>450</v>
      </c>
      <c r="B89" s="0" t="s">
        <v>48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598</v>
      </c>
    </row>
    <row r="91" customFormat="false" ht="15" hidden="false" customHeight="false" outlineLevel="0" collapsed="false">
      <c r="A91" s="4" t="s">
        <v>424</v>
      </c>
      <c r="B91" s="0" t="s">
        <v>147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284.377531703604</v>
      </c>
      <c r="F91" s="21" t="n">
        <f aca="false">F78+F86</f>
        <v>330.585719647331</v>
      </c>
      <c r="G91" s="21" t="n">
        <f aca="false">G78+G86</f>
        <v>352.510845486772</v>
      </c>
    </row>
    <row r="92" customFormat="false" ht="15" hidden="false" customHeight="false" outlineLevel="0" collapsed="false">
      <c r="A92" s="4" t="s">
        <v>427</v>
      </c>
      <c r="B92" s="0" t="s">
        <v>48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0.0561363999427299</v>
      </c>
      <c r="F92" s="17" t="n">
        <f aca="false">F91/F70</f>
        <v>0.0590702392477038</v>
      </c>
      <c r="G92" s="17" t="n">
        <f aca="false">G91/G70</f>
        <v>0.0607068810164576</v>
      </c>
    </row>
    <row r="93" customFormat="false" ht="15" hidden="false" customHeight="false" outlineLevel="0" collapsed="false">
      <c r="A93" s="4" t="s">
        <v>428</v>
      </c>
      <c r="B93" s="0" t="s">
        <v>147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197.280176575329</v>
      </c>
      <c r="F93" s="21" t="n">
        <f aca="false">F82+F87</f>
        <v>235.668027058412</v>
      </c>
      <c r="G93" s="21" t="n">
        <f aca="false">G82+G87</f>
        <v>254.215367091949</v>
      </c>
    </row>
    <row r="94" customFormat="false" ht="15" hidden="false" customHeight="false" outlineLevel="0" collapsed="false">
      <c r="A94" s="4" t="s">
        <v>431</v>
      </c>
      <c r="B94" s="0" t="s">
        <v>48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0.0389432977586557</v>
      </c>
      <c r="F94" s="17" t="n">
        <f aca="false">F93/F70</f>
        <v>0.0421100063131149</v>
      </c>
      <c r="G94" s="17" t="n">
        <f aca="false">G93/G70</f>
        <v>0.0437791410964834</v>
      </c>
    </row>
    <row r="95" customFormat="false" ht="15" hidden="false" customHeight="false" outlineLevel="0" collapsed="false">
      <c r="A95" s="4" t="s">
        <v>461</v>
      </c>
      <c r="B95" s="0" t="s">
        <v>147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137.036079113227</v>
      </c>
      <c r="F95" s="21" t="n">
        <f aca="false">F84+F88</f>
        <v>163.516441761609</v>
      </c>
      <c r="G95" s="21" t="n">
        <f aca="false">G84+G88</f>
        <v>176.146468750499</v>
      </c>
    </row>
    <row r="96" customFormat="false" ht="17.15" hidden="false" customHeight="false" outlineLevel="0" collapsed="false">
      <c r="A96" s="4" t="s">
        <v>599</v>
      </c>
      <c r="B96" s="0" t="s">
        <v>147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58.683233061768</v>
      </c>
      <c r="F96" s="21" t="n">
        <f aca="false">(1-F89)*F88</f>
        <v>69.6936750781778</v>
      </c>
      <c r="G96" s="21" t="n">
        <f aca="false">(1-G89)*G88</f>
        <v>74.65078612665</v>
      </c>
    </row>
    <row r="97" customFormat="false" ht="15" hidden="false" customHeight="false" outlineLevel="0" collapsed="false">
      <c r="A97" s="4" t="s">
        <v>457</v>
      </c>
      <c r="B97" s="0" t="s">
        <v>147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78.3528460514588</v>
      </c>
      <c r="F97" s="21" t="n">
        <f aca="false">F95-F96</f>
        <v>93.8227666834317</v>
      </c>
      <c r="G97" s="21" t="n">
        <f aca="false">G95-G96</f>
        <v>101.495682623849</v>
      </c>
      <c r="H97" s="26" t="n">
        <f aca="false">H70*H102</f>
        <v>106.982637941616</v>
      </c>
      <c r="I97" s="26" t="n">
        <f aca="false">I70*I102</f>
        <v>113.56453876212</v>
      </c>
      <c r="J97" s="26" t="n">
        <f aca="false">J70*J102</f>
        <v>121.398833821529</v>
      </c>
    </row>
    <row r="98" customFormat="false" ht="17.15" hidden="false" customHeight="false" outlineLevel="0" collapsed="false">
      <c r="A98" s="4" t="s">
        <v>600</v>
      </c>
      <c r="B98" s="0" t="s">
        <v>48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0.452837835509212</v>
      </c>
      <c r="F98" s="20" t="n">
        <f aca="false">F89*F88/F97</f>
        <v>0.449126396185088</v>
      </c>
      <c r="G98" s="20" t="n">
        <f aca="false">G89*G88/G97</f>
        <v>0.444703211867092</v>
      </c>
    </row>
    <row r="99" customFormat="false" ht="17.15" hidden="false" customHeight="false" outlineLevel="0" collapsed="false">
      <c r="A99" s="4" t="s">
        <v>601</v>
      </c>
      <c r="B99" s="4" t="s">
        <v>282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602</v>
      </c>
    </row>
    <row r="100" customFormat="false" ht="15" hidden="false" customHeight="false" outlineLevel="0" collapsed="false">
      <c r="A100" s="0" t="s">
        <v>464</v>
      </c>
      <c r="B100" s="0" t="s">
        <v>312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22.8433953502795</v>
      </c>
      <c r="F100" s="18" t="n">
        <f aca="false">F97/F99</f>
        <v>27.3535762925457</v>
      </c>
      <c r="G100" s="18" t="n">
        <f aca="false">G97/G99</f>
        <v>29.5905780244459</v>
      </c>
      <c r="H100" s="29" t="n">
        <f aca="false">H97/H99</f>
        <v>31.1902734523663</v>
      </c>
      <c r="I100" s="29" t="n">
        <f aca="false">I97/I99</f>
        <v>33.1091949743792</v>
      </c>
      <c r="J100" s="29" t="n">
        <f aca="false">J97/J99</f>
        <v>35.3932460121075</v>
      </c>
    </row>
    <row r="101" customFormat="false" ht="17.15" hidden="false" customHeight="false" outlineLevel="0" collapsed="false">
      <c r="A101" s="0" t="s">
        <v>603</v>
      </c>
      <c r="B101" s="0" t="s">
        <v>48</v>
      </c>
      <c r="D101" s="20" t="n">
        <f aca="false">D100/C100-1</f>
        <v>1.03813580587031</v>
      </c>
      <c r="E101" s="20" t="n">
        <f aca="false">E100/D100-1</f>
        <v>0.239821339251937</v>
      </c>
      <c r="F101" s="20" t="n">
        <f aca="false">F100/E100-1</f>
        <v>0.197439166687232</v>
      </c>
      <c r="G101" s="20" t="n">
        <f aca="false">G100/F100-1</f>
        <v>0.0817809601192734</v>
      </c>
      <c r="H101" s="27" t="n">
        <f aca="false">H100/G100-1</f>
        <v>0.054060972604147</v>
      </c>
      <c r="I101" s="27" t="n">
        <f aca="false">I100/H100-1</f>
        <v>0.0615230746515709</v>
      </c>
      <c r="J101" s="27" t="n">
        <f aca="false">J100/I100-1</f>
        <v>0.0689853993579661</v>
      </c>
    </row>
    <row r="102" customFormat="false" ht="17.15" hidden="false" customHeight="false" outlineLevel="0" collapsed="false">
      <c r="A102" s="4" t="s">
        <v>604</v>
      </c>
      <c r="B102" s="0" t="s">
        <v>48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0.0154669276304858</v>
      </c>
      <c r="F102" s="17" t="n">
        <f aca="false">F97/F70</f>
        <v>0.0167645876560674</v>
      </c>
      <c r="G102" s="17" t="n">
        <f aca="false">G97/G70</f>
        <v>0.0174788560624907</v>
      </c>
      <c r="H102" s="28" t="n">
        <f aca="false">$G102+(fade_mA-$G102)*1/3</f>
        <v>0.0176295759289285</v>
      </c>
      <c r="I102" s="28" t="n">
        <f aca="false">$G102+(fade_mA-$G102)*2/3</f>
        <v>0.0177802957953664</v>
      </c>
      <c r="J102" s="28" t="n">
        <f aca="false">$G102+(fade_mA-$G102)*3/3</f>
        <v>0.0179310156618042</v>
      </c>
    </row>
    <row r="105" customFormat="false" ht="17.15" hidden="false" customHeight="false" outlineLevel="0" collapsed="false">
      <c r="A105" s="1" t="s">
        <v>874</v>
      </c>
    </row>
    <row r="106" customFormat="false" ht="17.15" hidden="false" customHeight="false" outlineLevel="0" collapsed="false">
      <c r="A106" s="5" t="s">
        <v>17</v>
      </c>
      <c r="B106" s="5" t="s">
        <v>18</v>
      </c>
      <c r="C106" s="14" t="s">
        <v>414</v>
      </c>
      <c r="D106" s="14" t="s">
        <v>529</v>
      </c>
      <c r="E106" s="14" t="s">
        <v>530</v>
      </c>
      <c r="F106" s="14" t="s">
        <v>531</v>
      </c>
      <c r="G106" s="14" t="s">
        <v>532</v>
      </c>
      <c r="H106" s="14" t="s">
        <v>533</v>
      </c>
      <c r="I106" s="14" t="s">
        <v>534</v>
      </c>
      <c r="J106" s="14" t="s">
        <v>535</v>
      </c>
      <c r="K106" s="5" t="s">
        <v>496</v>
      </c>
    </row>
    <row r="107" customFormat="false" ht="17.15" hidden="false" customHeight="false" outlineLevel="0" collapsed="false">
      <c r="A107" s="6" t="s">
        <v>550</v>
      </c>
    </row>
    <row r="108" customFormat="false" ht="17.15" hidden="false" customHeight="false" outlineLevel="0" collapsed="false">
      <c r="A108" s="0" t="s">
        <v>551</v>
      </c>
      <c r="B108" s="0" t="s">
        <v>28</v>
      </c>
      <c r="D108" s="21" t="n">
        <f aca="false">itc_26*1</f>
        <v>781.872916666667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552</v>
      </c>
      <c r="B109" s="0" t="s">
        <v>28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553</v>
      </c>
      <c r="B110" s="0" t="s">
        <v>498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554</v>
      </c>
      <c r="B111" s="0" t="s">
        <v>555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556</v>
      </c>
    </row>
    <row r="112" customFormat="false" ht="17.15" hidden="false" customHeight="false" outlineLevel="0" collapsed="false">
      <c r="A112" s="0" t="s">
        <v>557</v>
      </c>
      <c r="B112" s="0" t="s">
        <v>28</v>
      </c>
      <c r="D112" s="21" t="n">
        <f aca="false">D110*D111</f>
        <v>634.616531285011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558</v>
      </c>
      <c r="B113" s="0" t="s">
        <v>147</v>
      </c>
      <c r="D113" s="21" t="n">
        <f aca="false">D112*fx</f>
        <v>20307.7290011204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559</v>
      </c>
    </row>
    <row r="115" customFormat="false" ht="17.15" hidden="false" customHeight="false" outlineLevel="0" collapsed="false">
      <c r="A115" s="4" t="s">
        <v>560</v>
      </c>
      <c r="B115" s="0" t="s">
        <v>48</v>
      </c>
      <c r="D115" s="20" t="n">
        <f aca="false">a26_ais/D113</f>
        <v>0.0875096501918446</v>
      </c>
      <c r="K115" s="8" t="s">
        <v>561</v>
      </c>
    </row>
    <row r="116" customFormat="false" ht="17.15" hidden="false" customHeight="false" outlineLevel="0" collapsed="false">
      <c r="A116" s="4" t="s">
        <v>562</v>
      </c>
      <c r="B116" s="0" t="s">
        <v>60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563</v>
      </c>
      <c r="B117" s="0" t="s">
        <v>48</v>
      </c>
      <c r="D117" s="20" t="n">
        <f aca="false">$D$115*D116</f>
        <v>0.0875096501918446</v>
      </c>
      <c r="E117" s="20" t="n">
        <f aca="false">$D$115*E116</f>
        <v>0.0875096501918446</v>
      </c>
      <c r="F117" s="20" t="n">
        <f aca="false">$D$115*F116</f>
        <v>0.0831341676822524</v>
      </c>
      <c r="G117" s="20" t="n">
        <f aca="false">$D$115*G116</f>
        <v>0.0787586851726601</v>
      </c>
    </row>
    <row r="118" customFormat="false" ht="17.15" hidden="false" customHeight="false" outlineLevel="0" collapsed="false">
      <c r="A118" s="4" t="s">
        <v>564</v>
      </c>
      <c r="B118" s="0" t="s">
        <v>147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4974.57685783258</v>
      </c>
    </row>
    <row r="119" customFormat="false" ht="17.15" hidden="false" customHeight="false" outlineLevel="0" collapsed="false">
      <c r="A119" s="4" t="s">
        <v>565</v>
      </c>
      <c r="B119" s="0" t="s">
        <v>48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566</v>
      </c>
    </row>
    <row r="120" customFormat="false" ht="17.15" hidden="false" customHeight="false" outlineLevel="0" collapsed="false">
      <c r="A120" s="4" t="s">
        <v>567</v>
      </c>
      <c r="B120" s="0" t="s">
        <v>147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568</v>
      </c>
    </row>
    <row r="122" customFormat="false" ht="17.15" hidden="false" customHeight="false" outlineLevel="0" collapsed="false">
      <c r="A122" s="0" t="s">
        <v>569</v>
      </c>
      <c r="B122" s="4" t="s">
        <v>81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570</v>
      </c>
      <c r="B123" s="0" t="s">
        <v>48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571</v>
      </c>
      <c r="B124" s="0" t="s">
        <v>520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572</v>
      </c>
    </row>
    <row r="125" customFormat="false" ht="17.15" hidden="false" customHeight="false" outlineLevel="0" collapsed="false">
      <c r="A125" s="0" t="s">
        <v>522</v>
      </c>
      <c r="B125" s="0" t="s">
        <v>147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573</v>
      </c>
    </row>
    <row r="127" customFormat="false" ht="15" hidden="false" customHeight="false" outlineLevel="0" collapsed="false">
      <c r="A127" s="4" t="s">
        <v>574</v>
      </c>
      <c r="B127" s="0" t="s">
        <v>147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575</v>
      </c>
      <c r="B128" s="0" t="s">
        <v>147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576</v>
      </c>
      <c r="B129" s="0" t="s">
        <v>147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4424.73659384154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577</v>
      </c>
      <c r="B130" s="0" t="s">
        <v>48</v>
      </c>
      <c r="D130" s="20" t="n">
        <f aca="false">a26_wai/D113</f>
        <v>0.0391523244650416</v>
      </c>
      <c r="K130" s="8" t="s">
        <v>578</v>
      </c>
    </row>
    <row r="131" customFormat="false" ht="17.15" hidden="false" customHeight="false" outlineLevel="0" collapsed="false">
      <c r="A131" s="4" t="s">
        <v>504</v>
      </c>
      <c r="B131" s="0" t="s">
        <v>48</v>
      </c>
      <c r="D131" s="20" t="n">
        <f aca="false">D130</f>
        <v>0.0391523244650416</v>
      </c>
      <c r="E131" s="20" t="n">
        <f aca="false">$D$130*wrel_27</f>
        <v>0.0391523244650416</v>
      </c>
      <c r="F131" s="20" t="n">
        <f aca="false">$D$130*wrel_28</f>
        <v>0.0391523244650416</v>
      </c>
      <c r="G131" s="20" t="n">
        <f aca="false">$D$130*wrel_29</f>
        <v>0.0371947082417896</v>
      </c>
    </row>
    <row r="132" customFormat="false" ht="17.15" hidden="false" customHeight="false" outlineLevel="0" collapsed="false">
      <c r="A132" s="4" t="s">
        <v>524</v>
      </c>
      <c r="B132" s="0" t="s">
        <v>147</v>
      </c>
      <c r="D132" s="21" t="n">
        <f aca="false">D113*D131</f>
        <v>795.094795</v>
      </c>
      <c r="E132" s="21" t="n">
        <f aca="false">E113*E131</f>
        <v>1712.55002301323</v>
      </c>
      <c r="F132" s="21" t="n">
        <f aca="false">F113*F131</f>
        <v>2170.85710453316</v>
      </c>
      <c r="G132" s="21" t="n">
        <f aca="false">G113*G131</f>
        <v>2349.30197790644</v>
      </c>
    </row>
    <row r="133" customFormat="false" ht="17.15" hidden="false" customHeight="false" outlineLevel="0" collapsed="false">
      <c r="A133" s="4" t="s">
        <v>579</v>
      </c>
      <c r="B133" s="0" t="s">
        <v>147</v>
      </c>
      <c r="D133" s="21" t="n">
        <f aca="false">a26_wna</f>
        <v>650.532105</v>
      </c>
      <c r="E133" s="21" t="n">
        <f aca="false">D133*(1+g_wn27)</f>
        <v>715.5853155</v>
      </c>
      <c r="F133" s="21" t="n">
        <f aca="false">E133*(1+g_wn28)</f>
        <v>758.52043443</v>
      </c>
      <c r="G133" s="21" t="n">
        <f aca="false">F133*(1+g_wn29)</f>
        <v>796.4464561515</v>
      </c>
    </row>
    <row r="134" customFormat="false" ht="15" hidden="false" customHeight="false" outlineLevel="0" collapsed="false">
      <c r="A134" s="4" t="s">
        <v>434</v>
      </c>
      <c r="B134" s="0" t="s">
        <v>147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2428.13533851323</v>
      </c>
      <c r="F134" s="21" t="n">
        <f aca="false">F132+F133</f>
        <v>2929.37753896316</v>
      </c>
      <c r="G134" s="21" t="n">
        <f aca="false">G132+G133</f>
        <v>3145.74843405794</v>
      </c>
    </row>
    <row r="135" customFormat="false" ht="17.15" hidden="false" customHeight="false" outlineLevel="0" collapsed="false">
      <c r="A135" s="4" t="s">
        <v>420</v>
      </c>
      <c r="B135" s="0" t="s">
        <v>147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6852.87193235477</v>
      </c>
      <c r="F135" s="21" t="n">
        <f aca="false">F129+F134</f>
        <v>7618.38522651889</v>
      </c>
      <c r="G135" s="21" t="n">
        <f aca="false">G129+G134</f>
        <v>7906.92818197957</v>
      </c>
      <c r="H135" s="26" t="n">
        <f aca="false">G135*(1+H136)</f>
        <v>8264.71434008157</v>
      </c>
      <c r="I135" s="26" t="n">
        <f aca="false">H135*(1+I136)</f>
        <v>8699.64370817168</v>
      </c>
      <c r="J135" s="26" t="n">
        <f aca="false">I135*(1+J136)</f>
        <v>9221.62233066198</v>
      </c>
      <c r="K135" s="8" t="s">
        <v>580</v>
      </c>
    </row>
    <row r="136" customFormat="false" ht="15" hidden="false" customHeight="false" outlineLevel="0" collapsed="false">
      <c r="A136" s="4" t="s">
        <v>581</v>
      </c>
      <c r="B136" s="0" t="s">
        <v>48</v>
      </c>
      <c r="D136" s="20" t="n">
        <f aca="false">D135/C135-1</f>
        <v>0.873912121761526</v>
      </c>
      <c r="E136" s="20" t="n">
        <f aca="false">E135/D135-1</f>
        <v>0.672512395551683</v>
      </c>
      <c r="F136" s="20" t="n">
        <f aca="false">F135/E135-1</f>
        <v>0.111706931301294</v>
      </c>
      <c r="G136" s="20" t="n">
        <f aca="false">G135/F135-1</f>
        <v>0.0378745556809452</v>
      </c>
      <c r="H136" s="27" t="n">
        <f aca="false">$G136+(fade_gA-$G136)*1/3</f>
        <v>0.0452497037872968</v>
      </c>
      <c r="I136" s="27" t="n">
        <f aca="false">$G136+(fade_gA-$G136)*2/3</f>
        <v>0.0526248518936484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582</v>
      </c>
      <c r="B137" s="0" t="s">
        <v>48</v>
      </c>
      <c r="D137" s="20" t="n">
        <f aca="false">(D120+D125+D132)/D135</f>
        <v>0.6546220793463</v>
      </c>
      <c r="E137" s="20" t="n">
        <f aca="false">(E120+E125+E132)/E135</f>
        <v>0.782317539337844</v>
      </c>
      <c r="F137" s="20" t="n">
        <f aca="false">(F120+F125+F132)/F135</f>
        <v>0.79619235604379</v>
      </c>
      <c r="G137" s="20" t="n">
        <f aca="false">(G120+G125+G132)/G135</f>
        <v>0.796829928321555</v>
      </c>
    </row>
    <row r="138" customFormat="false" ht="17.15" hidden="false" customHeight="false" outlineLevel="0" collapsed="false">
      <c r="A138" s="4" t="s">
        <v>583</v>
      </c>
      <c r="B138" s="0" t="s">
        <v>48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0.354323758342712</v>
      </c>
      <c r="F138" s="20" t="n">
        <f aca="false">F134/F135</f>
        <v>0.384514231279126</v>
      </c>
      <c r="G138" s="20" t="n">
        <f aca="false">G134/G135</f>
        <v>0.397847098349435</v>
      </c>
    </row>
    <row r="139" customFormat="false" ht="17.15" hidden="false" customHeight="false" outlineLevel="0" collapsed="false">
      <c r="A139" s="4" t="s">
        <v>584</v>
      </c>
      <c r="B139" s="4" t="s">
        <v>331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585</v>
      </c>
    </row>
    <row r="140" customFormat="false" ht="17.15" hidden="false" customHeight="false" outlineLevel="0" collapsed="false">
      <c r="A140" s="6" t="s">
        <v>586</v>
      </c>
    </row>
    <row r="141" customFormat="false" ht="17.15" hidden="false" customHeight="false" outlineLevel="0" collapsed="false">
      <c r="A141" s="4" t="s">
        <v>587</v>
      </c>
      <c r="B141" s="0" t="s">
        <v>48</v>
      </c>
      <c r="D141" s="17" t="n">
        <f aca="false">(a26_sgp-d_ai*D120-d_brd*D125-d_gen*D127)/D129</f>
        <v>0.0436423860147897</v>
      </c>
      <c r="K141" s="8" t="s">
        <v>588</v>
      </c>
    </row>
    <row r="142" customFormat="false" ht="17.15" hidden="false" customHeight="false" outlineLevel="0" collapsed="false">
      <c r="A142" s="4" t="s">
        <v>589</v>
      </c>
      <c r="B142" s="0" t="s">
        <v>147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590</v>
      </c>
      <c r="B143" s="0" t="s">
        <v>147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195.829748793735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591</v>
      </c>
      <c r="B144" s="0" t="s">
        <v>48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0.0417635802375528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592</v>
      </c>
      <c r="B145" s="0" t="s">
        <v>48</v>
      </c>
      <c r="E145" s="20" t="n">
        <f aca="false">MAX(0,phi*(E129/D129-1))</f>
        <v>0.200587712155451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593</v>
      </c>
      <c r="B146" s="0" t="s">
        <v>147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57.6933563117824</v>
      </c>
    </row>
    <row r="147" customFormat="false" ht="15" hidden="false" customHeight="false" outlineLevel="0" collapsed="false">
      <c r="A147" s="4" t="s">
        <v>594</v>
      </c>
      <c r="B147" s="0" t="s">
        <v>147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595</v>
      </c>
      <c r="B148" s="0" t="s">
        <v>48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596</v>
      </c>
      <c r="B149" s="0" t="s">
        <v>147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64.4326306817693</v>
      </c>
      <c r="F149" s="21" t="n">
        <f aca="false">F147*snio</f>
        <v>77.504878436235</v>
      </c>
      <c r="G149" s="21" t="n">
        <f aca="false">G147*snio</f>
        <v>84.3115008610877</v>
      </c>
    </row>
    <row r="150" customFormat="false" ht="17.15" hidden="false" customHeight="false" outlineLevel="0" collapsed="false">
      <c r="A150" s="6" t="s">
        <v>597</v>
      </c>
    </row>
    <row r="151" customFormat="false" ht="15" hidden="false" customHeight="false" outlineLevel="0" collapsed="false">
      <c r="A151" s="4" t="s">
        <v>438</v>
      </c>
      <c r="B151" s="0" t="s">
        <v>147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206.391503773624</v>
      </c>
      <c r="F151" s="21" t="n">
        <f aca="false">F134*wgm</f>
        <v>248.997090811869</v>
      </c>
      <c r="G151" s="21" t="n">
        <f aca="false">G134*wgm</f>
        <v>267.388616894925</v>
      </c>
    </row>
    <row r="152" customFormat="false" ht="15" hidden="false" customHeight="false" outlineLevel="0" collapsed="false">
      <c r="A152" s="4" t="s">
        <v>440</v>
      </c>
      <c r="B152" s="0" t="s">
        <v>147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157.82879700336</v>
      </c>
      <c r="F152" s="21" t="n">
        <f aca="false">F134*wopm</f>
        <v>190.409540032605</v>
      </c>
      <c r="G152" s="21" t="n">
        <f aca="false">G134*wopm</f>
        <v>204.473648213766</v>
      </c>
    </row>
    <row r="153" customFormat="false" ht="15" hidden="false" customHeight="false" outlineLevel="0" collapsed="false">
      <c r="A153" s="4" t="s">
        <v>448</v>
      </c>
      <c r="B153" s="0" t="s">
        <v>147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123.106461662621</v>
      </c>
      <c r="F153" s="21" t="n">
        <f aca="false">F152*wnio</f>
        <v>148.519441225432</v>
      </c>
      <c r="G153" s="21" t="n">
        <f aca="false">G152*wnio</f>
        <v>159.489445606738</v>
      </c>
    </row>
    <row r="154" customFormat="false" ht="15" hidden="false" customHeight="false" outlineLevel="0" collapsed="false">
      <c r="A154" s="4" t="s">
        <v>450</v>
      </c>
      <c r="B154" s="0" t="s">
        <v>48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598</v>
      </c>
    </row>
    <row r="156" customFormat="false" ht="15" hidden="false" customHeight="false" outlineLevel="0" collapsed="false">
      <c r="A156" s="4" t="s">
        <v>424</v>
      </c>
      <c r="B156" s="0" t="s">
        <v>147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377.867081718671</v>
      </c>
      <c r="F156" s="21" t="n">
        <f aca="false">F143+F151</f>
        <v>444.826839605604</v>
      </c>
      <c r="G156" s="21" t="n">
        <f aca="false">G143+G151</f>
        <v>475.638224744364</v>
      </c>
    </row>
    <row r="157" customFormat="false" ht="15" hidden="false" customHeight="false" outlineLevel="0" collapsed="false">
      <c r="A157" s="4" t="s">
        <v>427</v>
      </c>
      <c r="B157" s="0" t="s">
        <v>48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0.0551399596327827</v>
      </c>
      <c r="F157" s="17" t="n">
        <f aca="false">F156/F135</f>
        <v>0.0583885989457718</v>
      </c>
      <c r="G157" s="17" t="n">
        <f aca="false">G156/G135</f>
        <v>0.0601546155216607</v>
      </c>
    </row>
    <row r="158" customFormat="false" ht="15" hidden="false" customHeight="false" outlineLevel="0" collapsed="false">
      <c r="A158" s="4" t="s">
        <v>428</v>
      </c>
      <c r="B158" s="0" t="s">
        <v>147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272.887066077948</v>
      </c>
      <c r="F158" s="21" t="n">
        <f aca="false">F147+F152</f>
        <v>328.811108668739</v>
      </c>
      <c r="G158" s="21" t="n">
        <f aca="false">G147+G152</f>
        <v>355.029899751423</v>
      </c>
    </row>
    <row r="159" customFormat="false" ht="15" hidden="false" customHeight="false" outlineLevel="0" collapsed="false">
      <c r="A159" s="4" t="s">
        <v>431</v>
      </c>
      <c r="B159" s="0" t="s">
        <v>48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0.0398208326044376</v>
      </c>
      <c r="F159" s="17" t="n">
        <f aca="false">F158/F135</f>
        <v>0.0431602103191341</v>
      </c>
      <c r="G159" s="17" t="n">
        <f aca="false">G158/G135</f>
        <v>0.0449011160314521</v>
      </c>
    </row>
    <row r="160" customFormat="false" ht="15" hidden="false" customHeight="false" outlineLevel="0" collapsed="false">
      <c r="A160" s="4" t="s">
        <v>461</v>
      </c>
      <c r="B160" s="0" t="s">
        <v>147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187.53909234439</v>
      </c>
      <c r="F160" s="21" t="n">
        <f aca="false">F149+F153</f>
        <v>226.024319661667</v>
      </c>
      <c r="G160" s="21" t="n">
        <f aca="false">G149+G153</f>
        <v>243.800946467825</v>
      </c>
    </row>
    <row r="161" customFormat="false" ht="17.15" hidden="false" customHeight="false" outlineLevel="0" collapsed="false">
      <c r="A161" s="4" t="s">
        <v>599</v>
      </c>
      <c r="B161" s="0" t="s">
        <v>147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76.7199469081451</v>
      </c>
      <c r="F161" s="21" t="n">
        <f aca="false">(1-F154)*F153</f>
        <v>92.5573157716893</v>
      </c>
      <c r="G161" s="21" t="n">
        <f aca="false">(1-G154)*G153</f>
        <v>99.3938225021189</v>
      </c>
    </row>
    <row r="162" customFormat="false" ht="15" hidden="false" customHeight="false" outlineLevel="0" collapsed="false">
      <c r="A162" s="4" t="s">
        <v>457</v>
      </c>
      <c r="B162" s="0" t="s">
        <v>147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110.819145436245</v>
      </c>
      <c r="F162" s="21" t="n">
        <f aca="false">F160-F161</f>
        <v>133.467003889978</v>
      </c>
      <c r="G162" s="21" t="n">
        <f aca="false">G160-G161</f>
        <v>144.407123965706</v>
      </c>
      <c r="H162" s="26" t="n">
        <f aca="false">H135*H167</f>
        <v>150.025909790734</v>
      </c>
      <c r="I162" s="26" t="n">
        <f aca="false">I135*I167</f>
        <v>156.957224328512</v>
      </c>
      <c r="J162" s="26" t="n">
        <f aca="false">J135*J167</f>
        <v>165.353054438344</v>
      </c>
    </row>
    <row r="163" customFormat="false" ht="17.15" hidden="false" customHeight="false" outlineLevel="0" collapsed="false">
      <c r="A163" s="4" t="s">
        <v>600</v>
      </c>
      <c r="B163" s="0" t="s">
        <v>48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0.418578527851598</v>
      </c>
      <c r="F163" s="20" t="n">
        <f aca="false">F154*F153/F162</f>
        <v>0.419295584846384</v>
      </c>
      <c r="G163" s="20" t="n">
        <f aca="false">G154*G153/G162</f>
        <v>0.416154144298935</v>
      </c>
    </row>
    <row r="164" customFormat="false" ht="17.15" hidden="false" customHeight="false" outlineLevel="0" collapsed="false">
      <c r="A164" s="4" t="s">
        <v>601</v>
      </c>
      <c r="B164" s="4" t="s">
        <v>282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602</v>
      </c>
    </row>
    <row r="165" customFormat="false" ht="15" hidden="false" customHeight="false" outlineLevel="0" collapsed="false">
      <c r="A165" s="0" t="s">
        <v>464</v>
      </c>
      <c r="B165" s="0" t="s">
        <v>312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32.3087887569227</v>
      </c>
      <c r="F165" s="18" t="n">
        <f aca="false">F162/F164</f>
        <v>38.9116629416845</v>
      </c>
      <c r="G165" s="18" t="n">
        <f aca="false">G162/G164</f>
        <v>42.1012023223634</v>
      </c>
      <c r="H165" s="29" t="n">
        <f aca="false">H162/H164</f>
        <v>43.7393323005054</v>
      </c>
      <c r="I165" s="29" t="n">
        <f aca="false">I162/I164</f>
        <v>45.7601237109364</v>
      </c>
      <c r="J165" s="29" t="n">
        <f aca="false">J162/J164</f>
        <v>48.2078875913538</v>
      </c>
    </row>
    <row r="166" customFormat="false" ht="17.15" hidden="false" customHeight="false" outlineLevel="0" collapsed="false">
      <c r="A166" s="0" t="s">
        <v>603</v>
      </c>
      <c r="B166" s="0" t="s">
        <v>48</v>
      </c>
      <c r="D166" s="20" t="n">
        <f aca="false">D165/C165-1</f>
        <v>1.03813580587031</v>
      </c>
      <c r="E166" s="20" t="n">
        <f aca="false">E165/D165-1</f>
        <v>0.753553932415989</v>
      </c>
      <c r="F166" s="20" t="n">
        <f aca="false">F165/E165-1</f>
        <v>0.204367741373377</v>
      </c>
      <c r="G166" s="20" t="n">
        <f aca="false">G165/F165-1</f>
        <v>0.0819687245301988</v>
      </c>
      <c r="H166" s="27" t="n">
        <f aca="false">H165/G165-1</f>
        <v>0.0389093395860551</v>
      </c>
      <c r="I166" s="27" t="n">
        <f aca="false">I165/H165-1</f>
        <v>0.046200783234353</v>
      </c>
      <c r="J166" s="27" t="n">
        <f aca="false">J165/I165-1</f>
        <v>0.0534911989285642</v>
      </c>
    </row>
    <row r="167" customFormat="false" ht="17.15" hidden="false" customHeight="false" outlineLevel="0" collapsed="false">
      <c r="A167" s="4" t="s">
        <v>604</v>
      </c>
      <c r="B167" s="0" t="s">
        <v>48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0.0161711974964875</v>
      </c>
      <c r="F167" s="17" t="n">
        <f aca="false">F162/F135</f>
        <v>0.0175190673510958</v>
      </c>
      <c r="G167" s="17" t="n">
        <f aca="false">G162/G135</f>
        <v>0.0182633660812577</v>
      </c>
      <c r="H167" s="28" t="n">
        <f aca="false">$G167+(fade_mA-$G167)*1/3</f>
        <v>0.0181525826081066</v>
      </c>
      <c r="I167" s="28" t="n">
        <f aca="false">$G167+(fade_mA-$G167)*2/3</f>
        <v>0.0180417991349554</v>
      </c>
      <c r="J167" s="28" t="n">
        <f aca="false">$G167+(fade_mA-$G167)*3/3</f>
        <v>0.0179310156618042</v>
      </c>
    </row>
    <row r="170" customFormat="false" ht="17.15" hidden="false" customHeight="false" outlineLevel="0" collapsed="false">
      <c r="A170" s="1" t="s">
        <v>875</v>
      </c>
    </row>
    <row r="171" customFormat="false" ht="17.15" hidden="false" customHeight="false" outlineLevel="0" collapsed="false">
      <c r="A171" s="5" t="s">
        <v>17</v>
      </c>
      <c r="B171" s="5" t="s">
        <v>18</v>
      </c>
      <c r="C171" s="14" t="s">
        <v>414</v>
      </c>
      <c r="D171" s="14" t="s">
        <v>529</v>
      </c>
      <c r="E171" s="14" t="s">
        <v>530</v>
      </c>
      <c r="F171" s="14" t="s">
        <v>531</v>
      </c>
      <c r="G171" s="14" t="s">
        <v>532</v>
      </c>
      <c r="H171" s="14" t="s">
        <v>533</v>
      </c>
      <c r="I171" s="14" t="s">
        <v>534</v>
      </c>
      <c r="J171" s="14" t="s">
        <v>535</v>
      </c>
      <c r="K171" s="5" t="s">
        <v>496</v>
      </c>
    </row>
    <row r="172" customFormat="false" ht="17.15" hidden="false" customHeight="false" outlineLevel="0" collapsed="false">
      <c r="A172" s="6" t="s">
        <v>550</v>
      </c>
    </row>
    <row r="173" customFormat="false" ht="17.15" hidden="false" customHeight="false" outlineLevel="0" collapsed="false">
      <c r="A173" s="0" t="s">
        <v>551</v>
      </c>
      <c r="B173" s="0" t="s">
        <v>28</v>
      </c>
      <c r="D173" s="21" t="n">
        <f aca="false">itc_26*1</f>
        <v>781.872916666667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552</v>
      </c>
      <c r="B174" s="0" t="s">
        <v>28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553</v>
      </c>
      <c r="B175" s="0" t="s">
        <v>498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554</v>
      </c>
      <c r="B176" s="0" t="s">
        <v>555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556</v>
      </c>
    </row>
    <row r="177" customFormat="false" ht="17.15" hidden="false" customHeight="false" outlineLevel="0" collapsed="false">
      <c r="A177" s="0" t="s">
        <v>557</v>
      </c>
      <c r="B177" s="0" t="s">
        <v>28</v>
      </c>
      <c r="D177" s="21" t="n">
        <f aca="false">D175*D176</f>
        <v>634.616531285011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558</v>
      </c>
      <c r="B178" s="0" t="s">
        <v>147</v>
      </c>
      <c r="D178" s="21" t="n">
        <f aca="false">D177*fx</f>
        <v>20307.7290011204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559</v>
      </c>
    </row>
    <row r="180" customFormat="false" ht="17.15" hidden="false" customHeight="false" outlineLevel="0" collapsed="false">
      <c r="A180" s="4" t="s">
        <v>560</v>
      </c>
      <c r="B180" s="0" t="s">
        <v>48</v>
      </c>
      <c r="D180" s="20" t="n">
        <f aca="false">a26_ais/D178</f>
        <v>0.0875096501918446</v>
      </c>
      <c r="K180" s="8" t="s">
        <v>561</v>
      </c>
    </row>
    <row r="181" customFormat="false" ht="17.15" hidden="false" customHeight="false" outlineLevel="0" collapsed="false">
      <c r="A181" s="4" t="s">
        <v>562</v>
      </c>
      <c r="B181" s="0" t="s">
        <v>60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563</v>
      </c>
      <c r="B182" s="0" t="s">
        <v>48</v>
      </c>
      <c r="D182" s="20" t="n">
        <f aca="false">$D$180*D181</f>
        <v>0.0875096501918446</v>
      </c>
      <c r="E182" s="20" t="n">
        <f aca="false">$D$180*E181</f>
        <v>0.0743832026630679</v>
      </c>
      <c r="F182" s="20" t="n">
        <f aca="false">$D$180*F181</f>
        <v>0.0656322376438834</v>
      </c>
      <c r="G182" s="20" t="n">
        <f aca="false">$D$180*G181</f>
        <v>0.0612567551342912</v>
      </c>
    </row>
    <row r="183" customFormat="false" ht="17.15" hidden="false" customHeight="false" outlineLevel="0" collapsed="false">
      <c r="A183" s="4" t="s">
        <v>564</v>
      </c>
      <c r="B183" s="0" t="s">
        <v>147</v>
      </c>
      <c r="D183" s="21" t="n">
        <f aca="false">D178*D182</f>
        <v>1777.12226107882</v>
      </c>
      <c r="E183" s="21" t="n">
        <f aca="false">E178*E182</f>
        <v>2711.31103906261</v>
      </c>
      <c r="F183" s="21" t="n">
        <f aca="false">F178*F182</f>
        <v>3032.56173850864</v>
      </c>
      <c r="G183" s="21" t="n">
        <f aca="false">G178*G182</f>
        <v>3224.26277822482</v>
      </c>
    </row>
    <row r="184" customFormat="false" ht="17.15" hidden="false" customHeight="false" outlineLevel="0" collapsed="false">
      <c r="A184" s="4" t="s">
        <v>565</v>
      </c>
      <c r="B184" s="0" t="s">
        <v>48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566</v>
      </c>
    </row>
    <row r="185" customFormat="false" ht="17.15" hidden="false" customHeight="false" outlineLevel="0" collapsed="false">
      <c r="A185" s="4" t="s">
        <v>567</v>
      </c>
      <c r="B185" s="0" t="s">
        <v>147</v>
      </c>
      <c r="D185" s="21" t="n">
        <f aca="false">D183*(1-D184)</f>
        <v>1777.12226107882</v>
      </c>
      <c r="E185" s="21" t="n">
        <f aca="false">E183*(1-E184)</f>
        <v>2440.17993515635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568</v>
      </c>
    </row>
    <row r="187" customFormat="false" ht="17.15" hidden="false" customHeight="false" outlineLevel="0" collapsed="false">
      <c r="A187" s="0" t="s">
        <v>569</v>
      </c>
      <c r="B187" s="4" t="s">
        <v>81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570</v>
      </c>
      <c r="B188" s="0" t="s">
        <v>48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571</v>
      </c>
      <c r="B189" s="0" t="s">
        <v>520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572</v>
      </c>
    </row>
    <row r="190" customFormat="false" ht="17.15" hidden="false" customHeight="false" outlineLevel="0" collapsed="false">
      <c r="A190" s="0" t="s">
        <v>522</v>
      </c>
      <c r="B190" s="0" t="s">
        <v>147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573</v>
      </c>
    </row>
    <row r="192" customFormat="false" ht="15" hidden="false" customHeight="false" outlineLevel="0" collapsed="false">
      <c r="A192" s="4" t="s">
        <v>574</v>
      </c>
      <c r="B192" s="0" t="s">
        <v>147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575</v>
      </c>
      <c r="B193" s="0" t="s">
        <v>147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576</v>
      </c>
      <c r="B194" s="0" t="s">
        <v>147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3411.73712234754</v>
      </c>
    </row>
    <row r="195" customFormat="false" ht="17.15" hidden="false" customHeight="false" outlineLevel="0" collapsed="false">
      <c r="A195" s="4" t="s">
        <v>577</v>
      </c>
      <c r="B195" s="0" t="s">
        <v>48</v>
      </c>
      <c r="D195" s="20" t="n">
        <f aca="false">a26_wai/D178</f>
        <v>0.0391523244650416</v>
      </c>
      <c r="K195" s="8" t="s">
        <v>578</v>
      </c>
    </row>
    <row r="196" customFormat="false" ht="17.15" hidden="false" customHeight="false" outlineLevel="0" collapsed="false">
      <c r="A196" s="4" t="s">
        <v>504</v>
      </c>
      <c r="B196" s="0" t="s">
        <v>48</v>
      </c>
      <c r="D196" s="20" t="n">
        <f aca="false">D195</f>
        <v>0.0391523244650416</v>
      </c>
      <c r="E196" s="20" t="n">
        <f aca="false">$D$195*wrel_27</f>
        <v>0.0391523244650416</v>
      </c>
      <c r="F196" s="20" t="n">
        <f aca="false">$D$195*wrel_28</f>
        <v>0.0391523244650416</v>
      </c>
      <c r="G196" s="20" t="n">
        <f aca="false">$D$195*wrel_29</f>
        <v>0.0371947082417896</v>
      </c>
    </row>
    <row r="197" customFormat="false" ht="17.15" hidden="false" customHeight="false" outlineLevel="0" collapsed="false">
      <c r="A197" s="4" t="s">
        <v>524</v>
      </c>
      <c r="B197" s="0" t="s">
        <v>147</v>
      </c>
      <c r="D197" s="21" t="n">
        <f aca="false">D178*D196</f>
        <v>795.094795</v>
      </c>
      <c r="E197" s="21" t="n">
        <f aca="false">E178*E196</f>
        <v>1427.12501917769</v>
      </c>
      <c r="F197" s="21" t="n">
        <f aca="false">F178*F196</f>
        <v>1809.04758711097</v>
      </c>
      <c r="G197" s="21" t="n">
        <f aca="false">G178*G196</f>
        <v>1957.75164825537</v>
      </c>
    </row>
    <row r="198" customFormat="false" ht="17.15" hidden="false" customHeight="false" outlineLevel="0" collapsed="false">
      <c r="A198" s="4" t="s">
        <v>579</v>
      </c>
      <c r="B198" s="0" t="s">
        <v>147</v>
      </c>
      <c r="D198" s="21" t="n">
        <f aca="false">a26_wna</f>
        <v>650.532105</v>
      </c>
      <c r="E198" s="21" t="n">
        <f aca="false">D198*(1+g_wn27)</f>
        <v>715.5853155</v>
      </c>
      <c r="F198" s="21" t="n">
        <f aca="false">E198*(1+g_wn28)</f>
        <v>758.52043443</v>
      </c>
      <c r="G198" s="21" t="n">
        <f aca="false">F198*(1+g_wn29)</f>
        <v>796.4464561515</v>
      </c>
    </row>
    <row r="199" customFormat="false" ht="15" hidden="false" customHeight="false" outlineLevel="0" collapsed="false">
      <c r="A199" s="4" t="s">
        <v>434</v>
      </c>
      <c r="B199" s="0" t="s">
        <v>147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2142.71033467769</v>
      </c>
      <c r="F199" s="21" t="n">
        <f aca="false">F197+F198</f>
        <v>2567.56802154097</v>
      </c>
      <c r="G199" s="21" t="n">
        <f aca="false">G197+G198</f>
        <v>2754.19810440687</v>
      </c>
    </row>
    <row r="200" customFormat="false" ht="17.15" hidden="false" customHeight="false" outlineLevel="0" collapsed="false">
      <c r="A200" s="4" t="s">
        <v>420</v>
      </c>
      <c r="B200" s="0" t="s">
        <v>147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5528.73162587824</v>
      </c>
      <c r="F200" s="21" t="n">
        <f aca="false">F194+F199</f>
        <v>5960.48870851183</v>
      </c>
      <c r="G200" s="21" t="n">
        <f aca="false">G194+G199</f>
        <v>6165.93522675441</v>
      </c>
      <c r="H200" s="26" t="n">
        <f aca="false">G200*(1+H201)</f>
        <v>6430.93917288576</v>
      </c>
      <c r="I200" s="26" t="n">
        <f aca="false">H200*(1+I201)</f>
        <v>6762.06408510184</v>
      </c>
      <c r="J200" s="26" t="n">
        <f aca="false">I200*(1+J201)</f>
        <v>7167.78793020795</v>
      </c>
      <c r="K200" s="8" t="s">
        <v>580</v>
      </c>
    </row>
    <row r="201" customFormat="false" ht="15" hidden="false" customHeight="false" outlineLevel="0" collapsed="false">
      <c r="A201" s="4" t="s">
        <v>581</v>
      </c>
      <c r="B201" s="0" t="s">
        <v>48</v>
      </c>
      <c r="D201" s="20" t="n">
        <f aca="false">D200/C200-1</f>
        <v>0.873912121761526</v>
      </c>
      <c r="E201" s="20" t="n">
        <f aca="false">E200/D200-1</f>
        <v>0.349342621201236</v>
      </c>
      <c r="F201" s="20" t="n">
        <f aca="false">F200/E200-1</f>
        <v>0.0780933334894893</v>
      </c>
      <c r="G201" s="20" t="n">
        <f aca="false">G200/F200-1</f>
        <v>0.0344680660076064</v>
      </c>
      <c r="H201" s="27" t="n">
        <f aca="false">$G201+(fade_gA-$G201)*1/3</f>
        <v>0.0429787106717376</v>
      </c>
      <c r="I201" s="27" t="n">
        <f aca="false">$G201+(fade_gA-$G201)*2/3</f>
        <v>0.0514893553358688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582</v>
      </c>
      <c r="B202" s="0" t="s">
        <v>48</v>
      </c>
      <c r="D202" s="20" t="n">
        <f aca="false">(D185+D190+D197)/D200</f>
        <v>0.6546220793463</v>
      </c>
      <c r="E202" s="20" t="n">
        <f aca="false">(E185+E190+E197)/E200</f>
        <v>0.730182232421049</v>
      </c>
      <c r="F202" s="20" t="n">
        <f aca="false">(F185+F190+F197)/F200</f>
        <v>0.739503718621208</v>
      </c>
      <c r="G202" s="20" t="n">
        <f aca="false">(G185+G190+G197)/G200</f>
        <v>0.739463502873237</v>
      </c>
    </row>
    <row r="203" customFormat="false" ht="17.15" hidden="false" customHeight="false" outlineLevel="0" collapsed="false">
      <c r="A203" s="4" t="s">
        <v>583</v>
      </c>
      <c r="B203" s="0" t="s">
        <v>48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0.387559114761212</v>
      </c>
      <c r="F203" s="20" t="n">
        <f aca="false">F199/F200</f>
        <v>0.430764681740672</v>
      </c>
      <c r="G203" s="20" t="n">
        <f aca="false">G199/G200</f>
        <v>0.446679701151614</v>
      </c>
    </row>
    <row r="204" customFormat="false" ht="17.15" hidden="false" customHeight="false" outlineLevel="0" collapsed="false">
      <c r="A204" s="4" t="s">
        <v>584</v>
      </c>
      <c r="B204" s="4" t="s">
        <v>331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585</v>
      </c>
    </row>
    <row r="205" customFormat="false" ht="17.15" hidden="false" customHeight="false" outlineLevel="0" collapsed="false">
      <c r="A205" s="6" t="s">
        <v>586</v>
      </c>
    </row>
    <row r="206" customFormat="false" ht="17.15" hidden="false" customHeight="false" outlineLevel="0" collapsed="false">
      <c r="A206" s="4" t="s">
        <v>587</v>
      </c>
      <c r="B206" s="0" t="s">
        <v>48</v>
      </c>
      <c r="D206" s="17" t="n">
        <f aca="false">(a26_sgp-d_ai*D185-d_brd*D190-d_gen*D192)/D194</f>
        <v>0.0436423860147897</v>
      </c>
      <c r="K206" s="8" t="s">
        <v>588</v>
      </c>
    </row>
    <row r="207" customFormat="false" ht="17.15" hidden="false" customHeight="false" outlineLevel="0" collapsed="false">
      <c r="A207" s="4" t="s">
        <v>589</v>
      </c>
      <c r="B207" s="0" t="s">
        <v>147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</v>
      </c>
      <c r="F207" s="25" t="n">
        <f aca="false">($D$206+d_ai+vrd)*F183*(1-F184*(1-keep))</f>
        <v>94.0383393607006</v>
      </c>
      <c r="G207" s="25" t="n">
        <f aca="false">($D$206+d_ai+vrd)*G183*(1-G184*(1-keep))</f>
        <v>99.4727832556654</v>
      </c>
    </row>
    <row r="208" customFormat="false" ht="15" hidden="false" customHeight="false" outlineLevel="0" collapsed="false">
      <c r="A208" s="4" t="s">
        <v>590</v>
      </c>
      <c r="B208" s="0" t="s">
        <v>147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591</v>
      </c>
      <c r="B209" s="0" t="s">
        <v>48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592</v>
      </c>
      <c r="B210" s="0" t="s">
        <v>48</v>
      </c>
      <c r="E210" s="20" t="n">
        <f aca="false">MAX(0,phi*(E194/D194-1))</f>
        <v>0.0830737978461527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593</v>
      </c>
      <c r="B211" s="0" t="s">
        <v>147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594</v>
      </c>
      <c r="B212" s="0" t="s">
        <v>147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83.1083355730536</v>
      </c>
      <c r="F212" s="21" t="n">
        <f aca="false">F208-F211</f>
        <v>93.4598315317877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595</v>
      </c>
      <c r="B213" s="0" t="s">
        <v>48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596</v>
      </c>
      <c r="B214" s="0" t="s">
        <v>147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52.3375056578011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597</v>
      </c>
    </row>
    <row r="216" customFormat="false" ht="15" hidden="false" customHeight="false" outlineLevel="0" collapsed="false">
      <c r="A216" s="4" t="s">
        <v>438</v>
      </c>
      <c r="B216" s="0" t="s">
        <v>147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182.130378447603</v>
      </c>
      <c r="F216" s="21" t="n">
        <f aca="false">F199*wgm</f>
        <v>218.243281830982</v>
      </c>
      <c r="G216" s="21" t="n">
        <f aca="false">G199*wgm</f>
        <v>234.106838874584</v>
      </c>
    </row>
    <row r="217" customFormat="false" ht="15" hidden="false" customHeight="false" outlineLevel="0" collapsed="false">
      <c r="A217" s="4" t="s">
        <v>440</v>
      </c>
      <c r="B217" s="0" t="s">
        <v>147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139.27617175405</v>
      </c>
      <c r="F217" s="21" t="n">
        <f aca="false">F199*wopm</f>
        <v>166.891921400163</v>
      </c>
      <c r="G217" s="21" t="n">
        <f aca="false">G199*wopm</f>
        <v>179.022876786446</v>
      </c>
    </row>
    <row r="218" customFormat="false" ht="15" hidden="false" customHeight="false" outlineLevel="0" collapsed="false">
      <c r="A218" s="4" t="s">
        <v>448</v>
      </c>
      <c r="B218" s="0" t="s">
        <v>147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108.635413968159</v>
      </c>
      <c r="F218" s="21" t="n">
        <f aca="false">F217*wnio</f>
        <v>130.175698692127</v>
      </c>
      <c r="G218" s="21" t="n">
        <f aca="false">G217*wnio</f>
        <v>139.637843893428</v>
      </c>
    </row>
    <row r="219" customFormat="false" ht="15" hidden="false" customHeight="false" outlineLevel="0" collapsed="false">
      <c r="A219" s="4" t="s">
        <v>450</v>
      </c>
      <c r="B219" s="0" t="s">
        <v>48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598</v>
      </c>
    </row>
    <row r="221" customFormat="false" ht="15" hidden="false" customHeight="false" outlineLevel="0" collapsed="false">
      <c r="A221" s="4" t="s">
        <v>424</v>
      </c>
      <c r="B221" s="0" t="s">
        <v>147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316.133878417172</v>
      </c>
      <c r="F221" s="21" t="n">
        <f aca="false">F208+F216</f>
        <v>362.629389130281</v>
      </c>
      <c r="G221" s="21" t="n">
        <f aca="false">G208+G216</f>
        <v>385.653739899664</v>
      </c>
    </row>
    <row r="222" customFormat="false" ht="15" hidden="false" customHeight="false" outlineLevel="0" collapsed="false">
      <c r="A222" s="4" t="s">
        <v>427</v>
      </c>
      <c r="B222" s="0" t="s">
        <v>48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0.0571801816057502</v>
      </c>
      <c r="F222" s="17" t="n">
        <f aca="false">F221/F200</f>
        <v>0.0608388685666715</v>
      </c>
      <c r="G222" s="17" t="n">
        <f aca="false">G221/G200</f>
        <v>0.0625458629903029</v>
      </c>
    </row>
    <row r="223" customFormat="false" ht="15" hidden="false" customHeight="false" outlineLevel="0" collapsed="false">
      <c r="A223" s="4" t="s">
        <v>428</v>
      </c>
      <c r="B223" s="0" t="s">
        <v>147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222.384507327103</v>
      </c>
      <c r="F223" s="21" t="n">
        <f aca="false">F212+F217</f>
        <v>260.351752931951</v>
      </c>
      <c r="G223" s="21" t="n">
        <f aca="false">G212+G217</f>
        <v>279.5587740708</v>
      </c>
    </row>
    <row r="224" customFormat="false" ht="15" hidden="false" customHeight="false" outlineLevel="0" collapsed="false">
      <c r="A224" s="4" t="s">
        <v>431</v>
      </c>
      <c r="B224" s="0" t="s">
        <v>48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0.0402234223643977</v>
      </c>
      <c r="F224" s="17" t="n">
        <f aca="false">F223/F200</f>
        <v>0.0436795983792666</v>
      </c>
      <c r="G224" s="17" t="n">
        <f aca="false">G223/G200</f>
        <v>0.0453392330262854</v>
      </c>
    </row>
    <row r="225" customFormat="false" ht="15" hidden="false" customHeight="false" outlineLevel="0" collapsed="false">
      <c r="A225" s="4" t="s">
        <v>461</v>
      </c>
      <c r="B225" s="0" t="s">
        <v>147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155.176081889069</v>
      </c>
      <c r="F225" s="21" t="n">
        <f aca="false">F214+F218</f>
        <v>182.513204349928</v>
      </c>
      <c r="G225" s="21" t="n">
        <f aca="false">G214+G218</f>
        <v>195.937946372666</v>
      </c>
    </row>
    <row r="226" customFormat="false" ht="17.15" hidden="false" customHeight="false" outlineLevel="0" collapsed="false">
      <c r="A226" s="4" t="s">
        <v>599</v>
      </c>
      <c r="B226" s="0" t="s">
        <v>147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67.7015899849565</v>
      </c>
      <c r="F226" s="21" t="n">
        <f aca="false">(1-F219)*F218</f>
        <v>81.1254954249335</v>
      </c>
      <c r="G226" s="21" t="n">
        <f aca="false">(1-G219)*G218</f>
        <v>87.0223043143844</v>
      </c>
    </row>
    <row r="227" customFormat="false" ht="15" hidden="false" customHeight="false" outlineLevel="0" collapsed="false">
      <c r="A227" s="4" t="s">
        <v>457</v>
      </c>
      <c r="B227" s="0" t="s">
        <v>147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87.4744919041122</v>
      </c>
      <c r="F227" s="21" t="n">
        <f aca="false">F225-F226</f>
        <v>101.387708924995</v>
      </c>
      <c r="G227" s="21" t="n">
        <f aca="false">G225-G226</f>
        <v>108.915642058282</v>
      </c>
      <c r="H227" s="26" t="n">
        <f aca="false">H200*H232</f>
        <v>114.168887626996</v>
      </c>
      <c r="I227" s="26" t="n">
        <f aca="false">I200*I232</f>
        <v>120.649023533204</v>
      </c>
      <c r="J227" s="26" t="n">
        <f aca="false">J200*J232</f>
        <v>128.52571763705</v>
      </c>
    </row>
    <row r="228" customFormat="false" ht="17.15" hidden="false" customHeight="false" outlineLevel="0" collapsed="false">
      <c r="A228" s="4" t="s">
        <v>600</v>
      </c>
      <c r="B228" s="0" t="s">
        <v>48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0.467951548984967</v>
      </c>
      <c r="F228" s="20" t="n">
        <f aca="false">F219*F218/F227</f>
        <v>0.483788457075011</v>
      </c>
      <c r="G228" s="20" t="n">
        <f aca="false">G219*G218/G227</f>
        <v>0.483085244549984</v>
      </c>
    </row>
    <row r="229" customFormat="false" ht="17.15" hidden="false" customHeight="false" outlineLevel="0" collapsed="false">
      <c r="A229" s="4" t="s">
        <v>601</v>
      </c>
      <c r="B229" s="4" t="s">
        <v>282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602</v>
      </c>
    </row>
    <row r="230" customFormat="false" ht="15" hidden="false" customHeight="false" outlineLevel="0" collapsed="false">
      <c r="A230" s="0" t="s">
        <v>464</v>
      </c>
      <c r="B230" s="0" t="s">
        <v>312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25.5027673189832</v>
      </c>
      <c r="F230" s="18" t="n">
        <f aca="false">F227/F229</f>
        <v>29.5590988119518</v>
      </c>
      <c r="G230" s="18" t="n">
        <f aca="false">G227/G229</f>
        <v>31.7538315038723</v>
      </c>
      <c r="H230" s="29" t="n">
        <f aca="false">H227/H229</f>
        <v>33.285389978716</v>
      </c>
      <c r="I230" s="29" t="n">
        <f aca="false">I227/I229</f>
        <v>35.1746424295056</v>
      </c>
      <c r="J230" s="29" t="n">
        <f aca="false">J227/J229</f>
        <v>37.4710547046793</v>
      </c>
    </row>
    <row r="231" customFormat="false" ht="17.15" hidden="false" customHeight="false" outlineLevel="0" collapsed="false">
      <c r="A231" s="0" t="s">
        <v>603</v>
      </c>
      <c r="B231" s="0" t="s">
        <v>48</v>
      </c>
      <c r="D231" s="20" t="n">
        <f aca="false">D230/C230-1</f>
        <v>1.03813580587031</v>
      </c>
      <c r="E231" s="20" t="n">
        <f aca="false">E230/D230-1</f>
        <v>0.384158293774193</v>
      </c>
      <c r="F231" s="20" t="n">
        <f aca="false">F230/E230-1</f>
        <v>0.159054562284669</v>
      </c>
      <c r="G231" s="20" t="n">
        <f aca="false">G230/F230-1</f>
        <v>0.0742489717255224</v>
      </c>
      <c r="H231" s="27" t="n">
        <f aca="false">H230/G230-1</f>
        <v>0.0482322416637171</v>
      </c>
      <c r="I231" s="27" t="n">
        <f aca="false">I230/H230-1</f>
        <v>0.0567592103321488</v>
      </c>
      <c r="J231" s="27" t="n">
        <f aca="false">J230/I230-1</f>
        <v>0.0652860161912394</v>
      </c>
    </row>
    <row r="232" customFormat="false" ht="17.15" hidden="false" customHeight="false" outlineLevel="0" collapsed="false">
      <c r="A232" s="4" t="s">
        <v>604</v>
      </c>
      <c r="B232" s="0" t="s">
        <v>48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0.0158218010609652</v>
      </c>
      <c r="F232" s="17" t="n">
        <f aca="false">F227/F200</f>
        <v>0.017009965773479</v>
      </c>
      <c r="G232" s="17" t="n">
        <f aca="false">G227/G200</f>
        <v>0.0176640911804733</v>
      </c>
      <c r="H232" s="28" t="n">
        <f aca="false">$G232+(fade_mA-$G232)*1/3</f>
        <v>0.0177530660075836</v>
      </c>
      <c r="I232" s="28" t="n">
        <f aca="false">$G232+(fade_mA-$G232)*2/3</f>
        <v>0.0178420408346939</v>
      </c>
      <c r="J232" s="28" t="n">
        <f aca="false">$G232+(fade_mA-$G232)*3/3</f>
        <v>0.0179310156618042</v>
      </c>
    </row>
    <row r="235" customFormat="false" ht="17.15" hidden="false" customHeight="false" outlineLevel="0" collapsed="false">
      <c r="A235" s="1" t="s">
        <v>876</v>
      </c>
    </row>
    <row r="236" customFormat="false" ht="17.15" hidden="false" customHeight="false" outlineLevel="0" collapsed="false">
      <c r="A236" s="5" t="s">
        <v>17</v>
      </c>
      <c r="B236" s="5" t="s">
        <v>18</v>
      </c>
      <c r="C236" s="14" t="s">
        <v>414</v>
      </c>
      <c r="D236" s="14" t="s">
        <v>529</v>
      </c>
      <c r="E236" s="14" t="s">
        <v>530</v>
      </c>
      <c r="F236" s="14" t="s">
        <v>531</v>
      </c>
      <c r="G236" s="14" t="s">
        <v>532</v>
      </c>
      <c r="H236" s="14" t="s">
        <v>533</v>
      </c>
      <c r="I236" s="14" t="s">
        <v>534</v>
      </c>
      <c r="J236" s="14" t="s">
        <v>535</v>
      </c>
      <c r="K236" s="5" t="s">
        <v>496</v>
      </c>
    </row>
    <row r="237" customFormat="false" ht="17.15" hidden="false" customHeight="false" outlineLevel="0" collapsed="false">
      <c r="A237" s="6" t="s">
        <v>550</v>
      </c>
    </row>
    <row r="238" customFormat="false" ht="17.15" hidden="false" customHeight="false" outlineLevel="0" collapsed="false">
      <c r="A238" s="0" t="s">
        <v>551</v>
      </c>
      <c r="B238" s="0" t="s">
        <v>28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552</v>
      </c>
      <c r="B239" s="0" t="s">
        <v>28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553</v>
      </c>
      <c r="B240" s="0" t="s">
        <v>498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554</v>
      </c>
      <c r="B241" s="0" t="s">
        <v>555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556</v>
      </c>
    </row>
    <row r="242" customFormat="false" ht="17.15" hidden="false" customHeight="false" outlineLevel="0" collapsed="false">
      <c r="A242" s="0" t="s">
        <v>557</v>
      </c>
      <c r="B242" s="0" t="s">
        <v>28</v>
      </c>
      <c r="D242" s="21" t="n">
        <f aca="false">D240*D241</f>
        <v>634.616531285011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558</v>
      </c>
      <c r="B243" s="0" t="s">
        <v>147</v>
      </c>
      <c r="D243" s="21" t="n">
        <f aca="false">D242*fx</f>
        <v>20307.7290011204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559</v>
      </c>
    </row>
    <row r="245" customFormat="false" ht="17.15" hidden="false" customHeight="false" outlineLevel="0" collapsed="false">
      <c r="A245" s="4" t="s">
        <v>560</v>
      </c>
      <c r="B245" s="0" t="s">
        <v>48</v>
      </c>
      <c r="D245" s="20" t="n">
        <f aca="false">a26_ais/D243</f>
        <v>0.0875096501918446</v>
      </c>
      <c r="K245" s="8" t="s">
        <v>561</v>
      </c>
    </row>
    <row r="246" customFormat="false" ht="17.15" hidden="false" customHeight="false" outlineLevel="0" collapsed="false">
      <c r="A246" s="4" t="s">
        <v>562</v>
      </c>
      <c r="B246" s="0" t="s">
        <v>60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563</v>
      </c>
      <c r="B247" s="0" t="s">
        <v>48</v>
      </c>
      <c r="D247" s="20" t="n">
        <f aca="false">$D$245*D246</f>
        <v>0.0875096501918446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564</v>
      </c>
      <c r="B248" s="0" t="s">
        <v>147</v>
      </c>
      <c r="D248" s="21" t="n">
        <f aca="false">D243*D247</f>
        <v>1777.12226107882</v>
      </c>
      <c r="E248" s="21" t="n">
        <f aca="false">E243*E247</f>
        <v>3668.24434696706</v>
      </c>
      <c r="F248" s="21" t="n">
        <f aca="false">F243*F247</f>
        <v>4649.92799904657</v>
      </c>
      <c r="G248" s="21" t="n">
        <f aca="false">G243*G247</f>
        <v>5297.00313565506</v>
      </c>
    </row>
    <row r="249" customFormat="false" ht="17.15" hidden="false" customHeight="false" outlineLevel="0" collapsed="false">
      <c r="A249" s="4" t="s">
        <v>565</v>
      </c>
      <c r="B249" s="0" t="s">
        <v>48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566</v>
      </c>
    </row>
    <row r="250" customFormat="false" ht="17.15" hidden="false" customHeight="false" outlineLevel="0" collapsed="false">
      <c r="A250" s="4" t="s">
        <v>567</v>
      </c>
      <c r="B250" s="0" t="s">
        <v>147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3719.94239923726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568</v>
      </c>
    </row>
    <row r="252" customFormat="false" ht="17.15" hidden="false" customHeight="false" outlineLevel="0" collapsed="false">
      <c r="A252" s="0" t="s">
        <v>569</v>
      </c>
      <c r="B252" s="4" t="s">
        <v>81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570</v>
      </c>
      <c r="B253" s="0" t="s">
        <v>48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571</v>
      </c>
      <c r="B254" s="0" t="s">
        <v>520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572</v>
      </c>
    </row>
    <row r="255" customFormat="false" ht="17.15" hidden="false" customHeight="false" outlineLevel="0" collapsed="false">
      <c r="A255" s="0" t="s">
        <v>522</v>
      </c>
      <c r="B255" s="0" t="s">
        <v>147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573</v>
      </c>
    </row>
    <row r="257" customFormat="false" ht="15" hidden="false" customHeight="false" outlineLevel="0" collapsed="false">
      <c r="A257" s="4" t="s">
        <v>574</v>
      </c>
      <c r="B257" s="0" t="s">
        <v>147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575</v>
      </c>
      <c r="B258" s="0" t="s">
        <v>147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576</v>
      </c>
      <c r="B259" s="0" t="s">
        <v>147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4247.26126831455</v>
      </c>
      <c r="F259" s="21" t="n">
        <f aca="false">F250+F255+F257+F258</f>
        <v>4686.81369540122</v>
      </c>
      <c r="G259" s="21" t="n">
        <f aca="false">G250+G255+G257+G258</f>
        <v>4966.29239042022</v>
      </c>
    </row>
    <row r="260" customFormat="false" ht="17.15" hidden="false" customHeight="false" outlineLevel="0" collapsed="false">
      <c r="A260" s="4" t="s">
        <v>577</v>
      </c>
      <c r="B260" s="0" t="s">
        <v>48</v>
      </c>
      <c r="D260" s="20" t="n">
        <f aca="false">a26_wai/D243</f>
        <v>0.0391523244650416</v>
      </c>
      <c r="K260" s="8" t="s">
        <v>578</v>
      </c>
    </row>
    <row r="261" customFormat="false" ht="17.15" hidden="false" customHeight="false" outlineLevel="0" collapsed="false">
      <c r="A261" s="4" t="s">
        <v>504</v>
      </c>
      <c r="B261" s="0" t="s">
        <v>48</v>
      </c>
      <c r="D261" s="20" t="n">
        <f aca="false">D260</f>
        <v>0.0391523244650416</v>
      </c>
      <c r="E261" s="20" t="n">
        <f aca="false">$D$260*wrel_27</f>
        <v>0.0391523244650416</v>
      </c>
      <c r="F261" s="20" t="n">
        <f aca="false">$D$260*wrel_28</f>
        <v>0.0391523244650416</v>
      </c>
      <c r="G261" s="20" t="n">
        <f aca="false">$D$260*wrel_29</f>
        <v>0.0371947082417896</v>
      </c>
    </row>
    <row r="262" customFormat="false" ht="17.15" hidden="false" customHeight="false" outlineLevel="0" collapsed="false">
      <c r="A262" s="4" t="s">
        <v>524</v>
      </c>
      <c r="B262" s="0" t="s">
        <v>147</v>
      </c>
      <c r="D262" s="21" t="n">
        <f aca="false">D243*D261</f>
        <v>795.094795</v>
      </c>
      <c r="E262" s="21" t="n">
        <f aca="false">E243*E261</f>
        <v>1427.12501917769</v>
      </c>
      <c r="F262" s="21" t="n">
        <f aca="false">F243*F261</f>
        <v>1809.04758711097</v>
      </c>
      <c r="G262" s="21" t="n">
        <f aca="false">G243*G261</f>
        <v>1957.75164825537</v>
      </c>
    </row>
    <row r="263" customFormat="false" ht="17.15" hidden="false" customHeight="false" outlineLevel="0" collapsed="false">
      <c r="A263" s="4" t="s">
        <v>579</v>
      </c>
      <c r="B263" s="0" t="s">
        <v>147</v>
      </c>
      <c r="D263" s="21" t="n">
        <f aca="false">a26_wna</f>
        <v>650.532105</v>
      </c>
      <c r="E263" s="21" t="n">
        <f aca="false">D263*(1+g_wn27)</f>
        <v>715.5853155</v>
      </c>
      <c r="F263" s="21" t="n">
        <f aca="false">E263*(1+g_wn28)</f>
        <v>758.52043443</v>
      </c>
      <c r="G263" s="21" t="n">
        <f aca="false">F263*(1+g_wn29)</f>
        <v>796.4464561515</v>
      </c>
    </row>
    <row r="264" customFormat="false" ht="15" hidden="false" customHeight="false" outlineLevel="0" collapsed="false">
      <c r="A264" s="4" t="s">
        <v>434</v>
      </c>
      <c r="B264" s="0" t="s">
        <v>147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2142.71033467769</v>
      </c>
      <c r="F264" s="21" t="n">
        <f aca="false">F262+F263</f>
        <v>2567.56802154097</v>
      </c>
      <c r="G264" s="21" t="n">
        <f aca="false">G262+G263</f>
        <v>2754.19810440687</v>
      </c>
    </row>
    <row r="265" customFormat="false" ht="17.15" hidden="false" customHeight="false" outlineLevel="0" collapsed="false">
      <c r="A265" s="4" t="s">
        <v>420</v>
      </c>
      <c r="B265" s="0" t="s">
        <v>147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6389.97160299224</v>
      </c>
      <c r="F265" s="21" t="n">
        <f aca="false">F259+F264</f>
        <v>7254.38171694218</v>
      </c>
      <c r="G265" s="21" t="n">
        <f aca="false">G259+G264</f>
        <v>7720.49049482709</v>
      </c>
      <c r="H265" s="26" t="n">
        <f aca="false">G265*(1+H266)</f>
        <v>8205.60511455478</v>
      </c>
      <c r="I265" s="26" t="n">
        <f aca="false">H265*(1+I266)</f>
        <v>8709.57159100277</v>
      </c>
      <c r="J265" s="26" t="n">
        <f aca="false">I265*(1+J266)</f>
        <v>9232.14588646294</v>
      </c>
      <c r="K265" s="8" t="s">
        <v>580</v>
      </c>
    </row>
    <row r="266" customFormat="false" ht="15" hidden="false" customHeight="false" outlineLevel="0" collapsed="false">
      <c r="A266" s="4" t="s">
        <v>581</v>
      </c>
      <c r="B266" s="0" t="s">
        <v>48</v>
      </c>
      <c r="D266" s="20" t="n">
        <f aca="false">D265/C265-1</f>
        <v>0.873912121761526</v>
      </c>
      <c r="E266" s="20" t="n">
        <f aca="false">E265/D265-1</f>
        <v>0.559536909302117</v>
      </c>
      <c r="F266" s="20" t="n">
        <f aca="false">F265/E265-1</f>
        <v>0.135276049356019</v>
      </c>
      <c r="G266" s="20" t="n">
        <f aca="false">G265/F265-1</f>
        <v>0.0642520336083694</v>
      </c>
      <c r="H266" s="27" t="n">
        <f aca="false">$G266+(fade_gA-$G266)*1/3</f>
        <v>0.0628346890722463</v>
      </c>
      <c r="I266" s="27" t="n">
        <f aca="false">$G266+(fade_gA-$G266)*2/3</f>
        <v>0.0614173445361231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582</v>
      </c>
      <c r="B267" s="0" t="s">
        <v>48</v>
      </c>
      <c r="D267" s="20" t="n">
        <f aca="false">(D250+D255+D262)/D265</f>
        <v>0.6546220793463</v>
      </c>
      <c r="E267" s="20" t="n">
        <f aca="false">(E250+E255+E262)/E265</f>
        <v>0.766548254433703</v>
      </c>
      <c r="F267" s="20" t="n">
        <f aca="false">(F250+F255+F262)/F265</f>
        <v>0.785965888706765</v>
      </c>
      <c r="G267" s="20" t="n">
        <f aca="false">(G250+G255+G262)/G265</f>
        <v>0.791923691044569</v>
      </c>
    </row>
    <row r="268" customFormat="false" ht="17.15" hidden="false" customHeight="false" outlineLevel="0" collapsed="false">
      <c r="A268" s="4" t="s">
        <v>583</v>
      </c>
      <c r="B268" s="0" t="s">
        <v>48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0.335323921263487</v>
      </c>
      <c r="F268" s="20" t="n">
        <f aca="false">F264/F265</f>
        <v>0.353933404902662</v>
      </c>
      <c r="G268" s="20" t="n">
        <f aca="false">G264/G265</f>
        <v>0.356738746877837</v>
      </c>
    </row>
    <row r="269" customFormat="false" ht="17.15" hidden="false" customHeight="false" outlineLevel="0" collapsed="false">
      <c r="A269" s="4" t="s">
        <v>584</v>
      </c>
      <c r="B269" s="4" t="s">
        <v>331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21.5274444400304</v>
      </c>
      <c r="G269" s="21" t="n">
        <f aca="false">G248/fx/odm_vr</f>
        <v>24.5231626650697</v>
      </c>
      <c r="K269" s="4" t="s">
        <v>585</v>
      </c>
    </row>
    <row r="270" customFormat="false" ht="17.15" hidden="false" customHeight="false" outlineLevel="0" collapsed="false">
      <c r="A270" s="6" t="s">
        <v>586</v>
      </c>
    </row>
    <row r="271" customFormat="false" ht="17.15" hidden="false" customHeight="false" outlineLevel="0" collapsed="false">
      <c r="A271" s="4" t="s">
        <v>587</v>
      </c>
      <c r="B271" s="0" t="s">
        <v>48</v>
      </c>
      <c r="D271" s="17" t="n">
        <f aca="false">(a26_sgp-d_ai*D250-d_brd*D255-d_gen*D257)/D259</f>
        <v>0.0436423860147897</v>
      </c>
      <c r="K271" s="8" t="s">
        <v>588</v>
      </c>
    </row>
    <row r="272" customFormat="false" ht="17.15" hidden="false" customHeight="false" outlineLevel="0" collapsed="false">
      <c r="A272" s="4" t="s">
        <v>589</v>
      </c>
      <c r="B272" s="0" t="s">
        <v>147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</v>
      </c>
    </row>
    <row r="273" customFormat="false" ht="15" hidden="false" customHeight="false" outlineLevel="0" collapsed="false">
      <c r="A273" s="4" t="s">
        <v>590</v>
      </c>
      <c r="B273" s="0" t="s">
        <v>147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591</v>
      </c>
      <c r="B274" s="0" t="s">
        <v>48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592</v>
      </c>
      <c r="B275" s="0" t="s">
        <v>48</v>
      </c>
      <c r="E275" s="20" t="n">
        <f aca="false">MAX(0,phi*(E259/D259-1))</f>
        <v>0.180509236231427</v>
      </c>
      <c r="F275" s="20" t="n">
        <f aca="false">MAX(0,phi*(F259/E259-1))</f>
        <v>0.0310472372184269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593</v>
      </c>
      <c r="B276" s="0" t="s">
        <v>147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594</v>
      </c>
      <c r="B277" s="0" t="s">
        <v>147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595</v>
      </c>
      <c r="B278" s="0" t="s">
        <v>48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596</v>
      </c>
      <c r="B279" s="0" t="s">
        <v>147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</v>
      </c>
      <c r="F279" s="21" t="n">
        <f aca="false">F277*snio</f>
        <v>76.9125208858008</v>
      </c>
      <c r="G279" s="21" t="n">
        <f aca="false">G277*snio</f>
        <v>88.0736604108758</v>
      </c>
    </row>
    <row r="280" customFormat="false" ht="17.15" hidden="false" customHeight="false" outlineLevel="0" collapsed="false">
      <c r="A280" s="6" t="s">
        <v>597</v>
      </c>
    </row>
    <row r="281" customFormat="false" ht="15" hidden="false" customHeight="false" outlineLevel="0" collapsed="false">
      <c r="A281" s="4" t="s">
        <v>438</v>
      </c>
      <c r="B281" s="0" t="s">
        <v>147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182.130378447603</v>
      </c>
      <c r="F281" s="21" t="n">
        <f aca="false">F264*wgm</f>
        <v>218.243281830982</v>
      </c>
      <c r="G281" s="21" t="n">
        <f aca="false">G264*wgm</f>
        <v>234.106838874584</v>
      </c>
    </row>
    <row r="282" customFormat="false" ht="15" hidden="false" customHeight="false" outlineLevel="0" collapsed="false">
      <c r="A282" s="4" t="s">
        <v>440</v>
      </c>
      <c r="B282" s="0" t="s">
        <v>147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139.27617175405</v>
      </c>
      <c r="F282" s="21" t="n">
        <f aca="false">F264*wopm</f>
        <v>166.891921400163</v>
      </c>
      <c r="G282" s="21" t="n">
        <f aca="false">G264*wopm</f>
        <v>179.022876786446</v>
      </c>
    </row>
    <row r="283" customFormat="false" ht="15" hidden="false" customHeight="false" outlineLevel="0" collapsed="false">
      <c r="A283" s="4" t="s">
        <v>448</v>
      </c>
      <c r="B283" s="0" t="s">
        <v>147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108.635413968159</v>
      </c>
      <c r="F283" s="21" t="n">
        <f aca="false">F282*wnio</f>
        <v>130.175698692127</v>
      </c>
      <c r="G283" s="21" t="n">
        <f aca="false">G282*wnio</f>
        <v>139.637843893428</v>
      </c>
    </row>
    <row r="284" customFormat="false" ht="15" hidden="false" customHeight="false" outlineLevel="0" collapsed="false">
      <c r="A284" s="4" t="s">
        <v>450</v>
      </c>
      <c r="B284" s="0" t="s">
        <v>48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598</v>
      </c>
    </row>
    <row r="286" customFormat="false" ht="15" hidden="false" customHeight="false" outlineLevel="0" collapsed="false">
      <c r="A286" s="4" t="s">
        <v>424</v>
      </c>
      <c r="B286" s="0" t="s">
        <v>147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346.110735005103</v>
      </c>
      <c r="F286" s="21" t="n">
        <f aca="false">F273+F281</f>
        <v>412.783170122654</v>
      </c>
      <c r="G286" s="21" t="n">
        <f aca="false">G273+G281</f>
        <v>449.600529135448</v>
      </c>
    </row>
    <row r="287" customFormat="false" ht="15" hidden="false" customHeight="false" outlineLevel="0" collapsed="false">
      <c r="A287" s="4" t="s">
        <v>427</v>
      </c>
      <c r="B287" s="0" t="s">
        <v>48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0.0541646749796242</v>
      </c>
      <c r="F287" s="17" t="n">
        <f aca="false">F286/F265</f>
        <v>0.0569012200114344</v>
      </c>
      <c r="G287" s="17" t="n">
        <f aca="false">G286/G265</f>
        <v>0.0582347105325356</v>
      </c>
    </row>
    <row r="288" customFormat="false" ht="15" hidden="false" customHeight="false" outlineLevel="0" collapsed="false">
      <c r="A288" s="4" t="s">
        <v>428</v>
      </c>
      <c r="B288" s="0" t="s">
        <v>147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247.782735326173</v>
      </c>
      <c r="F288" s="21" t="n">
        <f aca="false">F277+F282</f>
        <v>304.235708696236</v>
      </c>
      <c r="G288" s="21" t="n">
        <f aca="false">G277+G282</f>
        <v>336.297270377296</v>
      </c>
    </row>
    <row r="289" customFormat="false" ht="15" hidden="false" customHeight="false" outlineLevel="0" collapsed="false">
      <c r="A289" s="4" t="s">
        <v>431</v>
      </c>
      <c r="B289" s="0" t="s">
        <v>48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0.0387768132193488</v>
      </c>
      <c r="F289" s="17" t="n">
        <f aca="false">F288/F265</f>
        <v>0.0419381996381182</v>
      </c>
      <c r="G289" s="17" t="n">
        <f aca="false">G288/G265</f>
        <v>0.0435590550370631</v>
      </c>
    </row>
    <row r="290" customFormat="false" ht="15" hidden="false" customHeight="false" outlineLevel="0" collapsed="false">
      <c r="A290" s="4" t="s">
        <v>461</v>
      </c>
      <c r="B290" s="0" t="s">
        <v>147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169.399089568548</v>
      </c>
      <c r="F290" s="21" t="n">
        <f aca="false">F279+F283</f>
        <v>207.088219577928</v>
      </c>
      <c r="G290" s="21" t="n">
        <f aca="false">G279+G283</f>
        <v>227.711504304304</v>
      </c>
    </row>
    <row r="291" customFormat="false" ht="17.15" hidden="false" customHeight="false" outlineLevel="0" collapsed="false">
      <c r="A291" s="4" t="s">
        <v>599</v>
      </c>
      <c r="B291" s="0" t="s">
        <v>147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67.7015899849565</v>
      </c>
      <c r="F291" s="21" t="n">
        <f aca="false">(1-F284)*F283</f>
        <v>81.1254954249335</v>
      </c>
      <c r="G291" s="21" t="n">
        <f aca="false">(1-G284)*G283</f>
        <v>87.0223043143844</v>
      </c>
    </row>
    <row r="292" customFormat="false" ht="15" hidden="false" customHeight="false" outlineLevel="0" collapsed="false">
      <c r="A292" s="4" t="s">
        <v>457</v>
      </c>
      <c r="B292" s="0" t="s">
        <v>147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101.697499583591</v>
      </c>
      <c r="F292" s="21" t="n">
        <f aca="false">F290-F291</f>
        <v>125.962724152994</v>
      </c>
      <c r="G292" s="21" t="n">
        <f aca="false">G290-G291</f>
        <v>140.689199989919</v>
      </c>
      <c r="H292" s="26" t="n">
        <f aca="false">H265*H297</f>
        <v>148.73118602596</v>
      </c>
      <c r="I292" s="26" t="n">
        <f aca="false">I265*I297</f>
        <v>157.018662563629</v>
      </c>
      <c r="J292" s="26" t="n">
        <f aca="false">J265*J297</f>
        <v>165.541752482229</v>
      </c>
    </row>
    <row r="293" customFormat="false" ht="17.15" hidden="false" customHeight="false" outlineLevel="0" collapsed="false">
      <c r="A293" s="4" t="s">
        <v>600</v>
      </c>
      <c r="B293" s="0" t="s">
        <v>48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0.402505707129567</v>
      </c>
      <c r="F293" s="20" t="n">
        <f aca="false">F284*F283/F292</f>
        <v>0.389402528383057</v>
      </c>
      <c r="G293" s="20" t="n">
        <f aca="false">G284*G283/G292</f>
        <v>0.373984211885587</v>
      </c>
    </row>
    <row r="294" customFormat="false" ht="17.15" hidden="false" customHeight="false" outlineLevel="0" collapsed="false">
      <c r="A294" s="4" t="s">
        <v>601</v>
      </c>
      <c r="B294" s="4" t="s">
        <v>282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602</v>
      </c>
    </row>
    <row r="295" customFormat="false" ht="15" hidden="false" customHeight="false" outlineLevel="0" collapsed="false">
      <c r="A295" s="0" t="s">
        <v>464</v>
      </c>
      <c r="B295" s="0" t="s">
        <v>312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29.649416788219</v>
      </c>
      <c r="F295" s="18" t="n">
        <f aca="false">F292/F294</f>
        <v>36.7238262836718</v>
      </c>
      <c r="G295" s="18" t="n">
        <f aca="false">G292/G294</f>
        <v>41.0172594722797</v>
      </c>
      <c r="H295" s="29" t="n">
        <f aca="false">H292/H294</f>
        <v>43.3618618151488</v>
      </c>
      <c r="I295" s="29" t="n">
        <f aca="false">I292/I294</f>
        <v>45.7780357328366</v>
      </c>
      <c r="J295" s="29" t="n">
        <f aca="false">J292/J294</f>
        <v>48.2629015983174</v>
      </c>
    </row>
    <row r="296" customFormat="false" ht="17.15" hidden="false" customHeight="false" outlineLevel="0" collapsed="false">
      <c r="A296" s="0" t="s">
        <v>603</v>
      </c>
      <c r="B296" s="0" t="s">
        <v>48</v>
      </c>
      <c r="D296" s="20" t="n">
        <f aca="false">D295/C295-1</f>
        <v>1.03813580587031</v>
      </c>
      <c r="E296" s="20" t="n">
        <f aca="false">E295/D295-1</f>
        <v>0.609216977893734</v>
      </c>
      <c r="F296" s="20" t="n">
        <f aca="false">F295/E295-1</f>
        <v>0.238601978109186</v>
      </c>
      <c r="G296" s="20" t="n">
        <f aca="false">G295/F295-1</f>
        <v>0.116911379425539</v>
      </c>
      <c r="H296" s="27" t="n">
        <f aca="false">H295/G295-1</f>
        <v>0.057161360194081</v>
      </c>
      <c r="I296" s="27" t="n">
        <f aca="false">I295/H295-1</f>
        <v>0.0557211756263583</v>
      </c>
      <c r="J296" s="27" t="n">
        <f aca="false">J295/I295-1</f>
        <v>0.0542807445907598</v>
      </c>
    </row>
    <row r="297" customFormat="false" ht="17.15" hidden="false" customHeight="false" outlineLevel="0" collapsed="false">
      <c r="A297" s="4" t="s">
        <v>604</v>
      </c>
      <c r="B297" s="0" t="s">
        <v>48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0.015915172382921</v>
      </c>
      <c r="F297" s="17" t="n">
        <f aca="false">F292/F265</f>
        <v>0.0173636746821326</v>
      </c>
      <c r="G297" s="17" t="n">
        <f aca="false">G292/G265</f>
        <v>0.018222831837457</v>
      </c>
      <c r="H297" s="28" t="n">
        <f aca="false">$G297+(fade_mA-$G297)*1/3</f>
        <v>0.0181255597789061</v>
      </c>
      <c r="I297" s="28" t="n">
        <f aca="false">$G297+(fade_mA-$G297)*2/3</f>
        <v>0.0180282877203552</v>
      </c>
      <c r="J297" s="28" t="n">
        <f aca="false">$G297+(fade_mA-$G297)*3/3</f>
        <v>0.0179310156618042</v>
      </c>
    </row>
    <row r="300" customFormat="false" ht="17.15" hidden="false" customHeight="false" outlineLevel="0" collapsed="false">
      <c r="A300" s="1" t="s">
        <v>877</v>
      </c>
    </row>
    <row r="301" customFormat="false" ht="17.15" hidden="false" customHeight="false" outlineLevel="0" collapsed="false">
      <c r="A301" s="5" t="s">
        <v>17</v>
      </c>
      <c r="B301" s="5" t="s">
        <v>18</v>
      </c>
      <c r="C301" s="14" t="s">
        <v>414</v>
      </c>
      <c r="D301" s="14" t="s">
        <v>529</v>
      </c>
      <c r="E301" s="14" t="s">
        <v>530</v>
      </c>
      <c r="F301" s="14" t="s">
        <v>531</v>
      </c>
      <c r="G301" s="14" t="s">
        <v>532</v>
      </c>
      <c r="H301" s="14" t="s">
        <v>533</v>
      </c>
      <c r="I301" s="14" t="s">
        <v>534</v>
      </c>
      <c r="J301" s="14" t="s">
        <v>535</v>
      </c>
      <c r="K301" s="5" t="s">
        <v>496</v>
      </c>
    </row>
    <row r="302" customFormat="false" ht="17.15" hidden="false" customHeight="false" outlineLevel="0" collapsed="false">
      <c r="A302" s="6" t="s">
        <v>550</v>
      </c>
    </row>
    <row r="303" customFormat="false" ht="17.15" hidden="false" customHeight="false" outlineLevel="0" collapsed="false">
      <c r="A303" s="0" t="s">
        <v>551</v>
      </c>
      <c r="B303" s="0" t="s">
        <v>28</v>
      </c>
      <c r="D303" s="21" t="n">
        <f aca="false">itc_26*1</f>
        <v>781.872916666667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552</v>
      </c>
      <c r="B304" s="0" t="s">
        <v>28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553</v>
      </c>
      <c r="B305" s="0" t="s">
        <v>498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554</v>
      </c>
      <c r="B306" s="0" t="s">
        <v>555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556</v>
      </c>
    </row>
    <row r="307" customFormat="false" ht="17.15" hidden="false" customHeight="false" outlineLevel="0" collapsed="false">
      <c r="A307" s="0" t="s">
        <v>557</v>
      </c>
      <c r="B307" s="0" t="s">
        <v>28</v>
      </c>
      <c r="D307" s="21" t="n">
        <f aca="false">D305*D306</f>
        <v>634.616531285011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558</v>
      </c>
      <c r="B308" s="0" t="s">
        <v>147</v>
      </c>
      <c r="D308" s="21" t="n">
        <f aca="false">D307*fx</f>
        <v>20307.7290011204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559</v>
      </c>
    </row>
    <row r="310" customFormat="false" ht="17.15" hidden="false" customHeight="false" outlineLevel="0" collapsed="false">
      <c r="A310" s="4" t="s">
        <v>560</v>
      </c>
      <c r="B310" s="0" t="s">
        <v>48</v>
      </c>
      <c r="D310" s="20" t="n">
        <f aca="false">a26_ais/D308</f>
        <v>0.0875096501918446</v>
      </c>
      <c r="K310" s="8" t="s">
        <v>561</v>
      </c>
    </row>
    <row r="311" customFormat="false" ht="17.15" hidden="false" customHeight="false" outlineLevel="0" collapsed="false">
      <c r="A311" s="4" t="s">
        <v>562</v>
      </c>
      <c r="B311" s="0" t="s">
        <v>60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563</v>
      </c>
      <c r="B312" s="0" t="s">
        <v>48</v>
      </c>
      <c r="D312" s="20" t="n">
        <f aca="false">$D$310*D311</f>
        <v>0.0875096501918446</v>
      </c>
      <c r="E312" s="20" t="n">
        <f aca="false">$D$310*E311</f>
        <v>0.0875096501918446</v>
      </c>
      <c r="F312" s="20" t="n">
        <f aca="false">$D$310*F311</f>
        <v>0.0831341676822524</v>
      </c>
      <c r="G312" s="20" t="n">
        <f aca="false">$D$310*G311</f>
        <v>0.0787586851726601</v>
      </c>
    </row>
    <row r="313" customFormat="false" ht="17.15" hidden="false" customHeight="false" outlineLevel="0" collapsed="false">
      <c r="A313" s="4" t="s">
        <v>564</v>
      </c>
      <c r="B313" s="0" t="s">
        <v>147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565</v>
      </c>
      <c r="B314" s="0" t="s">
        <v>48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566</v>
      </c>
    </row>
    <row r="315" customFormat="false" ht="17.15" hidden="false" customHeight="false" outlineLevel="0" collapsed="false">
      <c r="A315" s="4" t="s">
        <v>567</v>
      </c>
      <c r="B315" s="0" t="s">
        <v>147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3072.99589502208</v>
      </c>
      <c r="G315" s="21" t="n">
        <f aca="false">G313*(1-G314)</f>
        <v>3109.11053614536</v>
      </c>
    </row>
    <row r="316" customFormat="false" ht="17.15" hidden="false" customHeight="false" outlineLevel="0" collapsed="false">
      <c r="A316" s="6" t="s">
        <v>568</v>
      </c>
    </row>
    <row r="317" customFormat="false" ht="17.15" hidden="false" customHeight="false" outlineLevel="0" collapsed="false">
      <c r="A317" s="0" t="s">
        <v>569</v>
      </c>
      <c r="B317" s="4" t="s">
        <v>81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570</v>
      </c>
      <c r="B318" s="0" t="s">
        <v>48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571</v>
      </c>
      <c r="B319" s="0" t="s">
        <v>520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572</v>
      </c>
    </row>
    <row r="320" customFormat="false" ht="17.15" hidden="false" customHeight="false" outlineLevel="0" collapsed="false">
      <c r="A320" s="0" t="s">
        <v>522</v>
      </c>
      <c r="B320" s="0" t="s">
        <v>147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573</v>
      </c>
    </row>
    <row r="322" customFormat="false" ht="15" hidden="false" customHeight="false" outlineLevel="0" collapsed="false">
      <c r="A322" s="4" t="s">
        <v>574</v>
      </c>
      <c r="B322" s="0" t="s">
        <v>147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575</v>
      </c>
      <c r="B323" s="0" t="s">
        <v>147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576</v>
      </c>
      <c r="B324" s="0" t="s">
        <v>147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3816.64127975755</v>
      </c>
      <c r="F324" s="21" t="n">
        <f aca="false">F315+F320+F322+F323</f>
        <v>4039.86719118604</v>
      </c>
      <c r="G324" s="21" t="n">
        <f aca="false">G315+G320+G322+G323</f>
        <v>4102.65057482429</v>
      </c>
    </row>
    <row r="325" customFormat="false" ht="17.15" hidden="false" customHeight="false" outlineLevel="0" collapsed="false">
      <c r="A325" s="4" t="s">
        <v>577</v>
      </c>
      <c r="B325" s="0" t="s">
        <v>48</v>
      </c>
      <c r="D325" s="20" t="n">
        <f aca="false">a26_wai/D308</f>
        <v>0.0391523244650416</v>
      </c>
      <c r="K325" s="8" t="s">
        <v>578</v>
      </c>
    </row>
    <row r="326" customFormat="false" ht="17.15" hidden="false" customHeight="false" outlineLevel="0" collapsed="false">
      <c r="A326" s="4" t="s">
        <v>504</v>
      </c>
      <c r="B326" s="0" t="s">
        <v>48</v>
      </c>
      <c r="D326" s="20" t="n">
        <f aca="false">D325</f>
        <v>0.0391523244650416</v>
      </c>
      <c r="E326" s="20" t="n">
        <f aca="false">$D$325*wrel_27_lo</f>
        <v>0.0332794757952854</v>
      </c>
      <c r="F326" s="20" t="n">
        <f aca="false">$D$325*wrel_28_lo</f>
        <v>0.0293642433487812</v>
      </c>
      <c r="G326" s="20" t="n">
        <f aca="false">$D$325*wrel_29_lo</f>
        <v>0.0274066271255291</v>
      </c>
    </row>
    <row r="327" customFormat="false" ht="17.15" hidden="false" customHeight="false" outlineLevel="0" collapsed="false">
      <c r="A327" s="4" t="s">
        <v>524</v>
      </c>
      <c r="B327" s="0" t="s">
        <v>147</v>
      </c>
      <c r="D327" s="21" t="n">
        <f aca="false">D308*D326</f>
        <v>795.094795</v>
      </c>
      <c r="E327" s="21" t="n">
        <f aca="false">E308*E326</f>
        <v>1213.05626630103</v>
      </c>
      <c r="F327" s="21" t="n">
        <f aca="false">F308*F326</f>
        <v>1356.78569033322</v>
      </c>
      <c r="G327" s="21" t="n">
        <f aca="false">G308*G326</f>
        <v>1442.5538460829</v>
      </c>
    </row>
    <row r="328" customFormat="false" ht="17.15" hidden="false" customHeight="false" outlineLevel="0" collapsed="false">
      <c r="A328" s="4" t="s">
        <v>579</v>
      </c>
      <c r="B328" s="0" t="s">
        <v>147</v>
      </c>
      <c r="D328" s="21" t="n">
        <f aca="false">a26_wna</f>
        <v>650.532105</v>
      </c>
      <c r="E328" s="21" t="n">
        <f aca="false">D328*(1+g_wn27)</f>
        <v>715.5853155</v>
      </c>
      <c r="F328" s="21" t="n">
        <f aca="false">E328*(1+g_wn28)</f>
        <v>758.52043443</v>
      </c>
      <c r="G328" s="21" t="n">
        <f aca="false">F328*(1+g_wn29)</f>
        <v>796.4464561515</v>
      </c>
    </row>
    <row r="329" customFormat="false" ht="15" hidden="false" customHeight="false" outlineLevel="0" collapsed="false">
      <c r="A329" s="4" t="s">
        <v>434</v>
      </c>
      <c r="B329" s="0" t="s">
        <v>147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1928.64158180103</v>
      </c>
      <c r="F329" s="21" t="n">
        <f aca="false">F327+F328</f>
        <v>2115.30612476322</v>
      </c>
      <c r="G329" s="21" t="n">
        <f aca="false">G327+G328</f>
        <v>2239.0003022344</v>
      </c>
    </row>
    <row r="330" customFormat="false" ht="17.15" hidden="false" customHeight="false" outlineLevel="0" collapsed="false">
      <c r="A330" s="4" t="s">
        <v>420</v>
      </c>
      <c r="B330" s="0" t="s">
        <v>147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5745.28286155859</v>
      </c>
      <c r="F330" s="21" t="n">
        <f aca="false">F324+F329</f>
        <v>6155.17331594927</v>
      </c>
      <c r="G330" s="21" t="n">
        <f aca="false">G324+G329</f>
        <v>6341.65087705869</v>
      </c>
      <c r="H330" s="26" t="n">
        <f aca="false">G330*(1+H331)</f>
        <v>6596.56862682526</v>
      </c>
      <c r="I330" s="26" t="n">
        <f aca="false">H330*(1+I331)</f>
        <v>6927.048073334</v>
      </c>
      <c r="J330" s="26" t="n">
        <f aca="false">I330*(1+J331)</f>
        <v>7342.67095773404</v>
      </c>
      <c r="K330" s="8" t="s">
        <v>580</v>
      </c>
    </row>
    <row r="331" customFormat="false" ht="15" hidden="false" customHeight="false" outlineLevel="0" collapsed="false">
      <c r="A331" s="4" t="s">
        <v>581</v>
      </c>
      <c r="B331" s="0" t="s">
        <v>48</v>
      </c>
      <c r="D331" s="20" t="n">
        <f aca="false">D330/C330-1</f>
        <v>0.873912121761526</v>
      </c>
      <c r="E331" s="20" t="n">
        <f aca="false">E330/D330-1</f>
        <v>0.402194130688436</v>
      </c>
      <c r="F331" s="20" t="n">
        <f aca="false">F330/E330-1</f>
        <v>0.0713438248851483</v>
      </c>
      <c r="G331" s="20" t="n">
        <f aca="false">G330/F330-1</f>
        <v>0.0302960699134545</v>
      </c>
      <c r="H331" s="27" t="n">
        <f aca="false">$G331+(fade_gA-$G331)*1/3</f>
        <v>0.040197379942303</v>
      </c>
      <c r="I331" s="27" t="n">
        <f aca="false">$G331+(fade_gA-$G331)*2/3</f>
        <v>0.0500986899711515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582</v>
      </c>
      <c r="B332" s="0" t="s">
        <v>48</v>
      </c>
      <c r="D332" s="20" t="n">
        <f aca="false">(D315+D320+D327)/D330</f>
        <v>0.6546220793463</v>
      </c>
      <c r="E332" s="20" t="n">
        <f aca="false">(E315+E320+E327)/E330</f>
        <v>0.740352205316323</v>
      </c>
      <c r="F332" s="20" t="n">
        <f aca="false">(F315+F320+F327)/F330</f>
        <v>0.747743066837079</v>
      </c>
      <c r="G332" s="20" t="n">
        <f aca="false">(G315+G320+G327)/G330</f>
        <v>0.746682496934585</v>
      </c>
    </row>
    <row r="333" customFormat="false" ht="17.15" hidden="false" customHeight="false" outlineLevel="0" collapsed="false">
      <c r="A333" s="4" t="s">
        <v>583</v>
      </c>
      <c r="B333" s="0" t="s">
        <v>48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0.335691318995882</v>
      </c>
      <c r="F333" s="20" t="n">
        <f aca="false">F329/F330</f>
        <v>0.343663129563233</v>
      </c>
      <c r="G333" s="20" t="n">
        <f aca="false">G329/G330</f>
        <v>0.353062687562023</v>
      </c>
    </row>
    <row r="334" customFormat="false" ht="17.15" hidden="false" customHeight="false" outlineLevel="0" collapsed="false">
      <c r="A334" s="4" t="s">
        <v>584</v>
      </c>
      <c r="B334" s="4" t="s">
        <v>331</v>
      </c>
      <c r="D334" s="21" t="n">
        <f aca="false">D313/fx/(odm_gb*(1-vr26)+odm_vr*vr26)</f>
        <v>12.0597330420658</v>
      </c>
      <c r="E334" s="21" t="n">
        <f aca="false">E313/fx/odm_vr</f>
        <v>14.7674893195131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585</v>
      </c>
    </row>
    <row r="335" customFormat="false" ht="17.15" hidden="false" customHeight="false" outlineLevel="0" collapsed="false">
      <c r="A335" s="6" t="s">
        <v>586</v>
      </c>
    </row>
    <row r="336" customFormat="false" ht="17.15" hidden="false" customHeight="false" outlineLevel="0" collapsed="false">
      <c r="A336" s="4" t="s">
        <v>587</v>
      </c>
      <c r="B336" s="0" t="s">
        <v>48</v>
      </c>
      <c r="D336" s="17" t="n">
        <f aca="false">(a26_sgp-d_ai*D315-d_brd*D320-d_gen*D322)/D324</f>
        <v>0.0436423860147897</v>
      </c>
      <c r="K336" s="8" t="s">
        <v>588</v>
      </c>
    </row>
    <row r="337" customFormat="false" ht="17.15" hidden="false" customHeight="false" outlineLevel="0" collapsed="false">
      <c r="A337" s="4" t="s">
        <v>589</v>
      </c>
      <c r="B337" s="0" t="s">
        <v>147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99.9228552931035</v>
      </c>
      <c r="F337" s="25" t="n">
        <f aca="false">($D$336+d_ai+vrd)*F313*(1-F314*(1-keep))</f>
        <v>119.115229856887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590</v>
      </c>
      <c r="B338" s="0" t="s">
        <v>147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591</v>
      </c>
      <c r="B339" s="0" t="s">
        <v>48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592</v>
      </c>
      <c r="B340" s="0" t="s">
        <v>48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593</v>
      </c>
      <c r="B341" s="0" t="s">
        <v>147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594</v>
      </c>
      <c r="B342" s="0" t="s">
        <v>147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95.8074495725884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595</v>
      </c>
      <c r="B343" s="0" t="s">
        <v>48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596</v>
      </c>
      <c r="B344" s="0" t="s">
        <v>147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53.6521717606495</v>
      </c>
      <c r="F344" s="21" t="n">
        <f aca="false">F342*snio</f>
        <v>64.5933850845477</v>
      </c>
      <c r="G344" s="21" t="n">
        <f aca="false">G342*snio</f>
        <v>70.3347214788719</v>
      </c>
    </row>
    <row r="345" customFormat="false" ht="17.15" hidden="false" customHeight="false" outlineLevel="0" collapsed="false">
      <c r="A345" s="6" t="s">
        <v>597</v>
      </c>
    </row>
    <row r="346" customFormat="false" ht="15" hidden="false" customHeight="false" outlineLevel="0" collapsed="false">
      <c r="A346" s="4" t="s">
        <v>438</v>
      </c>
      <c r="B346" s="0" t="s">
        <v>147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163.934534453088</v>
      </c>
      <c r="F346" s="21" t="n">
        <f aca="false">F329*wgm</f>
        <v>179.801020604874</v>
      </c>
      <c r="G346" s="21" t="n">
        <f aca="false">G329*wgm</f>
        <v>190.315025689924</v>
      </c>
    </row>
    <row r="347" customFormat="false" ht="15" hidden="false" customHeight="false" outlineLevel="0" collapsed="false">
      <c r="A347" s="4" t="s">
        <v>440</v>
      </c>
      <c r="B347" s="0" t="s">
        <v>147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125.361702817067</v>
      </c>
      <c r="F347" s="21" t="n">
        <f aca="false">F329*wopm</f>
        <v>137.49489810961</v>
      </c>
      <c r="G347" s="21" t="n">
        <f aca="false">G329*wopm</f>
        <v>145.535019645236</v>
      </c>
    </row>
    <row r="348" customFormat="false" ht="15" hidden="false" customHeight="false" outlineLevel="0" collapsed="false">
      <c r="A348" s="4" t="s">
        <v>448</v>
      </c>
      <c r="B348" s="0" t="s">
        <v>147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97.7821281973125</v>
      </c>
      <c r="F348" s="21" t="n">
        <f aca="false">F347*wnio</f>
        <v>107.246020525496</v>
      </c>
      <c r="G348" s="21" t="n">
        <f aca="false">G347*wnio</f>
        <v>113.517315323284</v>
      </c>
    </row>
    <row r="349" customFormat="false" ht="15" hidden="false" customHeight="false" outlineLevel="0" collapsed="false">
      <c r="A349" s="4" t="s">
        <v>450</v>
      </c>
      <c r="B349" s="0" t="s">
        <v>48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598</v>
      </c>
    </row>
    <row r="351" customFormat="false" ht="15" hidden="false" customHeight="false" outlineLevel="0" collapsed="false">
      <c r="A351" s="4" t="s">
        <v>424</v>
      </c>
      <c r="B351" s="0" t="s">
        <v>147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312.926462716622</v>
      </c>
      <c r="F351" s="21" t="n">
        <f aca="false">F338+F346</f>
        <v>349.264018400359</v>
      </c>
      <c r="G351" s="21" t="n">
        <f aca="false">G338+G346</f>
        <v>370.282721930908</v>
      </c>
    </row>
    <row r="352" customFormat="false" ht="15" hidden="false" customHeight="false" outlineLevel="0" collapsed="false">
      <c r="A352" s="4" t="s">
        <v>427</v>
      </c>
      <c r="B352" s="0" t="s">
        <v>48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0.0544666764469332</v>
      </c>
      <c r="F352" s="17" t="n">
        <f aca="false">F351/F330</f>
        <v>0.0567431655409845</v>
      </c>
      <c r="G352" s="17" t="n">
        <f aca="false">G351/G330</f>
        <v>0.05838901086</v>
      </c>
    </row>
    <row r="353" customFormat="false" ht="15" hidden="false" customHeight="false" outlineLevel="0" collapsed="false">
      <c r="A353" s="4" t="s">
        <v>428</v>
      </c>
      <c r="B353" s="0" t="s">
        <v>147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221.169152389656</v>
      </c>
      <c r="F353" s="21" t="n">
        <f aca="false">F342+F347</f>
        <v>252.840228617731</v>
      </c>
      <c r="G353" s="21" t="n">
        <f aca="false">G342+G347</f>
        <v>271.132736571793</v>
      </c>
    </row>
    <row r="354" customFormat="false" ht="15" hidden="false" customHeight="false" outlineLevel="0" collapsed="false">
      <c r="A354" s="4" t="s">
        <v>431</v>
      </c>
      <c r="B354" s="0" t="s">
        <v>48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0.038495781272927</v>
      </c>
      <c r="F354" s="17" t="n">
        <f aca="false">F353/F330</f>
        <v>0.0410776781804944</v>
      </c>
      <c r="G354" s="17" t="n">
        <f aca="false">G353/G330</f>
        <v>0.0427542830452291</v>
      </c>
    </row>
    <row r="355" customFormat="false" ht="15" hidden="false" customHeight="false" outlineLevel="0" collapsed="false">
      <c r="A355" s="4" t="s">
        <v>461</v>
      </c>
      <c r="B355" s="0" t="s">
        <v>147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151.434299957962</v>
      </c>
      <c r="F355" s="21" t="n">
        <f aca="false">F344+F348</f>
        <v>171.839405610043</v>
      </c>
      <c r="G355" s="21" t="n">
        <f aca="false">G344+G348</f>
        <v>183.852036802156</v>
      </c>
    </row>
    <row r="356" customFormat="false" ht="17.15" hidden="false" customHeight="false" outlineLevel="0" collapsed="false">
      <c r="A356" s="4" t="s">
        <v>599</v>
      </c>
      <c r="B356" s="0" t="s">
        <v>147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60.9378222925651</v>
      </c>
      <c r="F356" s="21" t="n">
        <f aca="false">(1-F349)*F348</f>
        <v>66.8357199914888</v>
      </c>
      <c r="G356" s="21" t="n">
        <f aca="false">(1-G349)*G348</f>
        <v>70.7439909094707</v>
      </c>
    </row>
    <row r="357" customFormat="false" ht="15" hidden="false" customHeight="false" outlineLevel="0" collapsed="false">
      <c r="A357" s="4" t="s">
        <v>457</v>
      </c>
      <c r="B357" s="0" t="s">
        <v>147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90.4964776653968</v>
      </c>
      <c r="F357" s="21" t="n">
        <f aca="false">F355-F356</f>
        <v>105.003685618554</v>
      </c>
      <c r="G357" s="21" t="n">
        <f aca="false">G355-G356</f>
        <v>113.108045892685</v>
      </c>
      <c r="H357" s="26" t="n">
        <f aca="false">H330*H362</f>
        <v>117.864187112567</v>
      </c>
      <c r="I357" s="26" t="n">
        <f aca="false">I330*I362</f>
        <v>123.989017987222</v>
      </c>
      <c r="J357" s="26" t="n">
        <f aca="false">J330*J362</f>
        <v>131.661547942604</v>
      </c>
    </row>
    <row r="358" customFormat="false" ht="17.15" hidden="false" customHeight="false" outlineLevel="0" collapsed="false">
      <c r="A358" s="4" t="s">
        <v>600</v>
      </c>
      <c r="B358" s="0" t="s">
        <v>48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0.407135248301885</v>
      </c>
      <c r="F358" s="20" t="n">
        <f aca="false">F349*F348/F357</f>
        <v>0.384846496539223</v>
      </c>
      <c r="G358" s="20" t="n">
        <f aca="false">G349*G348/G357</f>
        <v>0.378163410712585</v>
      </c>
    </row>
    <row r="359" customFormat="false" ht="17.15" hidden="false" customHeight="false" outlineLevel="0" collapsed="false">
      <c r="A359" s="4" t="s">
        <v>601</v>
      </c>
      <c r="B359" s="4" t="s">
        <v>282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602</v>
      </c>
    </row>
    <row r="360" customFormat="false" ht="15" hidden="false" customHeight="false" outlineLevel="0" collapsed="false">
      <c r="A360" s="0" t="s">
        <v>464</v>
      </c>
      <c r="B360" s="0" t="s">
        <v>312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26.3838127304364</v>
      </c>
      <c r="F360" s="18" t="n">
        <f aca="false">F357/F359</f>
        <v>30.6133194223191</v>
      </c>
      <c r="G360" s="18" t="n">
        <f aca="false">G357/G359</f>
        <v>32.9761066742523</v>
      </c>
      <c r="H360" s="29" t="n">
        <f aca="false">H357/H359</f>
        <v>34.3627367675122</v>
      </c>
      <c r="I360" s="29" t="n">
        <f aca="false">I357/I359</f>
        <v>36.1484017455458</v>
      </c>
      <c r="J360" s="29" t="n">
        <f aca="false">J357/J359</f>
        <v>38.3852909453657</v>
      </c>
    </row>
    <row r="361" customFormat="false" ht="17.15" hidden="false" customHeight="false" outlineLevel="0" collapsed="false">
      <c r="A361" s="0" t="s">
        <v>603</v>
      </c>
      <c r="B361" s="0" t="s">
        <v>48</v>
      </c>
      <c r="D361" s="20" t="n">
        <f aca="false">D360/C360-1</f>
        <v>1.03813580587031</v>
      </c>
      <c r="E361" s="20" t="n">
        <f aca="false">E360/D360-1</f>
        <v>0.431976881388681</v>
      </c>
      <c r="F361" s="20" t="n">
        <f aca="false">F360/E360-1</f>
        <v>0.160306879642286</v>
      </c>
      <c r="G361" s="20" t="n">
        <f aca="false">G360/F360-1</f>
        <v>0.0771816743992355</v>
      </c>
      <c r="H361" s="27" t="n">
        <f aca="false">H360/G360-1</f>
        <v>0.0420495392909004</v>
      </c>
      <c r="I361" s="27" t="n">
        <f aca="false">I360/H360-1</f>
        <v>0.0519651560384973</v>
      </c>
      <c r="J361" s="27" t="n">
        <f aca="false">J360/I360-1</f>
        <v>0.0618807220182438</v>
      </c>
    </row>
    <row r="362" customFormat="false" ht="17.15" hidden="false" customHeight="false" outlineLevel="0" collapsed="false">
      <c r="A362" s="4" t="s">
        <v>604</v>
      </c>
      <c r="B362" s="0" t="s">
        <v>48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0.0157514398935698</v>
      </c>
      <c r="F362" s="17" t="n">
        <f aca="false">F357/F330</f>
        <v>0.0170594198130001</v>
      </c>
      <c r="G362" s="17" t="n">
        <f aca="false">G357/G330</f>
        <v>0.0178357415262106</v>
      </c>
      <c r="H362" s="28" t="n">
        <f aca="false">$G362+(fade_mA-$G362)*1/3</f>
        <v>0.0178674995714085</v>
      </c>
      <c r="I362" s="28" t="n">
        <f aca="false">$G362+(fade_mA-$G362)*2/3</f>
        <v>0.0178992576166063</v>
      </c>
      <c r="J362" s="28" t="n">
        <f aca="false">$G362+(fade_mA-$G362)*3/3</f>
        <v>0.0179310156618042</v>
      </c>
    </row>
    <row r="365" customFormat="false" ht="17.15" hidden="false" customHeight="false" outlineLevel="0" collapsed="false">
      <c r="A365" s="1" t="s">
        <v>878</v>
      </c>
    </row>
    <row r="366" customFormat="false" ht="17.15" hidden="false" customHeight="false" outlineLevel="0" collapsed="false">
      <c r="A366" s="5" t="s">
        <v>17</v>
      </c>
      <c r="B366" s="5" t="s">
        <v>18</v>
      </c>
      <c r="C366" s="14" t="s">
        <v>414</v>
      </c>
      <c r="D366" s="14" t="s">
        <v>529</v>
      </c>
      <c r="E366" s="14" t="s">
        <v>530</v>
      </c>
      <c r="F366" s="14" t="s">
        <v>531</v>
      </c>
      <c r="G366" s="14" t="s">
        <v>532</v>
      </c>
      <c r="H366" s="14" t="s">
        <v>533</v>
      </c>
      <c r="I366" s="14" t="s">
        <v>534</v>
      </c>
      <c r="J366" s="14" t="s">
        <v>535</v>
      </c>
      <c r="K366" s="5" t="s">
        <v>496</v>
      </c>
    </row>
    <row r="367" customFormat="false" ht="17.15" hidden="false" customHeight="false" outlineLevel="0" collapsed="false">
      <c r="A367" s="6" t="s">
        <v>550</v>
      </c>
    </row>
    <row r="368" customFormat="false" ht="17.15" hidden="false" customHeight="false" outlineLevel="0" collapsed="false">
      <c r="A368" s="0" t="s">
        <v>551</v>
      </c>
      <c r="B368" s="0" t="s">
        <v>28</v>
      </c>
      <c r="D368" s="21" t="n">
        <f aca="false">itc_26*1</f>
        <v>781.872916666667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552</v>
      </c>
      <c r="B369" s="0" t="s">
        <v>28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553</v>
      </c>
      <c r="B370" s="0" t="s">
        <v>498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554</v>
      </c>
      <c r="B371" s="0" t="s">
        <v>555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556</v>
      </c>
    </row>
    <row r="372" customFormat="false" ht="17.15" hidden="false" customHeight="false" outlineLevel="0" collapsed="false">
      <c r="A372" s="0" t="s">
        <v>557</v>
      </c>
      <c r="B372" s="0" t="s">
        <v>28</v>
      </c>
      <c r="D372" s="21" t="n">
        <f aca="false">D370*D371</f>
        <v>634.616531285011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558</v>
      </c>
      <c r="B373" s="0" t="s">
        <v>147</v>
      </c>
      <c r="D373" s="21" t="n">
        <f aca="false">D372*fx</f>
        <v>20307.7290011204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559</v>
      </c>
    </row>
    <row r="375" customFormat="false" ht="17.15" hidden="false" customHeight="false" outlineLevel="0" collapsed="false">
      <c r="A375" s="4" t="s">
        <v>560</v>
      </c>
      <c r="B375" s="0" t="s">
        <v>48</v>
      </c>
      <c r="D375" s="20" t="n">
        <f aca="false">a26_ais/D373</f>
        <v>0.0875096501918446</v>
      </c>
      <c r="K375" s="8" t="s">
        <v>561</v>
      </c>
    </row>
    <row r="376" customFormat="false" ht="17.15" hidden="false" customHeight="false" outlineLevel="0" collapsed="false">
      <c r="A376" s="4" t="s">
        <v>562</v>
      </c>
      <c r="B376" s="0" t="s">
        <v>60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563</v>
      </c>
      <c r="B377" s="0" t="s">
        <v>48</v>
      </c>
      <c r="D377" s="20" t="n">
        <f aca="false">$D$375*D376</f>
        <v>0.0875096501918446</v>
      </c>
      <c r="E377" s="20" t="n">
        <f aca="false">$D$375*E376</f>
        <v>0.0875096501918446</v>
      </c>
      <c r="F377" s="20" t="n">
        <f aca="false">$D$375*F376</f>
        <v>0.0831341676822524</v>
      </c>
      <c r="G377" s="20" t="n">
        <f aca="false">$D$375*G376</f>
        <v>0.0787586851726601</v>
      </c>
    </row>
    <row r="378" customFormat="false" ht="17.15" hidden="false" customHeight="false" outlineLevel="0" collapsed="false">
      <c r="A378" s="4" t="s">
        <v>564</v>
      </c>
      <c r="B378" s="0" t="s">
        <v>147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565</v>
      </c>
      <c r="B379" s="0" t="s">
        <v>48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566</v>
      </c>
    </row>
    <row r="380" customFormat="false" ht="17.15" hidden="false" customHeight="false" outlineLevel="0" collapsed="false">
      <c r="A380" s="4" t="s">
        <v>567</v>
      </c>
      <c r="B380" s="0" t="s">
        <v>147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3072.99589502208</v>
      </c>
      <c r="G380" s="21" t="n">
        <f aca="false">G378*(1-G379)</f>
        <v>3109.11053614536</v>
      </c>
    </row>
    <row r="381" customFormat="false" ht="17.15" hidden="false" customHeight="false" outlineLevel="0" collapsed="false">
      <c r="A381" s="6" t="s">
        <v>568</v>
      </c>
    </row>
    <row r="382" customFormat="false" ht="17.15" hidden="false" customHeight="false" outlineLevel="0" collapsed="false">
      <c r="A382" s="0" t="s">
        <v>569</v>
      </c>
      <c r="B382" s="4" t="s">
        <v>81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570</v>
      </c>
      <c r="B383" s="0" t="s">
        <v>48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571</v>
      </c>
      <c r="B384" s="0" t="s">
        <v>520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572</v>
      </c>
    </row>
    <row r="385" customFormat="false" ht="17.15" hidden="false" customHeight="false" outlineLevel="0" collapsed="false">
      <c r="A385" s="0" t="s">
        <v>522</v>
      </c>
      <c r="B385" s="0" t="s">
        <v>147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573</v>
      </c>
    </row>
    <row r="387" customFormat="false" ht="15" hidden="false" customHeight="false" outlineLevel="0" collapsed="false">
      <c r="A387" s="4" t="s">
        <v>574</v>
      </c>
      <c r="B387" s="0" t="s">
        <v>147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575</v>
      </c>
      <c r="B388" s="0" t="s">
        <v>147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576</v>
      </c>
      <c r="B389" s="0" t="s">
        <v>147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3816.64127975755</v>
      </c>
      <c r="F389" s="21" t="n">
        <f aca="false">F380+F385+F387+F388</f>
        <v>4039.86719118604</v>
      </c>
      <c r="G389" s="21" t="n">
        <f aca="false">G380+G385+G387+G388</f>
        <v>4102.65057482429</v>
      </c>
    </row>
    <row r="390" customFormat="false" ht="17.15" hidden="false" customHeight="false" outlineLevel="0" collapsed="false">
      <c r="A390" s="4" t="s">
        <v>577</v>
      </c>
      <c r="B390" s="0" t="s">
        <v>48</v>
      </c>
      <c r="D390" s="20" t="n">
        <f aca="false">a26_wai/D373</f>
        <v>0.0391523244650416</v>
      </c>
      <c r="K390" s="8" t="s">
        <v>578</v>
      </c>
    </row>
    <row r="391" customFormat="false" ht="17.15" hidden="false" customHeight="false" outlineLevel="0" collapsed="false">
      <c r="A391" s="4" t="s">
        <v>504</v>
      </c>
      <c r="B391" s="0" t="s">
        <v>48</v>
      </c>
      <c r="D391" s="20" t="n">
        <f aca="false">D390</f>
        <v>0.0391523244650416</v>
      </c>
      <c r="E391" s="20" t="n">
        <f aca="false">$D$390*wrel_27_hi</f>
        <v>0.04698278935805</v>
      </c>
      <c r="F391" s="20" t="n">
        <f aca="false">$D$390*wrel_28_hi</f>
        <v>0.04698278935805</v>
      </c>
      <c r="G391" s="20" t="n">
        <f aca="false">$D$390*wrel_29_hi</f>
        <v>0.04698278935805</v>
      </c>
    </row>
    <row r="392" customFormat="false" ht="17.15" hidden="false" customHeight="false" outlineLevel="0" collapsed="false">
      <c r="A392" s="4" t="s">
        <v>524</v>
      </c>
      <c r="B392" s="0" t="s">
        <v>147</v>
      </c>
      <c r="D392" s="21" t="n">
        <f aca="false">D373*D391</f>
        <v>795.094795</v>
      </c>
      <c r="E392" s="21" t="n">
        <f aca="false">E373*E391</f>
        <v>1712.55002301322</v>
      </c>
      <c r="F392" s="21" t="n">
        <f aca="false">F373*F391</f>
        <v>2170.85710453316</v>
      </c>
      <c r="G392" s="21" t="n">
        <f aca="false">G373*G391</f>
        <v>2472.94945042783</v>
      </c>
    </row>
    <row r="393" customFormat="false" ht="17.15" hidden="false" customHeight="false" outlineLevel="0" collapsed="false">
      <c r="A393" s="4" t="s">
        <v>579</v>
      </c>
      <c r="B393" s="0" t="s">
        <v>147</v>
      </c>
      <c r="D393" s="21" t="n">
        <f aca="false">a26_wna</f>
        <v>650.532105</v>
      </c>
      <c r="E393" s="21" t="n">
        <f aca="false">D393*(1+g_wn27)</f>
        <v>715.5853155</v>
      </c>
      <c r="F393" s="21" t="n">
        <f aca="false">E393*(1+g_wn28)</f>
        <v>758.52043443</v>
      </c>
      <c r="G393" s="21" t="n">
        <f aca="false">F393*(1+g_wn29)</f>
        <v>796.4464561515</v>
      </c>
    </row>
    <row r="394" customFormat="false" ht="15" hidden="false" customHeight="false" outlineLevel="0" collapsed="false">
      <c r="A394" s="4" t="s">
        <v>434</v>
      </c>
      <c r="B394" s="0" t="s">
        <v>147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2428.13533851322</v>
      </c>
      <c r="F394" s="21" t="n">
        <f aca="false">F392+F393</f>
        <v>2929.37753896316</v>
      </c>
      <c r="G394" s="21" t="n">
        <f aca="false">G392+G393</f>
        <v>3269.39590657933</v>
      </c>
    </row>
    <row r="395" customFormat="false" ht="17.15" hidden="false" customHeight="false" outlineLevel="0" collapsed="false">
      <c r="A395" s="4" t="s">
        <v>420</v>
      </c>
      <c r="B395" s="0" t="s">
        <v>147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6244.77661827078</v>
      </c>
      <c r="F395" s="21" t="n">
        <f aca="false">F389+F394</f>
        <v>6969.2447301492</v>
      </c>
      <c r="G395" s="21" t="n">
        <f aca="false">G389+G394</f>
        <v>7372.04648140362</v>
      </c>
      <c r="H395" s="26" t="n">
        <f aca="false">G395*(1+H396)</f>
        <v>7803.54241249571</v>
      </c>
      <c r="I395" s="26" t="n">
        <f aca="false">H395*(1+I396)</f>
        <v>8266.0246729758</v>
      </c>
      <c r="J395" s="26" t="n">
        <f aca="false">I395*(1+J396)</f>
        <v>8761.98615335435</v>
      </c>
      <c r="K395" s="8" t="s">
        <v>580</v>
      </c>
    </row>
    <row r="396" customFormat="false" ht="15" hidden="false" customHeight="false" outlineLevel="0" collapsed="false">
      <c r="A396" s="4" t="s">
        <v>581</v>
      </c>
      <c r="B396" s="0" t="s">
        <v>48</v>
      </c>
      <c r="D396" s="20" t="n">
        <f aca="false">D395/C395-1</f>
        <v>0.873912121761526</v>
      </c>
      <c r="E396" s="20" t="n">
        <f aca="false">E395/D395-1</f>
        <v>0.524100611335997</v>
      </c>
      <c r="F396" s="20" t="n">
        <f aca="false">F395/E395-1</f>
        <v>0.116011853772126</v>
      </c>
      <c r="G396" s="20" t="n">
        <f aca="false">G395/F395-1</f>
        <v>0.0577970449956919</v>
      </c>
      <c r="H396" s="27" t="n">
        <f aca="false">$G396+(fade_gA-$G396)*1/3</f>
        <v>0.0585313633304613</v>
      </c>
      <c r="I396" s="27" t="n">
        <f aca="false">$G396+(fade_gA-$G396)*2/3</f>
        <v>0.0592656816652306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582</v>
      </c>
      <c r="B397" s="0" t="s">
        <v>48</v>
      </c>
      <c r="D397" s="20" t="n">
        <f aca="false">(D380+D385+D392)/D395</f>
        <v>0.6546220793463</v>
      </c>
      <c r="E397" s="20" t="n">
        <f aca="false">(E380+E385+E392)/E395</f>
        <v>0.761120354493851</v>
      </c>
      <c r="F397" s="20" t="n">
        <f aca="false">(F380+F385+F392)/F395</f>
        <v>0.777208979754917</v>
      </c>
      <c r="G397" s="20" t="n">
        <f aca="false">(G380+G385+G392)/G395</f>
        <v>0.782088844726974</v>
      </c>
    </row>
    <row r="398" customFormat="false" ht="17.15" hidden="false" customHeight="false" outlineLevel="0" collapsed="false">
      <c r="A398" s="4" t="s">
        <v>583</v>
      </c>
      <c r="B398" s="0" t="s">
        <v>48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0.388826612533915</v>
      </c>
      <c r="F398" s="20" t="n">
        <f aca="false">F394/F395</f>
        <v>0.420329268434292</v>
      </c>
      <c r="G398" s="20" t="n">
        <f aca="false">G394/G395</f>
        <v>0.443485525332288</v>
      </c>
    </row>
    <row r="399" customFormat="false" ht="17.15" hidden="false" customHeight="false" outlineLevel="0" collapsed="false">
      <c r="A399" s="4" t="s">
        <v>584</v>
      </c>
      <c r="B399" s="4" t="s">
        <v>331</v>
      </c>
      <c r="D399" s="21" t="n">
        <f aca="false">D378/fx/(odm_gb*(1-vr26)+odm_vr*vr26)</f>
        <v>12.0597330420658</v>
      </c>
      <c r="E399" s="21" t="n">
        <f aca="false">E378/fx/odm_vr</f>
        <v>14.7674893195131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585</v>
      </c>
    </row>
    <row r="400" customFormat="false" ht="17.15" hidden="false" customHeight="false" outlineLevel="0" collapsed="false">
      <c r="A400" s="6" t="s">
        <v>586</v>
      </c>
    </row>
    <row r="401" customFormat="false" ht="17.15" hidden="false" customHeight="false" outlineLevel="0" collapsed="false">
      <c r="A401" s="4" t="s">
        <v>587</v>
      </c>
      <c r="B401" s="0" t="s">
        <v>48</v>
      </c>
      <c r="D401" s="17" t="n">
        <f aca="false">(a26_sgp-d_ai*D380-d_brd*D385-d_gen*D387)/D389</f>
        <v>0.0436423860147897</v>
      </c>
      <c r="K401" s="8" t="s">
        <v>588</v>
      </c>
    </row>
    <row r="402" customFormat="false" ht="17.15" hidden="false" customHeight="false" outlineLevel="0" collapsed="false">
      <c r="A402" s="4" t="s">
        <v>589</v>
      </c>
      <c r="B402" s="0" t="s">
        <v>147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99.9228552931035</v>
      </c>
      <c r="F402" s="25" t="n">
        <f aca="false">($D$401+d_ai+vrd)*F378*(1-F379*(1-keep))</f>
        <v>119.115229856887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590</v>
      </c>
      <c r="B403" s="0" t="s">
        <v>147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591</v>
      </c>
      <c r="B404" s="0" t="s">
        <v>48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592</v>
      </c>
      <c r="B405" s="0" t="s">
        <v>48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593</v>
      </c>
      <c r="B406" s="0" t="s">
        <v>147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594</v>
      </c>
      <c r="B407" s="0" t="s">
        <v>147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95.8074495725884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595</v>
      </c>
      <c r="B408" s="0" t="s">
        <v>48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596</v>
      </c>
      <c r="B409" s="0" t="s">
        <v>147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53.6521717606495</v>
      </c>
      <c r="F409" s="21" t="n">
        <f aca="false">F407*snio</f>
        <v>64.5933850845477</v>
      </c>
      <c r="G409" s="21" t="n">
        <f aca="false">G407*snio</f>
        <v>70.3347214788719</v>
      </c>
    </row>
    <row r="410" customFormat="false" ht="17.15" hidden="false" customHeight="false" outlineLevel="0" collapsed="false">
      <c r="A410" s="6" t="s">
        <v>597</v>
      </c>
    </row>
    <row r="411" customFormat="false" ht="15" hidden="false" customHeight="false" outlineLevel="0" collapsed="false">
      <c r="A411" s="4" t="s">
        <v>438</v>
      </c>
      <c r="B411" s="0" t="s">
        <v>147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206.391503773624</v>
      </c>
      <c r="F411" s="21" t="n">
        <f aca="false">F394*wgm</f>
        <v>248.997090811869</v>
      </c>
      <c r="G411" s="21" t="n">
        <f aca="false">G394*wgm</f>
        <v>277.898652059243</v>
      </c>
    </row>
    <row r="412" customFormat="false" ht="15" hidden="false" customHeight="false" outlineLevel="0" collapsed="false">
      <c r="A412" s="4" t="s">
        <v>440</v>
      </c>
      <c r="B412" s="0" t="s">
        <v>147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157.82879700336</v>
      </c>
      <c r="F412" s="21" t="n">
        <f aca="false">F394*wopm</f>
        <v>190.409540032605</v>
      </c>
      <c r="G412" s="21" t="n">
        <f aca="false">G394*wopm</f>
        <v>212.510733927657</v>
      </c>
    </row>
    <row r="413" customFormat="false" ht="15" hidden="false" customHeight="false" outlineLevel="0" collapsed="false">
      <c r="A413" s="4" t="s">
        <v>448</v>
      </c>
      <c r="B413" s="0" t="s">
        <v>147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123.106461662621</v>
      </c>
      <c r="F413" s="21" t="n">
        <f aca="false">F412*wnio</f>
        <v>148.519441225432</v>
      </c>
      <c r="G413" s="21" t="n">
        <f aca="false">G412*wnio</f>
        <v>165.758372463572</v>
      </c>
    </row>
    <row r="414" customFormat="false" ht="15" hidden="false" customHeight="false" outlineLevel="0" collapsed="false">
      <c r="A414" s="4" t="s">
        <v>450</v>
      </c>
      <c r="B414" s="0" t="s">
        <v>48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598</v>
      </c>
    </row>
    <row r="416" customFormat="false" ht="15" hidden="false" customHeight="false" outlineLevel="0" collapsed="false">
      <c r="A416" s="4" t="s">
        <v>424</v>
      </c>
      <c r="B416" s="0" t="s">
        <v>147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355.383432037158</v>
      </c>
      <c r="F416" s="21" t="n">
        <f aca="false">F403+F411</f>
        <v>418.460088607354</v>
      </c>
      <c r="G416" s="21" t="n">
        <f aca="false">G403+G411</f>
        <v>457.866348300227</v>
      </c>
    </row>
    <row r="417" customFormat="false" ht="15" hidden="false" customHeight="false" outlineLevel="0" collapsed="false">
      <c r="A417" s="4" t="s">
        <v>427</v>
      </c>
      <c r="B417" s="0" t="s">
        <v>48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0.0569089102398616</v>
      </c>
      <c r="F417" s="17" t="n">
        <f aca="false">F416/F395</f>
        <v>0.0600438217927806</v>
      </c>
      <c r="G417" s="17" t="n">
        <f aca="false">G416/G395</f>
        <v>0.0621084456609463</v>
      </c>
    </row>
    <row r="418" customFormat="false" ht="15" hidden="false" customHeight="false" outlineLevel="0" collapsed="false">
      <c r="A418" s="4" t="s">
        <v>428</v>
      </c>
      <c r="B418" s="0" t="s">
        <v>147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253.636246575948</v>
      </c>
      <c r="F418" s="21" t="n">
        <f aca="false">F407+F412</f>
        <v>305.754870540726</v>
      </c>
      <c r="G418" s="21" t="n">
        <f aca="false">G407+G412</f>
        <v>338.108450854214</v>
      </c>
    </row>
    <row r="419" customFormat="false" ht="15" hidden="false" customHeight="false" outlineLevel="0" collapsed="false">
      <c r="A419" s="4" t="s">
        <v>431</v>
      </c>
      <c r="B419" s="0" t="s">
        <v>48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0.0406157436975194</v>
      </c>
      <c r="F419" s="17" t="n">
        <f aca="false">F418/F395</f>
        <v>0.0438720237815756</v>
      </c>
      <c r="G419" s="17" t="n">
        <f aca="false">G418/G395</f>
        <v>0.0458635809889574</v>
      </c>
    </row>
    <row r="420" customFormat="false" ht="15" hidden="false" customHeight="false" outlineLevel="0" collapsed="false">
      <c r="A420" s="4" t="s">
        <v>461</v>
      </c>
      <c r="B420" s="0" t="s">
        <v>147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176.75863342327</v>
      </c>
      <c r="F420" s="21" t="n">
        <f aca="false">F409+F413</f>
        <v>213.11282630998</v>
      </c>
      <c r="G420" s="21" t="n">
        <f aca="false">G409+G413</f>
        <v>236.093093942444</v>
      </c>
    </row>
    <row r="421" customFormat="false" ht="17.15" hidden="false" customHeight="false" outlineLevel="0" collapsed="false">
      <c r="A421" s="4" t="s">
        <v>599</v>
      </c>
      <c r="B421" s="0" t="s">
        <v>147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76.7199469081451</v>
      </c>
      <c r="F421" s="21" t="n">
        <f aca="false">(1-F414)*F413</f>
        <v>92.5573157716893</v>
      </c>
      <c r="G421" s="21" t="n">
        <f aca="false">(1-G414)*G413</f>
        <v>103.300617719298</v>
      </c>
    </row>
    <row r="422" customFormat="false" ht="15" hidden="false" customHeight="false" outlineLevel="0" collapsed="false">
      <c r="A422" s="4" t="s">
        <v>457</v>
      </c>
      <c r="B422" s="0" t="s">
        <v>147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100.038686515125</v>
      </c>
      <c r="F422" s="21" t="n">
        <f aca="false">F420-F421</f>
        <v>120.555510538291</v>
      </c>
      <c r="G422" s="21" t="n">
        <f aca="false">G420-G421</f>
        <v>132.792476223146</v>
      </c>
      <c r="H422" s="26" t="n">
        <f aca="false">H395*H427</f>
        <v>140.351814336348</v>
      </c>
      <c r="I422" s="26" t="n">
        <f aca="false">I395*I427</f>
        <v>148.444039078966</v>
      </c>
      <c r="J422" s="26" t="n">
        <f aca="false">J395*J427</f>
        <v>157.111310944309</v>
      </c>
    </row>
    <row r="423" customFormat="false" ht="17.15" hidden="false" customHeight="false" outlineLevel="0" collapsed="false">
      <c r="A423" s="4" t="s">
        <v>600</v>
      </c>
      <c r="B423" s="0" t="s">
        <v>48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0.463685763681655</v>
      </c>
      <c r="F423" s="20" t="n">
        <f aca="false">F414*F413/F422</f>
        <v>0.464202135629199</v>
      </c>
      <c r="G423" s="20" t="n">
        <f aca="false">G414*G413/G422</f>
        <v>0.470341065402827</v>
      </c>
    </row>
    <row r="424" customFormat="false" ht="17.15" hidden="false" customHeight="false" outlineLevel="0" collapsed="false">
      <c r="A424" s="4" t="s">
        <v>601</v>
      </c>
      <c r="B424" s="4" t="s">
        <v>282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602</v>
      </c>
    </row>
    <row r="425" customFormat="false" ht="15" hidden="false" customHeight="false" outlineLevel="0" collapsed="false">
      <c r="A425" s="0" t="s">
        <v>464</v>
      </c>
      <c r="B425" s="0" t="s">
        <v>312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29.1657978178207</v>
      </c>
      <c r="F425" s="18" t="n">
        <f aca="false">F422/F424</f>
        <v>35.1473791656824</v>
      </c>
      <c r="G425" s="18" t="n">
        <f aca="false">G422/G424</f>
        <v>38.715007645232</v>
      </c>
      <c r="H425" s="29" t="n">
        <f aca="false">H422/H424</f>
        <v>40.9188963079731</v>
      </c>
      <c r="I425" s="29" t="n">
        <f aca="false">I422/I424</f>
        <v>43.2781455040718</v>
      </c>
      <c r="J425" s="29" t="n">
        <f aca="false">J422/J424</f>
        <v>45.805046922539</v>
      </c>
    </row>
    <row r="426" customFormat="false" ht="17.15" hidden="false" customHeight="false" outlineLevel="0" collapsed="false">
      <c r="A426" s="0" t="s">
        <v>603</v>
      </c>
      <c r="B426" s="0" t="s">
        <v>48</v>
      </c>
      <c r="D426" s="20" t="n">
        <f aca="false">D425/C425-1</f>
        <v>1.03813580587031</v>
      </c>
      <c r="E426" s="20" t="n">
        <f aca="false">E425/D425-1</f>
        <v>0.582968641761006</v>
      </c>
      <c r="F426" s="20" t="n">
        <f aca="false">F425/E425-1</f>
        <v>0.205088898483925</v>
      </c>
      <c r="G426" s="20" t="n">
        <f aca="false">G425/F425-1</f>
        <v>0.101504822386104</v>
      </c>
      <c r="H426" s="27" t="n">
        <f aca="false">H425/G425-1</f>
        <v>0.0569259518927792</v>
      </c>
      <c r="I426" s="27" t="n">
        <f aca="false">I425/H425-1</f>
        <v>0.0576567163088177</v>
      </c>
      <c r="J426" s="27" t="n">
        <f aca="false">J425/I425-1</f>
        <v>0.0583874699120239</v>
      </c>
    </row>
    <row r="427" customFormat="false" ht="17.15" hidden="false" customHeight="false" outlineLevel="0" collapsed="false">
      <c r="A427" s="4" t="s">
        <v>604</v>
      </c>
      <c r="B427" s="0" t="s">
        <v>48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0.0160195780618373</v>
      </c>
      <c r="F427" s="17" t="n">
        <f aca="false">F422/F395</f>
        <v>0.0172982174118184</v>
      </c>
      <c r="G427" s="17" t="n">
        <f aca="false">G422/G395</f>
        <v>0.0180129732711428</v>
      </c>
      <c r="H427" s="28" t="n">
        <f aca="false">$G427+(fade_mA-$G427)*1/3</f>
        <v>0.01798565406803</v>
      </c>
      <c r="I427" s="28" t="n">
        <f aca="false">$G427+(fade_mA-$G427)*2/3</f>
        <v>0.0179583348649171</v>
      </c>
      <c r="J427" s="28" t="n">
        <f aca="false">$G427+(fade_mA-$G427)*3/3</f>
        <v>0.0179310156618042</v>
      </c>
    </row>
    <row r="430" customFormat="false" ht="17.15" hidden="false" customHeight="false" outlineLevel="0" collapsed="false">
      <c r="A430" s="1" t="s">
        <v>879</v>
      </c>
    </row>
    <row r="431" customFormat="false" ht="17.15" hidden="false" customHeight="false" outlineLevel="0" collapsed="false">
      <c r="A431" s="5" t="s">
        <v>17</v>
      </c>
      <c r="B431" s="5" t="s">
        <v>18</v>
      </c>
      <c r="C431" s="14" t="s">
        <v>414</v>
      </c>
      <c r="D431" s="14" t="s">
        <v>529</v>
      </c>
      <c r="E431" s="14" t="s">
        <v>530</v>
      </c>
      <c r="F431" s="14" t="s">
        <v>531</v>
      </c>
      <c r="G431" s="14" t="s">
        <v>532</v>
      </c>
      <c r="H431" s="14" t="s">
        <v>533</v>
      </c>
      <c r="I431" s="14" t="s">
        <v>534</v>
      </c>
      <c r="J431" s="14" t="s">
        <v>535</v>
      </c>
      <c r="K431" s="5" t="s">
        <v>496</v>
      </c>
    </row>
    <row r="432" customFormat="false" ht="17.15" hidden="false" customHeight="false" outlineLevel="0" collapsed="false">
      <c r="A432" s="6" t="s">
        <v>550</v>
      </c>
    </row>
    <row r="433" customFormat="false" ht="17.15" hidden="false" customHeight="false" outlineLevel="0" collapsed="false">
      <c r="A433" s="0" t="s">
        <v>551</v>
      </c>
      <c r="B433" s="0" t="s">
        <v>28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552</v>
      </c>
      <c r="B434" s="0" t="s">
        <v>28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553</v>
      </c>
      <c r="B435" s="0" t="s">
        <v>498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554</v>
      </c>
      <c r="B436" s="0" t="s">
        <v>555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556</v>
      </c>
    </row>
    <row r="437" customFormat="false" ht="17.15" hidden="false" customHeight="false" outlineLevel="0" collapsed="false">
      <c r="A437" s="0" t="s">
        <v>557</v>
      </c>
      <c r="B437" s="0" t="s">
        <v>28</v>
      </c>
      <c r="D437" s="21" t="n">
        <f aca="false">D435*D436</f>
        <v>634.616531285011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558</v>
      </c>
      <c r="B438" s="0" t="s">
        <v>147</v>
      </c>
      <c r="D438" s="21" t="n">
        <f aca="false">D437*fx</f>
        <v>20307.7290011204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559</v>
      </c>
    </row>
    <row r="440" customFormat="false" ht="17.15" hidden="false" customHeight="false" outlineLevel="0" collapsed="false">
      <c r="A440" s="4" t="s">
        <v>560</v>
      </c>
      <c r="B440" s="0" t="s">
        <v>48</v>
      </c>
      <c r="D440" s="20" t="n">
        <f aca="false">a26_ais/D438</f>
        <v>0.0875096501918446</v>
      </c>
      <c r="K440" s="8" t="s">
        <v>561</v>
      </c>
    </row>
    <row r="441" customFormat="false" ht="17.15" hidden="false" customHeight="false" outlineLevel="0" collapsed="false">
      <c r="A441" s="4" t="s">
        <v>562</v>
      </c>
      <c r="B441" s="0" t="s">
        <v>60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563</v>
      </c>
      <c r="B442" s="0" t="s">
        <v>48</v>
      </c>
      <c r="D442" s="20" t="n">
        <f aca="false">$D$440*D441</f>
        <v>0.0875096501918446</v>
      </c>
      <c r="E442" s="20" t="n">
        <f aca="false">$D$440*E441</f>
        <v>0.0875096501918446</v>
      </c>
      <c r="F442" s="20" t="n">
        <f aca="false">$D$440*F441</f>
        <v>0.0831341676822524</v>
      </c>
      <c r="G442" s="20" t="n">
        <f aca="false">$D$440*G441</f>
        <v>0.0787586851726601</v>
      </c>
    </row>
    <row r="443" customFormat="false" ht="17.15" hidden="false" customHeight="false" outlineLevel="0" collapsed="false">
      <c r="A443" s="4" t="s">
        <v>564</v>
      </c>
      <c r="B443" s="0" t="s">
        <v>147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565</v>
      </c>
      <c r="B444" s="0" t="s">
        <v>48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566</v>
      </c>
    </row>
    <row r="445" customFormat="false" ht="17.15" hidden="false" customHeight="false" outlineLevel="0" collapsed="false">
      <c r="A445" s="4" t="s">
        <v>567</v>
      </c>
      <c r="B445" s="0" t="s">
        <v>147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2304.74692126656</v>
      </c>
      <c r="G445" s="21" t="n">
        <f aca="false">G443*(1-G444)</f>
        <v>2072.74035743024</v>
      </c>
    </row>
    <row r="446" customFormat="false" ht="17.15" hidden="false" customHeight="false" outlineLevel="0" collapsed="false">
      <c r="A446" s="6" t="s">
        <v>568</v>
      </c>
    </row>
    <row r="447" customFormat="false" ht="17.15" hidden="false" customHeight="false" outlineLevel="0" collapsed="false">
      <c r="A447" s="0" t="s">
        <v>569</v>
      </c>
      <c r="B447" s="4" t="s">
        <v>81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570</v>
      </c>
      <c r="B448" s="0" t="s">
        <v>48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571</v>
      </c>
      <c r="B449" s="0" t="s">
        <v>520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572</v>
      </c>
    </row>
    <row r="450" customFormat="false" ht="17.15" hidden="false" customHeight="false" outlineLevel="0" collapsed="false">
      <c r="A450" s="0" t="s">
        <v>522</v>
      </c>
      <c r="B450" s="0" t="s">
        <v>147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573</v>
      </c>
    </row>
    <row r="452" customFormat="false" ht="15" hidden="false" customHeight="false" outlineLevel="0" collapsed="false">
      <c r="A452" s="4" t="s">
        <v>574</v>
      </c>
      <c r="B452" s="0" t="s">
        <v>147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575</v>
      </c>
      <c r="B453" s="0" t="s">
        <v>147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576</v>
      </c>
      <c r="B454" s="0" t="s">
        <v>147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577</v>
      </c>
      <c r="B455" s="0" t="s">
        <v>48</v>
      </c>
      <c r="D455" s="20" t="n">
        <f aca="false">a26_wai/D438</f>
        <v>0.0391523244650416</v>
      </c>
      <c r="K455" s="8" t="s">
        <v>578</v>
      </c>
    </row>
    <row r="456" customFormat="false" ht="17.15" hidden="false" customHeight="false" outlineLevel="0" collapsed="false">
      <c r="A456" s="4" t="s">
        <v>504</v>
      </c>
      <c r="B456" s="0" t="s">
        <v>48</v>
      </c>
      <c r="D456" s="20" t="n">
        <f aca="false">D455</f>
        <v>0.0391523244650416</v>
      </c>
      <c r="E456" s="20" t="n">
        <f aca="false">$D$455*wrel_27</f>
        <v>0.0391523244650416</v>
      </c>
      <c r="F456" s="20" t="n">
        <f aca="false">$D$455*wrel_28</f>
        <v>0.0391523244650416</v>
      </c>
      <c r="G456" s="20" t="n">
        <f aca="false">$D$455*wrel_29</f>
        <v>0.0371947082417896</v>
      </c>
    </row>
    <row r="457" customFormat="false" ht="17.15" hidden="false" customHeight="false" outlineLevel="0" collapsed="false">
      <c r="A457" s="4" t="s">
        <v>524</v>
      </c>
      <c r="B457" s="0" t="s">
        <v>147</v>
      </c>
      <c r="D457" s="21" t="n">
        <f aca="false">D438*D456</f>
        <v>795.094795</v>
      </c>
      <c r="E457" s="21" t="n">
        <f aca="false">E438*E456</f>
        <v>1427.12501917769</v>
      </c>
      <c r="F457" s="21" t="n">
        <f aca="false">F438*F456</f>
        <v>1809.04758711097</v>
      </c>
      <c r="G457" s="21" t="n">
        <f aca="false">G438*G456</f>
        <v>1957.75164825537</v>
      </c>
    </row>
    <row r="458" customFormat="false" ht="17.15" hidden="false" customHeight="false" outlineLevel="0" collapsed="false">
      <c r="A458" s="4" t="s">
        <v>579</v>
      </c>
      <c r="B458" s="0" t="s">
        <v>147</v>
      </c>
      <c r="D458" s="21" t="n">
        <f aca="false">a26_wna</f>
        <v>650.532105</v>
      </c>
      <c r="E458" s="21" t="n">
        <f aca="false">D458*(1+g_wn27)</f>
        <v>715.5853155</v>
      </c>
      <c r="F458" s="21" t="n">
        <f aca="false">E458*(1+g_wn28)</f>
        <v>758.52043443</v>
      </c>
      <c r="G458" s="21" t="n">
        <f aca="false">F458*(1+g_wn29)</f>
        <v>796.4464561515</v>
      </c>
    </row>
    <row r="459" customFormat="false" ht="15" hidden="false" customHeight="false" outlineLevel="0" collapsed="false">
      <c r="A459" s="4" t="s">
        <v>434</v>
      </c>
      <c r="B459" s="0" t="s">
        <v>147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2142.71033467769</v>
      </c>
      <c r="F459" s="21" t="n">
        <f aca="false">F457+F458</f>
        <v>2567.56802154097</v>
      </c>
      <c r="G459" s="21" t="n">
        <f aca="false">G457+G458</f>
        <v>2754.19810440687</v>
      </c>
    </row>
    <row r="460" customFormat="false" ht="17.15" hidden="false" customHeight="false" outlineLevel="0" collapsed="false">
      <c r="A460" s="4" t="s">
        <v>420</v>
      </c>
      <c r="B460" s="0" t="s">
        <v>147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5480.88496048301</v>
      </c>
      <c r="F460" s="21" t="n">
        <f aca="false">F454+F459</f>
        <v>5839.18623897149</v>
      </c>
      <c r="G460" s="21" t="n">
        <f aca="false">G454+G459</f>
        <v>5820.47850051604</v>
      </c>
      <c r="H460" s="26" t="n">
        <f aca="false">G460*(1+H461)</f>
        <v>5924.4562024524</v>
      </c>
      <c r="I460" s="26" t="n">
        <f aca="false">H460*(1+I461)</f>
        <v>6155.10747434809</v>
      </c>
      <c r="J460" s="26" t="n">
        <f aca="false">I460*(1+J461)</f>
        <v>6524.41392280897</v>
      </c>
      <c r="K460" s="8" t="s">
        <v>580</v>
      </c>
    </row>
    <row r="461" customFormat="false" ht="15" hidden="false" customHeight="false" outlineLevel="0" collapsed="false">
      <c r="A461" s="4" t="s">
        <v>581</v>
      </c>
      <c r="B461" s="0" t="s">
        <v>48</v>
      </c>
      <c r="D461" s="20" t="n">
        <f aca="false">D460/C460-1</f>
        <v>0.873912121761526</v>
      </c>
      <c r="E461" s="20" t="n">
        <f aca="false">E460/D460-1</f>
        <v>0.337665160751187</v>
      </c>
      <c r="F461" s="20" t="n">
        <f aca="false">F460/E460-1</f>
        <v>0.0653728879682409</v>
      </c>
      <c r="G461" s="20" t="n">
        <f aca="false">G460/F460-1</f>
        <v>-0.00320382630212956</v>
      </c>
      <c r="H461" s="27" t="n">
        <f aca="false">$G461+(fade_gA-$G461)*1/3</f>
        <v>0.0178641157985803</v>
      </c>
      <c r="I461" s="27" t="n">
        <f aca="false">$G461+(fade_gA-$G461)*2/3</f>
        <v>0.0389320578992901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582</v>
      </c>
      <c r="B462" s="0" t="s">
        <v>48</v>
      </c>
      <c r="D462" s="20" t="n">
        <f aca="false">(D445+D450+D457)/D460</f>
        <v>0.6546220793463</v>
      </c>
      <c r="E462" s="20" t="n">
        <f aca="false">(E445+E450+E457)/E460</f>
        <v>0.727826795199484</v>
      </c>
      <c r="F462" s="20" t="n">
        <f aca="false">(F445+F450+F457)/F460</f>
        <v>0.734092203909376</v>
      </c>
      <c r="G462" s="20" t="n">
        <f aca="false">(G445+G450+G457)/G460</f>
        <v>0.724000154738707</v>
      </c>
    </row>
    <row r="463" customFormat="false" ht="17.15" hidden="false" customHeight="false" outlineLevel="0" collapsed="false">
      <c r="A463" s="4" t="s">
        <v>583</v>
      </c>
      <c r="B463" s="0" t="s">
        <v>48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0.390942402573043</v>
      </c>
      <c r="F463" s="20" t="n">
        <f aca="false">F459/F460</f>
        <v>0.439713329300012</v>
      </c>
      <c r="G463" s="20" t="n">
        <f aca="false">G459/G460</f>
        <v>0.473191010698293</v>
      </c>
    </row>
    <row r="464" customFormat="false" ht="17.15" hidden="false" customHeight="false" outlineLevel="0" collapsed="false">
      <c r="A464" s="4" t="s">
        <v>584</v>
      </c>
      <c r="B464" s="4" t="s">
        <v>331</v>
      </c>
      <c r="D464" s="21" t="n">
        <f aca="false">D443/fx/(odm_gb*(1-vr26)+odm_vr*vr26)</f>
        <v>12.0597330420658</v>
      </c>
      <c r="E464" s="21" t="n">
        <f aca="false">E443/fx/odm_vr</f>
        <v>14.7674893195131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585</v>
      </c>
    </row>
    <row r="465" customFormat="false" ht="17.15" hidden="false" customHeight="false" outlineLevel="0" collapsed="false">
      <c r="A465" s="6" t="s">
        <v>586</v>
      </c>
    </row>
    <row r="466" customFormat="false" ht="17.15" hidden="false" customHeight="false" outlineLevel="0" collapsed="false">
      <c r="A466" s="4" t="s">
        <v>587</v>
      </c>
      <c r="B466" s="0" t="s">
        <v>48</v>
      </c>
      <c r="D466" s="17" t="n">
        <f aca="false">(a26_sgp-d_ai*D445-d_brd*D450-d_gen*D452)/D454</f>
        <v>0.0436423860147897</v>
      </c>
      <c r="K466" s="8" t="s">
        <v>588</v>
      </c>
    </row>
    <row r="467" customFormat="false" ht="17.15" hidden="false" customHeight="false" outlineLevel="0" collapsed="false">
      <c r="A467" s="4" t="s">
        <v>589</v>
      </c>
      <c r="B467" s="0" t="s">
        <v>147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98.4088726371474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590</v>
      </c>
      <c r="B468" s="0" t="s">
        <v>147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591</v>
      </c>
      <c r="B469" s="0" t="s">
        <v>48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592</v>
      </c>
      <c r="B470" s="0" t="s">
        <v>48</v>
      </c>
      <c r="E470" s="20" t="n">
        <f aca="false">MAX(0,phi*(E454/D454-1))</f>
        <v>0.0776607179358597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593</v>
      </c>
      <c r="B471" s="0" t="s">
        <v>147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594</v>
      </c>
      <c r="B472" s="0" t="s">
        <v>147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96.8371494659997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595</v>
      </c>
      <c r="B473" s="0" t="s">
        <v>48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596</v>
      </c>
      <c r="B474" s="0" t="s">
        <v>147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54.2288037009598</v>
      </c>
      <c r="F474" s="21" t="n">
        <f aca="false">F472*snio</f>
        <v>65.1791160135378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597</v>
      </c>
    </row>
    <row r="476" customFormat="false" ht="15" hidden="false" customHeight="false" outlineLevel="0" collapsed="false">
      <c r="A476" s="4" t="s">
        <v>438</v>
      </c>
      <c r="B476" s="0" t="s">
        <v>147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182.130378447603</v>
      </c>
      <c r="F476" s="21" t="n">
        <f aca="false">F459*wgm</f>
        <v>218.243281830982</v>
      </c>
      <c r="G476" s="21" t="n">
        <f aca="false">G459*wgm</f>
        <v>234.106838874584</v>
      </c>
    </row>
    <row r="477" customFormat="false" ht="15" hidden="false" customHeight="false" outlineLevel="0" collapsed="false">
      <c r="A477" s="4" t="s">
        <v>440</v>
      </c>
      <c r="B477" s="0" t="s">
        <v>147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139.27617175405</v>
      </c>
      <c r="F477" s="21" t="n">
        <f aca="false">F459*wopm</f>
        <v>166.891921400163</v>
      </c>
      <c r="G477" s="21" t="n">
        <f aca="false">G459*wopm</f>
        <v>179.022876786446</v>
      </c>
    </row>
    <row r="478" customFormat="false" ht="15" hidden="false" customHeight="false" outlineLevel="0" collapsed="false">
      <c r="A478" s="4" t="s">
        <v>448</v>
      </c>
      <c r="B478" s="0" t="s">
        <v>147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108.635413968159</v>
      </c>
      <c r="F478" s="21" t="n">
        <f aca="false">F477*wnio</f>
        <v>130.175698692127</v>
      </c>
      <c r="G478" s="21" t="n">
        <f aca="false">G477*wnio</f>
        <v>139.637843893428</v>
      </c>
    </row>
    <row r="479" customFormat="false" ht="15" hidden="false" customHeight="false" outlineLevel="0" collapsed="false">
      <c r="A479" s="4" t="s">
        <v>450</v>
      </c>
      <c r="B479" s="0" t="s">
        <v>48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598</v>
      </c>
    </row>
    <row r="481" customFormat="false" ht="15" hidden="false" customHeight="false" outlineLevel="0" collapsed="false">
      <c r="A481" s="4" t="s">
        <v>424</v>
      </c>
      <c r="B481" s="0" t="s">
        <v>147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329.608324055181</v>
      </c>
      <c r="F481" s="21" t="n">
        <f aca="false">F468+F476</f>
        <v>385.275356568164</v>
      </c>
      <c r="G481" s="21" t="n">
        <f aca="false">G468+G476</f>
        <v>410.795212590656</v>
      </c>
    </row>
    <row r="482" customFormat="false" ht="15" hidden="false" customHeight="false" outlineLevel="0" collapsed="false">
      <c r="A482" s="4" t="s">
        <v>427</v>
      </c>
      <c r="B482" s="0" t="s">
        <v>48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0.0601377927892386</v>
      </c>
      <c r="F482" s="17" t="n">
        <f aca="false">F481/F460</f>
        <v>0.0659810015986108</v>
      </c>
      <c r="G482" s="17" t="n">
        <f aca="false">G481/G460</f>
        <v>0.0705775672144885</v>
      </c>
    </row>
    <row r="483" customFormat="false" ht="15" hidden="false" customHeight="false" outlineLevel="0" collapsed="false">
      <c r="A483" s="4" t="s">
        <v>428</v>
      </c>
      <c r="B483" s="0" t="s">
        <v>147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236.113321220049</v>
      </c>
      <c r="F483" s="21" t="n">
        <f aca="false">F472+F477</f>
        <v>283.283199995766</v>
      </c>
      <c r="G483" s="21" t="n">
        <f aca="false">G472+G477</f>
        <v>305.07045436094</v>
      </c>
    </row>
    <row r="484" customFormat="false" ht="15" hidden="false" customHeight="false" outlineLevel="0" collapsed="false">
      <c r="A484" s="4" t="s">
        <v>431</v>
      </c>
      <c r="B484" s="0" t="s">
        <v>48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0.043079415627662</v>
      </c>
      <c r="F484" s="17" t="n">
        <f aca="false">F483/F460</f>
        <v>0.0485141573504022</v>
      </c>
      <c r="G484" s="17" t="n">
        <f aca="false">G483/G460</f>
        <v>0.0524132946000733</v>
      </c>
    </row>
    <row r="485" customFormat="false" ht="15" hidden="false" customHeight="false" outlineLevel="0" collapsed="false">
      <c r="A485" s="4" t="s">
        <v>461</v>
      </c>
      <c r="B485" s="0" t="s">
        <v>147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162.864217669119</v>
      </c>
      <c r="F485" s="21" t="n">
        <f aca="false">F474+F478</f>
        <v>195.354814705665</v>
      </c>
      <c r="G485" s="21" t="n">
        <f aca="false">G474+G478</f>
        <v>210.224487335145</v>
      </c>
    </row>
    <row r="486" customFormat="false" ht="17.15" hidden="false" customHeight="false" outlineLevel="0" collapsed="false">
      <c r="A486" s="4" t="s">
        <v>599</v>
      </c>
      <c r="B486" s="0" t="s">
        <v>147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67.7015899849565</v>
      </c>
      <c r="F486" s="21" t="n">
        <f aca="false">(1-F479)*F478</f>
        <v>81.1254954249335</v>
      </c>
      <c r="G486" s="21" t="n">
        <f aca="false">(1-G479)*G478</f>
        <v>87.0223043143844</v>
      </c>
    </row>
    <row r="487" customFormat="false" ht="15" hidden="false" customHeight="false" outlineLevel="0" collapsed="false">
      <c r="A487" s="4" t="s">
        <v>457</v>
      </c>
      <c r="B487" s="0" t="s">
        <v>147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95.1626276841621</v>
      </c>
      <c r="F487" s="21" t="n">
        <f aca="false">F485-F486</f>
        <v>114.229319280731</v>
      </c>
      <c r="G487" s="21" t="n">
        <f aca="false">G485-G486</f>
        <v>123.20218302076</v>
      </c>
      <c r="H487" s="26" t="n">
        <f aca="false">H460*H492</f>
        <v>119.01255970787</v>
      </c>
      <c r="I487" s="26" t="n">
        <f aca="false">I460*I492</f>
        <v>117.006646047892</v>
      </c>
      <c r="J487" s="26" t="n">
        <f aca="false">J460*J492</f>
        <v>116.989368233981</v>
      </c>
    </row>
    <row r="488" customFormat="false" ht="17.15" hidden="false" customHeight="false" outlineLevel="0" collapsed="false">
      <c r="A488" s="4" t="s">
        <v>600</v>
      </c>
      <c r="B488" s="0" t="s">
        <v>48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0.430146003524185</v>
      </c>
      <c r="F488" s="20" t="n">
        <f aca="false">F479*F478/F487</f>
        <v>0.429401169297412</v>
      </c>
      <c r="G488" s="20" t="n">
        <f aca="false">G479*G478/G487</f>
        <v>0.427066617562919</v>
      </c>
    </row>
    <row r="489" customFormat="false" ht="17.15" hidden="false" customHeight="false" outlineLevel="0" collapsed="false">
      <c r="A489" s="4" t="s">
        <v>601</v>
      </c>
      <c r="B489" s="4" t="s">
        <v>282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602</v>
      </c>
    </row>
    <row r="490" customFormat="false" ht="15" hidden="false" customHeight="false" outlineLevel="0" collapsed="false">
      <c r="A490" s="0" t="s">
        <v>464</v>
      </c>
      <c r="B490" s="0" t="s">
        <v>312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27.7442063219131</v>
      </c>
      <c r="F490" s="18" t="n">
        <f aca="false">F487/F489</f>
        <v>33.3030085366563</v>
      </c>
      <c r="G490" s="18" t="n">
        <f aca="false">G487/G489</f>
        <v>35.91900379614</v>
      </c>
      <c r="H490" s="29" t="n">
        <f aca="false">H487/H489</f>
        <v>34.6975392734314</v>
      </c>
      <c r="I490" s="29" t="n">
        <f aca="false">I487/I489</f>
        <v>34.1127247953037</v>
      </c>
      <c r="J490" s="29" t="n">
        <f aca="false">J487/J489</f>
        <v>34.107687531773</v>
      </c>
    </row>
    <row r="491" customFormat="false" ht="17.15" hidden="false" customHeight="false" outlineLevel="0" collapsed="false">
      <c r="A491" s="0" t="s">
        <v>603</v>
      </c>
      <c r="B491" s="0" t="s">
        <v>48</v>
      </c>
      <c r="D491" s="20" t="n">
        <f aca="false">D490/C490-1</f>
        <v>1.03813580587031</v>
      </c>
      <c r="E491" s="20" t="n">
        <f aca="false">E490/D490-1</f>
        <v>0.505812008725555</v>
      </c>
      <c r="F491" s="20" t="n">
        <f aca="false">F490/E490-1</f>
        <v>0.200359028124467</v>
      </c>
      <c r="G491" s="20" t="n">
        <f aca="false">G490/F490-1</f>
        <v>0.0785513193681673</v>
      </c>
      <c r="H491" s="27" t="n">
        <f aca="false">H490/G490-1</f>
        <v>-0.0340060801697362</v>
      </c>
      <c r="I491" s="27" t="n">
        <f aca="false">I490/H490-1</f>
        <v>-0.0168546384087692</v>
      </c>
      <c r="J491" s="27" t="n">
        <f aca="false">J490/I490-1</f>
        <v>-0.000147665235214034</v>
      </c>
    </row>
    <row r="492" customFormat="false" ht="17.15" hidden="false" customHeight="false" outlineLevel="0" collapsed="false">
      <c r="A492" s="4" t="s">
        <v>604</v>
      </c>
      <c r="B492" s="0" t="s">
        <v>48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0.0173626391304107</v>
      </c>
      <c r="F492" s="17" t="n">
        <f aca="false">F487/F460</f>
        <v>0.0195625408414532</v>
      </c>
      <c r="G492" s="17" t="n">
        <f aca="false">G487/G460</f>
        <v>0.0211670196891608</v>
      </c>
      <c r="H492" s="28" t="n">
        <f aca="false">$G492+(fade_mA-$G492)*1/3</f>
        <v>0.020088351680042</v>
      </c>
      <c r="I492" s="28" t="n">
        <f aca="false">$G492+(fade_mA-$G492)*2/3</f>
        <v>0.0190096836709231</v>
      </c>
      <c r="J492" s="28" t="n">
        <f aca="false">$G492+(fade_mA-$G492)*3/3</f>
        <v>0.0179310156618042</v>
      </c>
    </row>
    <row r="495" customFormat="false" ht="17.15" hidden="false" customHeight="false" outlineLevel="0" collapsed="false">
      <c r="A495" s="1" t="s">
        <v>880</v>
      </c>
    </row>
    <row r="496" customFormat="false" ht="17.15" hidden="false" customHeight="false" outlineLevel="0" collapsed="false">
      <c r="A496" s="5" t="s">
        <v>17</v>
      </c>
      <c r="B496" s="5" t="s">
        <v>18</v>
      </c>
      <c r="C496" s="14" t="s">
        <v>414</v>
      </c>
      <c r="D496" s="14" t="s">
        <v>529</v>
      </c>
      <c r="E496" s="14" t="s">
        <v>530</v>
      </c>
      <c r="F496" s="14" t="s">
        <v>531</v>
      </c>
      <c r="G496" s="14" t="s">
        <v>532</v>
      </c>
      <c r="H496" s="14" t="s">
        <v>533</v>
      </c>
      <c r="I496" s="14" t="s">
        <v>534</v>
      </c>
      <c r="J496" s="14" t="s">
        <v>535</v>
      </c>
      <c r="K496" s="5" t="s">
        <v>496</v>
      </c>
    </row>
    <row r="497" customFormat="false" ht="17.15" hidden="false" customHeight="false" outlineLevel="0" collapsed="false">
      <c r="A497" s="6" t="s">
        <v>550</v>
      </c>
    </row>
    <row r="498" customFormat="false" ht="17.15" hidden="false" customHeight="false" outlineLevel="0" collapsed="false">
      <c r="A498" s="0" t="s">
        <v>551</v>
      </c>
      <c r="B498" s="0" t="s">
        <v>28</v>
      </c>
      <c r="D498" s="21" t="n">
        <f aca="false">itc_26*1</f>
        <v>781.872916666667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552</v>
      </c>
      <c r="B499" s="0" t="s">
        <v>28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553</v>
      </c>
      <c r="B500" s="0" t="s">
        <v>498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554</v>
      </c>
      <c r="B501" s="0" t="s">
        <v>555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556</v>
      </c>
    </row>
    <row r="502" customFormat="false" ht="17.15" hidden="false" customHeight="false" outlineLevel="0" collapsed="false">
      <c r="A502" s="0" t="s">
        <v>557</v>
      </c>
      <c r="B502" s="0" t="s">
        <v>28</v>
      </c>
      <c r="D502" s="21" t="n">
        <f aca="false">D500*D501</f>
        <v>634.616531285011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558</v>
      </c>
      <c r="B503" s="0" t="s">
        <v>147</v>
      </c>
      <c r="D503" s="21" t="n">
        <f aca="false">D502*fx</f>
        <v>20307.7290011204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559</v>
      </c>
    </row>
    <row r="505" customFormat="false" ht="17.15" hidden="false" customHeight="false" outlineLevel="0" collapsed="false">
      <c r="A505" s="4" t="s">
        <v>560</v>
      </c>
      <c r="B505" s="0" t="s">
        <v>48</v>
      </c>
      <c r="D505" s="20" t="n">
        <f aca="false">a26_ais/D503</f>
        <v>0.0875096501918446</v>
      </c>
      <c r="K505" s="8" t="s">
        <v>561</v>
      </c>
    </row>
    <row r="506" customFormat="false" ht="17.15" hidden="false" customHeight="false" outlineLevel="0" collapsed="false">
      <c r="A506" s="4" t="s">
        <v>562</v>
      </c>
      <c r="B506" s="0" t="s">
        <v>60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563</v>
      </c>
      <c r="B507" s="0" t="s">
        <v>48</v>
      </c>
      <c r="D507" s="20" t="n">
        <f aca="false">$D$505*D506</f>
        <v>0.0875096501918446</v>
      </c>
      <c r="E507" s="20" t="n">
        <f aca="false">$D$505*E506</f>
        <v>0.0875096501918446</v>
      </c>
      <c r="F507" s="20" t="n">
        <f aca="false">$D$505*F506</f>
        <v>0.0831341676822524</v>
      </c>
      <c r="G507" s="20" t="n">
        <f aca="false">$D$505*G506</f>
        <v>0.0787586851726601</v>
      </c>
    </row>
    <row r="508" customFormat="false" ht="17.15" hidden="false" customHeight="false" outlineLevel="0" collapsed="false">
      <c r="A508" s="4" t="s">
        <v>564</v>
      </c>
      <c r="B508" s="0" t="s">
        <v>147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565</v>
      </c>
      <c r="B509" s="0" t="s">
        <v>48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566</v>
      </c>
    </row>
    <row r="510" customFormat="false" ht="17.15" hidden="false" customHeight="false" outlineLevel="0" collapsed="false">
      <c r="A510" s="4" t="s">
        <v>567</v>
      </c>
      <c r="B510" s="0" t="s">
        <v>147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3072.99589502208</v>
      </c>
      <c r="G510" s="21" t="n">
        <f aca="false">G508*(1-G509)</f>
        <v>3109.11053614536</v>
      </c>
    </row>
    <row r="511" customFormat="false" ht="17.15" hidden="false" customHeight="false" outlineLevel="0" collapsed="false">
      <c r="A511" s="6" t="s">
        <v>568</v>
      </c>
    </row>
    <row r="512" customFormat="false" ht="17.15" hidden="false" customHeight="false" outlineLevel="0" collapsed="false">
      <c r="A512" s="0" t="s">
        <v>569</v>
      </c>
      <c r="B512" s="4" t="s">
        <v>81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570</v>
      </c>
      <c r="B513" s="0" t="s">
        <v>48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571</v>
      </c>
      <c r="B514" s="0" t="s">
        <v>520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572</v>
      </c>
    </row>
    <row r="515" customFormat="false" ht="17.15" hidden="false" customHeight="false" outlineLevel="0" collapsed="false">
      <c r="A515" s="0" t="s">
        <v>522</v>
      </c>
      <c r="B515" s="0" t="s">
        <v>147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573</v>
      </c>
    </row>
    <row r="517" customFormat="false" ht="15" hidden="false" customHeight="false" outlineLevel="0" collapsed="false">
      <c r="A517" s="4" t="s">
        <v>574</v>
      </c>
      <c r="B517" s="0" t="s">
        <v>147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575</v>
      </c>
      <c r="B518" s="0" t="s">
        <v>147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576</v>
      </c>
      <c r="B519" s="0" t="s">
        <v>147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3816.64127975755</v>
      </c>
      <c r="F519" s="21" t="n">
        <f aca="false">F510+F515+F517+F518</f>
        <v>4039.86719118604</v>
      </c>
      <c r="G519" s="21" t="n">
        <f aca="false">G510+G515+G517+G518</f>
        <v>4102.65057482429</v>
      </c>
    </row>
    <row r="520" customFormat="false" ht="17.15" hidden="false" customHeight="false" outlineLevel="0" collapsed="false">
      <c r="A520" s="4" t="s">
        <v>577</v>
      </c>
      <c r="B520" s="0" t="s">
        <v>48</v>
      </c>
      <c r="D520" s="20" t="n">
        <f aca="false">a26_wai/D503</f>
        <v>0.0391523244650416</v>
      </c>
      <c r="K520" s="8" t="s">
        <v>578</v>
      </c>
    </row>
    <row r="521" customFormat="false" ht="17.15" hidden="false" customHeight="false" outlineLevel="0" collapsed="false">
      <c r="A521" s="4" t="s">
        <v>504</v>
      </c>
      <c r="B521" s="0" t="s">
        <v>48</v>
      </c>
      <c r="D521" s="20" t="n">
        <f aca="false">D520</f>
        <v>0.0391523244650416</v>
      </c>
      <c r="E521" s="20" t="n">
        <f aca="false">$D$520*wrel_27</f>
        <v>0.0391523244650416</v>
      </c>
      <c r="F521" s="20" t="n">
        <f aca="false">$D$520*wrel_28</f>
        <v>0.0391523244650416</v>
      </c>
      <c r="G521" s="20" t="n">
        <f aca="false">$D$520*wrel_29</f>
        <v>0.0371947082417896</v>
      </c>
    </row>
    <row r="522" customFormat="false" ht="17.15" hidden="false" customHeight="false" outlineLevel="0" collapsed="false">
      <c r="A522" s="4" t="s">
        <v>524</v>
      </c>
      <c r="B522" s="0" t="s">
        <v>147</v>
      </c>
      <c r="D522" s="21" t="n">
        <f aca="false">D503*D521</f>
        <v>795.094795</v>
      </c>
      <c r="E522" s="21" t="n">
        <f aca="false">E503*E521</f>
        <v>1427.12501917769</v>
      </c>
      <c r="F522" s="21" t="n">
        <f aca="false">F503*F521</f>
        <v>1809.04758711097</v>
      </c>
      <c r="G522" s="21" t="n">
        <f aca="false">G503*G521</f>
        <v>1957.75164825537</v>
      </c>
    </row>
    <row r="523" customFormat="false" ht="17.15" hidden="false" customHeight="false" outlineLevel="0" collapsed="false">
      <c r="A523" s="4" t="s">
        <v>579</v>
      </c>
      <c r="B523" s="0" t="s">
        <v>147</v>
      </c>
      <c r="D523" s="21" t="n">
        <f aca="false">a26_wna</f>
        <v>650.532105</v>
      </c>
      <c r="E523" s="21" t="n">
        <f aca="false">D523*(1+g_wn27)</f>
        <v>715.5853155</v>
      </c>
      <c r="F523" s="21" t="n">
        <f aca="false">E523*(1+g_wn28)</f>
        <v>758.52043443</v>
      </c>
      <c r="G523" s="21" t="n">
        <f aca="false">F523*(1+g_wn29)</f>
        <v>796.4464561515</v>
      </c>
    </row>
    <row r="524" customFormat="false" ht="15" hidden="false" customHeight="false" outlineLevel="0" collapsed="false">
      <c r="A524" s="4" t="s">
        <v>434</v>
      </c>
      <c r="B524" s="0" t="s">
        <v>147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2142.71033467769</v>
      </c>
      <c r="F524" s="21" t="n">
        <f aca="false">F522+F523</f>
        <v>2567.56802154097</v>
      </c>
      <c r="G524" s="21" t="n">
        <f aca="false">G522+G523</f>
        <v>2754.19810440687</v>
      </c>
    </row>
    <row r="525" customFormat="false" ht="17.15" hidden="false" customHeight="false" outlineLevel="0" collapsed="false">
      <c r="A525" s="4" t="s">
        <v>420</v>
      </c>
      <c r="B525" s="0" t="s">
        <v>147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5959.35161443524</v>
      </c>
      <c r="F525" s="21" t="n">
        <f aca="false">F519+F524</f>
        <v>6607.43521272701</v>
      </c>
      <c r="G525" s="21" t="n">
        <f aca="false">G519+G524</f>
        <v>6856.84867923116</v>
      </c>
      <c r="H525" s="26" t="n">
        <f aca="false">G525*(1+H526)</f>
        <v>7166.53776956726</v>
      </c>
      <c r="I525" s="26" t="n">
        <f aca="false">H525*(1+I526)</f>
        <v>7543.37199085936</v>
      </c>
      <c r="J525" s="26" t="n">
        <f aca="false">I525*(1+J526)</f>
        <v>7995.97431031092</v>
      </c>
      <c r="K525" s="8" t="s">
        <v>580</v>
      </c>
    </row>
    <row r="526" customFormat="false" ht="15" hidden="false" customHeight="false" outlineLevel="0" collapsed="false">
      <c r="A526" s="4" t="s">
        <v>581</v>
      </c>
      <c r="B526" s="0" t="s">
        <v>48</v>
      </c>
      <c r="D526" s="20" t="n">
        <f aca="false">D525/C525-1</f>
        <v>0.873912121761526</v>
      </c>
      <c r="E526" s="20" t="n">
        <f aca="false">E525/D525-1</f>
        <v>0.454439765251677</v>
      </c>
      <c r="F526" s="20" t="n">
        <f aca="false">F525/E525-1</f>
        <v>0.108750689709586</v>
      </c>
      <c r="G526" s="20" t="n">
        <f aca="false">G525/F525-1</f>
        <v>0.0377473949383174</v>
      </c>
      <c r="H526" s="27" t="n">
        <f aca="false">$G526+(fade_gA-$G526)*1/3</f>
        <v>0.0451649299588782</v>
      </c>
      <c r="I526" s="27" t="n">
        <f aca="false">$G526+(fade_gA-$G526)*2/3</f>
        <v>0.0525824649794391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582</v>
      </c>
      <c r="B527" s="0" t="s">
        <v>48</v>
      </c>
      <c r="D527" s="20" t="n">
        <f aca="false">(D510+D515+D522)/D525</f>
        <v>0.6546220793463</v>
      </c>
      <c r="E527" s="20" t="n">
        <f aca="false">(E510+E515+E522)/E525</f>
        <v>0.749679139384196</v>
      </c>
      <c r="F527" s="20" t="n">
        <f aca="false">(F510+F515+F522)/F525</f>
        <v>0.76500940322852</v>
      </c>
      <c r="G527" s="20" t="n">
        <f aca="false">(G510+G515+G522)/G525</f>
        <v>0.765715820686707</v>
      </c>
    </row>
    <row r="528" customFormat="false" ht="17.15" hidden="false" customHeight="false" outlineLevel="0" collapsed="false">
      <c r="A528" s="4" t="s">
        <v>583</v>
      </c>
      <c r="B528" s="0" t="s">
        <v>48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0.359554272563384</v>
      </c>
      <c r="F528" s="20" t="n">
        <f aca="false">F524/F525</f>
        <v>0.388587695358012</v>
      </c>
      <c r="G528" s="20" t="n">
        <f aca="false">G524/G525</f>
        <v>0.40167112229691</v>
      </c>
    </row>
    <row r="529" customFormat="false" ht="17.15" hidden="false" customHeight="false" outlineLevel="0" collapsed="false">
      <c r="A529" s="4" t="s">
        <v>584</v>
      </c>
      <c r="B529" s="4" t="s">
        <v>331</v>
      </c>
      <c r="D529" s="21" t="n">
        <f aca="false">D508/fx/(odm_gb*(1-vr26)+odm_vr*vr26)</f>
        <v>12.0597330420658</v>
      </c>
      <c r="E529" s="21" t="n">
        <f aca="false">E508/fx/odm_vr</f>
        <v>14.7674893195131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585</v>
      </c>
    </row>
    <row r="530" customFormat="false" ht="17.15" hidden="false" customHeight="false" outlineLevel="0" collapsed="false">
      <c r="A530" s="6" t="s">
        <v>586</v>
      </c>
    </row>
    <row r="531" customFormat="false" ht="17.15" hidden="false" customHeight="false" outlineLevel="0" collapsed="false">
      <c r="A531" s="4" t="s">
        <v>587</v>
      </c>
      <c r="B531" s="0" t="s">
        <v>48</v>
      </c>
      <c r="D531" s="17" t="n">
        <f aca="false">(a26_sgp-d_ai*D510-d_brd*D515-d_gen*D517)/D519</f>
        <v>0.0436423860147897</v>
      </c>
      <c r="K531" s="8" t="s">
        <v>588</v>
      </c>
    </row>
    <row r="532" customFormat="false" ht="17.15" hidden="false" customHeight="false" outlineLevel="0" collapsed="false">
      <c r="A532" s="4" t="s">
        <v>589</v>
      </c>
      <c r="B532" s="0" t="s">
        <v>147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97.9042117518287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590</v>
      </c>
      <c r="B533" s="0" t="s">
        <v>147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591</v>
      </c>
      <c r="B534" s="0" t="s">
        <v>48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592</v>
      </c>
      <c r="B535" s="0" t="s">
        <v>48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593</v>
      </c>
      <c r="B536" s="0" t="s">
        <v>147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594</v>
      </c>
      <c r="B537" s="0" t="s">
        <v>147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93.7888060313136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595</v>
      </c>
      <c r="B538" s="0" t="s">
        <v>48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596</v>
      </c>
      <c r="B539" s="0" t="s">
        <v>147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52.5217313775356</v>
      </c>
      <c r="F539" s="21" t="n">
        <f aca="false">F537*snio</f>
        <v>61.8707512592474</v>
      </c>
      <c r="G539" s="21" t="n">
        <f aca="false">G537*snio</f>
        <v>66.6618802509704</v>
      </c>
    </row>
    <row r="540" customFormat="false" ht="17.15" hidden="false" customHeight="false" outlineLevel="0" collapsed="false">
      <c r="A540" s="6" t="s">
        <v>597</v>
      </c>
    </row>
    <row r="541" customFormat="false" ht="15" hidden="false" customHeight="false" outlineLevel="0" collapsed="false">
      <c r="A541" s="4" t="s">
        <v>438</v>
      </c>
      <c r="B541" s="0" t="s">
        <v>147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182.130378447603</v>
      </c>
      <c r="F541" s="21" t="n">
        <f aca="false">F524*wgm</f>
        <v>218.243281830982</v>
      </c>
      <c r="G541" s="21" t="n">
        <f aca="false">G524*wgm</f>
        <v>234.106838874584</v>
      </c>
    </row>
    <row r="542" customFormat="false" ht="15" hidden="false" customHeight="false" outlineLevel="0" collapsed="false">
      <c r="A542" s="4" t="s">
        <v>440</v>
      </c>
      <c r="B542" s="0" t="s">
        <v>147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139.27617175405</v>
      </c>
      <c r="F542" s="21" t="n">
        <f aca="false">F524*wopm</f>
        <v>166.891921400163</v>
      </c>
      <c r="G542" s="21" t="n">
        <f aca="false">G524*wopm</f>
        <v>179.022876786446</v>
      </c>
    </row>
    <row r="543" customFormat="false" ht="15" hidden="false" customHeight="false" outlineLevel="0" collapsed="false">
      <c r="A543" s="4" t="s">
        <v>448</v>
      </c>
      <c r="B543" s="0" t="s">
        <v>147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108.635413968159</v>
      </c>
      <c r="F543" s="21" t="n">
        <f aca="false">F542*wnio</f>
        <v>130.175698692127</v>
      </c>
      <c r="G543" s="21" t="n">
        <f aca="false">G542*wnio</f>
        <v>139.637843893428</v>
      </c>
    </row>
    <row r="544" customFormat="false" ht="15" hidden="false" customHeight="false" outlineLevel="0" collapsed="false">
      <c r="A544" s="4" t="s">
        <v>450</v>
      </c>
      <c r="B544" s="0" t="s">
        <v>48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598</v>
      </c>
    </row>
    <row r="546" customFormat="false" ht="15" hidden="false" customHeight="false" outlineLevel="0" collapsed="false">
      <c r="A546" s="4" t="s">
        <v>424</v>
      </c>
      <c r="B546" s="0" t="s">
        <v>147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329.103663169863</v>
      </c>
      <c r="F546" s="21" t="n">
        <f aca="false">F533+F541</f>
        <v>382.84443350986</v>
      </c>
      <c r="G546" s="21" t="n">
        <f aca="false">G533+G541</f>
        <v>407.515890065744</v>
      </c>
    </row>
    <row r="547" customFormat="false" ht="15" hidden="false" customHeight="false" outlineLevel="0" collapsed="false">
      <c r="A547" s="4" t="s">
        <v>427</v>
      </c>
      <c r="B547" s="0" t="s">
        <v>48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0.0552247433047381</v>
      </c>
      <c r="F547" s="17" t="n">
        <f aca="false">F546/F525</f>
        <v>0.0579414585514873</v>
      </c>
      <c r="G547" s="17" t="n">
        <f aca="false">G546/G525</f>
        <v>0.0594319503214467</v>
      </c>
    </row>
    <row r="548" customFormat="false" ht="15" hidden="false" customHeight="false" outlineLevel="0" collapsed="false">
      <c r="A548" s="4" t="s">
        <v>428</v>
      </c>
      <c r="B548" s="0" t="s">
        <v>147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233.064977785363</v>
      </c>
      <c r="F548" s="21" t="n">
        <f aca="false">F537+F542</f>
        <v>277.375405791676</v>
      </c>
      <c r="G548" s="21" t="n">
        <f aca="false">G537+G542</f>
        <v>298.061948663179</v>
      </c>
    </row>
    <row r="549" customFormat="false" ht="15" hidden="false" customHeight="false" outlineLevel="0" collapsed="false">
      <c r="A549" s="4" t="s">
        <v>431</v>
      </c>
      <c r="B549" s="0" t="s">
        <v>48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0.0391091167067259</v>
      </c>
      <c r="F549" s="17" t="n">
        <f aca="false">F548/F525</f>
        <v>0.0419792849814714</v>
      </c>
      <c r="G549" s="17" t="n">
        <f aca="false">G548/G525</f>
        <v>0.0434692323845479</v>
      </c>
    </row>
    <row r="550" customFormat="false" ht="15" hidden="false" customHeight="false" outlineLevel="0" collapsed="false">
      <c r="A550" s="4" t="s">
        <v>461</v>
      </c>
      <c r="B550" s="0" t="s">
        <v>147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161.157145345694</v>
      </c>
      <c r="F550" s="21" t="n">
        <f aca="false">F539+F543</f>
        <v>192.046449951374</v>
      </c>
      <c r="G550" s="21" t="n">
        <f aca="false">G539+G543</f>
        <v>206.299724144399</v>
      </c>
    </row>
    <row r="551" customFormat="false" ht="17.15" hidden="false" customHeight="false" outlineLevel="0" collapsed="false">
      <c r="A551" s="4" t="s">
        <v>599</v>
      </c>
      <c r="B551" s="0" t="s">
        <v>147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67.7015899849565</v>
      </c>
      <c r="F551" s="21" t="n">
        <f aca="false">(1-F544)*F543</f>
        <v>81.1254954249335</v>
      </c>
      <c r="G551" s="21" t="n">
        <f aca="false">(1-G544)*G543</f>
        <v>87.0223043143844</v>
      </c>
    </row>
    <row r="552" customFormat="false" ht="15" hidden="false" customHeight="false" outlineLevel="0" collapsed="false">
      <c r="A552" s="4" t="s">
        <v>457</v>
      </c>
      <c r="B552" s="0" t="s">
        <v>147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93.4555553607378</v>
      </c>
      <c r="F552" s="21" t="n">
        <f aca="false">F550-F551</f>
        <v>110.920954526441</v>
      </c>
      <c r="G552" s="21" t="n">
        <f aca="false">G550-G551</f>
        <v>119.277419830014</v>
      </c>
      <c r="H552" s="26" t="n">
        <f aca="false">H525*H557</f>
        <v>125.944151090549</v>
      </c>
      <c r="I552" s="26" t="n">
        <f aca="false">I525*I557</f>
        <v>133.913463157774</v>
      </c>
      <c r="J552" s="26" t="n">
        <f aca="false">J525*J557</f>
        <v>143.375940589569</v>
      </c>
    </row>
    <row r="553" customFormat="false" ht="17.15" hidden="false" customHeight="false" outlineLevel="0" collapsed="false">
      <c r="A553" s="4" t="s">
        <v>600</v>
      </c>
      <c r="B553" s="0" t="s">
        <v>48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0.438003110946138</v>
      </c>
      <c r="F553" s="20" t="n">
        <f aca="false">F544*F543/F552</f>
        <v>0.442208629348759</v>
      </c>
      <c r="G553" s="20" t="n">
        <f aca="false">G544*G543/G552</f>
        <v>0.441119028681436</v>
      </c>
    </row>
    <row r="554" customFormat="false" ht="17.15" hidden="false" customHeight="false" outlineLevel="0" collapsed="false">
      <c r="A554" s="4" t="s">
        <v>601</v>
      </c>
      <c r="B554" s="4" t="s">
        <v>282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602</v>
      </c>
    </row>
    <row r="555" customFormat="false" ht="15" hidden="false" customHeight="false" outlineLevel="0" collapsed="false">
      <c r="A555" s="0" t="s">
        <v>464</v>
      </c>
      <c r="B555" s="0" t="s">
        <v>312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27.2465175978828</v>
      </c>
      <c r="F555" s="18" t="n">
        <f aca="false">F552/F554</f>
        <v>32.3384707074172</v>
      </c>
      <c r="G555" s="18" t="n">
        <f aca="false">G552/G554</f>
        <v>34.7747579679342</v>
      </c>
      <c r="H555" s="29" t="n">
        <f aca="false">H552/H554</f>
        <v>36.7184113966615</v>
      </c>
      <c r="I555" s="29" t="n">
        <f aca="false">I552/I554</f>
        <v>39.0418259935201</v>
      </c>
      <c r="J555" s="29" t="n">
        <f aca="false">J552/J554</f>
        <v>41.8005657695538</v>
      </c>
    </row>
    <row r="556" customFormat="false" ht="17.15" hidden="false" customHeight="false" outlineLevel="0" collapsed="false">
      <c r="A556" s="0" t="s">
        <v>603</v>
      </c>
      <c r="B556" s="0" t="s">
        <v>48</v>
      </c>
      <c r="D556" s="20" t="n">
        <f aca="false">D555/C555-1</f>
        <v>1.03813580587031</v>
      </c>
      <c r="E556" s="20" t="n">
        <f aca="false">E555/D555-1</f>
        <v>0.478800039143267</v>
      </c>
      <c r="F556" s="20" t="n">
        <f aca="false">F555/E555-1</f>
        <v>0.186884547401026</v>
      </c>
      <c r="G556" s="20" t="n">
        <f aca="false">G555/F555-1</f>
        <v>0.0753371203777487</v>
      </c>
      <c r="H556" s="27" t="n">
        <f aca="false">H555/G555-1</f>
        <v>0.0558926515180815</v>
      </c>
      <c r="I556" s="27" t="n">
        <f aca="false">I555/H555-1</f>
        <v>0.0632765555066954</v>
      </c>
      <c r="J556" s="27" t="n">
        <f aca="false">J555/I555-1</f>
        <v>0.0706611359953195</v>
      </c>
    </row>
    <row r="557" customFormat="false" ht="17.15" hidden="false" customHeight="false" outlineLevel="0" collapsed="false">
      <c r="A557" s="4" t="s">
        <v>604</v>
      </c>
      <c r="B557" s="0" t="s">
        <v>48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0.0156821683644848</v>
      </c>
      <c r="F557" s="17" t="n">
        <f aca="false">F552/F525</f>
        <v>0.0167872935496649</v>
      </c>
      <c r="G557" s="17" t="n">
        <f aca="false">G552/G525</f>
        <v>0.0173953700030301</v>
      </c>
      <c r="H557" s="28" t="n">
        <f aca="false">$G557+(fade_mA-$G557)*1/3</f>
        <v>0.0175739185559548</v>
      </c>
      <c r="I557" s="28" t="n">
        <f aca="false">$G557+(fade_mA-$G557)*2/3</f>
        <v>0.0177524671088795</v>
      </c>
      <c r="J557" s="28" t="n">
        <f aca="false">$G557+(fade_mA-$G557)*3/3</f>
        <v>0.0179310156618042</v>
      </c>
    </row>
    <row r="560" customFormat="false" ht="17.15" hidden="false" customHeight="false" outlineLevel="0" collapsed="false">
      <c r="A560" s="1" t="s">
        <v>881</v>
      </c>
    </row>
    <row r="561" customFormat="false" ht="17.15" hidden="false" customHeight="false" outlineLevel="0" collapsed="false">
      <c r="A561" s="5" t="s">
        <v>17</v>
      </c>
      <c r="B561" s="5" t="s">
        <v>18</v>
      </c>
      <c r="C561" s="14" t="s">
        <v>414</v>
      </c>
      <c r="D561" s="14" t="s">
        <v>529</v>
      </c>
      <c r="E561" s="14" t="s">
        <v>530</v>
      </c>
      <c r="F561" s="14" t="s">
        <v>531</v>
      </c>
      <c r="G561" s="14" t="s">
        <v>532</v>
      </c>
      <c r="H561" s="14" t="s">
        <v>533</v>
      </c>
      <c r="I561" s="14" t="s">
        <v>534</v>
      </c>
      <c r="J561" s="14" t="s">
        <v>535</v>
      </c>
      <c r="K561" s="5" t="s">
        <v>496</v>
      </c>
    </row>
    <row r="562" customFormat="false" ht="17.15" hidden="false" customHeight="false" outlineLevel="0" collapsed="false">
      <c r="A562" s="6" t="s">
        <v>550</v>
      </c>
    </row>
    <row r="563" customFormat="false" ht="17.15" hidden="false" customHeight="false" outlineLevel="0" collapsed="false">
      <c r="A563" s="0" t="s">
        <v>551</v>
      </c>
      <c r="B563" s="0" t="s">
        <v>28</v>
      </c>
      <c r="D563" s="21" t="n">
        <f aca="false">itc_26*1</f>
        <v>781.872916666667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552</v>
      </c>
      <c r="B564" s="0" t="s">
        <v>28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553</v>
      </c>
      <c r="B565" s="0" t="s">
        <v>498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554</v>
      </c>
      <c r="B566" s="0" t="s">
        <v>555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556</v>
      </c>
    </row>
    <row r="567" customFormat="false" ht="17.15" hidden="false" customHeight="false" outlineLevel="0" collapsed="false">
      <c r="A567" s="0" t="s">
        <v>557</v>
      </c>
      <c r="B567" s="0" t="s">
        <v>28</v>
      </c>
      <c r="D567" s="21" t="n">
        <f aca="false">D565*D566</f>
        <v>634.616531285011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558</v>
      </c>
      <c r="B568" s="0" t="s">
        <v>147</v>
      </c>
      <c r="D568" s="21" t="n">
        <f aca="false">D567*fx</f>
        <v>20307.7290011204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559</v>
      </c>
    </row>
    <row r="570" customFormat="false" ht="17.15" hidden="false" customHeight="false" outlineLevel="0" collapsed="false">
      <c r="A570" s="4" t="s">
        <v>560</v>
      </c>
      <c r="B570" s="0" t="s">
        <v>48</v>
      </c>
      <c r="D570" s="20" t="n">
        <f aca="false">a26_ais/D568</f>
        <v>0.0875096501918446</v>
      </c>
      <c r="K570" s="8" t="s">
        <v>561</v>
      </c>
    </row>
    <row r="571" customFormat="false" ht="17.15" hidden="false" customHeight="false" outlineLevel="0" collapsed="false">
      <c r="A571" s="4" t="s">
        <v>562</v>
      </c>
      <c r="B571" s="0" t="s">
        <v>60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563</v>
      </c>
      <c r="B572" s="0" t="s">
        <v>48</v>
      </c>
      <c r="D572" s="20" t="n">
        <f aca="false">$D$570*D571</f>
        <v>0.0875096501918446</v>
      </c>
      <c r="E572" s="20" t="n">
        <f aca="false">$D$570*E571</f>
        <v>0.0875096501918446</v>
      </c>
      <c r="F572" s="20" t="n">
        <f aca="false">$D$570*F571</f>
        <v>0.0831341676822524</v>
      </c>
      <c r="G572" s="20" t="n">
        <f aca="false">$D$570*G571</f>
        <v>0.0787586851726601</v>
      </c>
    </row>
    <row r="573" customFormat="false" ht="17.15" hidden="false" customHeight="false" outlineLevel="0" collapsed="false">
      <c r="A573" s="4" t="s">
        <v>564</v>
      </c>
      <c r="B573" s="0" t="s">
        <v>147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3265.05813846096</v>
      </c>
      <c r="G573" s="21" t="n">
        <f aca="false">G568*G572</f>
        <v>3523.65860763141</v>
      </c>
    </row>
    <row r="574" customFormat="false" ht="17.15" hidden="false" customHeight="false" outlineLevel="0" collapsed="false">
      <c r="A574" s="4" t="s">
        <v>565</v>
      </c>
      <c r="B574" s="0" t="s">
        <v>48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566</v>
      </c>
    </row>
    <row r="575" customFormat="false" ht="17.15" hidden="false" customHeight="false" outlineLevel="0" collapsed="false">
      <c r="A575" s="4" t="s">
        <v>567</v>
      </c>
      <c r="B575" s="0" t="s">
        <v>147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2612.04651076877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568</v>
      </c>
    </row>
    <row r="577" customFormat="false" ht="17.15" hidden="false" customHeight="false" outlineLevel="0" collapsed="false">
      <c r="A577" s="0" t="s">
        <v>569</v>
      </c>
      <c r="B577" s="4" t="s">
        <v>81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570</v>
      </c>
      <c r="B578" s="0" t="s">
        <v>48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571</v>
      </c>
      <c r="B579" s="0" t="s">
        <v>520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572</v>
      </c>
    </row>
    <row r="580" customFormat="false" ht="17.15" hidden="false" customHeight="false" outlineLevel="0" collapsed="false">
      <c r="A580" s="0" t="s">
        <v>522</v>
      </c>
      <c r="B580" s="0" t="s">
        <v>147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573</v>
      </c>
    </row>
    <row r="582" customFormat="false" ht="15" hidden="false" customHeight="false" outlineLevel="0" collapsed="false">
      <c r="A582" s="4" t="s">
        <v>574</v>
      </c>
      <c r="B582" s="0" t="s">
        <v>147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575</v>
      </c>
      <c r="B583" s="0" t="s">
        <v>147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576</v>
      </c>
      <c r="B584" s="0" t="s">
        <v>147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3816.64127975755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577</v>
      </c>
      <c r="B585" s="0" t="s">
        <v>48</v>
      </c>
      <c r="D585" s="20" t="n">
        <f aca="false">a26_wai/D568</f>
        <v>0.0391523244650416</v>
      </c>
      <c r="K585" s="8" t="s">
        <v>578</v>
      </c>
    </row>
    <row r="586" customFormat="false" ht="17.15" hidden="false" customHeight="false" outlineLevel="0" collapsed="false">
      <c r="A586" s="4" t="s">
        <v>504</v>
      </c>
      <c r="B586" s="0" t="s">
        <v>48</v>
      </c>
      <c r="D586" s="20" t="n">
        <f aca="false">D585</f>
        <v>0.0391523244650416</v>
      </c>
      <c r="E586" s="20" t="n">
        <f aca="false">$D$585*wrel_27</f>
        <v>0.0391523244650416</v>
      </c>
      <c r="F586" s="20" t="n">
        <f aca="false">$D$585*wrel_28</f>
        <v>0.0391523244650416</v>
      </c>
      <c r="G586" s="20" t="n">
        <f aca="false">$D$585*wrel_29</f>
        <v>0.0371947082417896</v>
      </c>
    </row>
    <row r="587" customFormat="false" ht="17.15" hidden="false" customHeight="false" outlineLevel="0" collapsed="false">
      <c r="A587" s="4" t="s">
        <v>524</v>
      </c>
      <c r="B587" s="0" t="s">
        <v>147</v>
      </c>
      <c r="D587" s="21" t="n">
        <f aca="false">D568*D586</f>
        <v>795.094795</v>
      </c>
      <c r="E587" s="21" t="n">
        <f aca="false">E568*E586</f>
        <v>1427.12501917769</v>
      </c>
      <c r="F587" s="21" t="n">
        <f aca="false">F568*F586</f>
        <v>1537.69044904432</v>
      </c>
      <c r="G587" s="21" t="n">
        <f aca="false">G568*G586</f>
        <v>1664.08890101706</v>
      </c>
    </row>
    <row r="588" customFormat="false" ht="17.15" hidden="false" customHeight="false" outlineLevel="0" collapsed="false">
      <c r="A588" s="4" t="s">
        <v>579</v>
      </c>
      <c r="B588" s="0" t="s">
        <v>147</v>
      </c>
      <c r="D588" s="21" t="n">
        <f aca="false">a26_wna</f>
        <v>650.532105</v>
      </c>
      <c r="E588" s="21" t="n">
        <f aca="false">D588*(1+g_wn27)</f>
        <v>715.5853155</v>
      </c>
      <c r="F588" s="21" t="n">
        <f aca="false">E588*(1+g_wn28)</f>
        <v>758.52043443</v>
      </c>
      <c r="G588" s="21" t="n">
        <f aca="false">F588*(1+g_wn29)</f>
        <v>796.4464561515</v>
      </c>
    </row>
    <row r="589" customFormat="false" ht="15" hidden="false" customHeight="false" outlineLevel="0" collapsed="false">
      <c r="A589" s="4" t="s">
        <v>434</v>
      </c>
      <c r="B589" s="0" t="s">
        <v>147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2142.71033467769</v>
      </c>
      <c r="F589" s="21" t="n">
        <f aca="false">F587+F588</f>
        <v>2296.21088347432</v>
      </c>
      <c r="G589" s="21" t="n">
        <f aca="false">G587+G588</f>
        <v>2460.53535716856</v>
      </c>
    </row>
    <row r="590" customFormat="false" ht="17.15" hidden="false" customHeight="false" outlineLevel="0" collapsed="false">
      <c r="A590" s="4" t="s">
        <v>420</v>
      </c>
      <c r="B590" s="0" t="s">
        <v>147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5959.35161443524</v>
      </c>
      <c r="F590" s="21" t="n">
        <f aca="false">F584+F589</f>
        <v>5875.12869040705</v>
      </c>
      <c r="G590" s="21" t="n">
        <f aca="false">G584+G589</f>
        <v>6096.81935157105</v>
      </c>
      <c r="H590" s="26" t="n">
        <f aca="false">G590*(1+H591)</f>
        <v>6372.12632663789</v>
      </c>
      <c r="I590" s="26" t="n">
        <f aca="false">H590*(1+I591)</f>
        <v>6707.15946228523</v>
      </c>
      <c r="J590" s="26" t="n">
        <f aca="false">I590*(1+J591)</f>
        <v>7109.58903002235</v>
      </c>
      <c r="K590" s="8" t="s">
        <v>580</v>
      </c>
    </row>
    <row r="591" customFormat="false" ht="15" hidden="false" customHeight="false" outlineLevel="0" collapsed="false">
      <c r="A591" s="4" t="s">
        <v>581</v>
      </c>
      <c r="B591" s="0" t="s">
        <v>48</v>
      </c>
      <c r="D591" s="20" t="n">
        <f aca="false">D590/C590-1</f>
        <v>0.873912121761526</v>
      </c>
      <c r="E591" s="20" t="n">
        <f aca="false">E590/D590-1</f>
        <v>0.454439765251677</v>
      </c>
      <c r="F591" s="20" t="n">
        <f aca="false">F590/E590-1</f>
        <v>-0.0141329006035115</v>
      </c>
      <c r="G591" s="20" t="n">
        <f aca="false">G590/F590-1</f>
        <v>0.0377337540752045</v>
      </c>
      <c r="H591" s="27" t="n">
        <f aca="false">$G591+(fade_gA-$G591)*1/3</f>
        <v>0.0451558360501363</v>
      </c>
      <c r="I591" s="27" t="n">
        <f aca="false">$G591+(fade_gA-$G591)*2/3</f>
        <v>0.0525779180250682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582</v>
      </c>
      <c r="B592" s="0" t="s">
        <v>48</v>
      </c>
      <c r="D592" s="20" t="n">
        <f aca="false">(D575+D580+D587)/D590</f>
        <v>0.6546220793463</v>
      </c>
      <c r="E592" s="20" t="n">
        <f aca="false">(E575+E580+E587)/E590</f>
        <v>0.749679139384196</v>
      </c>
      <c r="F592" s="20" t="n">
        <f aca="false">(F575+F580+F587)/F590</f>
        <v>0.735718956028513</v>
      </c>
      <c r="G592" s="20" t="n">
        <f aca="false">(G575+G580+G587)/G590</f>
        <v>0.736509961530162</v>
      </c>
    </row>
    <row r="593" customFormat="false" ht="17.15" hidden="false" customHeight="false" outlineLevel="0" collapsed="false">
      <c r="A593" s="4" t="s">
        <v>583</v>
      </c>
      <c r="B593" s="0" t="s">
        <v>48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0.359554272563384</v>
      </c>
      <c r="F593" s="20" t="n">
        <f aca="false">F589/F590</f>
        <v>0.390835844536238</v>
      </c>
      <c r="G593" s="20" t="n">
        <f aca="false">G589/G590</f>
        <v>0.40357688415592</v>
      </c>
    </row>
    <row r="594" customFormat="false" ht="17.15" hidden="false" customHeight="false" outlineLevel="0" collapsed="false">
      <c r="A594" s="4" t="s">
        <v>584</v>
      </c>
      <c r="B594" s="4" t="s">
        <v>331</v>
      </c>
      <c r="D594" s="21" t="n">
        <f aca="false">D573/fx/(odm_gb*(1-vr26)+odm_vr*vr26)</f>
        <v>12.0597330420658</v>
      </c>
      <c r="E594" s="21" t="n">
        <f aca="false">E573/fx/odm_vr</f>
        <v>14.7674893195131</v>
      </c>
      <c r="F594" s="21" t="n">
        <f aca="false">F573/fx/odm_vr</f>
        <v>15.1160099002822</v>
      </c>
      <c r="G594" s="21" t="n">
        <f aca="false">G573/fx/odm_vr</f>
        <v>16.3132342945899</v>
      </c>
      <c r="K594" s="4" t="s">
        <v>585</v>
      </c>
    </row>
    <row r="595" customFormat="false" ht="17.15" hidden="false" customHeight="false" outlineLevel="0" collapsed="false">
      <c r="A595" s="6" t="s">
        <v>586</v>
      </c>
    </row>
    <row r="596" customFormat="false" ht="17.15" hidden="false" customHeight="false" outlineLevel="0" collapsed="false">
      <c r="A596" s="4" t="s">
        <v>587</v>
      </c>
      <c r="B596" s="0" t="s">
        <v>48</v>
      </c>
      <c r="D596" s="17" t="n">
        <f aca="false">(a26_sgp-d_ai*D575-d_brd*D580-d_gen*D582)/D584</f>
        <v>0.0436423860147897</v>
      </c>
      <c r="K596" s="8" t="s">
        <v>588</v>
      </c>
    </row>
    <row r="597" customFormat="false" ht="17.15" hidden="false" customHeight="false" outlineLevel="0" collapsed="false">
      <c r="A597" s="4" t="s">
        <v>589</v>
      </c>
      <c r="B597" s="0" t="s">
        <v>147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99.9228552931035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108.709541700834</v>
      </c>
    </row>
    <row r="598" customFormat="false" ht="15" hidden="false" customHeight="false" outlineLevel="0" collapsed="false">
      <c r="A598" s="4" t="s">
        <v>590</v>
      </c>
      <c r="B598" s="0" t="s">
        <v>147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591</v>
      </c>
      <c r="B599" s="0" t="s">
        <v>48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592</v>
      </c>
      <c r="B600" s="0" t="s">
        <v>48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0.00480867602144701</v>
      </c>
    </row>
    <row r="601" customFormat="false" ht="15" hidden="false" customHeight="false" outlineLevel="0" collapsed="false">
      <c r="A601" s="4" t="s">
        <v>593</v>
      </c>
      <c r="B601" s="0" t="s">
        <v>147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594</v>
      </c>
      <c r="B602" s="0" t="s">
        <v>147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95.8074495725884</v>
      </c>
      <c r="F602" s="21" t="n">
        <f aca="false">F598-F601</f>
        <v>98.4112346260065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595</v>
      </c>
      <c r="B603" s="0" t="s">
        <v>48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596</v>
      </c>
      <c r="B604" s="0" t="s">
        <v>147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53.6521717606495</v>
      </c>
      <c r="F604" s="21" t="n">
        <f aca="false">F602*snio</f>
        <v>55.1102913905636</v>
      </c>
      <c r="G604" s="21" t="n">
        <f aca="false">G602*snio</f>
        <v>60.1123229570689</v>
      </c>
    </row>
    <row r="605" customFormat="false" ht="17.15" hidden="false" customHeight="false" outlineLevel="0" collapsed="false">
      <c r="A605" s="6" t="s">
        <v>597</v>
      </c>
    </row>
    <row r="606" customFormat="false" ht="15" hidden="false" customHeight="false" outlineLevel="0" collapsed="false">
      <c r="A606" s="4" t="s">
        <v>438</v>
      </c>
      <c r="B606" s="0" t="s">
        <v>147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182.130378447603</v>
      </c>
      <c r="F606" s="21" t="n">
        <f aca="false">F589*wgm</f>
        <v>195.177925095317</v>
      </c>
      <c r="G606" s="21" t="n">
        <f aca="false">G589*wgm</f>
        <v>209.145505359328</v>
      </c>
    </row>
    <row r="607" customFormat="false" ht="15" hidden="false" customHeight="false" outlineLevel="0" collapsed="false">
      <c r="A607" s="4" t="s">
        <v>440</v>
      </c>
      <c r="B607" s="0" t="s">
        <v>147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139.27617175405</v>
      </c>
      <c r="F607" s="21" t="n">
        <f aca="false">F589*wopm</f>
        <v>149.253707425831</v>
      </c>
      <c r="G607" s="21" t="n">
        <f aca="false">G589*wopm</f>
        <v>159.934798215957</v>
      </c>
    </row>
    <row r="608" customFormat="false" ht="15" hidden="false" customHeight="false" outlineLevel="0" collapsed="false">
      <c r="A608" s="4" t="s">
        <v>448</v>
      </c>
      <c r="B608" s="0" t="s">
        <v>147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108.635413968159</v>
      </c>
      <c r="F608" s="21" t="n">
        <f aca="false">F607*wnio</f>
        <v>116.417891792148</v>
      </c>
      <c r="G608" s="21" t="n">
        <f aca="false">G607*wnio</f>
        <v>124.749142608446</v>
      </c>
    </row>
    <row r="609" customFormat="false" ht="15" hidden="false" customHeight="false" outlineLevel="0" collapsed="false">
      <c r="A609" s="4" t="s">
        <v>450</v>
      </c>
      <c r="B609" s="0" t="s">
        <v>48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598</v>
      </c>
    </row>
    <row r="611" customFormat="false" ht="15" hidden="false" customHeight="false" outlineLevel="0" collapsed="false">
      <c r="A611" s="4" t="s">
        <v>424</v>
      </c>
      <c r="B611" s="0" t="s">
        <v>147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331.122306711138</v>
      </c>
      <c r="F611" s="21" t="n">
        <f aca="false">F598+F606</f>
        <v>346.77363841227</v>
      </c>
      <c r="G611" s="21" t="n">
        <f aca="false">G598+G606</f>
        <v>369.929164829577</v>
      </c>
    </row>
    <row r="612" customFormat="false" ht="15" hidden="false" customHeight="false" outlineLevel="0" collapsed="false">
      <c r="A612" s="4" t="s">
        <v>427</v>
      </c>
      <c r="B612" s="0" t="s">
        <v>48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0.0555634787363554</v>
      </c>
      <c r="F612" s="17" t="n">
        <f aca="false">F611/F590</f>
        <v>0.0590240072491491</v>
      </c>
      <c r="G612" s="17" t="n">
        <f aca="false">G611/G590</f>
        <v>0.0606757628031495</v>
      </c>
    </row>
    <row r="613" customFormat="false" ht="15" hidden="false" customHeight="false" outlineLevel="0" collapsed="false">
      <c r="A613" s="4" t="s">
        <v>428</v>
      </c>
      <c r="B613" s="0" t="s">
        <v>147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235.083621326638</v>
      </c>
      <c r="F613" s="21" t="n">
        <f aca="false">F602+F607</f>
        <v>247.664942051837</v>
      </c>
      <c r="G613" s="21" t="n">
        <f aca="false">G602+G607</f>
        <v>267.278232067865</v>
      </c>
    </row>
    <row r="614" customFormat="false" ht="15" hidden="false" customHeight="false" outlineLevel="0" collapsed="false">
      <c r="A614" s="4" t="s">
        <v>431</v>
      </c>
      <c r="B614" s="0" t="s">
        <v>48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0.0394478521383432</v>
      </c>
      <c r="F614" s="17" t="n">
        <f aca="false">F613/F590</f>
        <v>0.0421548114267227</v>
      </c>
      <c r="G614" s="17" t="n">
        <f aca="false">G613/G590</f>
        <v>0.0438389620317342</v>
      </c>
    </row>
    <row r="615" customFormat="false" ht="15" hidden="false" customHeight="false" outlineLevel="0" collapsed="false">
      <c r="A615" s="4" t="s">
        <v>461</v>
      </c>
      <c r="B615" s="0" t="s">
        <v>147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162.287585728808</v>
      </c>
      <c r="F615" s="21" t="n">
        <f aca="false">F604+F608</f>
        <v>171.528183182712</v>
      </c>
      <c r="G615" s="21" t="n">
        <f aca="false">G604+G608</f>
        <v>184.861465565515</v>
      </c>
    </row>
    <row r="616" customFormat="false" ht="17.15" hidden="false" customHeight="false" outlineLevel="0" collapsed="false">
      <c r="A616" s="4" t="s">
        <v>599</v>
      </c>
      <c r="B616" s="0" t="s">
        <v>147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67.7015899849565</v>
      </c>
      <c r="F616" s="21" t="n">
        <f aca="false">(1-F609)*F608</f>
        <v>72.5516301648667</v>
      </c>
      <c r="G616" s="21" t="n">
        <f aca="false">(1-G609)*G608</f>
        <v>77.7436656735836</v>
      </c>
    </row>
    <row r="617" customFormat="false" ht="15" hidden="false" customHeight="false" outlineLevel="0" collapsed="false">
      <c r="A617" s="4" t="s">
        <v>457</v>
      </c>
      <c r="B617" s="0" t="s">
        <v>147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94.5859957438517</v>
      </c>
      <c r="F617" s="21" t="n">
        <f aca="false">F615-F616</f>
        <v>98.976553017845</v>
      </c>
      <c r="G617" s="21" t="n">
        <f aca="false">G615-G616</f>
        <v>107.117799891931</v>
      </c>
      <c r="H617" s="26" t="n">
        <f aca="false">H590*H622</f>
        <v>112.722761455248</v>
      </c>
      <c r="I617" s="26" t="n">
        <f aca="false">I590*I622</f>
        <v>119.457835465528</v>
      </c>
      <c r="J617" s="26" t="n">
        <f aca="false">J590*J622</f>
        <v>127.482152246322</v>
      </c>
    </row>
    <row r="618" customFormat="false" ht="17.15" hidden="false" customHeight="false" outlineLevel="0" collapsed="false">
      <c r="A618" s="4" t="s">
        <v>600</v>
      </c>
      <c r="B618" s="0" t="s">
        <v>48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0.432768335960168</v>
      </c>
      <c r="F618" s="20" t="n">
        <f aca="false">F609*F608/F617</f>
        <v>0.443198518131587</v>
      </c>
      <c r="G618" s="20" t="n">
        <f aca="false">G609*G608/G617</f>
        <v>0.438820410634696</v>
      </c>
    </row>
    <row r="619" customFormat="false" ht="17.15" hidden="false" customHeight="false" outlineLevel="0" collapsed="false">
      <c r="A619" s="4" t="s">
        <v>601</v>
      </c>
      <c r="B619" s="4" t="s">
        <v>282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602</v>
      </c>
    </row>
    <row r="620" customFormat="false" ht="15" hidden="false" customHeight="false" outlineLevel="0" collapsed="false">
      <c r="A620" s="0" t="s">
        <v>464</v>
      </c>
      <c r="B620" s="0" t="s">
        <v>312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27.5760920536011</v>
      </c>
      <c r="F620" s="18" t="n">
        <f aca="false">F617/F619</f>
        <v>28.8561379060773</v>
      </c>
      <c r="G620" s="18" t="n">
        <f aca="false">G617/G619</f>
        <v>31.2296792687847</v>
      </c>
      <c r="H620" s="29" t="n">
        <f aca="false">H617/H619</f>
        <v>32.8637788499266</v>
      </c>
      <c r="I620" s="29" t="n">
        <f aca="false">I617/I619</f>
        <v>34.8273572785797</v>
      </c>
      <c r="J620" s="29" t="n">
        <f aca="false">J617/J619</f>
        <v>37.1668082350794</v>
      </c>
    </row>
    <row r="621" customFormat="false" ht="17.15" hidden="false" customHeight="false" outlineLevel="0" collapsed="false">
      <c r="A621" s="0" t="s">
        <v>603</v>
      </c>
      <c r="B621" s="0" t="s">
        <v>48</v>
      </c>
      <c r="D621" s="20" t="n">
        <f aca="false">D620/C620-1</f>
        <v>1.03813580587031</v>
      </c>
      <c r="E621" s="20" t="n">
        <f aca="false">E620/D620-1</f>
        <v>0.496687635833963</v>
      </c>
      <c r="F621" s="20" t="n">
        <f aca="false">F620/E620-1</f>
        <v>0.0464186821681656</v>
      </c>
      <c r="G621" s="20" t="n">
        <f aca="false">G620/F620-1</f>
        <v>0.0822542978701077</v>
      </c>
      <c r="H621" s="27" t="n">
        <f aca="false">H620/G620-1</f>
        <v>0.0523252117665927</v>
      </c>
      <c r="I621" s="27" t="n">
        <f aca="false">I620/H620-1</f>
        <v>0.0597490154014191</v>
      </c>
      <c r="J621" s="27" t="n">
        <f aca="false">J620/I620-1</f>
        <v>0.0671727957360289</v>
      </c>
    </row>
    <row r="622" customFormat="false" ht="17.15" hidden="false" customHeight="false" outlineLevel="0" collapsed="false">
      <c r="A622" s="4" t="s">
        <v>604</v>
      </c>
      <c r="B622" s="0" t="s">
        <v>48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0.0158718602061905</v>
      </c>
      <c r="F622" s="17" t="n">
        <f aca="false">F617/F590</f>
        <v>0.0168467038312632</v>
      </c>
      <c r="G622" s="17" t="n">
        <f aca="false">G617/G590</f>
        <v>0.0175694560909581</v>
      </c>
      <c r="H622" s="28" t="n">
        <f aca="false">$G622+(fade_mA-$G622)*1/3</f>
        <v>0.0176899759479068</v>
      </c>
      <c r="I622" s="28" t="n">
        <f aca="false">$G622+(fade_mA-$G622)*2/3</f>
        <v>0.0178104958048555</v>
      </c>
      <c r="J622" s="28" t="n">
        <f aca="false">$G622+(fade_mA-$G622)*3/3</f>
        <v>0.0179310156618042</v>
      </c>
    </row>
    <row r="625" customFormat="false" ht="17.15" hidden="false" customHeight="false" outlineLevel="0" collapsed="false">
      <c r="A625" s="1" t="s">
        <v>882</v>
      </c>
    </row>
    <row r="626" customFormat="false" ht="17.15" hidden="false" customHeight="false" outlineLevel="0" collapsed="false">
      <c r="A626" s="5" t="s">
        <v>17</v>
      </c>
      <c r="B626" s="5" t="s">
        <v>18</v>
      </c>
      <c r="C626" s="14" t="s">
        <v>414</v>
      </c>
      <c r="D626" s="14" t="s">
        <v>529</v>
      </c>
      <c r="E626" s="14" t="s">
        <v>530</v>
      </c>
      <c r="F626" s="14" t="s">
        <v>531</v>
      </c>
      <c r="G626" s="14" t="s">
        <v>532</v>
      </c>
      <c r="H626" s="14" t="s">
        <v>533</v>
      </c>
      <c r="I626" s="14" t="s">
        <v>534</v>
      </c>
      <c r="J626" s="14" t="s">
        <v>535</v>
      </c>
      <c r="K626" s="5" t="s">
        <v>496</v>
      </c>
    </row>
    <row r="627" customFormat="false" ht="17.15" hidden="false" customHeight="false" outlineLevel="0" collapsed="false">
      <c r="A627" s="6" t="s">
        <v>550</v>
      </c>
    </row>
    <row r="628" customFormat="false" ht="17.15" hidden="false" customHeight="false" outlineLevel="0" collapsed="false">
      <c r="A628" s="0" t="s">
        <v>551</v>
      </c>
      <c r="B628" s="0" t="s">
        <v>28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552</v>
      </c>
      <c r="B629" s="0" t="s">
        <v>28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553</v>
      </c>
      <c r="B630" s="0" t="s">
        <v>498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554</v>
      </c>
      <c r="B631" s="0" t="s">
        <v>555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556</v>
      </c>
    </row>
    <row r="632" customFormat="false" ht="17.15" hidden="false" customHeight="false" outlineLevel="0" collapsed="false">
      <c r="A632" s="0" t="s">
        <v>557</v>
      </c>
      <c r="B632" s="0" t="s">
        <v>28</v>
      </c>
      <c r="D632" s="21" t="n">
        <f aca="false">D630*D631</f>
        <v>634.616531285011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558</v>
      </c>
      <c r="B633" s="0" t="s">
        <v>147</v>
      </c>
      <c r="D633" s="21" t="n">
        <f aca="false">D632*fx</f>
        <v>20307.7290011204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559</v>
      </c>
    </row>
    <row r="635" customFormat="false" ht="17.15" hidden="false" customHeight="false" outlineLevel="0" collapsed="false">
      <c r="A635" s="4" t="s">
        <v>560</v>
      </c>
      <c r="B635" s="0" t="s">
        <v>48</v>
      </c>
      <c r="D635" s="20" t="n">
        <f aca="false">a26_ais/D633</f>
        <v>0.0875096501918446</v>
      </c>
      <c r="K635" s="8" t="s">
        <v>561</v>
      </c>
    </row>
    <row r="636" customFormat="false" ht="17.15" hidden="false" customHeight="false" outlineLevel="0" collapsed="false">
      <c r="A636" s="4" t="s">
        <v>562</v>
      </c>
      <c r="B636" s="0" t="s">
        <v>60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563</v>
      </c>
      <c r="B637" s="0" t="s">
        <v>48</v>
      </c>
      <c r="D637" s="20" t="n">
        <f aca="false">$D$635*D636</f>
        <v>0.0875096501918446</v>
      </c>
      <c r="E637" s="20" t="n">
        <f aca="false">$D$635*E636</f>
        <v>0.0875096501918446</v>
      </c>
      <c r="F637" s="20" t="n">
        <f aca="false">$D$635*F636</f>
        <v>0.0831341676822524</v>
      </c>
      <c r="G637" s="20" t="n">
        <f aca="false">$D$635*G636</f>
        <v>0.0787586851726601</v>
      </c>
    </row>
    <row r="638" customFormat="false" ht="17.15" hidden="false" customHeight="false" outlineLevel="0" collapsed="false">
      <c r="A638" s="4" t="s">
        <v>564</v>
      </c>
      <c r="B638" s="0" t="s">
        <v>147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4974.57685783258</v>
      </c>
    </row>
    <row r="639" customFormat="false" ht="17.15" hidden="false" customHeight="false" outlineLevel="0" collapsed="false">
      <c r="A639" s="4" t="s">
        <v>565</v>
      </c>
      <c r="B639" s="0" t="s">
        <v>48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566</v>
      </c>
    </row>
    <row r="640" customFormat="false" ht="17.15" hidden="false" customHeight="false" outlineLevel="0" collapsed="false">
      <c r="A640" s="4" t="s">
        <v>567</v>
      </c>
      <c r="B640" s="0" t="s">
        <v>147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568</v>
      </c>
    </row>
    <row r="642" customFormat="false" ht="17.15" hidden="false" customHeight="false" outlineLevel="0" collapsed="false">
      <c r="A642" s="0" t="s">
        <v>569</v>
      </c>
      <c r="B642" s="4" t="s">
        <v>81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570</v>
      </c>
      <c r="B643" s="0" t="s">
        <v>48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571</v>
      </c>
      <c r="B644" s="0" t="s">
        <v>520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572</v>
      </c>
    </row>
    <row r="645" customFormat="false" ht="17.15" hidden="false" customHeight="false" outlineLevel="0" collapsed="false">
      <c r="A645" s="0" t="s">
        <v>522</v>
      </c>
      <c r="B645" s="0" t="s">
        <v>147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573</v>
      </c>
    </row>
    <row r="647" customFormat="false" ht="15" hidden="false" customHeight="false" outlineLevel="0" collapsed="false">
      <c r="A647" s="4" t="s">
        <v>574</v>
      </c>
      <c r="B647" s="0" t="s">
        <v>147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575</v>
      </c>
      <c r="B648" s="0" t="s">
        <v>147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576</v>
      </c>
      <c r="B649" s="0" t="s">
        <v>147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3816.64127975755</v>
      </c>
      <c r="F649" s="21" t="n">
        <f aca="false">F640+F645+F647+F648</f>
        <v>4654.46637019046</v>
      </c>
      <c r="G649" s="21" t="n">
        <f aca="false">G640+G645+G647+G648</f>
        <v>4724.47268205336</v>
      </c>
    </row>
    <row r="650" customFormat="false" ht="17.15" hidden="false" customHeight="false" outlineLevel="0" collapsed="false">
      <c r="A650" s="4" t="s">
        <v>577</v>
      </c>
      <c r="B650" s="0" t="s">
        <v>48</v>
      </c>
      <c r="D650" s="20" t="n">
        <f aca="false">a26_wai/D633</f>
        <v>0.0391523244650416</v>
      </c>
      <c r="K650" s="8" t="s">
        <v>578</v>
      </c>
    </row>
    <row r="651" customFormat="false" ht="17.15" hidden="false" customHeight="false" outlineLevel="0" collapsed="false">
      <c r="A651" s="4" t="s">
        <v>504</v>
      </c>
      <c r="B651" s="0" t="s">
        <v>48</v>
      </c>
      <c r="D651" s="20" t="n">
        <f aca="false">D650</f>
        <v>0.0391523244650416</v>
      </c>
      <c r="E651" s="20" t="n">
        <f aca="false">$D$650*wrel_27</f>
        <v>0.0391523244650416</v>
      </c>
      <c r="F651" s="20" t="n">
        <f aca="false">$D$650*wrel_28</f>
        <v>0.0391523244650416</v>
      </c>
      <c r="G651" s="20" t="n">
        <f aca="false">$D$650*wrel_29</f>
        <v>0.0371947082417896</v>
      </c>
    </row>
    <row r="652" customFormat="false" ht="17.15" hidden="false" customHeight="false" outlineLevel="0" collapsed="false">
      <c r="A652" s="4" t="s">
        <v>524</v>
      </c>
      <c r="B652" s="0" t="s">
        <v>147</v>
      </c>
      <c r="D652" s="21" t="n">
        <f aca="false">D633*D651</f>
        <v>795.094795</v>
      </c>
      <c r="E652" s="21" t="n">
        <f aca="false">E633*E651</f>
        <v>1427.12501917769</v>
      </c>
      <c r="F652" s="21" t="n">
        <f aca="false">F633*F651</f>
        <v>2170.85710453316</v>
      </c>
      <c r="G652" s="21" t="n">
        <f aca="false">G633*G651</f>
        <v>2349.30197790644</v>
      </c>
    </row>
    <row r="653" customFormat="false" ht="17.15" hidden="false" customHeight="false" outlineLevel="0" collapsed="false">
      <c r="A653" s="4" t="s">
        <v>579</v>
      </c>
      <c r="B653" s="0" t="s">
        <v>147</v>
      </c>
      <c r="D653" s="21" t="n">
        <f aca="false">a26_wna</f>
        <v>650.532105</v>
      </c>
      <c r="E653" s="21" t="n">
        <f aca="false">D653*(1+g_wn27)</f>
        <v>715.5853155</v>
      </c>
      <c r="F653" s="21" t="n">
        <f aca="false">E653*(1+g_wn28)</f>
        <v>758.52043443</v>
      </c>
      <c r="G653" s="21" t="n">
        <f aca="false">F653*(1+g_wn29)</f>
        <v>796.4464561515</v>
      </c>
    </row>
    <row r="654" customFormat="false" ht="15" hidden="false" customHeight="false" outlineLevel="0" collapsed="false">
      <c r="A654" s="4" t="s">
        <v>434</v>
      </c>
      <c r="B654" s="0" t="s">
        <v>147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2142.71033467769</v>
      </c>
      <c r="F654" s="21" t="n">
        <f aca="false">F652+F653</f>
        <v>2929.37753896316</v>
      </c>
      <c r="G654" s="21" t="n">
        <f aca="false">G652+G653</f>
        <v>3145.74843405794</v>
      </c>
    </row>
    <row r="655" customFormat="false" ht="17.15" hidden="false" customHeight="false" outlineLevel="0" collapsed="false">
      <c r="A655" s="4" t="s">
        <v>420</v>
      </c>
      <c r="B655" s="0" t="s">
        <v>147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5959.35161443524</v>
      </c>
      <c r="F655" s="21" t="n">
        <f aca="false">F649+F654</f>
        <v>7583.84390915362</v>
      </c>
      <c r="G655" s="21" t="n">
        <f aca="false">G649+G654</f>
        <v>7870.2211161113</v>
      </c>
      <c r="H655" s="26" t="n">
        <f aca="false">G655*(1+H656)</f>
        <v>8225.75302878188</v>
      </c>
      <c r="I655" s="26" t="n">
        <f aca="false">H655*(1+I656)</f>
        <v>8658.32203275321</v>
      </c>
      <c r="J655" s="26" t="n">
        <f aca="false">I655*(1+J656)</f>
        <v>9177.8213547184</v>
      </c>
      <c r="K655" s="8" t="s">
        <v>580</v>
      </c>
    </row>
    <row r="656" customFormat="false" ht="15" hidden="false" customHeight="false" outlineLevel="0" collapsed="false">
      <c r="A656" s="4" t="s">
        <v>581</v>
      </c>
      <c r="B656" s="0" t="s">
        <v>48</v>
      </c>
      <c r="D656" s="20" t="n">
        <f aca="false">D655/C655-1</f>
        <v>0.873912121761526</v>
      </c>
      <c r="E656" s="20" t="n">
        <f aca="false">E655/D655-1</f>
        <v>0.454439765251677</v>
      </c>
      <c r="F656" s="20" t="n">
        <f aca="false">F655/E655-1</f>
        <v>0.272595476793716</v>
      </c>
      <c r="G656" s="20" t="n">
        <f aca="false">G655/F655-1</f>
        <v>0.0377614848602084</v>
      </c>
      <c r="H656" s="27" t="n">
        <f aca="false">$G656+(fade_gA-$G656)*1/3</f>
        <v>0.0451743232401389</v>
      </c>
      <c r="I656" s="27" t="n">
        <f aca="false">$G656+(fade_gA-$G656)*2/3</f>
        <v>0.0525871616200695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582</v>
      </c>
      <c r="B657" s="0" t="s">
        <v>48</v>
      </c>
      <c r="D657" s="20" t="n">
        <f aca="false">(D640+D645+D652)/D655</f>
        <v>0.6546220793463</v>
      </c>
      <c r="E657" s="20" t="n">
        <f aca="false">(E640+E645+E652)/E655</f>
        <v>0.749679139384196</v>
      </c>
      <c r="F657" s="20" t="n">
        <f aca="false">(F640+F645+F652)/F655</f>
        <v>0.795264095310093</v>
      </c>
      <c r="G657" s="20" t="n">
        <f aca="false">(G640+G645+G652)/G655</f>
        <v>0.795882333953679</v>
      </c>
    </row>
    <row r="658" customFormat="false" ht="17.15" hidden="false" customHeight="false" outlineLevel="0" collapsed="false">
      <c r="A658" s="4" t="s">
        <v>583</v>
      </c>
      <c r="B658" s="0" t="s">
        <v>48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0.359554272563384</v>
      </c>
      <c r="F658" s="20" t="n">
        <f aca="false">F654/F655</f>
        <v>0.386265536850967</v>
      </c>
      <c r="G658" s="20" t="n">
        <f aca="false">G654/G655</f>
        <v>0.399702675140627</v>
      </c>
    </row>
    <row r="659" customFormat="false" ht="17.15" hidden="false" customHeight="false" outlineLevel="0" collapsed="false">
      <c r="A659" s="4" t="s">
        <v>584</v>
      </c>
      <c r="B659" s="4" t="s">
        <v>331</v>
      </c>
      <c r="D659" s="21" t="n">
        <f aca="false">D638/fx/(odm_gb*(1-vr26)+odm_vr*vr26)</f>
        <v>12.0597330420658</v>
      </c>
      <c r="E659" s="21" t="n">
        <f aca="false">E638/fx/odm_vr</f>
        <v>14.7674893195131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585</v>
      </c>
    </row>
    <row r="660" customFormat="false" ht="17.15" hidden="false" customHeight="false" outlineLevel="0" collapsed="false">
      <c r="A660" s="6" t="s">
        <v>586</v>
      </c>
    </row>
    <row r="661" customFormat="false" ht="17.15" hidden="false" customHeight="false" outlineLevel="0" collapsed="false">
      <c r="A661" s="4" t="s">
        <v>587</v>
      </c>
      <c r="B661" s="0" t="s">
        <v>48</v>
      </c>
      <c r="D661" s="17" t="n">
        <f aca="false">(a26_sgp-d_ai*D640-d_brd*D645-d_gen*D647)/D649</f>
        <v>0.0436423860147897</v>
      </c>
      <c r="K661" s="8" t="s">
        <v>588</v>
      </c>
    </row>
    <row r="662" customFormat="false" ht="17.15" hidden="false" customHeight="false" outlineLevel="0" collapsed="false">
      <c r="A662" s="4" t="s">
        <v>589</v>
      </c>
      <c r="B662" s="0" t="s">
        <v>147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99.9228552931035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590</v>
      </c>
      <c r="B663" s="0" t="s">
        <v>147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591</v>
      </c>
      <c r="B664" s="0" t="s">
        <v>48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592</v>
      </c>
      <c r="B665" s="0" t="s">
        <v>48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593</v>
      </c>
      <c r="B666" s="0" t="s">
        <v>147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594</v>
      </c>
      <c r="B667" s="0" t="s">
        <v>147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95.8074495725884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595</v>
      </c>
      <c r="B668" s="0" t="s">
        <v>48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596</v>
      </c>
      <c r="B669" s="0" t="s">
        <v>147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53.6521717606495</v>
      </c>
      <c r="F669" s="21" t="n">
        <f aca="false">F667*snio</f>
        <v>76.4954762784286</v>
      </c>
      <c r="G669" s="21" t="n">
        <f aca="false">G667*snio</f>
        <v>83.2180439093191</v>
      </c>
    </row>
    <row r="670" customFormat="false" ht="17.15" hidden="false" customHeight="false" outlineLevel="0" collapsed="false">
      <c r="A670" s="6" t="s">
        <v>597</v>
      </c>
    </row>
    <row r="671" customFormat="false" ht="15" hidden="false" customHeight="false" outlineLevel="0" collapsed="false">
      <c r="A671" s="4" t="s">
        <v>438</v>
      </c>
      <c r="B671" s="0" t="s">
        <v>147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182.130378447603</v>
      </c>
      <c r="F671" s="21" t="n">
        <f aca="false">F654*wgm</f>
        <v>248.997090811869</v>
      </c>
      <c r="G671" s="21" t="n">
        <f aca="false">G654*wgm</f>
        <v>267.388616894925</v>
      </c>
    </row>
    <row r="672" customFormat="false" ht="15" hidden="false" customHeight="false" outlineLevel="0" collapsed="false">
      <c r="A672" s="4" t="s">
        <v>440</v>
      </c>
      <c r="B672" s="0" t="s">
        <v>147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139.27617175405</v>
      </c>
      <c r="F672" s="21" t="n">
        <f aca="false">F654*wopm</f>
        <v>190.409540032605</v>
      </c>
      <c r="G672" s="21" t="n">
        <f aca="false">G654*wopm</f>
        <v>204.473648213766</v>
      </c>
    </row>
    <row r="673" customFormat="false" ht="15" hidden="false" customHeight="false" outlineLevel="0" collapsed="false">
      <c r="A673" s="4" t="s">
        <v>448</v>
      </c>
      <c r="B673" s="0" t="s">
        <v>147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108.635413968159</v>
      </c>
      <c r="F673" s="21" t="n">
        <f aca="false">F672*wnio</f>
        <v>148.519441225432</v>
      </c>
      <c r="G673" s="21" t="n">
        <f aca="false">G672*wnio</f>
        <v>159.489445606738</v>
      </c>
    </row>
    <row r="674" customFormat="false" ht="15" hidden="false" customHeight="false" outlineLevel="0" collapsed="false">
      <c r="A674" s="4" t="s">
        <v>450</v>
      </c>
      <c r="B674" s="0" t="s">
        <v>48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598</v>
      </c>
    </row>
    <row r="676" customFormat="false" ht="15" hidden="false" customHeight="false" outlineLevel="0" collapsed="false">
      <c r="A676" s="4" t="s">
        <v>424</v>
      </c>
      <c r="B676" s="0" t="s">
        <v>147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331.122306711138</v>
      </c>
      <c r="F676" s="21" t="n">
        <f aca="false">F663+F671</f>
        <v>442.283134578731</v>
      </c>
      <c r="G676" s="21" t="n">
        <f aca="false">G663+G671</f>
        <v>472.935028830223</v>
      </c>
    </row>
    <row r="677" customFormat="false" ht="15" hidden="false" customHeight="false" outlineLevel="0" collapsed="false">
      <c r="A677" s="4" t="s">
        <v>427</v>
      </c>
      <c r="B677" s="0" t="s">
        <v>48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0.0555634787363554</v>
      </c>
      <c r="F677" s="17" t="n">
        <f aca="false">F676/F655</f>
        <v>0.0583191241640536</v>
      </c>
      <c r="G677" s="17" t="n">
        <f aca="false">G676/G655</f>
        <v>0.0600917079524065</v>
      </c>
    </row>
    <row r="678" customFormat="false" ht="15" hidden="false" customHeight="false" outlineLevel="0" collapsed="false">
      <c r="A678" s="4" t="s">
        <v>428</v>
      </c>
      <c r="B678" s="0" t="s">
        <v>147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235.083621326638</v>
      </c>
      <c r="F678" s="21" t="n">
        <f aca="false">F667+F672</f>
        <v>327.008604815514</v>
      </c>
      <c r="G678" s="21" t="n">
        <f aca="false">G667+G672</f>
        <v>353.077298051836</v>
      </c>
    </row>
    <row r="679" customFormat="false" ht="15" hidden="false" customHeight="false" outlineLevel="0" collapsed="false">
      <c r="A679" s="4" t="s">
        <v>431</v>
      </c>
      <c r="B679" s="0" t="s">
        <v>48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0.0394478521383432</v>
      </c>
      <c r="F679" s="17" t="n">
        <f aca="false">F678/F655</f>
        <v>0.0431191106690392</v>
      </c>
      <c r="G679" s="17" t="n">
        <f aca="false">G678/G655</f>
        <v>0.0448624368798284</v>
      </c>
    </row>
    <row r="680" customFormat="false" ht="15" hidden="false" customHeight="false" outlineLevel="0" collapsed="false">
      <c r="A680" s="4" t="s">
        <v>461</v>
      </c>
      <c r="B680" s="0" t="s">
        <v>147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162.287585728808</v>
      </c>
      <c r="F680" s="21" t="n">
        <f aca="false">F669+F673</f>
        <v>225.014917503861</v>
      </c>
      <c r="G680" s="21" t="n">
        <f aca="false">G669+G673</f>
        <v>242.707489516057</v>
      </c>
    </row>
    <row r="681" customFormat="false" ht="17.15" hidden="false" customHeight="false" outlineLevel="0" collapsed="false">
      <c r="A681" s="4" t="s">
        <v>599</v>
      </c>
      <c r="B681" s="0" t="s">
        <v>147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67.7015899849565</v>
      </c>
      <c r="F681" s="21" t="n">
        <f aca="false">(1-F674)*F673</f>
        <v>92.5573157716893</v>
      </c>
      <c r="G681" s="21" t="n">
        <f aca="false">(1-G674)*G673</f>
        <v>99.3938225021189</v>
      </c>
    </row>
    <row r="682" customFormat="false" ht="15" hidden="false" customHeight="false" outlineLevel="0" collapsed="false">
      <c r="A682" s="4" t="s">
        <v>457</v>
      </c>
      <c r="B682" s="0" t="s">
        <v>147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94.5859957438517</v>
      </c>
      <c r="F682" s="21" t="n">
        <f aca="false">F680-F681</f>
        <v>132.457601732171</v>
      </c>
      <c r="G682" s="21" t="n">
        <f aca="false">G680-G681</f>
        <v>143.313667013938</v>
      </c>
      <c r="H682" s="26" t="n">
        <f aca="false">H655*H687</f>
        <v>149.023878751311</v>
      </c>
      <c r="I682" s="26" t="n">
        <f aca="false">I655*I687</f>
        <v>156.056564761349</v>
      </c>
      <c r="J682" s="26" t="n">
        <f aca="false">J655*J687</f>
        <v>164.567658452697</v>
      </c>
    </row>
    <row r="683" customFormat="false" ht="17.15" hidden="false" customHeight="false" outlineLevel="0" collapsed="false">
      <c r="A683" s="4" t="s">
        <v>600</v>
      </c>
      <c r="B683" s="0" t="s">
        <v>48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0.432768335960168</v>
      </c>
      <c r="F683" s="20" t="n">
        <f aca="false">F674*F673/F682</f>
        <v>0.422490855352326</v>
      </c>
      <c r="G683" s="20" t="n">
        <f aca="false">G674*G673/G682</f>
        <v>0.419329323970017</v>
      </c>
    </row>
    <row r="684" customFormat="false" ht="17.15" hidden="false" customHeight="false" outlineLevel="0" collapsed="false">
      <c r="A684" s="4" t="s">
        <v>601</v>
      </c>
      <c r="B684" s="4" t="s">
        <v>282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602</v>
      </c>
    </row>
    <row r="685" customFormat="false" ht="15" hidden="false" customHeight="false" outlineLevel="0" collapsed="false">
      <c r="A685" s="0" t="s">
        <v>464</v>
      </c>
      <c r="B685" s="0" t="s">
        <v>312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27.5760920536011</v>
      </c>
      <c r="F685" s="18" t="n">
        <f aca="false">F682/F684</f>
        <v>38.6173765983007</v>
      </c>
      <c r="G685" s="18" t="n">
        <f aca="false">G682/G684</f>
        <v>41.7824102081451</v>
      </c>
      <c r="H685" s="29" t="n">
        <f aca="false">H682/H684</f>
        <v>43.4471949712276</v>
      </c>
      <c r="I685" s="29" t="n">
        <f aca="false">I682/I684</f>
        <v>45.497540746749</v>
      </c>
      <c r="J685" s="29" t="n">
        <f aca="false">J682/J684</f>
        <v>47.9789091698825</v>
      </c>
    </row>
    <row r="686" customFormat="false" ht="17.15" hidden="false" customHeight="false" outlineLevel="0" collapsed="false">
      <c r="A686" s="0" t="s">
        <v>603</v>
      </c>
      <c r="B686" s="0" t="s">
        <v>48</v>
      </c>
      <c r="D686" s="20" t="n">
        <f aca="false">D685/C685-1</f>
        <v>1.03813580587031</v>
      </c>
      <c r="E686" s="20" t="n">
        <f aca="false">E685/D685-1</f>
        <v>0.496687635833963</v>
      </c>
      <c r="F686" s="20" t="n">
        <f aca="false">F685/E685-1</f>
        <v>0.400393374203934</v>
      </c>
      <c r="G686" s="20" t="n">
        <f aca="false">G685/F685-1</f>
        <v>0.0819587939068784</v>
      </c>
      <c r="H686" s="27" t="n">
        <f aca="false">H685/G685-1</f>
        <v>0.0398441534317691</v>
      </c>
      <c r="I686" s="27" t="n">
        <f aca="false">I685/H685-1</f>
        <v>0.047191672025759</v>
      </c>
      <c r="J686" s="27" t="n">
        <f aca="false">J685/I685-1</f>
        <v>0.0545385175200019</v>
      </c>
    </row>
    <row r="687" customFormat="false" ht="17.15" hidden="false" customHeight="false" outlineLevel="0" collapsed="false">
      <c r="A687" s="4" t="s">
        <v>604</v>
      </c>
      <c r="B687" s="0" t="s">
        <v>48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0.0158718602061905</v>
      </c>
      <c r="F687" s="17" t="n">
        <f aca="false">F682/F655</f>
        <v>0.0174657605455588</v>
      </c>
      <c r="G687" s="17" t="n">
        <f aca="false">G682/G655</f>
        <v>0.0182096112548296</v>
      </c>
      <c r="H687" s="28" t="n">
        <f aca="false">$G687+(fade_mA-$G687)*1/3</f>
        <v>0.0181167460571545</v>
      </c>
      <c r="I687" s="28" t="n">
        <f aca="false">$G687+(fade_mA-$G687)*2/3</f>
        <v>0.0180238808594794</v>
      </c>
      <c r="J687" s="28" t="n">
        <f aca="false">$G687+(fade_mA-$G687)*3/3</f>
        <v>0.0179310156618042</v>
      </c>
    </row>
    <row r="690" customFormat="false" ht="17.15" hidden="false" customHeight="false" outlineLevel="0" collapsed="false">
      <c r="A690" s="1" t="s">
        <v>883</v>
      </c>
    </row>
    <row r="691" customFormat="false" ht="17.15" hidden="false" customHeight="false" outlineLevel="0" collapsed="false">
      <c r="A691" s="5" t="s">
        <v>17</v>
      </c>
      <c r="B691" s="5" t="s">
        <v>18</v>
      </c>
      <c r="C691" s="14" t="s">
        <v>414</v>
      </c>
      <c r="D691" s="14" t="s">
        <v>529</v>
      </c>
      <c r="E691" s="14" t="s">
        <v>530</v>
      </c>
      <c r="F691" s="14" t="s">
        <v>531</v>
      </c>
      <c r="G691" s="14" t="s">
        <v>532</v>
      </c>
      <c r="H691" s="14" t="s">
        <v>533</v>
      </c>
      <c r="I691" s="14" t="s">
        <v>534</v>
      </c>
      <c r="J691" s="14" t="s">
        <v>535</v>
      </c>
      <c r="K691" s="5" t="s">
        <v>496</v>
      </c>
    </row>
    <row r="692" customFormat="false" ht="17.15" hidden="false" customHeight="false" outlineLevel="0" collapsed="false">
      <c r="A692" s="6" t="s">
        <v>550</v>
      </c>
    </row>
    <row r="693" customFormat="false" ht="17.15" hidden="false" customHeight="false" outlineLevel="0" collapsed="false">
      <c r="A693" s="0" t="s">
        <v>551</v>
      </c>
      <c r="B693" s="0" t="s">
        <v>28</v>
      </c>
      <c r="D693" s="21" t="n">
        <f aca="false">itc_26*1</f>
        <v>781.872916666667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552</v>
      </c>
      <c r="B694" s="0" t="s">
        <v>28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553</v>
      </c>
      <c r="B695" s="0" t="s">
        <v>498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554</v>
      </c>
      <c r="B696" s="0" t="s">
        <v>555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556</v>
      </c>
    </row>
    <row r="697" customFormat="false" ht="17.15" hidden="false" customHeight="false" outlineLevel="0" collapsed="false">
      <c r="A697" s="0" t="s">
        <v>557</v>
      </c>
      <c r="B697" s="0" t="s">
        <v>28</v>
      </c>
      <c r="D697" s="21" t="n">
        <f aca="false">D695*D696</f>
        <v>634.616531285011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558</v>
      </c>
      <c r="B698" s="0" t="s">
        <v>147</v>
      </c>
      <c r="D698" s="21" t="n">
        <f aca="false">D697*fx</f>
        <v>20307.7290011204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559</v>
      </c>
    </row>
    <row r="700" customFormat="false" ht="17.15" hidden="false" customHeight="false" outlineLevel="0" collapsed="false">
      <c r="A700" s="4" t="s">
        <v>560</v>
      </c>
      <c r="B700" s="0" t="s">
        <v>48</v>
      </c>
      <c r="D700" s="20" t="n">
        <f aca="false">a26_ais/D698</f>
        <v>0.0875096501918446</v>
      </c>
      <c r="K700" s="8" t="s">
        <v>561</v>
      </c>
    </row>
    <row r="701" customFormat="false" ht="17.15" hidden="false" customHeight="false" outlineLevel="0" collapsed="false">
      <c r="A701" s="4" t="s">
        <v>562</v>
      </c>
      <c r="B701" s="0" t="s">
        <v>60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563</v>
      </c>
      <c r="B702" s="0" t="s">
        <v>48</v>
      </c>
      <c r="D702" s="20" t="n">
        <f aca="false">$D$700*D701</f>
        <v>0.0875096501918446</v>
      </c>
      <c r="E702" s="20" t="n">
        <f aca="false">$D$700*E701</f>
        <v>0.0875096501918446</v>
      </c>
      <c r="F702" s="20" t="n">
        <f aca="false">$D$700*F701</f>
        <v>0.0831341676822524</v>
      </c>
      <c r="G702" s="20" t="n">
        <f aca="false">$D$700*G701</f>
        <v>0.0787586851726601</v>
      </c>
    </row>
    <row r="703" customFormat="false" ht="17.15" hidden="false" customHeight="false" outlineLevel="0" collapsed="false">
      <c r="A703" s="4" t="s">
        <v>564</v>
      </c>
      <c r="B703" s="0" t="s">
        <v>147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565</v>
      </c>
      <c r="B704" s="0" t="s">
        <v>48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566</v>
      </c>
    </row>
    <row r="705" customFormat="false" ht="17.15" hidden="false" customHeight="false" outlineLevel="0" collapsed="false">
      <c r="A705" s="4" t="s">
        <v>567</v>
      </c>
      <c r="B705" s="0" t="s">
        <v>147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3072.99589502208</v>
      </c>
      <c r="G705" s="21" t="n">
        <f aca="false">G703*(1-G704)</f>
        <v>3109.11053614536</v>
      </c>
    </row>
    <row r="706" customFormat="false" ht="17.15" hidden="false" customHeight="false" outlineLevel="0" collapsed="false">
      <c r="A706" s="6" t="s">
        <v>568</v>
      </c>
    </row>
    <row r="707" customFormat="false" ht="17.15" hidden="false" customHeight="false" outlineLevel="0" collapsed="false">
      <c r="A707" s="0" t="s">
        <v>569</v>
      </c>
      <c r="B707" s="4" t="s">
        <v>81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570</v>
      </c>
      <c r="B708" s="0" t="s">
        <v>48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571</v>
      </c>
      <c r="B709" s="0" t="s">
        <v>520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572</v>
      </c>
    </row>
    <row r="710" customFormat="false" ht="17.15" hidden="false" customHeight="false" outlineLevel="0" collapsed="false">
      <c r="A710" s="0" t="s">
        <v>522</v>
      </c>
      <c r="B710" s="0" t="s">
        <v>147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573</v>
      </c>
    </row>
    <row r="712" customFormat="false" ht="15" hidden="false" customHeight="false" outlineLevel="0" collapsed="false">
      <c r="A712" s="4" t="s">
        <v>574</v>
      </c>
      <c r="B712" s="0" t="s">
        <v>147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575</v>
      </c>
      <c r="B713" s="0" t="s">
        <v>147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576</v>
      </c>
      <c r="B714" s="0" t="s">
        <v>147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3782.70595041623</v>
      </c>
      <c r="F714" s="21" t="n">
        <f aca="false">F705+F710+F712+F713</f>
        <v>3994.41808938963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577</v>
      </c>
      <c r="B715" s="0" t="s">
        <v>48</v>
      </c>
      <c r="D715" s="20" t="n">
        <f aca="false">a26_wai/D698</f>
        <v>0.0391523244650416</v>
      </c>
      <c r="K715" s="8" t="s">
        <v>578</v>
      </c>
    </row>
    <row r="716" customFormat="false" ht="17.15" hidden="false" customHeight="false" outlineLevel="0" collapsed="false">
      <c r="A716" s="4" t="s">
        <v>504</v>
      </c>
      <c r="B716" s="0" t="s">
        <v>48</v>
      </c>
      <c r="D716" s="20" t="n">
        <f aca="false">D715</f>
        <v>0.0391523244650416</v>
      </c>
      <c r="E716" s="20" t="n">
        <f aca="false">$D$715*wrel_27</f>
        <v>0.0391523244650416</v>
      </c>
      <c r="F716" s="20" t="n">
        <f aca="false">$D$715*wrel_28</f>
        <v>0.0391523244650416</v>
      </c>
      <c r="G716" s="20" t="n">
        <f aca="false">$D$715*wrel_29</f>
        <v>0.0371947082417896</v>
      </c>
    </row>
    <row r="717" customFormat="false" ht="17.15" hidden="false" customHeight="false" outlineLevel="0" collapsed="false">
      <c r="A717" s="4" t="s">
        <v>524</v>
      </c>
      <c r="B717" s="0" t="s">
        <v>147</v>
      </c>
      <c r="D717" s="21" t="n">
        <f aca="false">D698*D716</f>
        <v>795.094795</v>
      </c>
      <c r="E717" s="21" t="n">
        <f aca="false">E698*E716</f>
        <v>1427.12501917769</v>
      </c>
      <c r="F717" s="21" t="n">
        <f aca="false">F698*F716</f>
        <v>1809.04758711097</v>
      </c>
      <c r="G717" s="21" t="n">
        <f aca="false">G698*G716</f>
        <v>1957.75164825537</v>
      </c>
    </row>
    <row r="718" customFormat="false" ht="17.15" hidden="false" customHeight="false" outlineLevel="0" collapsed="false">
      <c r="A718" s="4" t="s">
        <v>579</v>
      </c>
      <c r="B718" s="0" t="s">
        <v>147</v>
      </c>
      <c r="D718" s="21" t="n">
        <f aca="false">a26_wna</f>
        <v>650.532105</v>
      </c>
      <c r="E718" s="21" t="n">
        <f aca="false">D718*(1+g_wn27)</f>
        <v>715.5853155</v>
      </c>
      <c r="F718" s="21" t="n">
        <f aca="false">E718*(1+g_wn28)</f>
        <v>758.52043443</v>
      </c>
      <c r="G718" s="21" t="n">
        <f aca="false">F718*(1+g_wn29)</f>
        <v>796.4464561515</v>
      </c>
    </row>
    <row r="719" customFormat="false" ht="15" hidden="false" customHeight="false" outlineLevel="0" collapsed="false">
      <c r="A719" s="4" t="s">
        <v>434</v>
      </c>
      <c r="B719" s="0" t="s">
        <v>147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2142.71033467769</v>
      </c>
      <c r="F719" s="21" t="n">
        <f aca="false">F717+F718</f>
        <v>2567.56802154097</v>
      </c>
      <c r="G719" s="21" t="n">
        <f aca="false">G717+G718</f>
        <v>2754.19810440687</v>
      </c>
    </row>
    <row r="720" customFormat="false" ht="17.15" hidden="false" customHeight="false" outlineLevel="0" collapsed="false">
      <c r="A720" s="4" t="s">
        <v>420</v>
      </c>
      <c r="B720" s="0" t="s">
        <v>147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5925.41628509392</v>
      </c>
      <c r="F720" s="21" t="n">
        <f aca="false">F714+F719</f>
        <v>6561.9861109306</v>
      </c>
      <c r="G720" s="21" t="n">
        <f aca="false">G714+G719</f>
        <v>6805.86664330302</v>
      </c>
      <c r="H720" s="26" t="n">
        <f aca="false">G720*(1+H721)</f>
        <v>7110.61365140917</v>
      </c>
      <c r="I720" s="26" t="n">
        <f aca="false">H720*(1+I721)</f>
        <v>7483.12840945749</v>
      </c>
      <c r="J720" s="26" t="n">
        <f aca="false">I720*(1+J721)</f>
        <v>7932.11611402494</v>
      </c>
      <c r="K720" s="8" t="s">
        <v>580</v>
      </c>
    </row>
    <row r="721" customFormat="false" ht="15" hidden="false" customHeight="false" outlineLevel="0" collapsed="false">
      <c r="A721" s="4" t="s">
        <v>581</v>
      </c>
      <c r="B721" s="0" t="s">
        <v>48</v>
      </c>
      <c r="D721" s="20" t="n">
        <f aca="false">D720/C720-1</f>
        <v>0.873912121761526</v>
      </c>
      <c r="E721" s="20" t="n">
        <f aca="false">E720/D720-1</f>
        <v>0.446157506436579</v>
      </c>
      <c r="F721" s="20" t="n">
        <f aca="false">F720/E720-1</f>
        <v>0.107430397327196</v>
      </c>
      <c r="G721" s="20" t="n">
        <f aca="false">G720/F720-1</f>
        <v>0.037165658117772</v>
      </c>
      <c r="H721" s="27" t="n">
        <f aca="false">$G721+(fade_gA-$G721)*1/3</f>
        <v>0.044777105411848</v>
      </c>
      <c r="I721" s="27" t="n">
        <f aca="false">$G721+(fade_gA-$G721)*2/3</f>
        <v>0.052388552705924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582</v>
      </c>
      <c r="B722" s="0" t="s">
        <v>48</v>
      </c>
      <c r="D722" s="20" t="n">
        <f aca="false">(D705+D710+D717)/D720</f>
        <v>0.6546220793463</v>
      </c>
      <c r="E722" s="20" t="n">
        <f aca="false">(E705+E710+E717)/E720</f>
        <v>0.748245531948484</v>
      </c>
      <c r="F722" s="20" t="n">
        <f aca="false">(F705+F710+F717)/F720</f>
        <v>0.7633818302082</v>
      </c>
      <c r="G722" s="20" t="n">
        <f aca="false">(G705+G710+G717)/G720</f>
        <v>0.763960822378167</v>
      </c>
    </row>
    <row r="723" customFormat="false" ht="17.15" hidden="false" customHeight="false" outlineLevel="0" collapsed="false">
      <c r="A723" s="4" t="s">
        <v>583</v>
      </c>
      <c r="B723" s="0" t="s">
        <v>48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0.361613468418738</v>
      </c>
      <c r="F723" s="20" t="n">
        <f aca="false">F719/F720</f>
        <v>0.391279100280943</v>
      </c>
      <c r="G723" s="20" t="n">
        <f aca="false">G719/G720</f>
        <v>0.404679998706264</v>
      </c>
    </row>
    <row r="724" customFormat="false" ht="17.15" hidden="false" customHeight="false" outlineLevel="0" collapsed="false">
      <c r="A724" s="4" t="s">
        <v>584</v>
      </c>
      <c r="B724" s="4" t="s">
        <v>331</v>
      </c>
      <c r="D724" s="21" t="n">
        <f aca="false">D703/fx/(odm_gb*(1-vr26)+odm_vr*vr26)</f>
        <v>12.0597330420658</v>
      </c>
      <c r="E724" s="21" t="n">
        <f aca="false">E703/fx/odm_vr</f>
        <v>14.7674893195131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585</v>
      </c>
    </row>
    <row r="725" customFormat="false" ht="17.15" hidden="false" customHeight="false" outlineLevel="0" collapsed="false">
      <c r="A725" s="6" t="s">
        <v>586</v>
      </c>
    </row>
    <row r="726" customFormat="false" ht="17.15" hidden="false" customHeight="false" outlineLevel="0" collapsed="false">
      <c r="A726" s="4" t="s">
        <v>587</v>
      </c>
      <c r="B726" s="0" t="s">
        <v>48</v>
      </c>
      <c r="D726" s="17" t="n">
        <f aca="false">(a26_sgp-d_ai*D705-d_brd*D710-d_gen*D712)/D714</f>
        <v>0.0436423860147897</v>
      </c>
      <c r="K726" s="8" t="s">
        <v>588</v>
      </c>
    </row>
    <row r="727" customFormat="false" ht="17.15" hidden="false" customHeight="false" outlineLevel="0" collapsed="false">
      <c r="A727" s="4" t="s">
        <v>589</v>
      </c>
      <c r="B727" s="0" t="s">
        <v>147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99.9228552931035</v>
      </c>
      <c r="F727" s="25" t="n">
        <f aca="false">($D$726+d_ai+vrd)*F703*(1-F704*(1-keep))</f>
        <v>119.115229856887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590</v>
      </c>
      <c r="B728" s="0" t="s">
        <v>147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591</v>
      </c>
      <c r="B729" s="0" t="s">
        <v>48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0.0434915284356781</v>
      </c>
    </row>
    <row r="730" customFormat="false" ht="15" hidden="false" customHeight="false" outlineLevel="0" collapsed="false">
      <c r="A730" s="4" t="s">
        <v>592</v>
      </c>
      <c r="B730" s="0" t="s">
        <v>48</v>
      </c>
      <c r="E730" s="20" t="n">
        <f aca="false">MAX(0,phi*(E714/D714-1))</f>
        <v>0.127952280845644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593</v>
      </c>
      <c r="B731" s="0" t="s">
        <v>147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53.0040675706732</v>
      </c>
      <c r="F731" s="21" t="n">
        <f aca="false">E731*(1+F730)+0*F714</f>
        <v>53.8940340126942</v>
      </c>
      <c r="G731" s="21" t="n">
        <f aca="false">F731*(1+G730)+0*G714</f>
        <v>54.1257667159739</v>
      </c>
    </row>
    <row r="732" customFormat="false" ht="15" hidden="false" customHeight="false" outlineLevel="0" collapsed="false">
      <c r="A732" s="4" t="s">
        <v>594</v>
      </c>
      <c r="B732" s="0" t="s">
        <v>147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93.4887820699686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595</v>
      </c>
      <c r="B733" s="0" t="s">
        <v>48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596</v>
      </c>
      <c r="B734" s="0" t="s">
        <v>147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52.3537179591824</v>
      </c>
      <c r="F734" s="21" t="n">
        <f aca="false">F732*snio</f>
        <v>62.8443107511938</v>
      </c>
      <c r="G734" s="21" t="n">
        <f aca="false">G732*snio</f>
        <v>68.3689948230072</v>
      </c>
    </row>
    <row r="735" customFormat="false" ht="17.15" hidden="false" customHeight="false" outlineLevel="0" collapsed="false">
      <c r="A735" s="6" t="s">
        <v>597</v>
      </c>
    </row>
    <row r="736" customFormat="false" ht="15" hidden="false" customHeight="false" outlineLevel="0" collapsed="false">
      <c r="A736" s="4" t="s">
        <v>438</v>
      </c>
      <c r="B736" s="0" t="s">
        <v>147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182.130378447603</v>
      </c>
      <c r="F736" s="21" t="n">
        <f aca="false">F719*wgm</f>
        <v>218.243281830982</v>
      </c>
      <c r="G736" s="21" t="n">
        <f aca="false">G719*wgm</f>
        <v>234.106838874584</v>
      </c>
    </row>
    <row r="737" customFormat="false" ht="15" hidden="false" customHeight="false" outlineLevel="0" collapsed="false">
      <c r="A737" s="4" t="s">
        <v>440</v>
      </c>
      <c r="B737" s="0" t="s">
        <v>147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139.27617175405</v>
      </c>
      <c r="F737" s="21" t="n">
        <f aca="false">F719*wopm</f>
        <v>166.891921400163</v>
      </c>
      <c r="G737" s="21" t="n">
        <f aca="false">G719*wopm</f>
        <v>179.022876786446</v>
      </c>
    </row>
    <row r="738" customFormat="false" ht="15" hidden="false" customHeight="false" outlineLevel="0" collapsed="false">
      <c r="A738" s="4" t="s">
        <v>448</v>
      </c>
      <c r="B738" s="0" t="s">
        <v>147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108.635413968159</v>
      </c>
      <c r="F738" s="21" t="n">
        <f aca="false">F737*wnio</f>
        <v>130.175698692127</v>
      </c>
      <c r="G738" s="21" t="n">
        <f aca="false">G737*wnio</f>
        <v>139.637843893428</v>
      </c>
    </row>
    <row r="739" customFormat="false" ht="15" hidden="false" customHeight="false" outlineLevel="0" collapsed="false">
      <c r="A739" s="4" t="s">
        <v>450</v>
      </c>
      <c r="B739" s="0" t="s">
        <v>48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598</v>
      </c>
    </row>
    <row r="741" customFormat="false" ht="15" hidden="false" customHeight="false" outlineLevel="0" collapsed="false">
      <c r="A741" s="4" t="s">
        <v>424</v>
      </c>
      <c r="B741" s="0" t="s">
        <v>147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328.623228088245</v>
      </c>
      <c r="F741" s="21" t="n">
        <f aca="false">F728+F736</f>
        <v>384.359299327951</v>
      </c>
      <c r="G741" s="21" t="n">
        <f aca="false">G728+G736</f>
        <v>410.320096345928</v>
      </c>
    </row>
    <row r="742" customFormat="false" ht="15" hidden="false" customHeight="false" outlineLevel="0" collapsed="false">
      <c r="A742" s="4" t="s">
        <v>427</v>
      </c>
      <c r="B742" s="0" t="s">
        <v>48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0.0554599393995213</v>
      </c>
      <c r="F742" s="17" t="n">
        <f aca="false">F741/F720</f>
        <v>0.058573622807233</v>
      </c>
      <c r="G742" s="17" t="n">
        <f aca="false">G741/G720</f>
        <v>0.0602891766546268</v>
      </c>
    </row>
    <row r="743" customFormat="false" ht="15" hidden="false" customHeight="false" outlineLevel="0" collapsed="false">
      <c r="A743" s="4" t="s">
        <v>428</v>
      </c>
      <c r="B743" s="0" t="s">
        <v>147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232.764953824018</v>
      </c>
      <c r="F743" s="21" t="n">
        <f aca="false">F732+F737</f>
        <v>279.113904884438</v>
      </c>
      <c r="G743" s="21" t="n">
        <f aca="false">G732+G737</f>
        <v>301.110367541816</v>
      </c>
    </row>
    <row r="744" customFormat="false" ht="15" hidden="false" customHeight="false" outlineLevel="0" collapsed="false">
      <c r="A744" s="4" t="s">
        <v>431</v>
      </c>
      <c r="B744" s="0" t="s">
        <v>48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0.0392824643239945</v>
      </c>
      <c r="F744" s="17" t="n">
        <f aca="false">F743/F720</f>
        <v>0.0425349734312154</v>
      </c>
      <c r="G744" s="17" t="n">
        <f aca="false">G743/G720</f>
        <v>0.044242766325448</v>
      </c>
    </row>
    <row r="745" customFormat="false" ht="15" hidden="false" customHeight="false" outlineLevel="0" collapsed="false">
      <c r="A745" s="4" t="s">
        <v>461</v>
      </c>
      <c r="B745" s="0" t="s">
        <v>147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160.989131927341</v>
      </c>
      <c r="F745" s="21" t="n">
        <f aca="false">F734+F738</f>
        <v>193.020009443321</v>
      </c>
      <c r="G745" s="21" t="n">
        <f aca="false">G734+G738</f>
        <v>208.006838716435</v>
      </c>
    </row>
    <row r="746" customFormat="false" ht="17.15" hidden="false" customHeight="false" outlineLevel="0" collapsed="false">
      <c r="A746" s="4" t="s">
        <v>599</v>
      </c>
      <c r="B746" s="0" t="s">
        <v>147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67.7015899849565</v>
      </c>
      <c r="F746" s="21" t="n">
        <f aca="false">(1-F739)*F738</f>
        <v>81.1254954249335</v>
      </c>
      <c r="G746" s="21" t="n">
        <f aca="false">(1-G739)*G738</f>
        <v>87.0223043143844</v>
      </c>
    </row>
    <row r="747" customFormat="false" ht="15" hidden="false" customHeight="false" outlineLevel="0" collapsed="false">
      <c r="A747" s="4" t="s">
        <v>457</v>
      </c>
      <c r="B747" s="0" t="s">
        <v>147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93.2875419423846</v>
      </c>
      <c r="F747" s="21" t="n">
        <f aca="false">F745-F746</f>
        <v>111.894514018387</v>
      </c>
      <c r="G747" s="21" t="n">
        <f aca="false">G745-G746</f>
        <v>120.984534402051</v>
      </c>
      <c r="H747" s="26" t="n">
        <f aca="false">H720*H752</f>
        <v>126.768089350936</v>
      </c>
      <c r="I747" s="26" t="n">
        <f aca="false">I720*I752</f>
        <v>133.7946893953</v>
      </c>
      <c r="J747" s="26" t="n">
        <f aca="false">J720*J752</f>
        <v>142.230898271831</v>
      </c>
    </row>
    <row r="748" customFormat="false" ht="17.15" hidden="false" customHeight="false" outlineLevel="0" collapsed="false">
      <c r="A748" s="4" t="s">
        <v>600</v>
      </c>
      <c r="B748" s="0" t="s">
        <v>48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0.438791966546652</v>
      </c>
      <c r="F748" s="20" t="n">
        <f aca="false">F739*F738/F747</f>
        <v>0.438361109098996</v>
      </c>
      <c r="G748" s="20" t="n">
        <f aca="false">G739*G738/G747</f>
        <v>0.434894756086707</v>
      </c>
    </row>
    <row r="749" customFormat="false" ht="17.15" hidden="false" customHeight="false" outlineLevel="0" collapsed="false">
      <c r="A749" s="4" t="s">
        <v>601</v>
      </c>
      <c r="B749" s="4" t="s">
        <v>282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602</v>
      </c>
    </row>
    <row r="750" customFormat="false" ht="15" hidden="false" customHeight="false" outlineLevel="0" collapsed="false">
      <c r="A750" s="0" t="s">
        <v>464</v>
      </c>
      <c r="B750" s="0" t="s">
        <v>312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27.1975340939897</v>
      </c>
      <c r="F750" s="18" t="n">
        <f aca="false">F747/F749</f>
        <v>32.6223072939905</v>
      </c>
      <c r="G750" s="18" t="n">
        <f aca="false">G747/G749</f>
        <v>35.2724590093443</v>
      </c>
      <c r="H750" s="29" t="n">
        <f aca="false">H747/H749</f>
        <v>36.9586266329258</v>
      </c>
      <c r="I750" s="29" t="n">
        <f aca="false">I747/I749</f>
        <v>39.0071980744316</v>
      </c>
      <c r="J750" s="29" t="n">
        <f aca="false">J747/J749</f>
        <v>41.4667341900382</v>
      </c>
    </row>
    <row r="751" customFormat="false" ht="17.15" hidden="false" customHeight="false" outlineLevel="0" collapsed="false">
      <c r="A751" s="0" t="s">
        <v>603</v>
      </c>
      <c r="B751" s="0" t="s">
        <v>48</v>
      </c>
      <c r="D751" s="20" t="n">
        <f aca="false">D750/C750-1</f>
        <v>1.03813580587031</v>
      </c>
      <c r="E751" s="20" t="n">
        <f aca="false">E750/D750-1</f>
        <v>0.476141467925341</v>
      </c>
      <c r="F751" s="20" t="n">
        <f aca="false">F750/E750-1</f>
        <v>0.199458273726352</v>
      </c>
      <c r="G751" s="20" t="n">
        <f aca="false">G750/F750-1</f>
        <v>0.0812374088525014</v>
      </c>
      <c r="H751" s="27" t="n">
        <f aca="false">H750/G750-1</f>
        <v>0.0478040848565404</v>
      </c>
      <c r="I751" s="27" t="n">
        <f aca="false">I750/H750-1</f>
        <v>0.0554287761245091</v>
      </c>
      <c r="J751" s="27" t="n">
        <f aca="false">J750/I750-1</f>
        <v>0.0630533910924185</v>
      </c>
    </row>
    <row r="752" customFormat="false" ht="17.15" hidden="false" customHeight="false" outlineLevel="0" collapsed="false">
      <c r="A752" s="4" t="s">
        <v>604</v>
      </c>
      <c r="B752" s="0" t="s">
        <v>48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0.015743626684434</v>
      </c>
      <c r="F752" s="17" t="n">
        <f aca="false">F747/F720</f>
        <v>0.0170519278960374</v>
      </c>
      <c r="G752" s="17" t="n">
        <f aca="false">G747/G720</f>
        <v>0.0177765067614277</v>
      </c>
      <c r="H752" s="28" t="n">
        <f aca="false">$G752+(fade_mA-$G752)*1/3</f>
        <v>0.0178280097282199</v>
      </c>
      <c r="I752" s="28" t="n">
        <f aca="false">$G752+(fade_mA-$G752)*2/3</f>
        <v>0.017879512695012</v>
      </c>
      <c r="J752" s="28" t="n">
        <f aca="false">$G752+(fade_mA-$G752)*3/3</f>
        <v>0.0179310156618042</v>
      </c>
    </row>
    <row r="755" customFormat="false" ht="17.15" hidden="false" customHeight="false" outlineLevel="0" collapsed="false">
      <c r="A755" s="1" t="s">
        <v>884</v>
      </c>
    </row>
    <row r="756" customFormat="false" ht="17.15" hidden="false" customHeight="false" outlineLevel="0" collapsed="false">
      <c r="A756" s="5" t="s">
        <v>17</v>
      </c>
      <c r="B756" s="5" t="s">
        <v>18</v>
      </c>
      <c r="C756" s="14" t="s">
        <v>414</v>
      </c>
      <c r="D756" s="14" t="s">
        <v>529</v>
      </c>
      <c r="E756" s="14" t="s">
        <v>530</v>
      </c>
      <c r="F756" s="14" t="s">
        <v>531</v>
      </c>
      <c r="G756" s="14" t="s">
        <v>532</v>
      </c>
      <c r="H756" s="14" t="s">
        <v>533</v>
      </c>
      <c r="I756" s="14" t="s">
        <v>534</v>
      </c>
      <c r="J756" s="14" t="s">
        <v>535</v>
      </c>
      <c r="K756" s="5" t="s">
        <v>496</v>
      </c>
    </row>
    <row r="757" customFormat="false" ht="17.15" hidden="false" customHeight="false" outlineLevel="0" collapsed="false">
      <c r="A757" s="6" t="s">
        <v>550</v>
      </c>
    </row>
    <row r="758" customFormat="false" ht="17.15" hidden="false" customHeight="false" outlineLevel="0" collapsed="false">
      <c r="A758" s="0" t="s">
        <v>551</v>
      </c>
      <c r="B758" s="0" t="s">
        <v>28</v>
      </c>
      <c r="D758" s="21" t="n">
        <f aca="false">itc_26*1</f>
        <v>781.872916666667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552</v>
      </c>
      <c r="B759" s="0" t="s">
        <v>28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553</v>
      </c>
      <c r="B760" s="0" t="s">
        <v>498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554</v>
      </c>
      <c r="B761" s="0" t="s">
        <v>555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556</v>
      </c>
    </row>
    <row r="762" customFormat="false" ht="17.15" hidden="false" customHeight="false" outlineLevel="0" collapsed="false">
      <c r="A762" s="0" t="s">
        <v>557</v>
      </c>
      <c r="B762" s="0" t="s">
        <v>28</v>
      </c>
      <c r="D762" s="21" t="n">
        <f aca="false">D760*D761</f>
        <v>634.616531285011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558</v>
      </c>
      <c r="B763" s="0" t="s">
        <v>147</v>
      </c>
      <c r="D763" s="21" t="n">
        <f aca="false">D762*fx</f>
        <v>20307.7290011204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559</v>
      </c>
    </row>
    <row r="765" customFormat="false" ht="17.15" hidden="false" customHeight="false" outlineLevel="0" collapsed="false">
      <c r="A765" s="4" t="s">
        <v>560</v>
      </c>
      <c r="B765" s="0" t="s">
        <v>48</v>
      </c>
      <c r="D765" s="20" t="n">
        <f aca="false">a26_ais/D763</f>
        <v>0.0875096501918446</v>
      </c>
      <c r="K765" s="8" t="s">
        <v>561</v>
      </c>
    </row>
    <row r="766" customFormat="false" ht="17.15" hidden="false" customHeight="false" outlineLevel="0" collapsed="false">
      <c r="A766" s="4" t="s">
        <v>562</v>
      </c>
      <c r="B766" s="0" t="s">
        <v>60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563</v>
      </c>
      <c r="B767" s="0" t="s">
        <v>48</v>
      </c>
      <c r="D767" s="20" t="n">
        <f aca="false">$D$765*D766</f>
        <v>0.0875096501918446</v>
      </c>
      <c r="E767" s="20" t="n">
        <f aca="false">$D$765*E766</f>
        <v>0.0875096501918446</v>
      </c>
      <c r="F767" s="20" t="n">
        <f aca="false">$D$765*F766</f>
        <v>0.0831341676822524</v>
      </c>
      <c r="G767" s="20" t="n">
        <f aca="false">$D$765*G766</f>
        <v>0.0787586851726601</v>
      </c>
    </row>
    <row r="768" customFormat="false" ht="17.15" hidden="false" customHeight="false" outlineLevel="0" collapsed="false">
      <c r="A768" s="4" t="s">
        <v>564</v>
      </c>
      <c r="B768" s="0" t="s">
        <v>147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565</v>
      </c>
      <c r="B769" s="0" t="s">
        <v>48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566</v>
      </c>
    </row>
    <row r="770" customFormat="false" ht="17.15" hidden="false" customHeight="false" outlineLevel="0" collapsed="false">
      <c r="A770" s="4" t="s">
        <v>567</v>
      </c>
      <c r="B770" s="0" t="s">
        <v>147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3072.99589502208</v>
      </c>
      <c r="G770" s="21" t="n">
        <f aca="false">G768*(1-G769)</f>
        <v>3109.11053614536</v>
      </c>
    </row>
    <row r="771" customFormat="false" ht="17.15" hidden="false" customHeight="false" outlineLevel="0" collapsed="false">
      <c r="A771" s="6" t="s">
        <v>568</v>
      </c>
    </row>
    <row r="772" customFormat="false" ht="17.15" hidden="false" customHeight="false" outlineLevel="0" collapsed="false">
      <c r="A772" s="0" t="s">
        <v>569</v>
      </c>
      <c r="B772" s="4" t="s">
        <v>81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570</v>
      </c>
      <c r="B773" s="0" t="s">
        <v>48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571</v>
      </c>
      <c r="B774" s="0" t="s">
        <v>520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572</v>
      </c>
    </row>
    <row r="775" customFormat="false" ht="17.15" hidden="false" customHeight="false" outlineLevel="0" collapsed="false">
      <c r="A775" s="0" t="s">
        <v>522</v>
      </c>
      <c r="B775" s="0" t="s">
        <v>147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573</v>
      </c>
    </row>
    <row r="777" customFormat="false" ht="15" hidden="false" customHeight="false" outlineLevel="0" collapsed="false">
      <c r="A777" s="4" t="s">
        <v>574</v>
      </c>
      <c r="B777" s="0" t="s">
        <v>147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575</v>
      </c>
      <c r="B778" s="0" t="s">
        <v>147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576</v>
      </c>
      <c r="B779" s="0" t="s">
        <v>147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3853.52750730246</v>
      </c>
      <c r="F779" s="21" t="n">
        <f aca="false">F770+F775+F777+F778</f>
        <v>4083.04383789263</v>
      </c>
      <c r="G779" s="21" t="n">
        <f aca="false">G770+G775+G777+G778</f>
        <v>4148.53440715962</v>
      </c>
    </row>
    <row r="780" customFormat="false" ht="17.15" hidden="false" customHeight="false" outlineLevel="0" collapsed="false">
      <c r="A780" s="4" t="s">
        <v>577</v>
      </c>
      <c r="B780" s="0" t="s">
        <v>48</v>
      </c>
      <c r="D780" s="20" t="n">
        <f aca="false">a26_wai/D763</f>
        <v>0.0391523244650416</v>
      </c>
      <c r="K780" s="8" t="s">
        <v>578</v>
      </c>
    </row>
    <row r="781" customFormat="false" ht="17.15" hidden="false" customHeight="false" outlineLevel="0" collapsed="false">
      <c r="A781" s="4" t="s">
        <v>504</v>
      </c>
      <c r="B781" s="0" t="s">
        <v>48</v>
      </c>
      <c r="D781" s="20" t="n">
        <f aca="false">D780</f>
        <v>0.0391523244650416</v>
      </c>
      <c r="E781" s="20" t="n">
        <f aca="false">$D$780*wrel_27</f>
        <v>0.0391523244650416</v>
      </c>
      <c r="F781" s="20" t="n">
        <f aca="false">$D$780*wrel_28</f>
        <v>0.0391523244650416</v>
      </c>
      <c r="G781" s="20" t="n">
        <f aca="false">$D$780*wrel_29</f>
        <v>0.0371947082417896</v>
      </c>
    </row>
    <row r="782" customFormat="false" ht="17.15" hidden="false" customHeight="false" outlineLevel="0" collapsed="false">
      <c r="A782" s="4" t="s">
        <v>524</v>
      </c>
      <c r="B782" s="0" t="s">
        <v>147</v>
      </c>
      <c r="D782" s="21" t="n">
        <f aca="false">D763*D781</f>
        <v>795.094795</v>
      </c>
      <c r="E782" s="21" t="n">
        <f aca="false">E763*E781</f>
        <v>1427.12501917769</v>
      </c>
      <c r="F782" s="21" t="n">
        <f aca="false">F763*F781</f>
        <v>1809.04758711097</v>
      </c>
      <c r="G782" s="21" t="n">
        <f aca="false">G763*G781</f>
        <v>1957.75164825537</v>
      </c>
    </row>
    <row r="783" customFormat="false" ht="17.15" hidden="false" customHeight="false" outlineLevel="0" collapsed="false">
      <c r="A783" s="4" t="s">
        <v>579</v>
      </c>
      <c r="B783" s="0" t="s">
        <v>147</v>
      </c>
      <c r="D783" s="21" t="n">
        <f aca="false">a26_wna</f>
        <v>650.532105</v>
      </c>
      <c r="E783" s="21" t="n">
        <f aca="false">D783*(1+g_wn27)</f>
        <v>715.5853155</v>
      </c>
      <c r="F783" s="21" t="n">
        <f aca="false">E783*(1+g_wn28)</f>
        <v>758.52043443</v>
      </c>
      <c r="G783" s="21" t="n">
        <f aca="false">F783*(1+g_wn29)</f>
        <v>796.4464561515</v>
      </c>
    </row>
    <row r="784" customFormat="false" ht="15" hidden="false" customHeight="false" outlineLevel="0" collapsed="false">
      <c r="A784" s="4" t="s">
        <v>434</v>
      </c>
      <c r="B784" s="0" t="s">
        <v>147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2142.71033467769</v>
      </c>
      <c r="F784" s="21" t="n">
        <f aca="false">F782+F783</f>
        <v>2567.56802154097</v>
      </c>
      <c r="G784" s="21" t="n">
        <f aca="false">G782+G783</f>
        <v>2754.19810440687</v>
      </c>
    </row>
    <row r="785" customFormat="false" ht="17.15" hidden="false" customHeight="false" outlineLevel="0" collapsed="false">
      <c r="A785" s="4" t="s">
        <v>420</v>
      </c>
      <c r="B785" s="0" t="s">
        <v>147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5996.23784198015</v>
      </c>
      <c r="F785" s="21" t="n">
        <f aca="false">F779+F784</f>
        <v>6650.6118594336</v>
      </c>
      <c r="G785" s="21" t="n">
        <f aca="false">G779+G784</f>
        <v>6902.73251156649</v>
      </c>
      <c r="H785" s="26" t="n">
        <f aca="false">G785*(1+H786)</f>
        <v>7215.23942364462</v>
      </c>
      <c r="I785" s="26" t="n">
        <f aca="false">H785*(1+I786)</f>
        <v>7595.02411385982</v>
      </c>
      <c r="J785" s="26" t="n">
        <f aca="false">I785*(1+J786)</f>
        <v>8050.72556069141</v>
      </c>
      <c r="K785" s="8" t="s">
        <v>580</v>
      </c>
    </row>
    <row r="786" customFormat="false" ht="15" hidden="false" customHeight="false" outlineLevel="0" collapsed="false">
      <c r="A786" s="4" t="s">
        <v>581</v>
      </c>
      <c r="B786" s="0" t="s">
        <v>48</v>
      </c>
      <c r="D786" s="20" t="n">
        <f aca="false">D785/C785-1</f>
        <v>0.873912121761526</v>
      </c>
      <c r="E786" s="20" t="n">
        <f aca="false">E785/D785-1</f>
        <v>0.463442220485479</v>
      </c>
      <c r="F786" s="20" t="n">
        <f aca="false">F785/E785-1</f>
        <v>0.109130764105473</v>
      </c>
      <c r="G786" s="20" t="n">
        <f aca="false">G785/F785-1</f>
        <v>0.0379093920171074</v>
      </c>
      <c r="H786" s="27" t="n">
        <f aca="false">$G786+(fade_gA-$G786)*1/3</f>
        <v>0.0452729280114049</v>
      </c>
      <c r="I786" s="27" t="n">
        <f aca="false">$G786+(fade_gA-$G786)*2/3</f>
        <v>0.0526364640057025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582</v>
      </c>
      <c r="B787" s="0" t="s">
        <v>48</v>
      </c>
      <c r="D787" s="20" t="n">
        <f aca="false">(D770+D775+D782)/D785</f>
        <v>0.6546220793463</v>
      </c>
      <c r="E787" s="20" t="n">
        <f aca="false">(E770+E775+E782)/E785</f>
        <v>0.751219003623614</v>
      </c>
      <c r="F787" s="20" t="n">
        <f aca="false">(F770+F775+F782)/F785</f>
        <v>0.766534993082599</v>
      </c>
      <c r="G787" s="20" t="n">
        <f aca="false">(G770+G775+G782)/G785</f>
        <v>0.767273154102773</v>
      </c>
    </row>
    <row r="788" customFormat="false" ht="17.15" hidden="false" customHeight="false" outlineLevel="0" collapsed="false">
      <c r="A788" s="4" t="s">
        <v>583</v>
      </c>
      <c r="B788" s="0" t="s">
        <v>48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0.357342452241704</v>
      </c>
      <c r="F788" s="20" t="n">
        <f aca="false">F784/F785</f>
        <v>0.386064932942822</v>
      </c>
      <c r="G788" s="20" t="n">
        <f aca="false">G784/G785</f>
        <v>0.399001134665413</v>
      </c>
    </row>
    <row r="789" customFormat="false" ht="17.15" hidden="false" customHeight="false" outlineLevel="0" collapsed="false">
      <c r="A789" s="4" t="s">
        <v>584</v>
      </c>
      <c r="B789" s="4" t="s">
        <v>331</v>
      </c>
      <c r="D789" s="21" t="n">
        <f aca="false">D768/fx/(odm_gb*(1-vr26)+odm_vr*vr26)</f>
        <v>12.0597330420658</v>
      </c>
      <c r="E789" s="21" t="n">
        <f aca="false">E768/fx/odm_vr</f>
        <v>14.7674893195131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585</v>
      </c>
    </row>
    <row r="790" customFormat="false" ht="17.15" hidden="false" customHeight="false" outlineLevel="0" collapsed="false">
      <c r="A790" s="6" t="s">
        <v>586</v>
      </c>
    </row>
    <row r="791" customFormat="false" ht="17.15" hidden="false" customHeight="false" outlineLevel="0" collapsed="false">
      <c r="A791" s="4" t="s">
        <v>587</v>
      </c>
      <c r="B791" s="0" t="s">
        <v>48</v>
      </c>
      <c r="D791" s="17" t="n">
        <f aca="false">(a26_sgp-d_ai*D770-d_brd*D775-d_gen*D777)/D779</f>
        <v>0.0436423860147897</v>
      </c>
      <c r="K791" s="8" t="s">
        <v>588</v>
      </c>
    </row>
    <row r="792" customFormat="false" ht="17.15" hidden="false" customHeight="false" outlineLevel="0" collapsed="false">
      <c r="A792" s="4" t="s">
        <v>589</v>
      </c>
      <c r="B792" s="0" t="s">
        <v>147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99.9228552931035</v>
      </c>
      <c r="F792" s="25" t="n">
        <f aca="false">($D$791+d_ai+vrd)*F768*(1-F769*(1-keep))</f>
        <v>119.115229856887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590</v>
      </c>
      <c r="B793" s="0" t="s">
        <v>147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</v>
      </c>
    </row>
    <row r="794" customFormat="false" ht="15" hidden="false" customHeight="false" outlineLevel="0" collapsed="false">
      <c r="A794" s="4" t="s">
        <v>591</v>
      </c>
      <c r="B794" s="0" t="s">
        <v>48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592</v>
      </c>
      <c r="B795" s="0" t="s">
        <v>48</v>
      </c>
      <c r="E795" s="20" t="n">
        <f aca="false">MAX(0,phi*(E779/D779-1))</f>
        <v>0.135964599857426</v>
      </c>
      <c r="F795" s="20" t="n">
        <f aca="false">MAX(0,phi*(F779/E779-1))</f>
        <v>0.0178680180812437</v>
      </c>
      <c r="G795" s="20" t="n">
        <f aca="false">MAX(0,phi*(G779/F779-1))</f>
        <v>0.00481189317581219</v>
      </c>
    </row>
    <row r="796" customFormat="false" ht="15" hidden="false" customHeight="false" outlineLevel="0" collapsed="false">
      <c r="A796" s="4" t="s">
        <v>593</v>
      </c>
      <c r="B796" s="0" t="s">
        <v>147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53.3805777347201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594</v>
      </c>
      <c r="B797" s="0" t="s">
        <v>147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98.3277403363056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595</v>
      </c>
      <c r="B798" s="0" t="s">
        <v>48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596</v>
      </c>
      <c r="B799" s="0" t="s">
        <v>147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66.2526178810746</v>
      </c>
      <c r="G799" s="21" t="n">
        <f aca="false">G797*snio</f>
        <v>72.1004799338204</v>
      </c>
    </row>
    <row r="800" customFormat="false" ht="17.15" hidden="false" customHeight="false" outlineLevel="0" collapsed="false">
      <c r="A800" s="6" t="s">
        <v>597</v>
      </c>
    </row>
    <row r="801" customFormat="false" ht="15" hidden="false" customHeight="false" outlineLevel="0" collapsed="false">
      <c r="A801" s="4" t="s">
        <v>438</v>
      </c>
      <c r="B801" s="0" t="s">
        <v>147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182.130378447603</v>
      </c>
      <c r="F801" s="21" t="n">
        <f aca="false">F784*wgm</f>
        <v>218.243281830982</v>
      </c>
      <c r="G801" s="21" t="n">
        <f aca="false">G784*wgm</f>
        <v>234.106838874584</v>
      </c>
    </row>
    <row r="802" customFormat="false" ht="15" hidden="false" customHeight="false" outlineLevel="0" collapsed="false">
      <c r="A802" s="4" t="s">
        <v>440</v>
      </c>
      <c r="B802" s="0" t="s">
        <v>147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139.27617175405</v>
      </c>
      <c r="F802" s="21" t="n">
        <f aca="false">F784*wopm</f>
        <v>166.891921400163</v>
      </c>
      <c r="G802" s="21" t="n">
        <f aca="false">G784*wopm</f>
        <v>179.022876786446</v>
      </c>
    </row>
    <row r="803" customFormat="false" ht="15" hidden="false" customHeight="false" outlineLevel="0" collapsed="false">
      <c r="A803" s="4" t="s">
        <v>448</v>
      </c>
      <c r="B803" s="0" t="s">
        <v>147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108.635413968159</v>
      </c>
      <c r="F803" s="21" t="n">
        <f aca="false">F802*wnio</f>
        <v>130.175698692127</v>
      </c>
      <c r="G803" s="21" t="n">
        <f aca="false">G802*wnio</f>
        <v>139.637843893428</v>
      </c>
    </row>
    <row r="804" customFormat="false" ht="15" hidden="false" customHeight="false" outlineLevel="0" collapsed="false">
      <c r="A804" s="4" t="s">
        <v>450</v>
      </c>
      <c r="B804" s="0" t="s">
        <v>48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598</v>
      </c>
    </row>
    <row r="806" customFormat="false" ht="15" hidden="false" customHeight="false" outlineLevel="0" collapsed="false">
      <c r="A806" s="4" t="s">
        <v>424</v>
      </c>
      <c r="B806" s="0" t="s">
        <v>147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333.838696518629</v>
      </c>
      <c r="F806" s="21" t="n">
        <f aca="false">F793+F801</f>
        <v>390.885910910058</v>
      </c>
      <c r="G806" s="21" t="n">
        <f aca="false">G793+G801</f>
        <v>417.453530008244</v>
      </c>
    </row>
    <row r="807" customFormat="false" ht="15" hidden="false" customHeight="false" outlineLevel="0" collapsed="false">
      <c r="A807" s="4" t="s">
        <v>427</v>
      </c>
      <c r="B807" s="0" t="s">
        <v>48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0.0556746922514309</v>
      </c>
      <c r="F807" s="17" t="n">
        <f aca="false">F806/F785</f>
        <v>0.058774428454369</v>
      </c>
      <c r="G807" s="17" t="n">
        <f aca="false">G806/G785</f>
        <v>0.0604765618990368</v>
      </c>
    </row>
    <row r="808" customFormat="false" ht="15" hidden="false" customHeight="false" outlineLevel="0" collapsed="false">
      <c r="A808" s="4" t="s">
        <v>428</v>
      </c>
      <c r="B808" s="0" t="s">
        <v>147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237.603912090355</v>
      </c>
      <c r="F808" s="21" t="n">
        <f aca="false">F797+F802</f>
        <v>285.200167616367</v>
      </c>
      <c r="G808" s="21" t="n">
        <f aca="false">G797+G802</f>
        <v>307.773733811126</v>
      </c>
    </row>
    <row r="809" customFormat="false" ht="15" hidden="false" customHeight="false" outlineLevel="0" collapsed="false">
      <c r="A809" s="4" t="s">
        <v>431</v>
      </c>
      <c r="B809" s="0" t="s">
        <v>48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0.0396254982460621</v>
      </c>
      <c r="F809" s="17" t="n">
        <f aca="false">F808/F785</f>
        <v>0.0428832976039376</v>
      </c>
      <c r="G809" s="17" t="n">
        <f aca="false">G808/G785</f>
        <v>0.0445872316934501</v>
      </c>
    </row>
    <row r="810" customFormat="false" ht="15" hidden="false" customHeight="false" outlineLevel="0" collapsed="false">
      <c r="A810" s="4" t="s">
        <v>461</v>
      </c>
      <c r="B810" s="0" t="s">
        <v>147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163.69894855649</v>
      </c>
      <c r="F810" s="21" t="n">
        <f aca="false">F799+F803</f>
        <v>196.428316573202</v>
      </c>
      <c r="G810" s="21" t="n">
        <f aca="false">G799+G803</f>
        <v>211.738323827249</v>
      </c>
    </row>
    <row r="811" customFormat="false" ht="17.15" hidden="false" customHeight="false" outlineLevel="0" collapsed="false">
      <c r="A811" s="4" t="s">
        <v>599</v>
      </c>
      <c r="B811" s="0" t="s">
        <v>147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67.7015899849565</v>
      </c>
      <c r="F811" s="21" t="n">
        <f aca="false">(1-F804)*F803</f>
        <v>81.1254954249335</v>
      </c>
      <c r="G811" s="21" t="n">
        <f aca="false">(1-G804)*G803</f>
        <v>87.0223043143844</v>
      </c>
    </row>
    <row r="812" customFormat="false" ht="15" hidden="false" customHeight="false" outlineLevel="0" collapsed="false">
      <c r="A812" s="4" t="s">
        <v>457</v>
      </c>
      <c r="B812" s="0" t="s">
        <v>147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95.9973585715334</v>
      </c>
      <c r="F812" s="21" t="n">
        <f aca="false">F810-F811</f>
        <v>115.302821148268</v>
      </c>
      <c r="G812" s="21" t="n">
        <f aca="false">G810-G811</f>
        <v>124.716019512864</v>
      </c>
      <c r="H812" s="26" t="n">
        <f aca="false">H785*H817</f>
        <v>130.033709627106</v>
      </c>
      <c r="I812" s="26" t="n">
        <f aca="false">I785*I817</f>
        <v>136.532360320411</v>
      </c>
      <c r="J812" s="26" t="n">
        <f aca="false">J785*J817</f>
        <v>144.357686117645</v>
      </c>
    </row>
    <row r="813" customFormat="false" ht="17.15" hidden="false" customHeight="false" outlineLevel="0" collapsed="false">
      <c r="A813" s="4" t="s">
        <v>600</v>
      </c>
      <c r="B813" s="0" t="s">
        <v>48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0.42640573232752</v>
      </c>
      <c r="F813" s="20" t="n">
        <f aca="false">F804*F803/F812</f>
        <v>0.425403322995191</v>
      </c>
      <c r="G813" s="20" t="n">
        <f aca="false">G804*G803/G812</f>
        <v>0.421882768425083</v>
      </c>
    </row>
    <row r="814" customFormat="false" ht="17.15" hidden="false" customHeight="false" outlineLevel="0" collapsed="false">
      <c r="A814" s="4" t="s">
        <v>601</v>
      </c>
      <c r="B814" s="4" t="s">
        <v>282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602</v>
      </c>
    </row>
    <row r="815" customFormat="false" ht="15" hidden="false" customHeight="false" outlineLevel="0" collapsed="false">
      <c r="A815" s="0" t="s">
        <v>464</v>
      </c>
      <c r="B815" s="0" t="s">
        <v>312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27.987568096657</v>
      </c>
      <c r="F815" s="18" t="n">
        <f aca="false">F812/F814</f>
        <v>33.6159828420607</v>
      </c>
      <c r="G815" s="18" t="n">
        <f aca="false">G812/G814</f>
        <v>36.3603555431091</v>
      </c>
      <c r="H815" s="29" t="n">
        <f aca="false">H812/H814</f>
        <v>37.9107025151912</v>
      </c>
      <c r="I815" s="29" t="n">
        <f aca="false">I812/I814</f>
        <v>39.8053528630936</v>
      </c>
      <c r="J815" s="29" t="n">
        <f aca="false">J812/J814</f>
        <v>42.0867889555817</v>
      </c>
    </row>
    <row r="816" customFormat="false" ht="17.15" hidden="false" customHeight="false" outlineLevel="0" collapsed="false">
      <c r="A816" s="0" t="s">
        <v>603</v>
      </c>
      <c r="B816" s="0" t="s">
        <v>48</v>
      </c>
      <c r="D816" s="20" t="n">
        <f aca="false">D815/C815-1</f>
        <v>1.03813580587031</v>
      </c>
      <c r="E816" s="20" t="n">
        <f aca="false">E815/D815-1</f>
        <v>0.519020427038988</v>
      </c>
      <c r="F816" s="20" t="n">
        <f aca="false">F815/E815-1</f>
        <v>0.201104101862855</v>
      </c>
      <c r="G816" s="20" t="n">
        <f aca="false">G815/F815-1</f>
        <v>0.0816389249703755</v>
      </c>
      <c r="H816" s="27" t="n">
        <f aca="false">H815/G815-1</f>
        <v>0.0426383886770303</v>
      </c>
      <c r="I816" s="27" t="n">
        <f aca="false">I815/H815-1</f>
        <v>0.0499766615283168</v>
      </c>
      <c r="J816" s="27" t="n">
        <f aca="false">J815/I815-1</f>
        <v>0.0573148063863396</v>
      </c>
    </row>
    <row r="817" customFormat="false" ht="17.15" hidden="false" customHeight="false" outlineLevel="0" collapsed="false">
      <c r="A817" s="4" t="s">
        <v>604</v>
      </c>
      <c r="B817" s="0" t="s">
        <v>48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0.0160095982016337</v>
      </c>
      <c r="F817" s="17" t="n">
        <f aca="false">F812/F785</f>
        <v>0.0173371749224421</v>
      </c>
      <c r="G817" s="17" t="n">
        <f aca="false">G812/G785</f>
        <v>0.0180676303628867</v>
      </c>
      <c r="H817" s="28" t="n">
        <f aca="false">$G817+(fade_mA-$G817)*1/3</f>
        <v>0.0180220921291926</v>
      </c>
      <c r="I817" s="28" t="n">
        <f aca="false">$G817+(fade_mA-$G817)*2/3</f>
        <v>0.0179765538954984</v>
      </c>
      <c r="J817" s="28" t="n">
        <f aca="false">$G817+(fade_mA-$G817)*3/3</f>
        <v>0.0179310156618042</v>
      </c>
    </row>
    <row r="820" customFormat="false" ht="17.15" hidden="false" customHeight="false" outlineLevel="0" collapsed="false">
      <c r="A820" s="1" t="s">
        <v>885</v>
      </c>
    </row>
    <row r="821" customFormat="false" ht="17.15" hidden="false" customHeight="false" outlineLevel="0" collapsed="false">
      <c r="A821" s="5" t="s">
        <v>17</v>
      </c>
      <c r="B821" s="5" t="s">
        <v>18</v>
      </c>
      <c r="C821" s="14" t="s">
        <v>414</v>
      </c>
      <c r="D821" s="14" t="s">
        <v>529</v>
      </c>
      <c r="E821" s="14" t="s">
        <v>530</v>
      </c>
      <c r="F821" s="14" t="s">
        <v>531</v>
      </c>
      <c r="G821" s="14" t="s">
        <v>532</v>
      </c>
      <c r="H821" s="14" t="s">
        <v>533</v>
      </c>
      <c r="I821" s="14" t="s">
        <v>534</v>
      </c>
      <c r="J821" s="14" t="s">
        <v>535</v>
      </c>
      <c r="K821" s="5" t="s">
        <v>496</v>
      </c>
    </row>
    <row r="822" customFormat="false" ht="17.15" hidden="false" customHeight="false" outlineLevel="0" collapsed="false">
      <c r="A822" s="6" t="s">
        <v>550</v>
      </c>
    </row>
    <row r="823" customFormat="false" ht="17.15" hidden="false" customHeight="false" outlineLevel="0" collapsed="false">
      <c r="A823" s="0" t="s">
        <v>551</v>
      </c>
      <c r="B823" s="0" t="s">
        <v>28</v>
      </c>
      <c r="D823" s="21" t="n">
        <f aca="false">itc_26*1</f>
        <v>781.872916666667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552</v>
      </c>
      <c r="B824" s="0" t="s">
        <v>28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553</v>
      </c>
      <c r="B825" s="0" t="s">
        <v>498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554</v>
      </c>
      <c r="B826" s="0" t="s">
        <v>555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556</v>
      </c>
    </row>
    <row r="827" customFormat="false" ht="17.15" hidden="false" customHeight="false" outlineLevel="0" collapsed="false">
      <c r="A827" s="0" t="s">
        <v>557</v>
      </c>
      <c r="B827" s="0" t="s">
        <v>28</v>
      </c>
      <c r="D827" s="21" t="n">
        <f aca="false">D825*D826</f>
        <v>634.616531285011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558</v>
      </c>
      <c r="B828" s="0" t="s">
        <v>147</v>
      </c>
      <c r="D828" s="21" t="n">
        <f aca="false">D827*fx</f>
        <v>20307.7290011204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559</v>
      </c>
    </row>
    <row r="830" customFormat="false" ht="17.15" hidden="false" customHeight="false" outlineLevel="0" collapsed="false">
      <c r="A830" s="4" t="s">
        <v>560</v>
      </c>
      <c r="B830" s="0" t="s">
        <v>48</v>
      </c>
      <c r="D830" s="20" t="n">
        <f aca="false">a26_ais/D828</f>
        <v>0.0875096501918446</v>
      </c>
      <c r="K830" s="8" t="s">
        <v>561</v>
      </c>
    </row>
    <row r="831" customFormat="false" ht="17.15" hidden="false" customHeight="false" outlineLevel="0" collapsed="false">
      <c r="A831" s="4" t="s">
        <v>562</v>
      </c>
      <c r="B831" s="0" t="s">
        <v>60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563</v>
      </c>
      <c r="B832" s="0" t="s">
        <v>48</v>
      </c>
      <c r="D832" s="20" t="n">
        <f aca="false">$D$830*D831</f>
        <v>0.0875096501918446</v>
      </c>
      <c r="E832" s="20" t="n">
        <f aca="false">$D$830*E831</f>
        <v>0.0875096501918446</v>
      </c>
      <c r="F832" s="20" t="n">
        <f aca="false">$D$830*F831</f>
        <v>0.0831341676822524</v>
      </c>
      <c r="G832" s="20" t="n">
        <f aca="false">$D$830*G831</f>
        <v>0.0787586851726601</v>
      </c>
    </row>
    <row r="833" customFormat="false" ht="17.15" hidden="false" customHeight="false" outlineLevel="0" collapsed="false">
      <c r="A833" s="4" t="s">
        <v>564</v>
      </c>
      <c r="B833" s="0" t="s">
        <v>147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565</v>
      </c>
      <c r="B834" s="0" t="s">
        <v>48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566</v>
      </c>
    </row>
    <row r="835" customFormat="false" ht="17.15" hidden="false" customHeight="false" outlineLevel="0" collapsed="false">
      <c r="A835" s="4" t="s">
        <v>567</v>
      </c>
      <c r="B835" s="0" t="s">
        <v>147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3072.99589502208</v>
      </c>
      <c r="G835" s="21" t="n">
        <f aca="false">G833*(1-G834)</f>
        <v>3109.11053614536</v>
      </c>
    </row>
    <row r="836" customFormat="false" ht="17.15" hidden="false" customHeight="false" outlineLevel="0" collapsed="false">
      <c r="A836" s="6" t="s">
        <v>568</v>
      </c>
    </row>
    <row r="837" customFormat="false" ht="17.15" hidden="false" customHeight="false" outlineLevel="0" collapsed="false">
      <c r="A837" s="0" t="s">
        <v>569</v>
      </c>
      <c r="B837" s="4" t="s">
        <v>81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570</v>
      </c>
      <c r="B838" s="0" t="s">
        <v>48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571</v>
      </c>
      <c r="B839" s="0" t="s">
        <v>520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572</v>
      </c>
    </row>
    <row r="840" customFormat="false" ht="17.15" hidden="false" customHeight="false" outlineLevel="0" collapsed="false">
      <c r="A840" s="0" t="s">
        <v>522</v>
      </c>
      <c r="B840" s="0" t="s">
        <v>147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573</v>
      </c>
    </row>
    <row r="842" customFormat="false" ht="15" hidden="false" customHeight="false" outlineLevel="0" collapsed="false">
      <c r="A842" s="4" t="s">
        <v>574</v>
      </c>
      <c r="B842" s="0" t="s">
        <v>147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575</v>
      </c>
      <c r="B843" s="0" t="s">
        <v>147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576</v>
      </c>
      <c r="B844" s="0" t="s">
        <v>147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3816.64127975755</v>
      </c>
      <c r="F844" s="21" t="n">
        <f aca="false">F835+F840+F842+F843</f>
        <v>4039.86719118604</v>
      </c>
      <c r="G844" s="21" t="n">
        <f aca="false">G835+G840+G842+G843</f>
        <v>4102.65057482429</v>
      </c>
    </row>
    <row r="845" customFormat="false" ht="17.15" hidden="false" customHeight="false" outlineLevel="0" collapsed="false">
      <c r="A845" s="4" t="s">
        <v>577</v>
      </c>
      <c r="B845" s="0" t="s">
        <v>48</v>
      </c>
      <c r="D845" s="20" t="n">
        <f aca="false">a26_wai/D828</f>
        <v>0.0391523244650416</v>
      </c>
      <c r="K845" s="8" t="s">
        <v>578</v>
      </c>
    </row>
    <row r="846" customFormat="false" ht="17.15" hidden="false" customHeight="false" outlineLevel="0" collapsed="false">
      <c r="A846" s="4" t="s">
        <v>504</v>
      </c>
      <c r="B846" s="0" t="s">
        <v>48</v>
      </c>
      <c r="D846" s="20" t="n">
        <f aca="false">D845</f>
        <v>0.0391523244650416</v>
      </c>
      <c r="E846" s="20" t="n">
        <f aca="false">$D$845*wrel_27</f>
        <v>0.0391523244650416</v>
      </c>
      <c r="F846" s="20" t="n">
        <f aca="false">$D$845*wrel_28</f>
        <v>0.0391523244650416</v>
      </c>
      <c r="G846" s="20" t="n">
        <f aca="false">$D$845*wrel_29</f>
        <v>0.0371947082417896</v>
      </c>
    </row>
    <row r="847" customFormat="false" ht="17.15" hidden="false" customHeight="false" outlineLevel="0" collapsed="false">
      <c r="A847" s="4" t="s">
        <v>524</v>
      </c>
      <c r="B847" s="0" t="s">
        <v>147</v>
      </c>
      <c r="D847" s="21" t="n">
        <f aca="false">D828*D846</f>
        <v>795.094795</v>
      </c>
      <c r="E847" s="21" t="n">
        <f aca="false">E828*E846</f>
        <v>1427.12501917769</v>
      </c>
      <c r="F847" s="21" t="n">
        <f aca="false">F828*F846</f>
        <v>1809.04758711097</v>
      </c>
      <c r="G847" s="21" t="n">
        <f aca="false">G828*G846</f>
        <v>1957.75164825537</v>
      </c>
    </row>
    <row r="848" customFormat="false" ht="17.15" hidden="false" customHeight="false" outlineLevel="0" collapsed="false">
      <c r="A848" s="4" t="s">
        <v>579</v>
      </c>
      <c r="B848" s="0" t="s">
        <v>147</v>
      </c>
      <c r="D848" s="21" t="n">
        <f aca="false">a26_wna</f>
        <v>650.532105</v>
      </c>
      <c r="E848" s="21" t="n">
        <f aca="false">D848*(1+g_wn27)</f>
        <v>715.5853155</v>
      </c>
      <c r="F848" s="21" t="n">
        <f aca="false">E848*(1+g_wn28)</f>
        <v>758.52043443</v>
      </c>
      <c r="G848" s="21" t="n">
        <f aca="false">F848*(1+g_wn29)</f>
        <v>796.4464561515</v>
      </c>
    </row>
    <row r="849" customFormat="false" ht="15" hidden="false" customHeight="false" outlineLevel="0" collapsed="false">
      <c r="A849" s="4" t="s">
        <v>434</v>
      </c>
      <c r="B849" s="0" t="s">
        <v>147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2142.71033467769</v>
      </c>
      <c r="F849" s="21" t="n">
        <f aca="false">F847+F848</f>
        <v>2567.56802154097</v>
      </c>
      <c r="G849" s="21" t="n">
        <f aca="false">G847+G848</f>
        <v>2754.19810440687</v>
      </c>
    </row>
    <row r="850" customFormat="false" ht="17.15" hidden="false" customHeight="false" outlineLevel="0" collapsed="false">
      <c r="A850" s="4" t="s">
        <v>420</v>
      </c>
      <c r="B850" s="0" t="s">
        <v>147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5959.35161443524</v>
      </c>
      <c r="F850" s="21" t="n">
        <f aca="false">F844+F849</f>
        <v>6607.43521272701</v>
      </c>
      <c r="G850" s="21" t="n">
        <f aca="false">G844+G849</f>
        <v>6856.84867923116</v>
      </c>
      <c r="H850" s="26" t="n">
        <f aca="false">G850*(1+H851)</f>
        <v>7166.53776956726</v>
      </c>
      <c r="I850" s="26" t="n">
        <f aca="false">H850*(1+I851)</f>
        <v>7543.37199085936</v>
      </c>
      <c r="J850" s="26" t="n">
        <f aca="false">I850*(1+J851)</f>
        <v>7995.97431031092</v>
      </c>
      <c r="K850" s="8" t="s">
        <v>580</v>
      </c>
    </row>
    <row r="851" customFormat="false" ht="15" hidden="false" customHeight="false" outlineLevel="0" collapsed="false">
      <c r="A851" s="4" t="s">
        <v>581</v>
      </c>
      <c r="B851" s="0" t="s">
        <v>48</v>
      </c>
      <c r="D851" s="20" t="n">
        <f aca="false">D850/C850-1</f>
        <v>0.873912121761526</v>
      </c>
      <c r="E851" s="20" t="n">
        <f aca="false">E850/D850-1</f>
        <v>0.454439765251677</v>
      </c>
      <c r="F851" s="20" t="n">
        <f aca="false">F850/E850-1</f>
        <v>0.108750689709586</v>
      </c>
      <c r="G851" s="20" t="n">
        <f aca="false">G850/F850-1</f>
        <v>0.0377473949383174</v>
      </c>
      <c r="H851" s="27" t="n">
        <f aca="false">$G851+(fade_gA-$G851)*1/3</f>
        <v>0.0451649299588782</v>
      </c>
      <c r="I851" s="27" t="n">
        <f aca="false">$G851+(fade_gA-$G851)*2/3</f>
        <v>0.0525824649794391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582</v>
      </c>
      <c r="B852" s="0" t="s">
        <v>48</v>
      </c>
      <c r="D852" s="20" t="n">
        <f aca="false">(D835+D840+D847)/D850</f>
        <v>0.6546220793463</v>
      </c>
      <c r="E852" s="20" t="n">
        <f aca="false">(E835+E840+E847)/E850</f>
        <v>0.749679139384196</v>
      </c>
      <c r="F852" s="20" t="n">
        <f aca="false">(F835+F840+F847)/F850</f>
        <v>0.76500940322852</v>
      </c>
      <c r="G852" s="20" t="n">
        <f aca="false">(G835+G840+G847)/G850</f>
        <v>0.765715820686707</v>
      </c>
    </row>
    <row r="853" customFormat="false" ht="17.15" hidden="false" customHeight="false" outlineLevel="0" collapsed="false">
      <c r="A853" s="4" t="s">
        <v>583</v>
      </c>
      <c r="B853" s="0" t="s">
        <v>48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0.359554272563384</v>
      </c>
      <c r="F853" s="20" t="n">
        <f aca="false">F849/F850</f>
        <v>0.388587695358012</v>
      </c>
      <c r="G853" s="20" t="n">
        <f aca="false">G849/G850</f>
        <v>0.40167112229691</v>
      </c>
    </row>
    <row r="854" customFormat="false" ht="17.15" hidden="false" customHeight="false" outlineLevel="0" collapsed="false">
      <c r="A854" s="4" t="s">
        <v>584</v>
      </c>
      <c r="B854" s="4" t="s">
        <v>331</v>
      </c>
      <c r="D854" s="21" t="n">
        <f aca="false">D833/fx/(odm_gb*(1-vr26)+odm_vr*vr26)</f>
        <v>12.0597330420658</v>
      </c>
      <c r="E854" s="21" t="n">
        <f aca="false">E833/fx/odm_vr</f>
        <v>14.7674893195131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585</v>
      </c>
    </row>
    <row r="855" customFormat="false" ht="17.15" hidden="false" customHeight="false" outlineLevel="0" collapsed="false">
      <c r="A855" s="6" t="s">
        <v>586</v>
      </c>
    </row>
    <row r="856" customFormat="false" ht="17.15" hidden="false" customHeight="false" outlineLevel="0" collapsed="false">
      <c r="A856" s="4" t="s">
        <v>587</v>
      </c>
      <c r="B856" s="0" t="s">
        <v>48</v>
      </c>
      <c r="D856" s="17" t="n">
        <f aca="false">(a26_sgp-d_ai_lo*D835-d_brd*D840-d_gen*D842)/D844</f>
        <v>0.0503441451517603</v>
      </c>
      <c r="K856" s="8" t="s">
        <v>588</v>
      </c>
    </row>
    <row r="857" customFormat="false" ht="17.15" hidden="false" customHeight="false" outlineLevel="0" collapsed="false">
      <c r="A857" s="4" t="s">
        <v>589</v>
      </c>
      <c r="B857" s="0" t="s">
        <v>147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89.5074067133331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590</v>
      </c>
      <c r="B858" s="0" t="s">
        <v>147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163.526772563544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591</v>
      </c>
      <c r="B859" s="0" t="s">
        <v>48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0.040478254562506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592</v>
      </c>
      <c r="B860" s="0" t="s">
        <v>48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593</v>
      </c>
      <c r="B861" s="0" t="s">
        <v>147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594</v>
      </c>
      <c r="B862" s="0" t="s">
        <v>147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91.7308019428118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595</v>
      </c>
      <c r="B863" s="0" t="s">
        <v>48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596</v>
      </c>
      <c r="B864" s="0" t="s">
        <v>147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51.3692490879746</v>
      </c>
      <c r="F864" s="21" t="n">
        <f aca="false">F862*snio</f>
        <v>61.2690989546608</v>
      </c>
      <c r="G864" s="21" t="n">
        <f aca="false">G862*snio</f>
        <v>66.5981169925862</v>
      </c>
    </row>
    <row r="865" customFormat="false" ht="17.15" hidden="false" customHeight="false" outlineLevel="0" collapsed="false">
      <c r="A865" s="6" t="s">
        <v>597</v>
      </c>
    </row>
    <row r="866" customFormat="false" ht="15" hidden="false" customHeight="false" outlineLevel="0" collapsed="false">
      <c r="A866" s="4" t="s">
        <v>438</v>
      </c>
      <c r="B866" s="0" t="s">
        <v>147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182.130378447603</v>
      </c>
      <c r="F866" s="21" t="n">
        <f aca="false">F849*wgm</f>
        <v>218.243281830982</v>
      </c>
      <c r="G866" s="21" t="n">
        <f aca="false">G849*wgm</f>
        <v>234.106838874584</v>
      </c>
    </row>
    <row r="867" customFormat="false" ht="15" hidden="false" customHeight="false" outlineLevel="0" collapsed="false">
      <c r="A867" s="4" t="s">
        <v>440</v>
      </c>
      <c r="B867" s="0" t="s">
        <v>147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139.27617175405</v>
      </c>
      <c r="F867" s="21" t="n">
        <f aca="false">F849*wopm</f>
        <v>166.891921400163</v>
      </c>
      <c r="G867" s="21" t="n">
        <f aca="false">G849*wopm</f>
        <v>179.022876786446</v>
      </c>
    </row>
    <row r="868" customFormat="false" ht="15" hidden="false" customHeight="false" outlineLevel="0" collapsed="false">
      <c r="A868" s="4" t="s">
        <v>448</v>
      </c>
      <c r="B868" s="0" t="s">
        <v>147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108.635413968159</v>
      </c>
      <c r="F868" s="21" t="n">
        <f aca="false">F867*wnio</f>
        <v>130.175698692127</v>
      </c>
      <c r="G868" s="21" t="n">
        <f aca="false">G867*wnio</f>
        <v>139.637843893428</v>
      </c>
    </row>
    <row r="869" customFormat="false" ht="15" hidden="false" customHeight="false" outlineLevel="0" collapsed="false">
      <c r="A869" s="4" t="s">
        <v>450</v>
      </c>
      <c r="B869" s="0" t="s">
        <v>48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598</v>
      </c>
    </row>
    <row r="871" customFormat="false" ht="15" hidden="false" customHeight="false" outlineLevel="0" collapsed="false">
      <c r="A871" s="4" t="s">
        <v>424</v>
      </c>
      <c r="B871" s="0" t="s">
        <v>147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327.045659081361</v>
      </c>
      <c r="F871" s="21" t="n">
        <f aca="false">F858+F866</f>
        <v>381.770054394527</v>
      </c>
      <c r="G871" s="21" t="n">
        <f aca="false">G858+G866</f>
        <v>407.402027104344</v>
      </c>
    </row>
    <row r="872" customFormat="false" ht="15" hidden="false" customHeight="false" outlineLevel="0" collapsed="false">
      <c r="A872" s="4" t="s">
        <v>427</v>
      </c>
      <c r="B872" s="0" t="s">
        <v>48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0.0548794030359215</v>
      </c>
      <c r="F872" s="17" t="n">
        <f aca="false">F871/F850</f>
        <v>0.0577788570153779</v>
      </c>
      <c r="G872" s="17" t="n">
        <f aca="false">G871/G850</f>
        <v>0.0594153445938411</v>
      </c>
    </row>
    <row r="873" customFormat="false" ht="15" hidden="false" customHeight="false" outlineLevel="0" collapsed="false">
      <c r="A873" s="4" t="s">
        <v>428</v>
      </c>
      <c r="B873" s="0" t="s">
        <v>147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231.006973696862</v>
      </c>
      <c r="F873" s="21" t="n">
        <f aca="false">F862+F867</f>
        <v>276.301026676343</v>
      </c>
      <c r="G873" s="21" t="n">
        <f aca="false">G862+G867</f>
        <v>297.948085701779</v>
      </c>
    </row>
    <row r="874" customFormat="false" ht="15" hidden="false" customHeight="false" outlineLevel="0" collapsed="false">
      <c r="A874" s="4" t="s">
        <v>431</v>
      </c>
      <c r="B874" s="0" t="s">
        <v>48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0.0387637764379093</v>
      </c>
      <c r="F874" s="17" t="n">
        <f aca="false">F873/F850</f>
        <v>0.0418166834453619</v>
      </c>
      <c r="G874" s="17" t="n">
        <f aca="false">G873/G850</f>
        <v>0.0434526266569422</v>
      </c>
    </row>
    <row r="875" customFormat="false" ht="15" hidden="false" customHeight="false" outlineLevel="0" collapsed="false">
      <c r="A875" s="4" t="s">
        <v>461</v>
      </c>
      <c r="B875" s="0" t="s">
        <v>147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160.004663056133</v>
      </c>
      <c r="F875" s="21" t="n">
        <f aca="false">F864+F868</f>
        <v>191.444797646788</v>
      </c>
      <c r="G875" s="21" t="n">
        <f aca="false">G864+G868</f>
        <v>206.235960886014</v>
      </c>
    </row>
    <row r="876" customFormat="false" ht="17.15" hidden="false" customHeight="false" outlineLevel="0" collapsed="false">
      <c r="A876" s="4" t="s">
        <v>599</v>
      </c>
      <c r="B876" s="0" t="s">
        <v>147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67.7015899849565</v>
      </c>
      <c r="F876" s="21" t="n">
        <f aca="false">(1-F869)*F868</f>
        <v>81.1254954249335</v>
      </c>
      <c r="G876" s="21" t="n">
        <f aca="false">(1-G869)*G868</f>
        <v>87.0223043143844</v>
      </c>
    </row>
    <row r="877" customFormat="false" ht="15" hidden="false" customHeight="false" outlineLevel="0" collapsed="false">
      <c r="A877" s="4" t="s">
        <v>457</v>
      </c>
      <c r="B877" s="0" t="s">
        <v>147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92.3030730711768</v>
      </c>
      <c r="F877" s="21" t="n">
        <f aca="false">F875-F876</f>
        <v>110.319302221854</v>
      </c>
      <c r="G877" s="21" t="n">
        <f aca="false">G875-G876</f>
        <v>119.21365657163</v>
      </c>
      <c r="H877" s="26" t="n">
        <f aca="false">H850*H882</f>
        <v>125.899722342894</v>
      </c>
      <c r="I877" s="26" t="n">
        <f aca="false">I850*I882</f>
        <v>133.890080697412</v>
      </c>
      <c r="J877" s="26" t="n">
        <f aca="false">J850*J882</f>
        <v>143.375940589569</v>
      </c>
    </row>
    <row r="878" customFormat="false" ht="17.15" hidden="false" customHeight="false" outlineLevel="0" collapsed="false">
      <c r="A878" s="4" t="s">
        <v>600</v>
      </c>
      <c r="B878" s="0" t="s">
        <v>48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0.443471951921225</v>
      </c>
      <c r="F878" s="20" t="n">
        <f aca="false">F869*F868/F877</f>
        <v>0.444620318288023</v>
      </c>
      <c r="G878" s="20" t="n">
        <f aca="false">G869*G868/G877</f>
        <v>0.441354967980782</v>
      </c>
    </row>
    <row r="879" customFormat="false" ht="17.15" hidden="false" customHeight="false" outlineLevel="0" collapsed="false">
      <c r="A879" s="4" t="s">
        <v>601</v>
      </c>
      <c r="B879" s="4" t="s">
        <v>282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602</v>
      </c>
    </row>
    <row r="880" customFormat="false" ht="15" hidden="false" customHeight="false" outlineLevel="0" collapsed="false">
      <c r="A880" s="0" t="s">
        <v>464</v>
      </c>
      <c r="B880" s="0" t="s">
        <v>312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26.9105169303723</v>
      </c>
      <c r="F880" s="18" t="n">
        <f aca="false">F877/F879</f>
        <v>32.1630618722607</v>
      </c>
      <c r="G880" s="18" t="n">
        <f aca="false">G877/G879</f>
        <v>34.7561680966851</v>
      </c>
      <c r="H880" s="29" t="n">
        <f aca="false">H877/H879</f>
        <v>36.7054584090069</v>
      </c>
      <c r="I880" s="29" t="n">
        <f aca="false">I877/I879</f>
        <v>39.0350089496829</v>
      </c>
      <c r="J880" s="29" t="n">
        <f aca="false">J877/J879</f>
        <v>41.8005657695538</v>
      </c>
    </row>
    <row r="881" customFormat="false" ht="17.15" hidden="false" customHeight="false" outlineLevel="0" collapsed="false">
      <c r="A881" s="0" t="s">
        <v>603</v>
      </c>
      <c r="B881" s="0" t="s">
        <v>48</v>
      </c>
      <c r="D881" s="20" t="n">
        <f aca="false">D880/C880-1</f>
        <v>1.03813580587031</v>
      </c>
      <c r="E881" s="20" t="n">
        <f aca="false">E880/D880-1</f>
        <v>0.460563660916888</v>
      </c>
      <c r="F881" s="20" t="n">
        <f aca="false">F880/E880-1</f>
        <v>0.19518558322305</v>
      </c>
      <c r="G881" s="20" t="n">
        <f aca="false">G880/F880-1</f>
        <v>0.0806237364689726</v>
      </c>
      <c r="H881" s="27" t="n">
        <f aca="false">H880/G880-1</f>
        <v>0.0560847302527487</v>
      </c>
      <c r="I881" s="27" t="n">
        <f aca="false">I880/H880-1</f>
        <v>0.0634660522344639</v>
      </c>
      <c r="J881" s="27" t="n">
        <f aca="false">J880/I880-1</f>
        <v>0.0708481154298124</v>
      </c>
    </row>
    <row r="882" customFormat="false" ht="17.15" hidden="false" customHeight="false" outlineLevel="0" collapsed="false">
      <c r="A882" s="4" t="s">
        <v>604</v>
      </c>
      <c r="B882" s="0" t="s">
        <v>48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0.0154887778139475</v>
      </c>
      <c r="F882" s="17" t="n">
        <f aca="false">F877/F850</f>
        <v>0.0166962366894436</v>
      </c>
      <c r="G882" s="17" t="n">
        <f aca="false">G877/G850</f>
        <v>0.0173860707955709</v>
      </c>
      <c r="H882" s="28" t="n">
        <f aca="false">$G882+(fade_mA-$G882)*1/3</f>
        <v>0.0175677190843154</v>
      </c>
      <c r="I882" s="28" t="n">
        <f aca="false">$G882+(fade_mA-$G882)*2/3</f>
        <v>0.0177493673730598</v>
      </c>
      <c r="J882" s="28" t="n">
        <f aca="false">$G882+(fade_mA-$G882)*3/3</f>
        <v>0.0179310156618042</v>
      </c>
    </row>
    <row r="885" customFormat="false" ht="17.15" hidden="false" customHeight="false" outlineLevel="0" collapsed="false">
      <c r="A885" s="1" t="s">
        <v>886</v>
      </c>
    </row>
    <row r="886" customFormat="false" ht="17.15" hidden="false" customHeight="false" outlineLevel="0" collapsed="false">
      <c r="A886" s="5" t="s">
        <v>17</v>
      </c>
      <c r="B886" s="5" t="s">
        <v>18</v>
      </c>
      <c r="C886" s="14" t="s">
        <v>414</v>
      </c>
      <c r="D886" s="14" t="s">
        <v>529</v>
      </c>
      <c r="E886" s="14" t="s">
        <v>530</v>
      </c>
      <c r="F886" s="14" t="s">
        <v>531</v>
      </c>
      <c r="G886" s="14" t="s">
        <v>532</v>
      </c>
      <c r="H886" s="14" t="s">
        <v>533</v>
      </c>
      <c r="I886" s="14" t="s">
        <v>534</v>
      </c>
      <c r="J886" s="14" t="s">
        <v>535</v>
      </c>
      <c r="K886" s="5" t="s">
        <v>496</v>
      </c>
    </row>
    <row r="887" customFormat="false" ht="17.15" hidden="false" customHeight="false" outlineLevel="0" collapsed="false">
      <c r="A887" s="6" t="s">
        <v>550</v>
      </c>
    </row>
    <row r="888" customFormat="false" ht="17.15" hidden="false" customHeight="false" outlineLevel="0" collapsed="false">
      <c r="A888" s="0" t="s">
        <v>551</v>
      </c>
      <c r="B888" s="0" t="s">
        <v>28</v>
      </c>
      <c r="D888" s="21" t="n">
        <f aca="false">itc_26*1</f>
        <v>781.872916666667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552</v>
      </c>
      <c r="B889" s="0" t="s">
        <v>28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553</v>
      </c>
      <c r="B890" s="0" t="s">
        <v>498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554</v>
      </c>
      <c r="B891" s="0" t="s">
        <v>555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556</v>
      </c>
    </row>
    <row r="892" customFormat="false" ht="17.15" hidden="false" customHeight="false" outlineLevel="0" collapsed="false">
      <c r="A892" s="0" t="s">
        <v>557</v>
      </c>
      <c r="B892" s="0" t="s">
        <v>28</v>
      </c>
      <c r="D892" s="21" t="n">
        <f aca="false">D890*D891</f>
        <v>634.616531285011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558</v>
      </c>
      <c r="B893" s="0" t="s">
        <v>147</v>
      </c>
      <c r="D893" s="21" t="n">
        <f aca="false">D892*fx</f>
        <v>20307.7290011204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559</v>
      </c>
    </row>
    <row r="895" customFormat="false" ht="17.15" hidden="false" customHeight="false" outlineLevel="0" collapsed="false">
      <c r="A895" s="4" t="s">
        <v>560</v>
      </c>
      <c r="B895" s="0" t="s">
        <v>48</v>
      </c>
      <c r="D895" s="20" t="n">
        <f aca="false">a26_ais/D893</f>
        <v>0.0875096501918446</v>
      </c>
      <c r="K895" s="8" t="s">
        <v>561</v>
      </c>
    </row>
    <row r="896" customFormat="false" ht="17.15" hidden="false" customHeight="false" outlineLevel="0" collapsed="false">
      <c r="A896" s="4" t="s">
        <v>562</v>
      </c>
      <c r="B896" s="0" t="s">
        <v>60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563</v>
      </c>
      <c r="B897" s="0" t="s">
        <v>48</v>
      </c>
      <c r="D897" s="20" t="n">
        <f aca="false">$D$895*D896</f>
        <v>0.0875096501918446</v>
      </c>
      <c r="E897" s="20" t="n">
        <f aca="false">$D$895*E896</f>
        <v>0.0875096501918446</v>
      </c>
      <c r="F897" s="20" t="n">
        <f aca="false">$D$895*F896</f>
        <v>0.0831341676822524</v>
      </c>
      <c r="G897" s="20" t="n">
        <f aca="false">$D$895*G896</f>
        <v>0.0787586851726601</v>
      </c>
    </row>
    <row r="898" customFormat="false" ht="17.15" hidden="false" customHeight="false" outlineLevel="0" collapsed="false">
      <c r="A898" s="4" t="s">
        <v>564</v>
      </c>
      <c r="B898" s="0" t="s">
        <v>147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565</v>
      </c>
      <c r="B899" s="0" t="s">
        <v>48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566</v>
      </c>
    </row>
    <row r="900" customFormat="false" ht="17.15" hidden="false" customHeight="false" outlineLevel="0" collapsed="false">
      <c r="A900" s="4" t="s">
        <v>567</v>
      </c>
      <c r="B900" s="0" t="s">
        <v>147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3072.99589502208</v>
      </c>
      <c r="G900" s="21" t="n">
        <f aca="false">G898*(1-G899)</f>
        <v>3109.11053614536</v>
      </c>
    </row>
    <row r="901" customFormat="false" ht="17.15" hidden="false" customHeight="false" outlineLevel="0" collapsed="false">
      <c r="A901" s="6" t="s">
        <v>568</v>
      </c>
    </row>
    <row r="902" customFormat="false" ht="17.15" hidden="false" customHeight="false" outlineLevel="0" collapsed="false">
      <c r="A902" s="0" t="s">
        <v>569</v>
      </c>
      <c r="B902" s="4" t="s">
        <v>81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570</v>
      </c>
      <c r="B903" s="0" t="s">
        <v>48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571</v>
      </c>
      <c r="B904" s="0" t="s">
        <v>520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572</v>
      </c>
    </row>
    <row r="905" customFormat="false" ht="17.15" hidden="false" customHeight="false" outlineLevel="0" collapsed="false">
      <c r="A905" s="0" t="s">
        <v>522</v>
      </c>
      <c r="B905" s="0" t="s">
        <v>147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573</v>
      </c>
    </row>
    <row r="907" customFormat="false" ht="15" hidden="false" customHeight="false" outlineLevel="0" collapsed="false">
      <c r="A907" s="4" t="s">
        <v>574</v>
      </c>
      <c r="B907" s="0" t="s">
        <v>147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575</v>
      </c>
      <c r="B908" s="0" t="s">
        <v>147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576</v>
      </c>
      <c r="B909" s="0" t="s">
        <v>147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3816.64127975755</v>
      </c>
      <c r="F909" s="21" t="n">
        <f aca="false">F900+F905+F907+F908</f>
        <v>4039.86719118604</v>
      </c>
      <c r="G909" s="21" t="n">
        <f aca="false">G900+G905+G907+G908</f>
        <v>4102.65057482429</v>
      </c>
    </row>
    <row r="910" customFormat="false" ht="17.15" hidden="false" customHeight="false" outlineLevel="0" collapsed="false">
      <c r="A910" s="4" t="s">
        <v>577</v>
      </c>
      <c r="B910" s="0" t="s">
        <v>48</v>
      </c>
      <c r="D910" s="20" t="n">
        <f aca="false">a26_wai/D893</f>
        <v>0.0391523244650416</v>
      </c>
      <c r="K910" s="8" t="s">
        <v>578</v>
      </c>
    </row>
    <row r="911" customFormat="false" ht="17.15" hidden="false" customHeight="false" outlineLevel="0" collapsed="false">
      <c r="A911" s="4" t="s">
        <v>504</v>
      </c>
      <c r="B911" s="0" t="s">
        <v>48</v>
      </c>
      <c r="D911" s="20" t="n">
        <f aca="false">D910</f>
        <v>0.0391523244650416</v>
      </c>
      <c r="E911" s="20" t="n">
        <f aca="false">$D$910*wrel_27</f>
        <v>0.0391523244650416</v>
      </c>
      <c r="F911" s="20" t="n">
        <f aca="false">$D$910*wrel_28</f>
        <v>0.0391523244650416</v>
      </c>
      <c r="G911" s="20" t="n">
        <f aca="false">$D$910*wrel_29</f>
        <v>0.0371947082417896</v>
      </c>
    </row>
    <row r="912" customFormat="false" ht="17.15" hidden="false" customHeight="false" outlineLevel="0" collapsed="false">
      <c r="A912" s="4" t="s">
        <v>524</v>
      </c>
      <c r="B912" s="0" t="s">
        <v>147</v>
      </c>
      <c r="D912" s="21" t="n">
        <f aca="false">D893*D911</f>
        <v>795.094795</v>
      </c>
      <c r="E912" s="21" t="n">
        <f aca="false">E893*E911</f>
        <v>1427.12501917769</v>
      </c>
      <c r="F912" s="21" t="n">
        <f aca="false">F893*F911</f>
        <v>1809.04758711097</v>
      </c>
      <c r="G912" s="21" t="n">
        <f aca="false">G893*G911</f>
        <v>1957.75164825537</v>
      </c>
    </row>
    <row r="913" customFormat="false" ht="17.15" hidden="false" customHeight="false" outlineLevel="0" collapsed="false">
      <c r="A913" s="4" t="s">
        <v>579</v>
      </c>
      <c r="B913" s="0" t="s">
        <v>147</v>
      </c>
      <c r="D913" s="21" t="n">
        <f aca="false">a26_wna</f>
        <v>650.532105</v>
      </c>
      <c r="E913" s="21" t="n">
        <f aca="false">D913*(1+g_wn27)</f>
        <v>715.5853155</v>
      </c>
      <c r="F913" s="21" t="n">
        <f aca="false">E913*(1+g_wn28)</f>
        <v>758.52043443</v>
      </c>
      <c r="G913" s="21" t="n">
        <f aca="false">F913*(1+g_wn29)</f>
        <v>796.4464561515</v>
      </c>
    </row>
    <row r="914" customFormat="false" ht="15" hidden="false" customHeight="false" outlineLevel="0" collapsed="false">
      <c r="A914" s="4" t="s">
        <v>434</v>
      </c>
      <c r="B914" s="0" t="s">
        <v>147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2142.71033467769</v>
      </c>
      <c r="F914" s="21" t="n">
        <f aca="false">F912+F913</f>
        <v>2567.56802154097</v>
      </c>
      <c r="G914" s="21" t="n">
        <f aca="false">G912+G913</f>
        <v>2754.19810440687</v>
      </c>
    </row>
    <row r="915" customFormat="false" ht="17.15" hidden="false" customHeight="false" outlineLevel="0" collapsed="false">
      <c r="A915" s="4" t="s">
        <v>420</v>
      </c>
      <c r="B915" s="0" t="s">
        <v>147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5959.35161443524</v>
      </c>
      <c r="F915" s="21" t="n">
        <f aca="false">F909+F914</f>
        <v>6607.43521272701</v>
      </c>
      <c r="G915" s="21" t="n">
        <f aca="false">G909+G914</f>
        <v>6856.84867923116</v>
      </c>
      <c r="H915" s="26" t="n">
        <f aca="false">G915*(1+H916)</f>
        <v>7166.53776956726</v>
      </c>
      <c r="I915" s="26" t="n">
        <f aca="false">H915*(1+I916)</f>
        <v>7543.37199085936</v>
      </c>
      <c r="J915" s="26" t="n">
        <f aca="false">I915*(1+J916)</f>
        <v>7995.97431031092</v>
      </c>
      <c r="K915" s="8" t="s">
        <v>580</v>
      </c>
    </row>
    <row r="916" customFormat="false" ht="15" hidden="false" customHeight="false" outlineLevel="0" collapsed="false">
      <c r="A916" s="4" t="s">
        <v>581</v>
      </c>
      <c r="B916" s="0" t="s">
        <v>48</v>
      </c>
      <c r="D916" s="20" t="n">
        <f aca="false">D915/C915-1</f>
        <v>0.873912121761526</v>
      </c>
      <c r="E916" s="20" t="n">
        <f aca="false">E915/D915-1</f>
        <v>0.454439765251677</v>
      </c>
      <c r="F916" s="20" t="n">
        <f aca="false">F915/E915-1</f>
        <v>0.108750689709586</v>
      </c>
      <c r="G916" s="20" t="n">
        <f aca="false">G915/F915-1</f>
        <v>0.0377473949383174</v>
      </c>
      <c r="H916" s="27" t="n">
        <f aca="false">$G916+(fade_gA-$G916)*1/3</f>
        <v>0.0451649299588782</v>
      </c>
      <c r="I916" s="27" t="n">
        <f aca="false">$G916+(fade_gA-$G916)*2/3</f>
        <v>0.0525824649794391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582</v>
      </c>
      <c r="B917" s="0" t="s">
        <v>48</v>
      </c>
      <c r="D917" s="20" t="n">
        <f aca="false">(D900+D905+D912)/D915</f>
        <v>0.6546220793463</v>
      </c>
      <c r="E917" s="20" t="n">
        <f aca="false">(E900+E905+E912)/E915</f>
        <v>0.749679139384196</v>
      </c>
      <c r="F917" s="20" t="n">
        <f aca="false">(F900+F905+F912)/F915</f>
        <v>0.76500940322852</v>
      </c>
      <c r="G917" s="20" t="n">
        <f aca="false">(G900+G905+G912)/G915</f>
        <v>0.765715820686707</v>
      </c>
    </row>
    <row r="918" customFormat="false" ht="17.15" hidden="false" customHeight="false" outlineLevel="0" collapsed="false">
      <c r="A918" s="4" t="s">
        <v>583</v>
      </c>
      <c r="B918" s="0" t="s">
        <v>48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0.359554272563384</v>
      </c>
      <c r="F918" s="20" t="n">
        <f aca="false">F914/F915</f>
        <v>0.388587695358012</v>
      </c>
      <c r="G918" s="20" t="n">
        <f aca="false">G914/G915</f>
        <v>0.40167112229691</v>
      </c>
    </row>
    <row r="919" customFormat="false" ht="17.15" hidden="false" customHeight="false" outlineLevel="0" collapsed="false">
      <c r="A919" s="4" t="s">
        <v>584</v>
      </c>
      <c r="B919" s="4" t="s">
        <v>331</v>
      </c>
      <c r="D919" s="21" t="n">
        <f aca="false">D898/fx/(odm_gb*(1-vr26)+odm_vr*vr26)</f>
        <v>12.0597330420658</v>
      </c>
      <c r="E919" s="21" t="n">
        <f aca="false">E898/fx/odm_vr</f>
        <v>14.7674893195131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585</v>
      </c>
    </row>
    <row r="920" customFormat="false" ht="17.15" hidden="false" customHeight="false" outlineLevel="0" collapsed="false">
      <c r="A920" s="6" t="s">
        <v>586</v>
      </c>
    </row>
    <row r="921" customFormat="false" ht="17.15" hidden="false" customHeight="false" outlineLevel="0" collapsed="false">
      <c r="A921" s="4" t="s">
        <v>587</v>
      </c>
      <c r="B921" s="0" t="s">
        <v>48</v>
      </c>
      <c r="D921" s="17" t="n">
        <f aca="false">(a26_sgp-d_ai*D900-d_brd*D905-d_gen*D907)/D909</f>
        <v>0.0436423860147897</v>
      </c>
      <c r="K921" s="8" t="s">
        <v>588</v>
      </c>
    </row>
    <row r="922" customFormat="false" ht="17.15" hidden="false" customHeight="false" outlineLevel="0" collapsed="false">
      <c r="A922" s="4" t="s">
        <v>589</v>
      </c>
      <c r="B922" s="0" t="s">
        <v>147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99.9228552931035</v>
      </c>
      <c r="F922" s="25" t="n">
        <f aca="false">($D$921+d_ai+vrd)*F898*(1-F899*(1-keep))</f>
        <v>119.115229856887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590</v>
      </c>
      <c r="B923" s="0" t="s">
        <v>147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591</v>
      </c>
      <c r="B924" s="0" t="s">
        <v>48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592</v>
      </c>
      <c r="B925" s="0" t="s">
        <v>48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593</v>
      </c>
      <c r="B926" s="0" t="s">
        <v>147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594</v>
      </c>
      <c r="B927" s="0" t="s">
        <v>147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95.8074495725884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595</v>
      </c>
      <c r="B928" s="0" t="s">
        <v>48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596</v>
      </c>
      <c r="B929" s="0" t="s">
        <v>147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53.6521717606495</v>
      </c>
      <c r="F929" s="21" t="n">
        <f aca="false">F927*snio</f>
        <v>64.5933850845477</v>
      </c>
      <c r="G929" s="21" t="n">
        <f aca="false">G927*snio</f>
        <v>70.3347214788719</v>
      </c>
    </row>
    <row r="930" customFormat="false" ht="17.15" hidden="false" customHeight="false" outlineLevel="0" collapsed="false">
      <c r="A930" s="6" t="s">
        <v>597</v>
      </c>
    </row>
    <row r="931" customFormat="false" ht="15" hidden="false" customHeight="false" outlineLevel="0" collapsed="false">
      <c r="A931" s="4" t="s">
        <v>438</v>
      </c>
      <c r="B931" s="0" t="s">
        <v>147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182.130378447603</v>
      </c>
      <c r="F931" s="21" t="n">
        <f aca="false">F914*wgm</f>
        <v>218.243281830982</v>
      </c>
      <c r="G931" s="21" t="n">
        <f aca="false">G914*wgm</f>
        <v>234.106838874584</v>
      </c>
    </row>
    <row r="932" customFormat="false" ht="15" hidden="false" customHeight="false" outlineLevel="0" collapsed="false">
      <c r="A932" s="4" t="s">
        <v>440</v>
      </c>
      <c r="B932" s="0" t="s">
        <v>147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117.849068407273</v>
      </c>
      <c r="F932" s="21" t="n">
        <f aca="false">F914*wopm_lo</f>
        <v>141.216241184753</v>
      </c>
      <c r="G932" s="21" t="n">
        <f aca="false">G914*wopm_lo</f>
        <v>151.480895742378</v>
      </c>
    </row>
    <row r="933" customFormat="false" ht="15" hidden="false" customHeight="false" outlineLevel="0" collapsed="false">
      <c r="A933" s="4" t="s">
        <v>448</v>
      </c>
      <c r="B933" s="0" t="s">
        <v>147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91.9222733576728</v>
      </c>
      <c r="F933" s="21" t="n">
        <f aca="false">F932*wnio</f>
        <v>110.148668124107</v>
      </c>
      <c r="G933" s="21" t="n">
        <f aca="false">G932*wnio</f>
        <v>118.155098679055</v>
      </c>
    </row>
    <row r="934" customFormat="false" ht="15" hidden="false" customHeight="false" outlineLevel="0" collapsed="false">
      <c r="A934" s="4" t="s">
        <v>450</v>
      </c>
      <c r="B934" s="0" t="s">
        <v>48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598</v>
      </c>
    </row>
    <row r="936" customFormat="false" ht="15" hidden="false" customHeight="false" outlineLevel="0" collapsed="false">
      <c r="A936" s="4" t="s">
        <v>424</v>
      </c>
      <c r="B936" s="0" t="s">
        <v>147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331.122306711138</v>
      </c>
      <c r="F936" s="21" t="n">
        <f aca="false">F923+F931</f>
        <v>387.706279626467</v>
      </c>
      <c r="G936" s="21" t="n">
        <f aca="false">G923+G931</f>
        <v>414.074535115568</v>
      </c>
    </row>
    <row r="937" customFormat="false" ht="15" hidden="false" customHeight="false" outlineLevel="0" collapsed="false">
      <c r="A937" s="4" t="s">
        <v>427</v>
      </c>
      <c r="B937" s="0" t="s">
        <v>48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0.0555634787363554</v>
      </c>
      <c r="F937" s="17" t="n">
        <f aca="false">F936/F915</f>
        <v>0.058677272972678</v>
      </c>
      <c r="G937" s="17" t="n">
        <f aca="false">G936/G915</f>
        <v>0.0603884604264006</v>
      </c>
    </row>
    <row r="938" customFormat="false" ht="15" hidden="false" customHeight="false" outlineLevel="0" collapsed="false">
      <c r="A938" s="4" t="s">
        <v>428</v>
      </c>
      <c r="B938" s="0" t="s">
        <v>147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213.656517979861</v>
      </c>
      <c r="F938" s="21" t="n">
        <f aca="false">F927+F932</f>
        <v>256.561571692874</v>
      </c>
      <c r="G938" s="21" t="n">
        <f aca="false">G927+G932</f>
        <v>277.078612668935</v>
      </c>
    </row>
    <row r="939" customFormat="false" ht="15" hidden="false" customHeight="false" outlineLevel="0" collapsed="false">
      <c r="A939" s="4" t="s">
        <v>431</v>
      </c>
      <c r="B939" s="0" t="s">
        <v>48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0.0358523094127094</v>
      </c>
      <c r="F939" s="17" t="n">
        <f aca="false">F938/F915</f>
        <v>0.038829222449082</v>
      </c>
      <c r="G939" s="17" t="n">
        <f aca="false">G938/G915</f>
        <v>0.0404090312665326</v>
      </c>
    </row>
    <row r="940" customFormat="false" ht="15" hidden="false" customHeight="false" outlineLevel="0" collapsed="false">
      <c r="A940" s="4" t="s">
        <v>461</v>
      </c>
      <c r="B940" s="0" t="s">
        <v>147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145.574445118322</v>
      </c>
      <c r="F940" s="21" t="n">
        <f aca="false">F929+F933</f>
        <v>174.742053208655</v>
      </c>
      <c r="G940" s="21" t="n">
        <f aca="false">G929+G933</f>
        <v>188.489820157927</v>
      </c>
    </row>
    <row r="941" customFormat="false" ht="17.15" hidden="false" customHeight="false" outlineLevel="0" collapsed="false">
      <c r="A941" s="4" t="s">
        <v>599</v>
      </c>
      <c r="B941" s="0" t="s">
        <v>147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57.2859607565017</v>
      </c>
      <c r="F941" s="21" t="n">
        <f aca="false">(1-F934)*F933</f>
        <v>68.6446499749438</v>
      </c>
      <c r="G941" s="21" t="n">
        <f aca="false">(1-G934)*G933</f>
        <v>73.6342574967868</v>
      </c>
    </row>
    <row r="942" customFormat="false" ht="15" hidden="false" customHeight="false" outlineLevel="0" collapsed="false">
      <c r="A942" s="4" t="s">
        <v>457</v>
      </c>
      <c r="B942" s="0" t="s">
        <v>147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88.2884843618206</v>
      </c>
      <c r="F942" s="21" t="n">
        <f aca="false">F940-F941</f>
        <v>106.097403233711</v>
      </c>
      <c r="G942" s="21" t="n">
        <f aca="false">G940-G941</f>
        <v>114.85556266114</v>
      </c>
      <c r="H942" s="26" t="n">
        <f aca="false">H915*H947</f>
        <v>122.863104398419</v>
      </c>
      <c r="I942" s="26" t="n">
        <f aca="false">I915*I947</f>
        <v>132.291935296814</v>
      </c>
      <c r="J942" s="26" t="n">
        <f aca="false">J915*J947</f>
        <v>143.375940589569</v>
      </c>
    </row>
    <row r="943" customFormat="false" ht="17.15" hidden="false" customHeight="false" outlineLevel="0" collapsed="false">
      <c r="A943" s="4" t="s">
        <v>600</v>
      </c>
      <c r="B943" s="0" t="s">
        <v>48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0.392308383721096</v>
      </c>
      <c r="F943" s="20" t="n">
        <f aca="false">F934*F933/F942</f>
        <v>0.39118787910142</v>
      </c>
      <c r="G943" s="20" t="n">
        <f aca="false">G934*G933/G942</f>
        <v>0.387624596935008</v>
      </c>
    </row>
    <row r="944" customFormat="false" ht="17.15" hidden="false" customHeight="false" outlineLevel="0" collapsed="false">
      <c r="A944" s="4" t="s">
        <v>601</v>
      </c>
      <c r="B944" s="4" t="s">
        <v>282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602</v>
      </c>
    </row>
    <row r="945" customFormat="false" ht="15" hidden="false" customHeight="false" outlineLevel="0" collapsed="false">
      <c r="A945" s="0" t="s">
        <v>464</v>
      </c>
      <c r="B945" s="0" t="s">
        <v>312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25.7400829043209</v>
      </c>
      <c r="F945" s="18" t="n">
        <f aca="false">F942/F944</f>
        <v>30.9321875316943</v>
      </c>
      <c r="G945" s="18" t="n">
        <f aca="false">G942/G944</f>
        <v>33.4855867816734</v>
      </c>
      <c r="H945" s="29" t="n">
        <f aca="false">H942/H944</f>
        <v>35.8201470549327</v>
      </c>
      <c r="I945" s="29" t="n">
        <f aca="false">I942/I944</f>
        <v>38.56907734601</v>
      </c>
      <c r="J945" s="29" t="n">
        <f aca="false">J942/J944</f>
        <v>41.8005657695538</v>
      </c>
    </row>
    <row r="946" customFormat="false" ht="17.15" hidden="false" customHeight="false" outlineLevel="0" collapsed="false">
      <c r="A946" s="0" t="s">
        <v>603</v>
      </c>
      <c r="B946" s="0" t="s">
        <v>48</v>
      </c>
      <c r="D946" s="20" t="n">
        <f aca="false">D945/C945-1</f>
        <v>1.03813580587031</v>
      </c>
      <c r="E946" s="20" t="n">
        <f aca="false">E945/D945-1</f>
        <v>0.397038556201344</v>
      </c>
      <c r="F946" s="20" t="n">
        <f aca="false">F945/E945-1</f>
        <v>0.201712816803004</v>
      </c>
      <c r="G946" s="20" t="n">
        <f aca="false">G945/F945-1</f>
        <v>0.0825482920457139</v>
      </c>
      <c r="H946" s="27" t="n">
        <f aca="false">H945/G945-1</f>
        <v>0.0697183623652973</v>
      </c>
      <c r="I946" s="27" t="n">
        <f aca="false">I945/H945-1</f>
        <v>0.0767425741402363</v>
      </c>
      <c r="J946" s="27" t="n">
        <f aca="false">J945/I945-1</f>
        <v>0.0837844368055138</v>
      </c>
    </row>
    <row r="947" customFormat="false" ht="17.15" hidden="false" customHeight="false" outlineLevel="0" collapsed="false">
      <c r="A947" s="4" t="s">
        <v>604</v>
      </c>
      <c r="B947" s="0" t="s">
        <v>48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0.0148151158169558</v>
      </c>
      <c r="F947" s="17" t="n">
        <f aca="false">F942/F915</f>
        <v>0.0160572748453667</v>
      </c>
      <c r="G947" s="17" t="n">
        <f aca="false">G942/G915</f>
        <v>0.0167504881665287</v>
      </c>
      <c r="H947" s="28" t="n">
        <f aca="false">$G947+(fade_mA-$G947)*1/3</f>
        <v>0.0171439973316206</v>
      </c>
      <c r="I947" s="28" t="n">
        <f aca="false">$G947+(fade_mA-$G947)*2/3</f>
        <v>0.0175375064967124</v>
      </c>
      <c r="J947" s="28" t="n">
        <f aca="false">$G947+(fade_mA-$G947)*3/3</f>
        <v>0.0179310156618042</v>
      </c>
    </row>
    <row r="950" customFormat="false" ht="17.15" hidden="false" customHeight="false" outlineLevel="0" collapsed="false">
      <c r="A950" s="1" t="s">
        <v>887</v>
      </c>
    </row>
    <row r="951" customFormat="false" ht="17.15" hidden="false" customHeight="false" outlineLevel="0" collapsed="false">
      <c r="A951" s="5" t="s">
        <v>17</v>
      </c>
      <c r="B951" s="5" t="s">
        <v>18</v>
      </c>
      <c r="C951" s="14" t="s">
        <v>414</v>
      </c>
      <c r="D951" s="14" t="s">
        <v>529</v>
      </c>
      <c r="E951" s="14" t="s">
        <v>530</v>
      </c>
      <c r="F951" s="14" t="s">
        <v>531</v>
      </c>
      <c r="G951" s="14" t="s">
        <v>532</v>
      </c>
      <c r="H951" s="14" t="s">
        <v>533</v>
      </c>
      <c r="I951" s="14" t="s">
        <v>534</v>
      </c>
      <c r="J951" s="14" t="s">
        <v>535</v>
      </c>
      <c r="K951" s="5" t="s">
        <v>496</v>
      </c>
    </row>
    <row r="952" customFormat="false" ht="17.15" hidden="false" customHeight="false" outlineLevel="0" collapsed="false">
      <c r="A952" s="6" t="s">
        <v>550</v>
      </c>
    </row>
    <row r="953" customFormat="false" ht="17.15" hidden="false" customHeight="false" outlineLevel="0" collapsed="false">
      <c r="A953" s="0" t="s">
        <v>551</v>
      </c>
      <c r="B953" s="0" t="s">
        <v>28</v>
      </c>
      <c r="D953" s="21" t="n">
        <f aca="false">itc_26*1</f>
        <v>781.872916666667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552</v>
      </c>
      <c r="B954" s="0" t="s">
        <v>28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553</v>
      </c>
      <c r="B955" s="0" t="s">
        <v>498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554</v>
      </c>
      <c r="B956" s="0" t="s">
        <v>555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556</v>
      </c>
    </row>
    <row r="957" customFormat="false" ht="17.15" hidden="false" customHeight="false" outlineLevel="0" collapsed="false">
      <c r="A957" s="0" t="s">
        <v>557</v>
      </c>
      <c r="B957" s="0" t="s">
        <v>28</v>
      </c>
      <c r="D957" s="21" t="n">
        <f aca="false">D955*D956</f>
        <v>634.616531285011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558</v>
      </c>
      <c r="B958" s="0" t="s">
        <v>147</v>
      </c>
      <c r="D958" s="21" t="n">
        <f aca="false">D957*fx</f>
        <v>20307.7290011204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559</v>
      </c>
    </row>
    <row r="960" customFormat="false" ht="17.15" hidden="false" customHeight="false" outlineLevel="0" collapsed="false">
      <c r="A960" s="4" t="s">
        <v>560</v>
      </c>
      <c r="B960" s="0" t="s">
        <v>48</v>
      </c>
      <c r="D960" s="20" t="n">
        <f aca="false">a26_ais/D958</f>
        <v>0.0875096501918446</v>
      </c>
      <c r="K960" s="8" t="s">
        <v>561</v>
      </c>
    </row>
    <row r="961" customFormat="false" ht="17.15" hidden="false" customHeight="false" outlineLevel="0" collapsed="false">
      <c r="A961" s="4" t="s">
        <v>562</v>
      </c>
      <c r="B961" s="0" t="s">
        <v>60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563</v>
      </c>
      <c r="B962" s="0" t="s">
        <v>48</v>
      </c>
      <c r="D962" s="20" t="n">
        <f aca="false">$D$960*D961</f>
        <v>0.0875096501918446</v>
      </c>
      <c r="E962" s="20" t="n">
        <f aca="false">$D$960*E961</f>
        <v>0.0875096501918446</v>
      </c>
      <c r="F962" s="20" t="n">
        <f aca="false">$D$960*F961</f>
        <v>0.0831341676822524</v>
      </c>
      <c r="G962" s="20" t="n">
        <f aca="false">$D$960*G961</f>
        <v>0.0787586851726601</v>
      </c>
    </row>
    <row r="963" customFormat="false" ht="17.15" hidden="false" customHeight="false" outlineLevel="0" collapsed="false">
      <c r="A963" s="4" t="s">
        <v>564</v>
      </c>
      <c r="B963" s="0" t="s">
        <v>147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565</v>
      </c>
      <c r="B964" s="0" t="s">
        <v>48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566</v>
      </c>
    </row>
    <row r="965" customFormat="false" ht="17.15" hidden="false" customHeight="false" outlineLevel="0" collapsed="false">
      <c r="A965" s="4" t="s">
        <v>567</v>
      </c>
      <c r="B965" s="0" t="s">
        <v>147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3072.99589502208</v>
      </c>
      <c r="G965" s="21" t="n">
        <f aca="false">G963*(1-G964)</f>
        <v>3109.11053614536</v>
      </c>
    </row>
    <row r="966" customFormat="false" ht="17.15" hidden="false" customHeight="false" outlineLevel="0" collapsed="false">
      <c r="A966" s="6" t="s">
        <v>568</v>
      </c>
    </row>
    <row r="967" customFormat="false" ht="17.15" hidden="false" customHeight="false" outlineLevel="0" collapsed="false">
      <c r="A967" s="0" t="s">
        <v>569</v>
      </c>
      <c r="B967" s="4" t="s">
        <v>81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570</v>
      </c>
      <c r="B968" s="0" t="s">
        <v>48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571</v>
      </c>
      <c r="B969" s="0" t="s">
        <v>520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572</v>
      </c>
    </row>
    <row r="970" customFormat="false" ht="17.15" hidden="false" customHeight="false" outlineLevel="0" collapsed="false">
      <c r="A970" s="0" t="s">
        <v>522</v>
      </c>
      <c r="B970" s="0" t="s">
        <v>147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573</v>
      </c>
    </row>
    <row r="972" customFormat="false" ht="15" hidden="false" customHeight="false" outlineLevel="0" collapsed="false">
      <c r="A972" s="4" t="s">
        <v>574</v>
      </c>
      <c r="B972" s="0" t="s">
        <v>147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575</v>
      </c>
      <c r="B973" s="0" t="s">
        <v>147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576</v>
      </c>
      <c r="B974" s="0" t="s">
        <v>147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3816.64127975755</v>
      </c>
      <c r="F974" s="21" t="n">
        <f aca="false">F965+F970+F972+F973</f>
        <v>4039.86719118604</v>
      </c>
      <c r="G974" s="21" t="n">
        <f aca="false">G965+G970+G972+G973</f>
        <v>4102.65057482429</v>
      </c>
    </row>
    <row r="975" customFormat="false" ht="17.15" hidden="false" customHeight="false" outlineLevel="0" collapsed="false">
      <c r="A975" s="4" t="s">
        <v>577</v>
      </c>
      <c r="B975" s="0" t="s">
        <v>48</v>
      </c>
      <c r="D975" s="20" t="n">
        <f aca="false">a26_wai/D958</f>
        <v>0.0391523244650416</v>
      </c>
      <c r="K975" s="8" t="s">
        <v>578</v>
      </c>
    </row>
    <row r="976" customFormat="false" ht="17.15" hidden="false" customHeight="false" outlineLevel="0" collapsed="false">
      <c r="A976" s="4" t="s">
        <v>504</v>
      </c>
      <c r="B976" s="0" t="s">
        <v>48</v>
      </c>
      <c r="D976" s="20" t="n">
        <f aca="false">D975</f>
        <v>0.0391523244650416</v>
      </c>
      <c r="E976" s="20" t="n">
        <f aca="false">$D$975*wrel_27</f>
        <v>0.0391523244650416</v>
      </c>
      <c r="F976" s="20" t="n">
        <f aca="false">$D$975*wrel_28</f>
        <v>0.0391523244650416</v>
      </c>
      <c r="G976" s="20" t="n">
        <f aca="false">$D$975*wrel_29</f>
        <v>0.0371947082417896</v>
      </c>
    </row>
    <row r="977" customFormat="false" ht="17.15" hidden="false" customHeight="false" outlineLevel="0" collapsed="false">
      <c r="A977" s="4" t="s">
        <v>524</v>
      </c>
      <c r="B977" s="0" t="s">
        <v>147</v>
      </c>
      <c r="D977" s="21" t="n">
        <f aca="false">D958*D976</f>
        <v>795.094795</v>
      </c>
      <c r="E977" s="21" t="n">
        <f aca="false">E958*E976</f>
        <v>1427.12501917769</v>
      </c>
      <c r="F977" s="21" t="n">
        <f aca="false">F958*F976</f>
        <v>1809.04758711097</v>
      </c>
      <c r="G977" s="21" t="n">
        <f aca="false">G958*G976</f>
        <v>1957.75164825537</v>
      </c>
    </row>
    <row r="978" customFormat="false" ht="17.15" hidden="false" customHeight="false" outlineLevel="0" collapsed="false">
      <c r="A978" s="4" t="s">
        <v>579</v>
      </c>
      <c r="B978" s="0" t="s">
        <v>147</v>
      </c>
      <c r="D978" s="21" t="n">
        <f aca="false">a26_wna</f>
        <v>650.532105</v>
      </c>
      <c r="E978" s="21" t="n">
        <f aca="false">D978*(1+g_wn27)</f>
        <v>715.5853155</v>
      </c>
      <c r="F978" s="21" t="n">
        <f aca="false">E978*(1+g_wn28)</f>
        <v>758.52043443</v>
      </c>
      <c r="G978" s="21" t="n">
        <f aca="false">F978*(1+g_wn29)</f>
        <v>796.4464561515</v>
      </c>
    </row>
    <row r="979" customFormat="false" ht="15" hidden="false" customHeight="false" outlineLevel="0" collapsed="false">
      <c r="A979" s="4" t="s">
        <v>434</v>
      </c>
      <c r="B979" s="0" t="s">
        <v>147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2142.71033467769</v>
      </c>
      <c r="F979" s="21" t="n">
        <f aca="false">F977+F978</f>
        <v>2567.56802154097</v>
      </c>
      <c r="G979" s="21" t="n">
        <f aca="false">G977+G978</f>
        <v>2754.19810440687</v>
      </c>
    </row>
    <row r="980" customFormat="false" ht="17.15" hidden="false" customHeight="false" outlineLevel="0" collapsed="false">
      <c r="A980" s="4" t="s">
        <v>420</v>
      </c>
      <c r="B980" s="0" t="s">
        <v>147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5959.35161443524</v>
      </c>
      <c r="F980" s="21" t="n">
        <f aca="false">F974+F979</f>
        <v>6607.43521272701</v>
      </c>
      <c r="G980" s="21" t="n">
        <f aca="false">G974+G979</f>
        <v>6856.84867923116</v>
      </c>
      <c r="H980" s="26" t="n">
        <f aca="false">G980*(1+H981)</f>
        <v>7166.53776956726</v>
      </c>
      <c r="I980" s="26" t="n">
        <f aca="false">H980*(1+I981)</f>
        <v>7543.37199085936</v>
      </c>
      <c r="J980" s="26" t="n">
        <f aca="false">I980*(1+J981)</f>
        <v>7995.97431031092</v>
      </c>
      <c r="K980" s="8" t="s">
        <v>580</v>
      </c>
    </row>
    <row r="981" customFormat="false" ht="15" hidden="false" customHeight="false" outlineLevel="0" collapsed="false">
      <c r="A981" s="4" t="s">
        <v>581</v>
      </c>
      <c r="B981" s="0" t="s">
        <v>48</v>
      </c>
      <c r="D981" s="20" t="n">
        <f aca="false">D980/C980-1</f>
        <v>0.873912121761526</v>
      </c>
      <c r="E981" s="20" t="n">
        <f aca="false">E980/D980-1</f>
        <v>0.454439765251677</v>
      </c>
      <c r="F981" s="20" t="n">
        <f aca="false">F980/E980-1</f>
        <v>0.108750689709586</v>
      </c>
      <c r="G981" s="20" t="n">
        <f aca="false">G980/F980-1</f>
        <v>0.0377473949383174</v>
      </c>
      <c r="H981" s="27" t="n">
        <f aca="false">$G981+(fade_gA-$G981)*1/3</f>
        <v>0.0451649299588782</v>
      </c>
      <c r="I981" s="27" t="n">
        <f aca="false">$G981+(fade_gA-$G981)*2/3</f>
        <v>0.0525824649794391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582</v>
      </c>
      <c r="B982" s="0" t="s">
        <v>48</v>
      </c>
      <c r="D982" s="20" t="n">
        <f aca="false">(D965+D970+D977)/D980</f>
        <v>0.6546220793463</v>
      </c>
      <c r="E982" s="20" t="n">
        <f aca="false">(E965+E970+E977)/E980</f>
        <v>0.749679139384196</v>
      </c>
      <c r="F982" s="20" t="n">
        <f aca="false">(F965+F970+F977)/F980</f>
        <v>0.76500940322852</v>
      </c>
      <c r="G982" s="20" t="n">
        <f aca="false">(G965+G970+G977)/G980</f>
        <v>0.765715820686707</v>
      </c>
    </row>
    <row r="983" customFormat="false" ht="17.15" hidden="false" customHeight="false" outlineLevel="0" collapsed="false">
      <c r="A983" s="4" t="s">
        <v>583</v>
      </c>
      <c r="B983" s="0" t="s">
        <v>48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0.359554272563384</v>
      </c>
      <c r="F983" s="20" t="n">
        <f aca="false">F979/F980</f>
        <v>0.388587695358012</v>
      </c>
      <c r="G983" s="20" t="n">
        <f aca="false">G979/G980</f>
        <v>0.40167112229691</v>
      </c>
    </row>
    <row r="984" customFormat="false" ht="17.15" hidden="false" customHeight="false" outlineLevel="0" collapsed="false">
      <c r="A984" s="4" t="s">
        <v>584</v>
      </c>
      <c r="B984" s="4" t="s">
        <v>331</v>
      </c>
      <c r="D984" s="21" t="n">
        <f aca="false">D963/fx/(odm_gb*(1-vr26)+odm_vr*vr26)</f>
        <v>12.0597330420658</v>
      </c>
      <c r="E984" s="21" t="n">
        <f aca="false">E963/fx/odm_vr</f>
        <v>14.7674893195131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585</v>
      </c>
    </row>
    <row r="985" customFormat="false" ht="17.15" hidden="false" customHeight="false" outlineLevel="0" collapsed="false">
      <c r="A985" s="6" t="s">
        <v>586</v>
      </c>
    </row>
    <row r="986" customFormat="false" ht="17.15" hidden="false" customHeight="false" outlineLevel="0" collapsed="false">
      <c r="A986" s="4" t="s">
        <v>587</v>
      </c>
      <c r="B986" s="0" t="s">
        <v>48</v>
      </c>
      <c r="D986" s="17" t="n">
        <f aca="false">(a26_sgp-d_ai*D965-d_brd*D970-d_gen*D972)/D974</f>
        <v>0.0436423860147897</v>
      </c>
      <c r="K986" s="8" t="s">
        <v>588</v>
      </c>
    </row>
    <row r="987" customFormat="false" ht="17.15" hidden="false" customHeight="false" outlineLevel="0" collapsed="false">
      <c r="A987" s="4" t="s">
        <v>589</v>
      </c>
      <c r="B987" s="0" t="s">
        <v>147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99.9228552931035</v>
      </c>
      <c r="F987" s="25" t="n">
        <f aca="false">($D$986+d_ai+vrd)*F963*(1-F964*(1-keep))</f>
        <v>119.115229856887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590</v>
      </c>
      <c r="B988" s="0" t="s">
        <v>147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591</v>
      </c>
      <c r="B989" s="0" t="s">
        <v>48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592</v>
      </c>
      <c r="B990" s="0" t="s">
        <v>48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593</v>
      </c>
      <c r="B991" s="0" t="s">
        <v>147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594</v>
      </c>
      <c r="B992" s="0" t="s">
        <v>147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95.8074495725884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595</v>
      </c>
      <c r="B993" s="0" t="s">
        <v>48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596</v>
      </c>
      <c r="B994" s="0" t="s">
        <v>147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53.6521717606495</v>
      </c>
      <c r="F994" s="21" t="n">
        <f aca="false">F992*snio</f>
        <v>64.5933850845477</v>
      </c>
      <c r="G994" s="21" t="n">
        <f aca="false">G992*snio</f>
        <v>70.3347214788719</v>
      </c>
    </row>
    <row r="995" customFormat="false" ht="17.15" hidden="false" customHeight="false" outlineLevel="0" collapsed="false">
      <c r="A995" s="6" t="s">
        <v>597</v>
      </c>
    </row>
    <row r="996" customFormat="false" ht="15" hidden="false" customHeight="false" outlineLevel="0" collapsed="false">
      <c r="A996" s="4" t="s">
        <v>438</v>
      </c>
      <c r="B996" s="0" t="s">
        <v>147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182.130378447603</v>
      </c>
      <c r="F996" s="21" t="n">
        <f aca="false">F979*wgm</f>
        <v>218.243281830982</v>
      </c>
      <c r="G996" s="21" t="n">
        <f aca="false">G979*wgm</f>
        <v>234.106838874584</v>
      </c>
    </row>
    <row r="997" customFormat="false" ht="15" hidden="false" customHeight="false" outlineLevel="0" collapsed="false">
      <c r="A997" s="4" t="s">
        <v>440</v>
      </c>
      <c r="B997" s="0" t="s">
        <v>147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160.703275100827</v>
      </c>
      <c r="F997" s="21" t="n">
        <f aca="false">F979*wopm_hi</f>
        <v>192.567601615572</v>
      </c>
      <c r="G997" s="21" t="n">
        <f aca="false">G979*wopm_hi</f>
        <v>206.564857830515</v>
      </c>
    </row>
    <row r="998" customFormat="false" ht="15" hidden="false" customHeight="false" outlineLevel="0" collapsed="false">
      <c r="A998" s="4" t="s">
        <v>448</v>
      </c>
      <c r="B998" s="0" t="s">
        <v>147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125.348554578645</v>
      </c>
      <c r="F998" s="21" t="n">
        <f aca="false">F997*wnio</f>
        <v>150.202729260147</v>
      </c>
      <c r="G998" s="21" t="n">
        <f aca="false">G997*wnio</f>
        <v>161.120589107802</v>
      </c>
    </row>
    <row r="999" customFormat="false" ht="15" hidden="false" customHeight="false" outlineLevel="0" collapsed="false">
      <c r="A999" s="4" t="s">
        <v>450</v>
      </c>
      <c r="B999" s="0" t="s">
        <v>48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598</v>
      </c>
    </row>
    <row r="1001" customFormat="false" ht="15" hidden="false" customHeight="false" outlineLevel="0" collapsed="false">
      <c r="A1001" s="4" t="s">
        <v>424</v>
      </c>
      <c r="B1001" s="0" t="s">
        <v>147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331.122306711138</v>
      </c>
      <c r="F1001" s="21" t="n">
        <f aca="false">F988+F996</f>
        <v>387.706279626467</v>
      </c>
      <c r="G1001" s="21" t="n">
        <f aca="false">G988+G996</f>
        <v>414.074535115568</v>
      </c>
    </row>
    <row r="1002" customFormat="false" ht="15" hidden="false" customHeight="false" outlineLevel="0" collapsed="false">
      <c r="A1002" s="4" t="s">
        <v>427</v>
      </c>
      <c r="B1002" s="0" t="s">
        <v>48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0.0555634787363554</v>
      </c>
      <c r="F1002" s="17" t="n">
        <f aca="false">F1001/F980</f>
        <v>0.058677272972678</v>
      </c>
      <c r="G1002" s="17" t="n">
        <f aca="false">G1001/G980</f>
        <v>0.0603884604264006</v>
      </c>
    </row>
    <row r="1003" customFormat="false" ht="15" hidden="false" customHeight="false" outlineLevel="0" collapsed="false">
      <c r="A1003" s="4" t="s">
        <v>428</v>
      </c>
      <c r="B1003" s="0" t="s">
        <v>147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256.510724673415</v>
      </c>
      <c r="F1003" s="21" t="n">
        <f aca="false">F992+F997</f>
        <v>307.912932123693</v>
      </c>
      <c r="G1003" s="21" t="n">
        <f aca="false">G992+G997</f>
        <v>332.162574757072</v>
      </c>
    </row>
    <row r="1004" customFormat="false" ht="15" hidden="false" customHeight="false" outlineLevel="0" collapsed="false">
      <c r="A1004" s="4" t="s">
        <v>431</v>
      </c>
      <c r="B1004" s="0" t="s">
        <v>48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0.043043394863977</v>
      </c>
      <c r="F1004" s="17" t="n">
        <f aca="false">F1003/F980</f>
        <v>0.0466009763562422</v>
      </c>
      <c r="G1004" s="17" t="n">
        <f aca="false">G1003/G980</f>
        <v>0.0484424537124708</v>
      </c>
    </row>
    <row r="1005" customFormat="false" ht="15" hidden="false" customHeight="false" outlineLevel="0" collapsed="false">
      <c r="A1005" s="4" t="s">
        <v>461</v>
      </c>
      <c r="B1005" s="0" t="s">
        <v>147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179.000726339294</v>
      </c>
      <c r="F1005" s="21" t="n">
        <f aca="false">F994+F998</f>
        <v>214.796114344694</v>
      </c>
      <c r="G1005" s="21" t="n">
        <f aca="false">G994+G998</f>
        <v>231.455310586674</v>
      </c>
    </row>
    <row r="1006" customFormat="false" ht="17.15" hidden="false" customHeight="false" outlineLevel="0" collapsed="false">
      <c r="A1006" s="4" t="s">
        <v>599</v>
      </c>
      <c r="B1006" s="0" t="s">
        <v>147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78.1172192134114</v>
      </c>
      <c r="F1006" s="21" t="n">
        <f aca="false">(1-F999)*F998</f>
        <v>93.6063408749233</v>
      </c>
      <c r="G1006" s="21" t="n">
        <f aca="false">(1-G999)*G998</f>
        <v>100.410351131982</v>
      </c>
    </row>
    <row r="1007" customFormat="false" ht="15" hidden="false" customHeight="false" outlineLevel="0" collapsed="false">
      <c r="A1007" s="4" t="s">
        <v>457</v>
      </c>
      <c r="B1007" s="0" t="s">
        <v>147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100.883507125883</v>
      </c>
      <c r="F1007" s="21" t="n">
        <f aca="false">F1005-F1006</f>
        <v>121.189773469771</v>
      </c>
      <c r="G1007" s="21" t="n">
        <f aca="false">G1005-G1006</f>
        <v>131.044959454692</v>
      </c>
      <c r="H1007" s="26" t="n">
        <f aca="false">H980*H1012</f>
        <v>134.143497575625</v>
      </c>
      <c r="I1007" s="26" t="n">
        <f aca="false">I980*I1012</f>
        <v>138.228707325015</v>
      </c>
      <c r="J1007" s="26" t="n">
        <f aca="false">J980*J1012</f>
        <v>143.375940589569</v>
      </c>
    </row>
    <row r="1008" customFormat="false" ht="17.15" hidden="false" customHeight="false" outlineLevel="0" collapsed="false">
      <c r="A1008" s="4" t="s">
        <v>600</v>
      </c>
      <c r="B1008" s="0" t="s">
        <v>48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0.468176976701433</v>
      </c>
      <c r="F1008" s="20" t="n">
        <f aca="false">F999*F998/F1007</f>
        <v>0.467006305604989</v>
      </c>
      <c r="G1008" s="20" t="n">
        <f aca="false">G999*G998/G1007</f>
        <v>0.463277933225735</v>
      </c>
    </row>
    <row r="1009" customFormat="false" ht="17.15" hidden="false" customHeight="false" outlineLevel="0" collapsed="false">
      <c r="A1009" s="4" t="s">
        <v>601</v>
      </c>
      <c r="B1009" s="4" t="s">
        <v>282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602</v>
      </c>
    </row>
    <row r="1010" customFormat="false" ht="15" hidden="false" customHeight="false" outlineLevel="0" collapsed="false">
      <c r="A1010" s="0" t="s">
        <v>464</v>
      </c>
      <c r="B1010" s="0" t="s">
        <v>312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29.4121012028813</v>
      </c>
      <c r="F1010" s="18" t="n">
        <f aca="false">F1007/F1009</f>
        <v>35.3322954722364</v>
      </c>
      <c r="G1010" s="18" t="n">
        <f aca="false">G1007/G1009</f>
        <v>38.205527537811</v>
      </c>
      <c r="H1010" s="29" t="n">
        <f aca="false">H1007/H1009</f>
        <v>39.1088914214651</v>
      </c>
      <c r="I1010" s="29" t="n">
        <f aca="false">I1007/I1009</f>
        <v>40.299914672016</v>
      </c>
      <c r="J1010" s="29" t="n">
        <f aca="false">J1007/J1009</f>
        <v>41.8005657695538</v>
      </c>
    </row>
    <row r="1011" customFormat="false" ht="17.15" hidden="false" customHeight="false" outlineLevel="0" collapsed="false">
      <c r="A1011" s="0" t="s">
        <v>603</v>
      </c>
      <c r="B1011" s="0" t="s">
        <v>48</v>
      </c>
      <c r="D1011" s="20" t="n">
        <f aca="false">D1010/C1010-1</f>
        <v>1.03813580587031</v>
      </c>
      <c r="E1011" s="20" t="n">
        <f aca="false">E1010/D1010-1</f>
        <v>0.596336715466582</v>
      </c>
      <c r="F1011" s="20" t="n">
        <f aca="false">F1010/E1010-1</f>
        <v>0.20128430228491</v>
      </c>
      <c r="G1011" s="20" t="n">
        <f aca="false">G1010/F1010-1</f>
        <v>0.0813202773035868</v>
      </c>
      <c r="H1011" s="27" t="n">
        <f aca="false">H1010/G1010-1</f>
        <v>0.023644847797484</v>
      </c>
      <c r="I1011" s="27" t="n">
        <f aca="false">I1010/H1010-1</f>
        <v>0.0304540273902318</v>
      </c>
      <c r="J1011" s="27" t="n">
        <f aca="false">J1010/I1010-1</f>
        <v>0.037237078781704</v>
      </c>
    </row>
    <row r="1012" customFormat="false" ht="17.15" hidden="false" customHeight="false" outlineLevel="0" collapsed="false">
      <c r="A1012" s="4" t="s">
        <v>604</v>
      </c>
      <c r="B1012" s="0" t="s">
        <v>48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0.0169286045954252</v>
      </c>
      <c r="F1012" s="17" t="n">
        <f aca="false">F1007/F980</f>
        <v>0.0183414244056967</v>
      </c>
      <c r="G1012" s="17" t="n">
        <f aca="false">G1007/G980</f>
        <v>0.0191115431570798</v>
      </c>
      <c r="H1012" s="28" t="n">
        <f aca="false">$G1012+(fade_mA-$G1012)*1/3</f>
        <v>0.0187180339919879</v>
      </c>
      <c r="I1012" s="28" t="n">
        <f aca="false">$G1012+(fade_mA-$G1012)*2/3</f>
        <v>0.0183245248268961</v>
      </c>
      <c r="J1012" s="28" t="n">
        <f aca="false">$G1012+(fade_mA-$G1012)*3/3</f>
        <v>0.0179310156618042</v>
      </c>
    </row>
    <row r="1015" customFormat="false" ht="17.15" hidden="false" customHeight="false" outlineLevel="0" collapsed="false">
      <c r="A1015" s="1" t="s">
        <v>888</v>
      </c>
    </row>
    <row r="1016" customFormat="false" ht="17.15" hidden="false" customHeight="false" outlineLevel="0" collapsed="false">
      <c r="A1016" s="5" t="s">
        <v>17</v>
      </c>
      <c r="B1016" s="5" t="s">
        <v>18</v>
      </c>
      <c r="C1016" s="14" t="s">
        <v>414</v>
      </c>
      <c r="D1016" s="14" t="s">
        <v>529</v>
      </c>
      <c r="E1016" s="14" t="s">
        <v>530</v>
      </c>
      <c r="F1016" s="14" t="s">
        <v>531</v>
      </c>
      <c r="G1016" s="14" t="s">
        <v>532</v>
      </c>
      <c r="H1016" s="14" t="s">
        <v>533</v>
      </c>
      <c r="I1016" s="14" t="s">
        <v>534</v>
      </c>
      <c r="J1016" s="14" t="s">
        <v>535</v>
      </c>
      <c r="K1016" s="5" t="s">
        <v>496</v>
      </c>
    </row>
    <row r="1017" customFormat="false" ht="17.15" hidden="false" customHeight="false" outlineLevel="0" collapsed="false">
      <c r="A1017" s="6" t="s">
        <v>550</v>
      </c>
    </row>
    <row r="1018" customFormat="false" ht="17.15" hidden="false" customHeight="false" outlineLevel="0" collapsed="false">
      <c r="A1018" s="0" t="s">
        <v>551</v>
      </c>
      <c r="B1018" s="0" t="s">
        <v>28</v>
      </c>
      <c r="D1018" s="21" t="n">
        <f aca="false">itc_26*1</f>
        <v>781.872916666667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552</v>
      </c>
      <c r="B1019" s="0" t="s">
        <v>28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553</v>
      </c>
      <c r="B1020" s="0" t="s">
        <v>498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554</v>
      </c>
      <c r="B1021" s="0" t="s">
        <v>555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556</v>
      </c>
    </row>
    <row r="1022" customFormat="false" ht="17.15" hidden="false" customHeight="false" outlineLevel="0" collapsed="false">
      <c r="A1022" s="0" t="s">
        <v>557</v>
      </c>
      <c r="B1022" s="0" t="s">
        <v>28</v>
      </c>
      <c r="D1022" s="21" t="n">
        <f aca="false">D1020*D1021</f>
        <v>634.616531285011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558</v>
      </c>
      <c r="B1023" s="0" t="s">
        <v>147</v>
      </c>
      <c r="D1023" s="21" t="n">
        <f aca="false">D1022*fx</f>
        <v>20307.7290011204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559</v>
      </c>
    </row>
    <row r="1025" customFormat="false" ht="17.15" hidden="false" customHeight="false" outlineLevel="0" collapsed="false">
      <c r="A1025" s="4" t="s">
        <v>560</v>
      </c>
      <c r="B1025" s="0" t="s">
        <v>48</v>
      </c>
      <c r="D1025" s="20" t="n">
        <f aca="false">a26_ais/D1023</f>
        <v>0.0875096501918446</v>
      </c>
      <c r="K1025" s="8" t="s">
        <v>561</v>
      </c>
    </row>
    <row r="1026" customFormat="false" ht="17.15" hidden="false" customHeight="false" outlineLevel="0" collapsed="false">
      <c r="A1026" s="4" t="s">
        <v>562</v>
      </c>
      <c r="B1026" s="0" t="s">
        <v>60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563</v>
      </c>
      <c r="B1027" s="0" t="s">
        <v>48</v>
      </c>
      <c r="D1027" s="20" t="n">
        <f aca="false">$D$1025*D1026</f>
        <v>0.0875096501918446</v>
      </c>
      <c r="E1027" s="20" t="n">
        <f aca="false">$D$1025*E1026</f>
        <v>0.0875096501918446</v>
      </c>
      <c r="F1027" s="20" t="n">
        <f aca="false">$D$1025*F1026</f>
        <v>0.0831341676822524</v>
      </c>
      <c r="G1027" s="20" t="n">
        <f aca="false">$D$1025*G1026</f>
        <v>0.0787586851726601</v>
      </c>
    </row>
    <row r="1028" customFormat="false" ht="17.15" hidden="false" customHeight="false" outlineLevel="0" collapsed="false">
      <c r="A1028" s="4" t="s">
        <v>564</v>
      </c>
      <c r="B1028" s="0" t="s">
        <v>147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565</v>
      </c>
      <c r="B1029" s="0" t="s">
        <v>48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566</v>
      </c>
    </row>
    <row r="1030" customFormat="false" ht="17.15" hidden="false" customHeight="false" outlineLevel="0" collapsed="false">
      <c r="A1030" s="4" t="s">
        <v>567</v>
      </c>
      <c r="B1030" s="0" t="s">
        <v>147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3072.99589502208</v>
      </c>
      <c r="G1030" s="21" t="n">
        <f aca="false">G1028*(1-G1029)</f>
        <v>3109.11053614536</v>
      </c>
    </row>
    <row r="1031" customFormat="false" ht="17.15" hidden="false" customHeight="false" outlineLevel="0" collapsed="false">
      <c r="A1031" s="6" t="s">
        <v>568</v>
      </c>
    </row>
    <row r="1032" customFormat="false" ht="17.15" hidden="false" customHeight="false" outlineLevel="0" collapsed="false">
      <c r="A1032" s="0" t="s">
        <v>569</v>
      </c>
      <c r="B1032" s="4" t="s">
        <v>81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570</v>
      </c>
      <c r="B1033" s="0" t="s">
        <v>48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571</v>
      </c>
      <c r="B1034" s="0" t="s">
        <v>520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572</v>
      </c>
    </row>
    <row r="1035" customFormat="false" ht="17.15" hidden="false" customHeight="false" outlineLevel="0" collapsed="false">
      <c r="A1035" s="0" t="s">
        <v>522</v>
      </c>
      <c r="B1035" s="0" t="s">
        <v>147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573</v>
      </c>
    </row>
    <row r="1037" customFormat="false" ht="15" hidden="false" customHeight="false" outlineLevel="0" collapsed="false">
      <c r="A1037" s="4" t="s">
        <v>574</v>
      </c>
      <c r="B1037" s="0" t="s">
        <v>147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575</v>
      </c>
      <c r="B1038" s="0" t="s">
        <v>147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576</v>
      </c>
      <c r="B1039" s="0" t="s">
        <v>147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3816.64127975755</v>
      </c>
      <c r="F1039" s="21" t="n">
        <f aca="false">F1030+F1035+F1037+F1038</f>
        <v>4039.86719118604</v>
      </c>
      <c r="G1039" s="21" t="n">
        <f aca="false">G1030+G1035+G1037+G1038</f>
        <v>4102.65057482429</v>
      </c>
    </row>
    <row r="1040" customFormat="false" ht="17.15" hidden="false" customHeight="false" outlineLevel="0" collapsed="false">
      <c r="A1040" s="4" t="s">
        <v>577</v>
      </c>
      <c r="B1040" s="0" t="s">
        <v>48</v>
      </c>
      <c r="D1040" s="20" t="n">
        <f aca="false">a26_wai/D1023</f>
        <v>0.0391523244650416</v>
      </c>
      <c r="K1040" s="8" t="s">
        <v>578</v>
      </c>
    </row>
    <row r="1041" customFormat="false" ht="17.15" hidden="false" customHeight="false" outlineLevel="0" collapsed="false">
      <c r="A1041" s="4" t="s">
        <v>504</v>
      </c>
      <c r="B1041" s="0" t="s">
        <v>48</v>
      </c>
      <c r="D1041" s="20" t="n">
        <f aca="false">D1040</f>
        <v>0.0391523244650416</v>
      </c>
      <c r="E1041" s="20" t="n">
        <f aca="false">$D$1040*wrel_27</f>
        <v>0.0391523244650416</v>
      </c>
      <c r="F1041" s="20" t="n">
        <f aca="false">$D$1040*wrel_28</f>
        <v>0.0391523244650416</v>
      </c>
      <c r="G1041" s="20" t="n">
        <f aca="false">$D$1040*wrel_29</f>
        <v>0.0371947082417896</v>
      </c>
    </row>
    <row r="1042" customFormat="false" ht="17.15" hidden="false" customHeight="false" outlineLevel="0" collapsed="false">
      <c r="A1042" s="4" t="s">
        <v>524</v>
      </c>
      <c r="B1042" s="0" t="s">
        <v>147</v>
      </c>
      <c r="D1042" s="21" t="n">
        <f aca="false">D1023*D1041</f>
        <v>795.094795</v>
      </c>
      <c r="E1042" s="21" t="n">
        <f aca="false">E1023*E1041</f>
        <v>1427.12501917769</v>
      </c>
      <c r="F1042" s="21" t="n">
        <f aca="false">F1023*F1041</f>
        <v>1809.04758711097</v>
      </c>
      <c r="G1042" s="21" t="n">
        <f aca="false">G1023*G1041</f>
        <v>1957.75164825537</v>
      </c>
    </row>
    <row r="1043" customFormat="false" ht="17.15" hidden="false" customHeight="false" outlineLevel="0" collapsed="false">
      <c r="A1043" s="4" t="s">
        <v>579</v>
      </c>
      <c r="B1043" s="0" t="s">
        <v>147</v>
      </c>
      <c r="D1043" s="21" t="n">
        <f aca="false">a26_wna</f>
        <v>650.532105</v>
      </c>
      <c r="E1043" s="21" t="n">
        <f aca="false">D1043*(1+g_wn27)</f>
        <v>715.5853155</v>
      </c>
      <c r="F1043" s="21" t="n">
        <f aca="false">E1043*(1+g_wn28)</f>
        <v>758.52043443</v>
      </c>
      <c r="G1043" s="21" t="n">
        <f aca="false">F1043*(1+g_wn29)</f>
        <v>796.4464561515</v>
      </c>
    </row>
    <row r="1044" customFormat="false" ht="15" hidden="false" customHeight="false" outlineLevel="0" collapsed="false">
      <c r="A1044" s="4" t="s">
        <v>434</v>
      </c>
      <c r="B1044" s="0" t="s">
        <v>147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2142.71033467769</v>
      </c>
      <c r="F1044" s="21" t="n">
        <f aca="false">F1042+F1043</f>
        <v>2567.56802154097</v>
      </c>
      <c r="G1044" s="21" t="n">
        <f aca="false">G1042+G1043</f>
        <v>2754.19810440687</v>
      </c>
    </row>
    <row r="1045" customFormat="false" ht="17.15" hidden="false" customHeight="false" outlineLevel="0" collapsed="false">
      <c r="A1045" s="4" t="s">
        <v>420</v>
      </c>
      <c r="B1045" s="0" t="s">
        <v>147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5959.35161443524</v>
      </c>
      <c r="F1045" s="21" t="n">
        <f aca="false">F1039+F1044</f>
        <v>6607.43521272701</v>
      </c>
      <c r="G1045" s="21" t="n">
        <f aca="false">G1039+G1044</f>
        <v>6856.84867923116</v>
      </c>
      <c r="H1045" s="26" t="n">
        <f aca="false">G1045*(1+H1046)</f>
        <v>7166.53776956726</v>
      </c>
      <c r="I1045" s="26" t="n">
        <f aca="false">H1045*(1+I1046)</f>
        <v>7543.37199085936</v>
      </c>
      <c r="J1045" s="26" t="n">
        <f aca="false">I1045*(1+J1046)</f>
        <v>7995.97431031092</v>
      </c>
      <c r="K1045" s="8" t="s">
        <v>580</v>
      </c>
    </row>
    <row r="1046" customFormat="false" ht="15" hidden="false" customHeight="false" outlineLevel="0" collapsed="false">
      <c r="A1046" s="4" t="s">
        <v>581</v>
      </c>
      <c r="B1046" s="0" t="s">
        <v>48</v>
      </c>
      <c r="D1046" s="20" t="n">
        <f aca="false">D1045/C1045-1</f>
        <v>0.873912121761526</v>
      </c>
      <c r="E1046" s="20" t="n">
        <f aca="false">E1045/D1045-1</f>
        <v>0.454439765251677</v>
      </c>
      <c r="F1046" s="20" t="n">
        <f aca="false">F1045/E1045-1</f>
        <v>0.108750689709586</v>
      </c>
      <c r="G1046" s="20" t="n">
        <f aca="false">G1045/F1045-1</f>
        <v>0.0377473949383174</v>
      </c>
      <c r="H1046" s="27" t="n">
        <f aca="false">$G1046+(fade_gA-$G1046)*1/3</f>
        <v>0.0451649299588782</v>
      </c>
      <c r="I1046" s="27" t="n">
        <f aca="false">$G1046+(fade_gA-$G1046)*2/3</f>
        <v>0.0525824649794391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582</v>
      </c>
      <c r="B1047" s="0" t="s">
        <v>48</v>
      </c>
      <c r="D1047" s="20" t="n">
        <f aca="false">(D1030+D1035+D1042)/D1045</f>
        <v>0.6546220793463</v>
      </c>
      <c r="E1047" s="20" t="n">
        <f aca="false">(E1030+E1035+E1042)/E1045</f>
        <v>0.749679139384196</v>
      </c>
      <c r="F1047" s="20" t="n">
        <f aca="false">(F1030+F1035+F1042)/F1045</f>
        <v>0.76500940322852</v>
      </c>
      <c r="G1047" s="20" t="n">
        <f aca="false">(G1030+G1035+G1042)/G1045</f>
        <v>0.765715820686707</v>
      </c>
    </row>
    <row r="1048" customFormat="false" ht="17.15" hidden="false" customHeight="false" outlineLevel="0" collapsed="false">
      <c r="A1048" s="4" t="s">
        <v>583</v>
      </c>
      <c r="B1048" s="0" t="s">
        <v>48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0.359554272563384</v>
      </c>
      <c r="F1048" s="20" t="n">
        <f aca="false">F1044/F1045</f>
        <v>0.388587695358012</v>
      </c>
      <c r="G1048" s="20" t="n">
        <f aca="false">G1044/G1045</f>
        <v>0.40167112229691</v>
      </c>
    </row>
    <row r="1049" customFormat="false" ht="17.15" hidden="false" customHeight="false" outlineLevel="0" collapsed="false">
      <c r="A1049" s="4" t="s">
        <v>584</v>
      </c>
      <c r="B1049" s="4" t="s">
        <v>331</v>
      </c>
      <c r="D1049" s="21" t="n">
        <f aca="false">D1028/fx/(odm_gb*(1-vr26)+odm_vr*vr26)</f>
        <v>12.0597330420658</v>
      </c>
      <c r="E1049" s="21" t="n">
        <f aca="false">E1028/fx/odm_vr</f>
        <v>14.7674893195131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585</v>
      </c>
    </row>
    <row r="1050" customFormat="false" ht="17.15" hidden="false" customHeight="false" outlineLevel="0" collapsed="false">
      <c r="A1050" s="6" t="s">
        <v>586</v>
      </c>
    </row>
    <row r="1051" customFormat="false" ht="17.15" hidden="false" customHeight="false" outlineLevel="0" collapsed="false">
      <c r="A1051" s="4" t="s">
        <v>587</v>
      </c>
      <c r="B1051" s="0" t="s">
        <v>48</v>
      </c>
      <c r="D1051" s="17" t="n">
        <f aca="false">(a26_sgp-d_ai*D1030-d_brd*D1035-d_gen*D1037)/D1039</f>
        <v>0.0436423860147897</v>
      </c>
      <c r="K1051" s="8" t="s">
        <v>588</v>
      </c>
    </row>
    <row r="1052" customFormat="false" ht="17.15" hidden="false" customHeight="false" outlineLevel="0" collapsed="false">
      <c r="A1052" s="4" t="s">
        <v>589</v>
      </c>
      <c r="B1052" s="0" t="s">
        <v>147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99.9228552931035</v>
      </c>
      <c r="F1052" s="25" t="n">
        <f aca="false">($D$1051+d_ai+vrd)*F1028*(1-F1029*(1-keep))</f>
        <v>119.115229856887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590</v>
      </c>
      <c r="B1053" s="0" t="s">
        <v>147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591</v>
      </c>
      <c r="B1054" s="0" t="s">
        <v>48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592</v>
      </c>
      <c r="B1055" s="0" t="s">
        <v>48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593</v>
      </c>
      <c r="B1056" s="0" t="s">
        <v>147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594</v>
      </c>
      <c r="B1057" s="0" t="s">
        <v>147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95.8074495725884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595</v>
      </c>
      <c r="B1058" s="0" t="s">
        <v>48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596</v>
      </c>
      <c r="B1059" s="0" t="s">
        <v>147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51.9053987286544</v>
      </c>
      <c r="G1059" s="21" t="n">
        <f aca="false">G1057*snio_lo</f>
        <v>56.5189726169506</v>
      </c>
    </row>
    <row r="1060" customFormat="false" ht="17.15" hidden="false" customHeight="false" outlineLevel="0" collapsed="false">
      <c r="A1060" s="6" t="s">
        <v>597</v>
      </c>
    </row>
    <row r="1061" customFormat="false" ht="15" hidden="false" customHeight="false" outlineLevel="0" collapsed="false">
      <c r="A1061" s="4" t="s">
        <v>438</v>
      </c>
      <c r="B1061" s="0" t="s">
        <v>147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182.130378447603</v>
      </c>
      <c r="F1061" s="21" t="n">
        <f aca="false">F1044*wgm</f>
        <v>218.243281830982</v>
      </c>
      <c r="G1061" s="21" t="n">
        <f aca="false">G1044*wgm</f>
        <v>234.106838874584</v>
      </c>
    </row>
    <row r="1062" customFormat="false" ht="15" hidden="false" customHeight="false" outlineLevel="0" collapsed="false">
      <c r="A1062" s="4" t="s">
        <v>440</v>
      </c>
      <c r="B1062" s="0" t="s">
        <v>147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139.27617175405</v>
      </c>
      <c r="F1062" s="21" t="n">
        <f aca="false">F1044*wopm</f>
        <v>166.891921400163</v>
      </c>
      <c r="G1062" s="21" t="n">
        <f aca="false">G1044*wopm</f>
        <v>179.022876786446</v>
      </c>
    </row>
    <row r="1063" customFormat="false" ht="15" hidden="false" customHeight="false" outlineLevel="0" collapsed="false">
      <c r="A1063" s="4" t="s">
        <v>448</v>
      </c>
      <c r="B1063" s="0" t="s">
        <v>147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108.635413968159</v>
      </c>
      <c r="F1063" s="21" t="n">
        <f aca="false">F1062*wnio</f>
        <v>130.175698692127</v>
      </c>
      <c r="G1063" s="21" t="n">
        <f aca="false">G1062*wnio</f>
        <v>139.637843893428</v>
      </c>
    </row>
    <row r="1064" customFormat="false" ht="15" hidden="false" customHeight="false" outlineLevel="0" collapsed="false">
      <c r="A1064" s="4" t="s">
        <v>450</v>
      </c>
      <c r="B1064" s="0" t="s">
        <v>48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598</v>
      </c>
    </row>
    <row r="1066" customFormat="false" ht="15" hidden="false" customHeight="false" outlineLevel="0" collapsed="false">
      <c r="A1066" s="4" t="s">
        <v>424</v>
      </c>
      <c r="B1066" s="0" t="s">
        <v>147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331.122306711138</v>
      </c>
      <c r="F1066" s="21" t="n">
        <f aca="false">F1053+F1061</f>
        <v>387.706279626467</v>
      </c>
      <c r="G1066" s="21" t="n">
        <f aca="false">G1053+G1061</f>
        <v>414.074535115568</v>
      </c>
    </row>
    <row r="1067" customFormat="false" ht="15" hidden="false" customHeight="false" outlineLevel="0" collapsed="false">
      <c r="A1067" s="4" t="s">
        <v>427</v>
      </c>
      <c r="B1067" s="0" t="s">
        <v>48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0.0555634787363554</v>
      </c>
      <c r="F1067" s="17" t="n">
        <f aca="false">F1066/F1045</f>
        <v>0.058677272972678</v>
      </c>
      <c r="G1067" s="17" t="n">
        <f aca="false">G1066/G1045</f>
        <v>0.0603884604264006</v>
      </c>
    </row>
    <row r="1068" customFormat="false" ht="15" hidden="false" customHeight="false" outlineLevel="0" collapsed="false">
      <c r="A1068" s="4" t="s">
        <v>428</v>
      </c>
      <c r="B1068" s="0" t="s">
        <v>147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235.083621326638</v>
      </c>
      <c r="F1068" s="21" t="n">
        <f aca="false">F1057+F1062</f>
        <v>282.237251908284</v>
      </c>
      <c r="G1068" s="21" t="n">
        <f aca="false">G1057+G1062</f>
        <v>304.620593713003</v>
      </c>
    </row>
    <row r="1069" customFormat="false" ht="15" hidden="false" customHeight="false" outlineLevel="0" collapsed="false">
      <c r="A1069" s="4" t="s">
        <v>431</v>
      </c>
      <c r="B1069" s="0" t="s">
        <v>48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0.0394478521383432</v>
      </c>
      <c r="F1069" s="17" t="n">
        <f aca="false">F1068/F1045</f>
        <v>0.0427150994026621</v>
      </c>
      <c r="G1069" s="17" t="n">
        <f aca="false">G1068/G1045</f>
        <v>0.0444257424895017</v>
      </c>
    </row>
    <row r="1070" customFormat="false" ht="15" hidden="false" customHeight="false" outlineLevel="0" collapsed="false">
      <c r="A1070" s="4" t="s">
        <v>461</v>
      </c>
      <c r="B1070" s="0" t="s">
        <v>147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151.748766275824</v>
      </c>
      <c r="F1070" s="21" t="n">
        <f aca="false">F1059+F1063</f>
        <v>182.081097420781</v>
      </c>
      <c r="G1070" s="21" t="n">
        <f aca="false">G1059+G1063</f>
        <v>196.156816510379</v>
      </c>
    </row>
    <row r="1071" customFormat="false" ht="17.15" hidden="false" customHeight="false" outlineLevel="0" collapsed="false">
      <c r="A1071" s="4" t="s">
        <v>599</v>
      </c>
      <c r="B1071" s="0" t="s">
        <v>147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67.7015899849565</v>
      </c>
      <c r="F1071" s="21" t="n">
        <f aca="false">(1-F1064)*F1063</f>
        <v>81.1254954249335</v>
      </c>
      <c r="G1071" s="21" t="n">
        <f aca="false">(1-G1064)*G1063</f>
        <v>87.0223043143844</v>
      </c>
    </row>
    <row r="1072" customFormat="false" ht="15" hidden="false" customHeight="false" outlineLevel="0" collapsed="false">
      <c r="A1072" s="4" t="s">
        <v>457</v>
      </c>
      <c r="B1072" s="0" t="s">
        <v>147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84.047176290867</v>
      </c>
      <c r="F1072" s="21" t="n">
        <f aca="false">F1070-F1071</f>
        <v>100.955601995848</v>
      </c>
      <c r="G1072" s="21" t="n">
        <f aca="false">G1070-G1071</f>
        <v>109.134512195994</v>
      </c>
      <c r="H1072" s="26" t="n">
        <f aca="false">H1045*H1077</f>
        <v>118.876810192623</v>
      </c>
      <c r="I1072" s="26" t="n">
        <f aca="false">I1045*I1077</f>
        <v>130.193983606179</v>
      </c>
      <c r="J1072" s="26" t="n">
        <f aca="false">J1045*J1077</f>
        <v>143.375940589569</v>
      </c>
    </row>
    <row r="1073" customFormat="false" ht="17.15" hidden="false" customHeight="false" outlineLevel="0" collapsed="false">
      <c r="A1073" s="4" t="s">
        <v>600</v>
      </c>
      <c r="B1073" s="0" t="s">
        <v>48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0.487033899170391</v>
      </c>
      <c r="F1073" s="20" t="n">
        <f aca="false">F1064*F1063/F1072</f>
        <v>0.48585915290972</v>
      </c>
      <c r="G1073" s="20" t="n">
        <f aca="false">G1064*G1063/G1072</f>
        <v>0.482116413225467</v>
      </c>
    </row>
    <row r="1074" customFormat="false" ht="17.15" hidden="false" customHeight="false" outlineLevel="0" collapsed="false">
      <c r="A1074" s="4" t="s">
        <v>601</v>
      </c>
      <c r="B1074" s="4" t="s">
        <v>282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602</v>
      </c>
    </row>
    <row r="1075" customFormat="false" ht="15" hidden="false" customHeight="false" outlineLevel="0" collapsed="false">
      <c r="A1075" s="0" t="s">
        <v>464</v>
      </c>
      <c r="B1075" s="0" t="s">
        <v>312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24.5035499390283</v>
      </c>
      <c r="F1075" s="18" t="n">
        <f aca="false">F1072/F1074</f>
        <v>29.4331201154075</v>
      </c>
      <c r="G1075" s="18" t="n">
        <f aca="false">G1072/G1074</f>
        <v>31.8176420396485</v>
      </c>
      <c r="H1075" s="29" t="n">
        <f aca="false">H1072/H1074</f>
        <v>34.6579621552836</v>
      </c>
      <c r="I1075" s="29" t="n">
        <f aca="false">I1072/I1074</f>
        <v>37.9574296227927</v>
      </c>
      <c r="J1075" s="29" t="n">
        <f aca="false">J1072/J1074</f>
        <v>41.8005657695538</v>
      </c>
    </row>
    <row r="1076" customFormat="false" ht="17.15" hidden="false" customHeight="false" outlineLevel="0" collapsed="false">
      <c r="A1076" s="0" t="s">
        <v>603</v>
      </c>
      <c r="B1076" s="0" t="s">
        <v>48</v>
      </c>
      <c r="D1076" s="20" t="n">
        <f aca="false">D1075/C1075-1</f>
        <v>1.03813580587031</v>
      </c>
      <c r="E1076" s="20" t="n">
        <f aca="false">E1075/D1075-1</f>
        <v>0.329925942968939</v>
      </c>
      <c r="F1076" s="20" t="n">
        <f aca="false">F1075/E1075-1</f>
        <v>0.201177796223217</v>
      </c>
      <c r="G1076" s="20" t="n">
        <f aca="false">G1075/F1075-1</f>
        <v>0.0810149217918872</v>
      </c>
      <c r="H1076" s="27" t="n">
        <f aca="false">H1075/G1075-1</f>
        <v>0.0892687180305718</v>
      </c>
      <c r="I1076" s="27" t="n">
        <f aca="false">I1075/H1075-1</f>
        <v>0.0952008503190713</v>
      </c>
      <c r="J1076" s="27" t="n">
        <f aca="false">J1075/I1075-1</f>
        <v>0.101248587824643</v>
      </c>
    </row>
    <row r="1077" customFormat="false" ht="17.15" hidden="false" customHeight="false" outlineLevel="0" collapsed="false">
      <c r="A1077" s="4" t="s">
        <v>604</v>
      </c>
      <c r="B1077" s="0" t="s">
        <v>48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0.0141034095198009</v>
      </c>
      <c r="F1077" s="17" t="n">
        <f aca="false">F1072/F1045</f>
        <v>0.0152790907130487</v>
      </c>
      <c r="G1077" s="17" t="n">
        <f aca="false">G1072/G1045</f>
        <v>0.015916132512382</v>
      </c>
      <c r="H1077" s="28" t="n">
        <f aca="false">$G1077+(fade_mA-$G1077)*1/3</f>
        <v>0.0165877602288561</v>
      </c>
      <c r="I1077" s="28" t="n">
        <f aca="false">$G1077+(fade_mA-$G1077)*2/3</f>
        <v>0.0172593879453302</v>
      </c>
      <c r="J1077" s="28" t="n">
        <f aca="false">$G1077+(fade_mA-$G1077)*3/3</f>
        <v>0.0179310156618042</v>
      </c>
    </row>
    <row r="1080" customFormat="false" ht="17.15" hidden="false" customHeight="false" outlineLevel="0" collapsed="false">
      <c r="A1080" s="1" t="s">
        <v>889</v>
      </c>
    </row>
    <row r="1081" customFormat="false" ht="17.15" hidden="false" customHeight="false" outlineLevel="0" collapsed="false">
      <c r="A1081" s="5" t="s">
        <v>17</v>
      </c>
      <c r="B1081" s="5" t="s">
        <v>18</v>
      </c>
      <c r="C1081" s="14" t="s">
        <v>414</v>
      </c>
      <c r="D1081" s="14" t="s">
        <v>529</v>
      </c>
      <c r="E1081" s="14" t="s">
        <v>530</v>
      </c>
      <c r="F1081" s="14" t="s">
        <v>531</v>
      </c>
      <c r="G1081" s="14" t="s">
        <v>532</v>
      </c>
      <c r="H1081" s="14" t="s">
        <v>533</v>
      </c>
      <c r="I1081" s="14" t="s">
        <v>534</v>
      </c>
      <c r="J1081" s="14" t="s">
        <v>535</v>
      </c>
      <c r="K1081" s="5" t="s">
        <v>496</v>
      </c>
    </row>
    <row r="1082" customFormat="false" ht="17.15" hidden="false" customHeight="false" outlineLevel="0" collapsed="false">
      <c r="A1082" s="6" t="s">
        <v>550</v>
      </c>
    </row>
    <row r="1083" customFormat="false" ht="17.15" hidden="false" customHeight="false" outlineLevel="0" collapsed="false">
      <c r="A1083" s="0" t="s">
        <v>551</v>
      </c>
      <c r="B1083" s="0" t="s">
        <v>28</v>
      </c>
      <c r="D1083" s="21" t="n">
        <f aca="false">itc_26*1</f>
        <v>781.872916666667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552</v>
      </c>
      <c r="B1084" s="0" t="s">
        <v>28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553</v>
      </c>
      <c r="B1085" s="0" t="s">
        <v>498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554</v>
      </c>
      <c r="B1086" s="0" t="s">
        <v>555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556</v>
      </c>
    </row>
    <row r="1087" customFormat="false" ht="17.15" hidden="false" customHeight="false" outlineLevel="0" collapsed="false">
      <c r="A1087" s="0" t="s">
        <v>557</v>
      </c>
      <c r="B1087" s="0" t="s">
        <v>28</v>
      </c>
      <c r="D1087" s="21" t="n">
        <f aca="false">D1085*D1086</f>
        <v>634.616531285011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558</v>
      </c>
      <c r="B1088" s="0" t="s">
        <v>147</v>
      </c>
      <c r="D1088" s="21" t="n">
        <f aca="false">D1087*fx</f>
        <v>20307.7290011204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559</v>
      </c>
    </row>
    <row r="1090" customFormat="false" ht="17.15" hidden="false" customHeight="false" outlineLevel="0" collapsed="false">
      <c r="A1090" s="4" t="s">
        <v>560</v>
      </c>
      <c r="B1090" s="0" t="s">
        <v>48</v>
      </c>
      <c r="D1090" s="20" t="n">
        <f aca="false">a26_ais/D1088</f>
        <v>0.0875096501918446</v>
      </c>
      <c r="K1090" s="8" t="s">
        <v>561</v>
      </c>
    </row>
    <row r="1091" customFormat="false" ht="17.15" hidden="false" customHeight="false" outlineLevel="0" collapsed="false">
      <c r="A1091" s="4" t="s">
        <v>562</v>
      </c>
      <c r="B1091" s="0" t="s">
        <v>60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563</v>
      </c>
      <c r="B1092" s="0" t="s">
        <v>48</v>
      </c>
      <c r="D1092" s="20" t="n">
        <f aca="false">$D$1090*D1091</f>
        <v>0.0875096501918446</v>
      </c>
      <c r="E1092" s="20" t="n">
        <f aca="false">$D$1090*E1091</f>
        <v>0.0875096501918446</v>
      </c>
      <c r="F1092" s="20" t="n">
        <f aca="false">$D$1090*F1091</f>
        <v>0.0831341676822524</v>
      </c>
      <c r="G1092" s="20" t="n">
        <f aca="false">$D$1090*G1091</f>
        <v>0.0787586851726601</v>
      </c>
    </row>
    <row r="1093" customFormat="false" ht="17.15" hidden="false" customHeight="false" outlineLevel="0" collapsed="false">
      <c r="A1093" s="4" t="s">
        <v>564</v>
      </c>
      <c r="B1093" s="0" t="s">
        <v>147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565</v>
      </c>
      <c r="B1094" s="0" t="s">
        <v>48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566</v>
      </c>
    </row>
    <row r="1095" customFormat="false" ht="17.15" hidden="false" customHeight="false" outlineLevel="0" collapsed="false">
      <c r="A1095" s="4" t="s">
        <v>567</v>
      </c>
      <c r="B1095" s="0" t="s">
        <v>147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3072.99589502208</v>
      </c>
      <c r="G1095" s="21" t="n">
        <f aca="false">G1093*(1-G1094)</f>
        <v>3109.11053614536</v>
      </c>
    </row>
    <row r="1096" customFormat="false" ht="17.15" hidden="false" customHeight="false" outlineLevel="0" collapsed="false">
      <c r="A1096" s="6" t="s">
        <v>568</v>
      </c>
    </row>
    <row r="1097" customFormat="false" ht="17.15" hidden="false" customHeight="false" outlineLevel="0" collapsed="false">
      <c r="A1097" s="0" t="s">
        <v>569</v>
      </c>
      <c r="B1097" s="4" t="s">
        <v>81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570</v>
      </c>
      <c r="B1098" s="0" t="s">
        <v>48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571</v>
      </c>
      <c r="B1099" s="0" t="s">
        <v>520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572</v>
      </c>
    </row>
    <row r="1100" customFormat="false" ht="17.15" hidden="false" customHeight="false" outlineLevel="0" collapsed="false">
      <c r="A1100" s="0" t="s">
        <v>522</v>
      </c>
      <c r="B1100" s="0" t="s">
        <v>147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573</v>
      </c>
    </row>
    <row r="1102" customFormat="false" ht="15" hidden="false" customHeight="false" outlineLevel="0" collapsed="false">
      <c r="A1102" s="4" t="s">
        <v>574</v>
      </c>
      <c r="B1102" s="0" t="s">
        <v>147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575</v>
      </c>
      <c r="B1103" s="0" t="s">
        <v>147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576</v>
      </c>
      <c r="B1104" s="0" t="s">
        <v>147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3816.64127975755</v>
      </c>
      <c r="F1104" s="21" t="n">
        <f aca="false">F1095+F1100+F1102+F1103</f>
        <v>4039.86719118604</v>
      </c>
      <c r="G1104" s="21" t="n">
        <f aca="false">G1095+G1100+G1102+G1103</f>
        <v>4102.65057482429</v>
      </c>
    </row>
    <row r="1105" customFormat="false" ht="17.15" hidden="false" customHeight="false" outlineLevel="0" collapsed="false">
      <c r="A1105" s="4" t="s">
        <v>577</v>
      </c>
      <c r="B1105" s="0" t="s">
        <v>48</v>
      </c>
      <c r="D1105" s="20" t="n">
        <f aca="false">a26_wai/D1088</f>
        <v>0.0391523244650416</v>
      </c>
      <c r="K1105" s="8" t="s">
        <v>578</v>
      </c>
    </row>
    <row r="1106" customFormat="false" ht="17.15" hidden="false" customHeight="false" outlineLevel="0" collapsed="false">
      <c r="A1106" s="4" t="s">
        <v>504</v>
      </c>
      <c r="B1106" s="0" t="s">
        <v>48</v>
      </c>
      <c r="D1106" s="20" t="n">
        <f aca="false">D1105</f>
        <v>0.0391523244650416</v>
      </c>
      <c r="E1106" s="20" t="n">
        <f aca="false">$D$1105*wrel_27</f>
        <v>0.0391523244650416</v>
      </c>
      <c r="F1106" s="20" t="n">
        <f aca="false">$D$1105*wrel_28</f>
        <v>0.0391523244650416</v>
      </c>
      <c r="G1106" s="20" t="n">
        <f aca="false">$D$1105*wrel_29</f>
        <v>0.0371947082417896</v>
      </c>
    </row>
    <row r="1107" customFormat="false" ht="17.15" hidden="false" customHeight="false" outlineLevel="0" collapsed="false">
      <c r="A1107" s="4" t="s">
        <v>524</v>
      </c>
      <c r="B1107" s="0" t="s">
        <v>147</v>
      </c>
      <c r="D1107" s="21" t="n">
        <f aca="false">D1088*D1106</f>
        <v>795.094795</v>
      </c>
      <c r="E1107" s="21" t="n">
        <f aca="false">E1088*E1106</f>
        <v>1427.12501917769</v>
      </c>
      <c r="F1107" s="21" t="n">
        <f aca="false">F1088*F1106</f>
        <v>1809.04758711097</v>
      </c>
      <c r="G1107" s="21" t="n">
        <f aca="false">G1088*G1106</f>
        <v>1957.75164825537</v>
      </c>
    </row>
    <row r="1108" customFormat="false" ht="17.15" hidden="false" customHeight="false" outlineLevel="0" collapsed="false">
      <c r="A1108" s="4" t="s">
        <v>579</v>
      </c>
      <c r="B1108" s="0" t="s">
        <v>147</v>
      </c>
      <c r="D1108" s="21" t="n">
        <f aca="false">a26_wna</f>
        <v>650.532105</v>
      </c>
      <c r="E1108" s="21" t="n">
        <f aca="false">D1108*(1+g_wn27)</f>
        <v>715.5853155</v>
      </c>
      <c r="F1108" s="21" t="n">
        <f aca="false">E1108*(1+g_wn28)</f>
        <v>758.52043443</v>
      </c>
      <c r="G1108" s="21" t="n">
        <f aca="false">F1108*(1+g_wn29)</f>
        <v>796.4464561515</v>
      </c>
    </row>
    <row r="1109" customFormat="false" ht="15" hidden="false" customHeight="false" outlineLevel="0" collapsed="false">
      <c r="A1109" s="4" t="s">
        <v>434</v>
      </c>
      <c r="B1109" s="0" t="s">
        <v>147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2142.71033467769</v>
      </c>
      <c r="F1109" s="21" t="n">
        <f aca="false">F1107+F1108</f>
        <v>2567.56802154097</v>
      </c>
      <c r="G1109" s="21" t="n">
        <f aca="false">G1107+G1108</f>
        <v>2754.19810440687</v>
      </c>
    </row>
    <row r="1110" customFormat="false" ht="17.15" hidden="false" customHeight="false" outlineLevel="0" collapsed="false">
      <c r="A1110" s="4" t="s">
        <v>420</v>
      </c>
      <c r="B1110" s="0" t="s">
        <v>147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5959.35161443524</v>
      </c>
      <c r="F1110" s="21" t="n">
        <f aca="false">F1104+F1109</f>
        <v>6607.43521272701</v>
      </c>
      <c r="G1110" s="21" t="n">
        <f aca="false">G1104+G1109</f>
        <v>6856.84867923116</v>
      </c>
      <c r="H1110" s="26" t="n">
        <f aca="false">G1110*(1+H1111)</f>
        <v>7166.53776956726</v>
      </c>
      <c r="I1110" s="26" t="n">
        <f aca="false">H1110*(1+I1111)</f>
        <v>7543.37199085936</v>
      </c>
      <c r="J1110" s="26" t="n">
        <f aca="false">I1110*(1+J1111)</f>
        <v>7995.97431031092</v>
      </c>
      <c r="K1110" s="8" t="s">
        <v>580</v>
      </c>
    </row>
    <row r="1111" customFormat="false" ht="15" hidden="false" customHeight="false" outlineLevel="0" collapsed="false">
      <c r="A1111" s="4" t="s">
        <v>581</v>
      </c>
      <c r="B1111" s="0" t="s">
        <v>48</v>
      </c>
      <c r="D1111" s="20" t="n">
        <f aca="false">D1110/C1110-1</f>
        <v>0.873912121761526</v>
      </c>
      <c r="E1111" s="20" t="n">
        <f aca="false">E1110/D1110-1</f>
        <v>0.454439765251677</v>
      </c>
      <c r="F1111" s="20" t="n">
        <f aca="false">F1110/E1110-1</f>
        <v>0.108750689709586</v>
      </c>
      <c r="G1111" s="20" t="n">
        <f aca="false">G1110/F1110-1</f>
        <v>0.0377473949383174</v>
      </c>
      <c r="H1111" s="27" t="n">
        <f aca="false">$G1111+(fade_gA-$G1111)*1/3</f>
        <v>0.0451649299588782</v>
      </c>
      <c r="I1111" s="27" t="n">
        <f aca="false">$G1111+(fade_gA-$G1111)*2/3</f>
        <v>0.0525824649794391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582</v>
      </c>
      <c r="B1112" s="0" t="s">
        <v>48</v>
      </c>
      <c r="D1112" s="20" t="n">
        <f aca="false">(D1095+D1100+D1107)/D1110</f>
        <v>0.6546220793463</v>
      </c>
      <c r="E1112" s="20" t="n">
        <f aca="false">(E1095+E1100+E1107)/E1110</f>
        <v>0.749679139384196</v>
      </c>
      <c r="F1112" s="20" t="n">
        <f aca="false">(F1095+F1100+F1107)/F1110</f>
        <v>0.76500940322852</v>
      </c>
      <c r="G1112" s="20" t="n">
        <f aca="false">(G1095+G1100+G1107)/G1110</f>
        <v>0.765715820686707</v>
      </c>
    </row>
    <row r="1113" customFormat="false" ht="17.15" hidden="false" customHeight="false" outlineLevel="0" collapsed="false">
      <c r="A1113" s="4" t="s">
        <v>583</v>
      </c>
      <c r="B1113" s="0" t="s">
        <v>48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0.359554272563384</v>
      </c>
      <c r="F1113" s="20" t="n">
        <f aca="false">F1109/F1110</f>
        <v>0.388587695358012</v>
      </c>
      <c r="G1113" s="20" t="n">
        <f aca="false">G1109/G1110</f>
        <v>0.40167112229691</v>
      </c>
    </row>
    <row r="1114" customFormat="false" ht="17.15" hidden="false" customHeight="false" outlineLevel="0" collapsed="false">
      <c r="A1114" s="4" t="s">
        <v>584</v>
      </c>
      <c r="B1114" s="4" t="s">
        <v>331</v>
      </c>
      <c r="D1114" s="21" t="n">
        <f aca="false">D1093/fx/(odm_gb*(1-vr26)+odm_vr*vr26)</f>
        <v>12.0597330420658</v>
      </c>
      <c r="E1114" s="21" t="n">
        <f aca="false">E1093/fx/odm_vr</f>
        <v>14.7674893195131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585</v>
      </c>
    </row>
    <row r="1115" customFormat="false" ht="17.15" hidden="false" customHeight="false" outlineLevel="0" collapsed="false">
      <c r="A1115" s="6" t="s">
        <v>586</v>
      </c>
    </row>
    <row r="1116" customFormat="false" ht="17.15" hidden="false" customHeight="false" outlineLevel="0" collapsed="false">
      <c r="A1116" s="4" t="s">
        <v>587</v>
      </c>
      <c r="B1116" s="0" t="s">
        <v>48</v>
      </c>
      <c r="D1116" s="17" t="n">
        <f aca="false">(a26_sgp-d_ai*D1095-d_brd*D1100-d_gen*D1102)/D1104</f>
        <v>0.0436423860147897</v>
      </c>
      <c r="K1116" s="8" t="s">
        <v>588</v>
      </c>
    </row>
    <row r="1117" customFormat="false" ht="17.15" hidden="false" customHeight="false" outlineLevel="0" collapsed="false">
      <c r="A1117" s="4" t="s">
        <v>589</v>
      </c>
      <c r="B1117" s="0" t="s">
        <v>147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99.9228552931035</v>
      </c>
      <c r="F1117" s="25" t="n">
        <f aca="false">($D$1116+d_ai+vrd)*F1093*(1-F1094*(1-keep))</f>
        <v>119.115229856887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590</v>
      </c>
      <c r="B1118" s="0" t="s">
        <v>147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591</v>
      </c>
      <c r="B1119" s="0" t="s">
        <v>48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592</v>
      </c>
      <c r="B1120" s="0" t="s">
        <v>48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593</v>
      </c>
      <c r="B1121" s="0" t="s">
        <v>147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594</v>
      </c>
      <c r="B1122" s="0" t="s">
        <v>147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95.8074495725884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595</v>
      </c>
      <c r="B1123" s="0" t="s">
        <v>48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596</v>
      </c>
      <c r="B1124" s="0" t="s">
        <v>147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74.9744648302786</v>
      </c>
      <c r="G1124" s="21" t="n">
        <f aca="false">G1122*snio_hi</f>
        <v>81.638516002262</v>
      </c>
    </row>
    <row r="1125" customFormat="false" ht="17.15" hidden="false" customHeight="false" outlineLevel="0" collapsed="false">
      <c r="A1125" s="6" t="s">
        <v>597</v>
      </c>
    </row>
    <row r="1126" customFormat="false" ht="15" hidden="false" customHeight="false" outlineLevel="0" collapsed="false">
      <c r="A1126" s="4" t="s">
        <v>438</v>
      </c>
      <c r="B1126" s="0" t="s">
        <v>147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182.130378447603</v>
      </c>
      <c r="F1126" s="21" t="n">
        <f aca="false">F1109*wgm</f>
        <v>218.243281830982</v>
      </c>
      <c r="G1126" s="21" t="n">
        <f aca="false">G1109*wgm</f>
        <v>234.106838874584</v>
      </c>
    </row>
    <row r="1127" customFormat="false" ht="15" hidden="false" customHeight="false" outlineLevel="0" collapsed="false">
      <c r="A1127" s="4" t="s">
        <v>440</v>
      </c>
      <c r="B1127" s="0" t="s">
        <v>147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139.27617175405</v>
      </c>
      <c r="F1127" s="21" t="n">
        <f aca="false">F1109*wopm</f>
        <v>166.891921400163</v>
      </c>
      <c r="G1127" s="21" t="n">
        <f aca="false">G1109*wopm</f>
        <v>179.022876786446</v>
      </c>
    </row>
    <row r="1128" customFormat="false" ht="15" hidden="false" customHeight="false" outlineLevel="0" collapsed="false">
      <c r="A1128" s="4" t="s">
        <v>448</v>
      </c>
      <c r="B1128" s="0" t="s">
        <v>147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108.635413968159</v>
      </c>
      <c r="F1128" s="21" t="n">
        <f aca="false">F1127*wnio</f>
        <v>130.175698692127</v>
      </c>
      <c r="G1128" s="21" t="n">
        <f aca="false">G1127*wnio</f>
        <v>139.637843893428</v>
      </c>
    </row>
    <row r="1129" customFormat="false" ht="15" hidden="false" customHeight="false" outlineLevel="0" collapsed="false">
      <c r="A1129" s="4" t="s">
        <v>450</v>
      </c>
      <c r="B1129" s="0" t="s">
        <v>48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598</v>
      </c>
    </row>
    <row r="1131" customFormat="false" ht="15" hidden="false" customHeight="false" outlineLevel="0" collapsed="false">
      <c r="A1131" s="4" t="s">
        <v>424</v>
      </c>
      <c r="B1131" s="0" t="s">
        <v>147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331.122306711138</v>
      </c>
      <c r="F1131" s="21" t="n">
        <f aca="false">F1118+F1126</f>
        <v>387.706279626467</v>
      </c>
      <c r="G1131" s="21" t="n">
        <f aca="false">G1118+G1126</f>
        <v>414.074535115568</v>
      </c>
    </row>
    <row r="1132" customFormat="false" ht="15" hidden="false" customHeight="false" outlineLevel="0" collapsed="false">
      <c r="A1132" s="4" t="s">
        <v>427</v>
      </c>
      <c r="B1132" s="0" t="s">
        <v>48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0.0555634787363554</v>
      </c>
      <c r="F1132" s="17" t="n">
        <f aca="false">F1131/F1110</f>
        <v>0.058677272972678</v>
      </c>
      <c r="G1132" s="17" t="n">
        <f aca="false">G1131/G1110</f>
        <v>0.0603884604264006</v>
      </c>
    </row>
    <row r="1133" customFormat="false" ht="15" hidden="false" customHeight="false" outlineLevel="0" collapsed="false">
      <c r="A1133" s="4" t="s">
        <v>428</v>
      </c>
      <c r="B1133" s="0" t="s">
        <v>147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235.083621326638</v>
      </c>
      <c r="F1133" s="21" t="n">
        <f aca="false">F1122+F1127</f>
        <v>282.237251908284</v>
      </c>
      <c r="G1133" s="21" t="n">
        <f aca="false">G1122+G1127</f>
        <v>304.620593713003</v>
      </c>
    </row>
    <row r="1134" customFormat="false" ht="15" hidden="false" customHeight="false" outlineLevel="0" collapsed="false">
      <c r="A1134" s="4" t="s">
        <v>431</v>
      </c>
      <c r="B1134" s="0" t="s">
        <v>48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0.0394478521383432</v>
      </c>
      <c r="F1134" s="17" t="n">
        <f aca="false">F1133/F1110</f>
        <v>0.0427150994026621</v>
      </c>
      <c r="G1134" s="17" t="n">
        <f aca="false">G1133/G1110</f>
        <v>0.0444257424895017</v>
      </c>
    </row>
    <row r="1135" customFormat="false" ht="15" hidden="false" customHeight="false" outlineLevel="0" collapsed="false">
      <c r="A1135" s="4" t="s">
        <v>461</v>
      </c>
      <c r="B1135" s="0" t="s">
        <v>147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170.910256190341</v>
      </c>
      <c r="F1135" s="21" t="n">
        <f aca="false">F1124+F1128</f>
        <v>205.150163522406</v>
      </c>
      <c r="G1135" s="21" t="n">
        <f aca="false">G1124+G1128</f>
        <v>221.27635989569</v>
      </c>
    </row>
    <row r="1136" customFormat="false" ht="17.15" hidden="false" customHeight="false" outlineLevel="0" collapsed="false">
      <c r="A1136" s="4" t="s">
        <v>599</v>
      </c>
      <c r="B1136" s="0" t="s">
        <v>147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67.7015899849565</v>
      </c>
      <c r="F1136" s="21" t="n">
        <f aca="false">(1-F1129)*F1128</f>
        <v>81.1254954249335</v>
      </c>
      <c r="G1136" s="21" t="n">
        <f aca="false">(1-G1129)*G1128</f>
        <v>87.0223043143844</v>
      </c>
    </row>
    <row r="1137" customFormat="false" ht="15" hidden="false" customHeight="false" outlineLevel="0" collapsed="false">
      <c r="A1137" s="4" t="s">
        <v>457</v>
      </c>
      <c r="B1137" s="0" t="s">
        <v>147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103.208666205385</v>
      </c>
      <c r="F1137" s="21" t="n">
        <f aca="false">F1135-F1136</f>
        <v>124.024668097472</v>
      </c>
      <c r="G1137" s="21" t="n">
        <f aca="false">G1135-G1136</f>
        <v>134.254055581306</v>
      </c>
      <c r="H1137" s="26" t="n">
        <f aca="false">H1110*H1142</f>
        <v>136.379520727895</v>
      </c>
      <c r="I1137" s="26" t="n">
        <f aca="false">I1110*I1142</f>
        <v>139.405506705698</v>
      </c>
      <c r="J1137" s="26" t="n">
        <f aca="false">J1110*J1142</f>
        <v>143.375940589569</v>
      </c>
    </row>
    <row r="1138" customFormat="false" ht="17.15" hidden="false" customHeight="false" outlineLevel="0" collapsed="false">
      <c r="A1138" s="4" t="s">
        <v>600</v>
      </c>
      <c r="B1138" s="0" t="s">
        <v>48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0.396612275772891</v>
      </c>
      <c r="F1138" s="20" t="n">
        <f aca="false">F1129*F1128/F1137</f>
        <v>0.395487478576798</v>
      </c>
      <c r="G1138" s="20" t="n">
        <f aca="false">G1129*G1128/G1137</f>
        <v>0.391910243241622</v>
      </c>
    </row>
    <row r="1139" customFormat="false" ht="17.15" hidden="false" customHeight="false" outlineLevel="0" collapsed="false">
      <c r="A1139" s="4" t="s">
        <v>601</v>
      </c>
      <c r="B1139" s="4" t="s">
        <v>282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602</v>
      </c>
    </row>
    <row r="1140" customFormat="false" ht="15" hidden="false" customHeight="false" outlineLevel="0" collapsed="false">
      <c r="A1140" s="0" t="s">
        <v>464</v>
      </c>
      <c r="B1140" s="0" t="s">
        <v>312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30.0899901473425</v>
      </c>
      <c r="F1140" s="18" t="n">
        <f aca="false">F1137/F1139</f>
        <v>36.1587953636945</v>
      </c>
      <c r="G1140" s="18" t="n">
        <f aca="false">G1137/G1139</f>
        <v>39.1411240761824</v>
      </c>
      <c r="H1140" s="29" t="n">
        <f aca="false">H1137/H1139</f>
        <v>39.7607932151296</v>
      </c>
      <c r="I1140" s="29" t="n">
        <f aca="false">I1137/I1139</f>
        <v>40.6430048704659</v>
      </c>
      <c r="J1140" s="29" t="n">
        <f aca="false">J1137/J1139</f>
        <v>41.8005657695538</v>
      </c>
    </row>
    <row r="1141" customFormat="false" ht="17.15" hidden="false" customHeight="false" outlineLevel="0" collapsed="false">
      <c r="A1141" s="0" t="s">
        <v>603</v>
      </c>
      <c r="B1141" s="0" t="s">
        <v>48</v>
      </c>
      <c r="D1141" s="20" t="n">
        <f aca="false">D1140/C1140-1</f>
        <v>1.03813580587031</v>
      </c>
      <c r="E1141" s="20" t="n">
        <f aca="false">E1140/D1140-1</f>
        <v>0.633129020905346</v>
      </c>
      <c r="F1141" s="20" t="n">
        <f aca="false">F1140/E1140-1</f>
        <v>0.201688507926879</v>
      </c>
      <c r="G1141" s="20" t="n">
        <f aca="false">G1140/F1140-1</f>
        <v>0.0824786523580481</v>
      </c>
      <c r="H1141" s="27" t="n">
        <f aca="false">H1140/G1140-1</f>
        <v>0.0158316643574439</v>
      </c>
      <c r="I1141" s="27" t="n">
        <f aca="false">I1140/H1140-1</f>
        <v>0.0221879792629649</v>
      </c>
      <c r="J1141" s="27" t="n">
        <f aca="false">J1140/I1140-1</f>
        <v>0.0284811839768522</v>
      </c>
    </row>
    <row r="1142" customFormat="false" ht="17.15" hidden="false" customHeight="false" outlineLevel="0" collapsed="false">
      <c r="A1142" s="4" t="s">
        <v>604</v>
      </c>
      <c r="B1142" s="0" t="s">
        <v>48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0.0173187744041456</v>
      </c>
      <c r="F1142" s="17" t="n">
        <f aca="false">F1137/F1110</f>
        <v>0.0187704705539269</v>
      </c>
      <c r="G1142" s="17" t="n">
        <f aca="false">G1137/G1110</f>
        <v>0.0195795564204225</v>
      </c>
      <c r="H1142" s="28" t="n">
        <f aca="false">$G1142+(fade_mA-$G1142)*1/3</f>
        <v>0.0190300428342164</v>
      </c>
      <c r="I1142" s="28" t="n">
        <f aca="false">$G1142+(fade_mA-$G1142)*2/3</f>
        <v>0.0184805292480103</v>
      </c>
      <c r="J1142" s="28" t="n">
        <f aca="false">$G1142+(fade_mA-$G1142)*3/3</f>
        <v>0.0179310156618042</v>
      </c>
    </row>
    <row r="1145" customFormat="false" ht="17.15" hidden="false" customHeight="false" outlineLevel="0" collapsed="false">
      <c r="A1145" s="1" t="s">
        <v>890</v>
      </c>
    </row>
    <row r="1146" customFormat="false" ht="17.15" hidden="false" customHeight="false" outlineLevel="0" collapsed="false">
      <c r="A1146" s="5" t="s">
        <v>17</v>
      </c>
      <c r="B1146" s="5" t="s">
        <v>18</v>
      </c>
      <c r="C1146" s="14" t="s">
        <v>414</v>
      </c>
      <c r="D1146" s="14" t="s">
        <v>529</v>
      </c>
      <c r="E1146" s="14" t="s">
        <v>530</v>
      </c>
      <c r="F1146" s="14" t="s">
        <v>531</v>
      </c>
      <c r="G1146" s="14" t="s">
        <v>532</v>
      </c>
      <c r="H1146" s="14" t="s">
        <v>533</v>
      </c>
      <c r="I1146" s="14" t="s">
        <v>534</v>
      </c>
      <c r="J1146" s="14" t="s">
        <v>535</v>
      </c>
      <c r="K1146" s="5" t="s">
        <v>496</v>
      </c>
    </row>
    <row r="1147" customFormat="false" ht="17.15" hidden="false" customHeight="false" outlineLevel="0" collapsed="false">
      <c r="A1147" s="6" t="s">
        <v>550</v>
      </c>
    </row>
    <row r="1148" customFormat="false" ht="17.15" hidden="false" customHeight="false" outlineLevel="0" collapsed="false">
      <c r="A1148" s="0" t="s">
        <v>551</v>
      </c>
      <c r="B1148" s="0" t="s">
        <v>28</v>
      </c>
      <c r="D1148" s="21" t="n">
        <f aca="false">itc_26*1</f>
        <v>781.872916666667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552</v>
      </c>
      <c r="B1149" s="0" t="s">
        <v>28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553</v>
      </c>
      <c r="B1150" s="0" t="s">
        <v>498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554</v>
      </c>
      <c r="B1151" s="0" t="s">
        <v>555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556</v>
      </c>
    </row>
    <row r="1152" customFormat="false" ht="17.15" hidden="false" customHeight="false" outlineLevel="0" collapsed="false">
      <c r="A1152" s="0" t="s">
        <v>557</v>
      </c>
      <c r="B1152" s="0" t="s">
        <v>28</v>
      </c>
      <c r="D1152" s="21" t="n">
        <f aca="false">D1150*D1151</f>
        <v>634.616531285011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558</v>
      </c>
      <c r="B1153" s="0" t="s">
        <v>147</v>
      </c>
      <c r="D1153" s="21" t="n">
        <f aca="false">D1152*fx</f>
        <v>20307.7290011204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559</v>
      </c>
    </row>
    <row r="1155" customFormat="false" ht="17.15" hidden="false" customHeight="false" outlineLevel="0" collapsed="false">
      <c r="A1155" s="4" t="s">
        <v>560</v>
      </c>
      <c r="B1155" s="0" t="s">
        <v>48</v>
      </c>
      <c r="D1155" s="20" t="n">
        <f aca="false">a26_ais/D1153</f>
        <v>0.0875096501918446</v>
      </c>
      <c r="K1155" s="8" t="s">
        <v>561</v>
      </c>
    </row>
    <row r="1156" customFormat="false" ht="17.15" hidden="false" customHeight="false" outlineLevel="0" collapsed="false">
      <c r="A1156" s="4" t="s">
        <v>562</v>
      </c>
      <c r="B1156" s="0" t="s">
        <v>60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563</v>
      </c>
      <c r="B1157" s="0" t="s">
        <v>48</v>
      </c>
      <c r="D1157" s="20" t="n">
        <f aca="false">$D$1155*D1156</f>
        <v>0.0875096501918446</v>
      </c>
      <c r="E1157" s="20" t="n">
        <f aca="false">$D$1155*E1156</f>
        <v>0.0875096501918446</v>
      </c>
      <c r="F1157" s="20" t="n">
        <f aca="false">$D$1155*F1156</f>
        <v>0.0831341676822524</v>
      </c>
      <c r="G1157" s="20" t="n">
        <f aca="false">$D$1155*G1156</f>
        <v>0.0787586851726601</v>
      </c>
    </row>
    <row r="1158" customFormat="false" ht="17.15" hidden="false" customHeight="false" outlineLevel="0" collapsed="false">
      <c r="A1158" s="4" t="s">
        <v>564</v>
      </c>
      <c r="B1158" s="0" t="s">
        <v>147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565</v>
      </c>
      <c r="B1159" s="0" t="s">
        <v>48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566</v>
      </c>
    </row>
    <row r="1160" customFormat="false" ht="17.15" hidden="false" customHeight="false" outlineLevel="0" collapsed="false">
      <c r="A1160" s="4" t="s">
        <v>567</v>
      </c>
      <c r="B1160" s="0" t="s">
        <v>147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3072.99589502208</v>
      </c>
      <c r="G1160" s="21" t="n">
        <f aca="false">G1158*(1-G1159)</f>
        <v>3109.11053614536</v>
      </c>
    </row>
    <row r="1161" customFormat="false" ht="17.15" hidden="false" customHeight="false" outlineLevel="0" collapsed="false">
      <c r="A1161" s="6" t="s">
        <v>568</v>
      </c>
    </row>
    <row r="1162" customFormat="false" ht="17.15" hidden="false" customHeight="false" outlineLevel="0" collapsed="false">
      <c r="A1162" s="0" t="s">
        <v>569</v>
      </c>
      <c r="B1162" s="4" t="s">
        <v>81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570</v>
      </c>
      <c r="B1163" s="0" t="s">
        <v>48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571</v>
      </c>
      <c r="B1164" s="0" t="s">
        <v>520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572</v>
      </c>
    </row>
    <row r="1165" customFormat="false" ht="17.15" hidden="false" customHeight="false" outlineLevel="0" collapsed="false">
      <c r="A1165" s="0" t="s">
        <v>522</v>
      </c>
      <c r="B1165" s="0" t="s">
        <v>147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573</v>
      </c>
    </row>
    <row r="1167" customFormat="false" ht="15" hidden="false" customHeight="false" outlineLevel="0" collapsed="false">
      <c r="A1167" s="4" t="s">
        <v>574</v>
      </c>
      <c r="B1167" s="0" t="s">
        <v>147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575</v>
      </c>
      <c r="B1168" s="0" t="s">
        <v>147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576</v>
      </c>
      <c r="B1169" s="0" t="s">
        <v>147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3816.64127975755</v>
      </c>
      <c r="F1169" s="21" t="n">
        <f aca="false">F1160+F1165+F1167+F1168</f>
        <v>4039.86719118604</v>
      </c>
      <c r="G1169" s="21" t="n">
        <f aca="false">G1160+G1165+G1167+G1168</f>
        <v>4102.65057482429</v>
      </c>
    </row>
    <row r="1170" customFormat="false" ht="17.15" hidden="false" customHeight="false" outlineLevel="0" collapsed="false">
      <c r="A1170" s="4" t="s">
        <v>577</v>
      </c>
      <c r="B1170" s="0" t="s">
        <v>48</v>
      </c>
      <c r="D1170" s="20" t="n">
        <f aca="false">a26_wai/D1153</f>
        <v>0.0391523244650416</v>
      </c>
      <c r="K1170" s="8" t="s">
        <v>578</v>
      </c>
    </row>
    <row r="1171" customFormat="false" ht="17.15" hidden="false" customHeight="false" outlineLevel="0" collapsed="false">
      <c r="A1171" s="4" t="s">
        <v>504</v>
      </c>
      <c r="B1171" s="0" t="s">
        <v>48</v>
      </c>
      <c r="D1171" s="20" t="n">
        <f aca="false">D1170</f>
        <v>0.0391523244650416</v>
      </c>
      <c r="E1171" s="20" t="n">
        <f aca="false">$D$1170*wrel_27</f>
        <v>0.0391523244650416</v>
      </c>
      <c r="F1171" s="20" t="n">
        <f aca="false">$D$1170*wrel_28</f>
        <v>0.0391523244650416</v>
      </c>
      <c r="G1171" s="20" t="n">
        <f aca="false">$D$1170*wrel_29</f>
        <v>0.0371947082417896</v>
      </c>
    </row>
    <row r="1172" customFormat="false" ht="17.15" hidden="false" customHeight="false" outlineLevel="0" collapsed="false">
      <c r="A1172" s="4" t="s">
        <v>524</v>
      </c>
      <c r="B1172" s="0" t="s">
        <v>147</v>
      </c>
      <c r="D1172" s="21" t="n">
        <f aca="false">D1153*D1171</f>
        <v>795.094795</v>
      </c>
      <c r="E1172" s="21" t="n">
        <f aca="false">E1153*E1171</f>
        <v>1427.12501917769</v>
      </c>
      <c r="F1172" s="21" t="n">
        <f aca="false">F1153*F1171</f>
        <v>1809.04758711097</v>
      </c>
      <c r="G1172" s="21" t="n">
        <f aca="false">G1153*G1171</f>
        <v>1957.75164825537</v>
      </c>
    </row>
    <row r="1173" customFormat="false" ht="17.15" hidden="false" customHeight="false" outlineLevel="0" collapsed="false">
      <c r="A1173" s="4" t="s">
        <v>579</v>
      </c>
      <c r="B1173" s="0" t="s">
        <v>147</v>
      </c>
      <c r="D1173" s="21" t="n">
        <f aca="false">a26_wna</f>
        <v>650.532105</v>
      </c>
      <c r="E1173" s="21" t="n">
        <f aca="false">D1173*(1+g_wn27)</f>
        <v>715.5853155</v>
      </c>
      <c r="F1173" s="21" t="n">
        <f aca="false">E1173*(1+g_wn28)</f>
        <v>758.52043443</v>
      </c>
      <c r="G1173" s="21" t="n">
        <f aca="false">F1173*(1+g_wn29)</f>
        <v>796.4464561515</v>
      </c>
    </row>
    <row r="1174" customFormat="false" ht="15" hidden="false" customHeight="false" outlineLevel="0" collapsed="false">
      <c r="A1174" s="4" t="s">
        <v>434</v>
      </c>
      <c r="B1174" s="0" t="s">
        <v>147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2142.71033467769</v>
      </c>
      <c r="F1174" s="21" t="n">
        <f aca="false">F1172+F1173</f>
        <v>2567.56802154097</v>
      </c>
      <c r="G1174" s="21" t="n">
        <f aca="false">G1172+G1173</f>
        <v>2754.19810440687</v>
      </c>
    </row>
    <row r="1175" customFormat="false" ht="17.15" hidden="false" customHeight="false" outlineLevel="0" collapsed="false">
      <c r="A1175" s="4" t="s">
        <v>420</v>
      </c>
      <c r="B1175" s="0" t="s">
        <v>147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5959.35161443524</v>
      </c>
      <c r="F1175" s="21" t="n">
        <f aca="false">F1169+F1174</f>
        <v>6607.43521272701</v>
      </c>
      <c r="G1175" s="21" t="n">
        <f aca="false">G1169+G1174</f>
        <v>6856.84867923116</v>
      </c>
      <c r="H1175" s="26" t="n">
        <f aca="false">G1175*(1+H1176)</f>
        <v>7166.53776956726</v>
      </c>
      <c r="I1175" s="26" t="n">
        <f aca="false">H1175*(1+I1176)</f>
        <v>7543.37199085936</v>
      </c>
      <c r="J1175" s="26" t="n">
        <f aca="false">I1175*(1+J1176)</f>
        <v>7995.97431031092</v>
      </c>
      <c r="K1175" s="8" t="s">
        <v>580</v>
      </c>
    </row>
    <row r="1176" customFormat="false" ht="15" hidden="false" customHeight="false" outlineLevel="0" collapsed="false">
      <c r="A1176" s="4" t="s">
        <v>581</v>
      </c>
      <c r="B1176" s="0" t="s">
        <v>48</v>
      </c>
      <c r="D1176" s="20" t="n">
        <f aca="false">D1175/C1175-1</f>
        <v>0.873912121761526</v>
      </c>
      <c r="E1176" s="20" t="n">
        <f aca="false">E1175/D1175-1</f>
        <v>0.454439765251677</v>
      </c>
      <c r="F1176" s="20" t="n">
        <f aca="false">F1175/E1175-1</f>
        <v>0.108750689709586</v>
      </c>
      <c r="G1176" s="20" t="n">
        <f aca="false">G1175/F1175-1</f>
        <v>0.0377473949383174</v>
      </c>
      <c r="H1176" s="27" t="n">
        <f aca="false">$G1176+(fade_gA-$G1176)*1/3</f>
        <v>0.0451649299588782</v>
      </c>
      <c r="I1176" s="27" t="n">
        <f aca="false">$G1176+(fade_gA-$G1176)*2/3</f>
        <v>0.0525824649794391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582</v>
      </c>
      <c r="B1177" s="0" t="s">
        <v>48</v>
      </c>
      <c r="D1177" s="20" t="n">
        <f aca="false">(D1160+D1165+D1172)/D1175</f>
        <v>0.6546220793463</v>
      </c>
      <c r="E1177" s="20" t="n">
        <f aca="false">(E1160+E1165+E1172)/E1175</f>
        <v>0.749679139384196</v>
      </c>
      <c r="F1177" s="20" t="n">
        <f aca="false">(F1160+F1165+F1172)/F1175</f>
        <v>0.76500940322852</v>
      </c>
      <c r="G1177" s="20" t="n">
        <f aca="false">(G1160+G1165+G1172)/G1175</f>
        <v>0.765715820686707</v>
      </c>
    </row>
    <row r="1178" customFormat="false" ht="17.15" hidden="false" customHeight="false" outlineLevel="0" collapsed="false">
      <c r="A1178" s="4" t="s">
        <v>583</v>
      </c>
      <c r="B1178" s="0" t="s">
        <v>48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0.359554272563384</v>
      </c>
      <c r="F1178" s="20" t="n">
        <f aca="false">F1174/F1175</f>
        <v>0.388587695358012</v>
      </c>
      <c r="G1178" s="20" t="n">
        <f aca="false">G1174/G1175</f>
        <v>0.40167112229691</v>
      </c>
    </row>
    <row r="1179" customFormat="false" ht="17.15" hidden="false" customHeight="false" outlineLevel="0" collapsed="false">
      <c r="A1179" s="4" t="s">
        <v>584</v>
      </c>
      <c r="B1179" s="4" t="s">
        <v>331</v>
      </c>
      <c r="D1179" s="21" t="n">
        <f aca="false">D1158/fx/(odm_gb*(1-vr26)+odm_vr*vr26)</f>
        <v>12.0597330420658</v>
      </c>
      <c r="E1179" s="21" t="n">
        <f aca="false">E1158/fx/odm_vr</f>
        <v>14.7674893195131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585</v>
      </c>
    </row>
    <row r="1180" customFormat="false" ht="17.15" hidden="false" customHeight="false" outlineLevel="0" collapsed="false">
      <c r="A1180" s="6" t="s">
        <v>586</v>
      </c>
    </row>
    <row r="1181" customFormat="false" ht="17.15" hidden="false" customHeight="false" outlineLevel="0" collapsed="false">
      <c r="A1181" s="4" t="s">
        <v>587</v>
      </c>
      <c r="B1181" s="0" t="s">
        <v>48</v>
      </c>
      <c r="D1181" s="17" t="n">
        <f aca="false">(a26_sgp-d_ai*D1160-d_brd*D1165-d_gen*D1167)/D1169</f>
        <v>0.0436423860147897</v>
      </c>
      <c r="K1181" s="8" t="s">
        <v>588</v>
      </c>
    </row>
    <row r="1182" customFormat="false" ht="17.15" hidden="false" customHeight="false" outlineLevel="0" collapsed="false">
      <c r="A1182" s="4" t="s">
        <v>589</v>
      </c>
      <c r="B1182" s="0" t="s">
        <v>147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99.9228552931035</v>
      </c>
      <c r="F1182" s="25" t="n">
        <f aca="false">($D$1181+d_ai+vrd)*F1158*(1-F1159*(1-keep))</f>
        <v>119.115229856887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590</v>
      </c>
      <c r="B1183" s="0" t="s">
        <v>147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591</v>
      </c>
      <c r="B1184" s="0" t="s">
        <v>48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592</v>
      </c>
      <c r="B1185" s="0" t="s">
        <v>48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593</v>
      </c>
      <c r="B1186" s="0" t="s">
        <v>147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594</v>
      </c>
      <c r="B1187" s="0" t="s">
        <v>147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95.8074495725884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595</v>
      </c>
      <c r="B1188" s="0" t="s">
        <v>48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596</v>
      </c>
      <c r="B1189" s="0" t="s">
        <v>147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53.6521717606495</v>
      </c>
      <c r="F1189" s="21" t="n">
        <f aca="false">F1187*snio</f>
        <v>64.5933850845477</v>
      </c>
      <c r="G1189" s="21" t="n">
        <f aca="false">G1187*snio</f>
        <v>70.3347214788719</v>
      </c>
    </row>
    <row r="1190" customFormat="false" ht="17.15" hidden="false" customHeight="false" outlineLevel="0" collapsed="false">
      <c r="A1190" s="6" t="s">
        <v>597</v>
      </c>
    </row>
    <row r="1191" customFormat="false" ht="15" hidden="false" customHeight="false" outlineLevel="0" collapsed="false">
      <c r="A1191" s="4" t="s">
        <v>438</v>
      </c>
      <c r="B1191" s="0" t="s">
        <v>147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182.130378447603</v>
      </c>
      <c r="F1191" s="21" t="n">
        <f aca="false">F1174*wgm</f>
        <v>218.243281830982</v>
      </c>
      <c r="G1191" s="21" t="n">
        <f aca="false">G1174*wgm</f>
        <v>234.106838874584</v>
      </c>
    </row>
    <row r="1192" customFormat="false" ht="15" hidden="false" customHeight="false" outlineLevel="0" collapsed="false">
      <c r="A1192" s="4" t="s">
        <v>440</v>
      </c>
      <c r="B1192" s="0" t="s">
        <v>147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139.27617175405</v>
      </c>
      <c r="F1192" s="21" t="n">
        <f aca="false">F1174*wopm</f>
        <v>166.891921400163</v>
      </c>
      <c r="G1192" s="21" t="n">
        <f aca="false">G1174*wopm</f>
        <v>179.022876786446</v>
      </c>
    </row>
    <row r="1193" customFormat="false" ht="15" hidden="false" customHeight="false" outlineLevel="0" collapsed="false">
      <c r="A1193" s="4" t="s">
        <v>448</v>
      </c>
      <c r="B1193" s="0" t="s">
        <v>147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108.635413968159</v>
      </c>
      <c r="F1193" s="21" t="n">
        <f aca="false">F1192*wnio</f>
        <v>130.175698692127</v>
      </c>
      <c r="G1193" s="21" t="n">
        <f aca="false">G1192*wnio</f>
        <v>139.637843893428</v>
      </c>
    </row>
    <row r="1194" customFormat="false" ht="15" hidden="false" customHeight="false" outlineLevel="0" collapsed="false">
      <c r="A1194" s="4" t="s">
        <v>450</v>
      </c>
      <c r="B1194" s="0" t="s">
        <v>48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598</v>
      </c>
    </row>
    <row r="1196" customFormat="false" ht="15" hidden="false" customHeight="false" outlineLevel="0" collapsed="false">
      <c r="A1196" s="4" t="s">
        <v>424</v>
      </c>
      <c r="B1196" s="0" t="s">
        <v>147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331.122306711138</v>
      </c>
      <c r="F1196" s="21" t="n">
        <f aca="false">F1183+F1191</f>
        <v>387.706279626467</v>
      </c>
      <c r="G1196" s="21" t="n">
        <f aca="false">G1183+G1191</f>
        <v>414.074535115568</v>
      </c>
    </row>
    <row r="1197" customFormat="false" ht="15" hidden="false" customHeight="false" outlineLevel="0" collapsed="false">
      <c r="A1197" s="4" t="s">
        <v>427</v>
      </c>
      <c r="B1197" s="0" t="s">
        <v>48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0.0555634787363554</v>
      </c>
      <c r="F1197" s="17" t="n">
        <f aca="false">F1196/F1175</f>
        <v>0.058677272972678</v>
      </c>
      <c r="G1197" s="17" t="n">
        <f aca="false">G1196/G1175</f>
        <v>0.0603884604264006</v>
      </c>
    </row>
    <row r="1198" customFormat="false" ht="15" hidden="false" customHeight="false" outlineLevel="0" collapsed="false">
      <c r="A1198" s="4" t="s">
        <v>428</v>
      </c>
      <c r="B1198" s="0" t="s">
        <v>147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235.083621326638</v>
      </c>
      <c r="F1198" s="21" t="n">
        <f aca="false">F1187+F1192</f>
        <v>282.237251908284</v>
      </c>
      <c r="G1198" s="21" t="n">
        <f aca="false">G1187+G1192</f>
        <v>304.620593713003</v>
      </c>
    </row>
    <row r="1199" customFormat="false" ht="15" hidden="false" customHeight="false" outlineLevel="0" collapsed="false">
      <c r="A1199" s="4" t="s">
        <v>431</v>
      </c>
      <c r="B1199" s="0" t="s">
        <v>48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0.0394478521383432</v>
      </c>
      <c r="F1199" s="17" t="n">
        <f aca="false">F1198/F1175</f>
        <v>0.0427150994026621</v>
      </c>
      <c r="G1199" s="17" t="n">
        <f aca="false">G1198/G1175</f>
        <v>0.0444257424895017</v>
      </c>
    </row>
    <row r="1200" customFormat="false" ht="15" hidden="false" customHeight="false" outlineLevel="0" collapsed="false">
      <c r="A1200" s="4" t="s">
        <v>461</v>
      </c>
      <c r="B1200" s="0" t="s">
        <v>147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162.287585728808</v>
      </c>
      <c r="F1200" s="21" t="n">
        <f aca="false">F1189+F1193</f>
        <v>194.769083776675</v>
      </c>
      <c r="G1200" s="21" t="n">
        <f aca="false">G1189+G1193</f>
        <v>209.9725653723</v>
      </c>
    </row>
    <row r="1201" customFormat="false" ht="17.15" hidden="false" customHeight="false" outlineLevel="0" collapsed="false">
      <c r="A1201" s="4" t="s">
        <v>599</v>
      </c>
      <c r="B1201" s="0" t="s">
        <v>147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70.6130190793032</v>
      </c>
      <c r="F1201" s="21" t="n">
        <f aca="false">(1-F1194)*F1193</f>
        <v>84.6142041498825</v>
      </c>
      <c r="G1201" s="21" t="n">
        <f aca="false">(1-G1194)*G1193</f>
        <v>90.7645985307283</v>
      </c>
    </row>
    <row r="1202" customFormat="false" ht="15" hidden="false" customHeight="false" outlineLevel="0" collapsed="false">
      <c r="A1202" s="4" t="s">
        <v>457</v>
      </c>
      <c r="B1202" s="0" t="s">
        <v>147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91.6745666495051</v>
      </c>
      <c r="F1202" s="21" t="n">
        <f aca="false">F1200-F1201</f>
        <v>110.154879626792</v>
      </c>
      <c r="G1202" s="21" t="n">
        <f aca="false">G1200-G1201</f>
        <v>119.207966841572</v>
      </c>
      <c r="H1202" s="26" t="n">
        <f aca="false">H1175*H1207</f>
        <v>125.895757872015</v>
      </c>
      <c r="I1202" s="26" t="n">
        <f aca="false">I1175*I1207</f>
        <v>133.887994231147</v>
      </c>
      <c r="J1202" s="26" t="n">
        <f aca="false">J1175*J1207</f>
        <v>143.375940589569</v>
      </c>
    </row>
    <row r="1203" customFormat="false" ht="17.15" hidden="false" customHeight="false" outlineLevel="0" collapsed="false">
      <c r="A1203" s="4" t="s">
        <v>600</v>
      </c>
      <c r="B1203" s="0" t="s">
        <v>48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0.414754018246137</v>
      </c>
      <c r="F1203" s="20" t="n">
        <f aca="false">F1194*F1193/F1202</f>
        <v>0.413613039173644</v>
      </c>
      <c r="G1203" s="20" t="n">
        <f aca="false">G1194*G1193/G1202</f>
        <v>0.409983046079905</v>
      </c>
    </row>
    <row r="1204" customFormat="false" ht="17.15" hidden="false" customHeight="false" outlineLevel="0" collapsed="false">
      <c r="A1204" s="4" t="s">
        <v>601</v>
      </c>
      <c r="B1204" s="4" t="s">
        <v>282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602</v>
      </c>
    </row>
    <row r="1205" customFormat="false" ht="15" hidden="false" customHeight="false" outlineLevel="0" collapsed="false">
      <c r="A1205" s="0" t="s">
        <v>464</v>
      </c>
      <c r="B1205" s="0" t="s">
        <v>312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26.7272789065612</v>
      </c>
      <c r="F1205" s="18" t="n">
        <f aca="false">F1202/F1204</f>
        <v>32.1151252556245</v>
      </c>
      <c r="G1205" s="18" t="n">
        <f aca="false">G1202/G1204</f>
        <v>34.7545092832571</v>
      </c>
      <c r="H1205" s="29" t="n">
        <f aca="false">H1202/H1204</f>
        <v>36.7043025865933</v>
      </c>
      <c r="I1205" s="29" t="n">
        <f aca="false">I1202/I1204</f>
        <v>39.0344006504803</v>
      </c>
      <c r="J1205" s="29" t="n">
        <f aca="false">J1202/J1204</f>
        <v>41.8005657695538</v>
      </c>
    </row>
    <row r="1206" customFormat="false" ht="17.15" hidden="false" customHeight="false" outlineLevel="0" collapsed="false">
      <c r="A1206" s="0" t="s">
        <v>603</v>
      </c>
      <c r="B1206" s="0" t="s">
        <v>48</v>
      </c>
      <c r="D1206" s="20" t="n">
        <f aca="false">D1205/C1205-1</f>
        <v>0.968808626831982</v>
      </c>
      <c r="E1206" s="20" t="n">
        <f aca="false">E1205/D1205-1</f>
        <v>0.501698723215007</v>
      </c>
      <c r="F1206" s="20" t="n">
        <f aca="false">F1205/E1205-1</f>
        <v>0.20158604128386</v>
      </c>
      <c r="G1206" s="20" t="n">
        <f aca="false">G1205/F1205-1</f>
        <v>0.0821850765526839</v>
      </c>
      <c r="H1206" s="27" t="n">
        <f aca="false">H1205/G1205-1</f>
        <v>0.05610187982932</v>
      </c>
      <c r="I1206" s="27" t="n">
        <f aca="false">I1205/H1205-1</f>
        <v>0.0634829679269824</v>
      </c>
      <c r="J1206" s="27" t="n">
        <f aca="false">J1205/I1205-1</f>
        <v>0.0708648031730299</v>
      </c>
    </row>
    <row r="1207" customFormat="false" ht="17.15" hidden="false" customHeight="false" outlineLevel="0" collapsed="false">
      <c r="A1207" s="4" t="s">
        <v>604</v>
      </c>
      <c r="B1207" s="0" t="s">
        <v>48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0.0153833122428023</v>
      </c>
      <c r="F1207" s="17" t="n">
        <f aca="false">F1202/F1175</f>
        <v>0.016671352208587</v>
      </c>
      <c r="G1207" s="17" t="n">
        <f aca="false">G1202/G1175</f>
        <v>0.0173852410076721</v>
      </c>
      <c r="H1207" s="28" t="n">
        <f aca="false">$G1207+(fade_mA-$G1207)*1/3</f>
        <v>0.0175671658923828</v>
      </c>
      <c r="I1207" s="28" t="n">
        <f aca="false">$G1207+(fade_mA-$G1207)*2/3</f>
        <v>0.0177490907770935</v>
      </c>
      <c r="J1207" s="28" t="n">
        <f aca="false">$G1207+(fade_mA-$G1207)*3/3</f>
        <v>0.0179310156618042</v>
      </c>
    </row>
    <row r="1210" customFormat="false" ht="17.15" hidden="false" customHeight="false" outlineLevel="0" collapsed="false">
      <c r="A1210" s="1" t="s">
        <v>891</v>
      </c>
    </row>
    <row r="1211" customFormat="false" ht="17.15" hidden="false" customHeight="false" outlineLevel="0" collapsed="false">
      <c r="A1211" s="5" t="s">
        <v>17</v>
      </c>
      <c r="B1211" s="5" t="s">
        <v>18</v>
      </c>
      <c r="C1211" s="14" t="s">
        <v>414</v>
      </c>
      <c r="D1211" s="14" t="s">
        <v>529</v>
      </c>
      <c r="E1211" s="14" t="s">
        <v>530</v>
      </c>
      <c r="F1211" s="14" t="s">
        <v>531</v>
      </c>
      <c r="G1211" s="14" t="s">
        <v>532</v>
      </c>
      <c r="H1211" s="14" t="s">
        <v>533</v>
      </c>
      <c r="I1211" s="14" t="s">
        <v>534</v>
      </c>
      <c r="J1211" s="14" t="s">
        <v>535</v>
      </c>
      <c r="K1211" s="5" t="s">
        <v>496</v>
      </c>
    </row>
    <row r="1212" customFormat="false" ht="17.15" hidden="false" customHeight="false" outlineLevel="0" collapsed="false">
      <c r="A1212" s="6" t="s">
        <v>550</v>
      </c>
    </row>
    <row r="1213" customFormat="false" ht="17.15" hidden="false" customHeight="false" outlineLevel="0" collapsed="false">
      <c r="A1213" s="0" t="s">
        <v>551</v>
      </c>
      <c r="B1213" s="0" t="s">
        <v>28</v>
      </c>
      <c r="D1213" s="21" t="n">
        <f aca="false">itc_26*1</f>
        <v>781.872916666667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552</v>
      </c>
      <c r="B1214" s="0" t="s">
        <v>28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553</v>
      </c>
      <c r="B1215" s="0" t="s">
        <v>498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554</v>
      </c>
      <c r="B1216" s="0" t="s">
        <v>555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556</v>
      </c>
    </row>
    <row r="1217" customFormat="false" ht="17.15" hidden="false" customHeight="false" outlineLevel="0" collapsed="false">
      <c r="A1217" s="0" t="s">
        <v>557</v>
      </c>
      <c r="B1217" s="0" t="s">
        <v>28</v>
      </c>
      <c r="D1217" s="21" t="n">
        <f aca="false">D1215*D1216</f>
        <v>634.616531285011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558</v>
      </c>
      <c r="B1218" s="0" t="s">
        <v>147</v>
      </c>
      <c r="D1218" s="21" t="n">
        <f aca="false">D1217*fx</f>
        <v>20307.7290011204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559</v>
      </c>
    </row>
    <row r="1220" customFormat="false" ht="17.15" hidden="false" customHeight="false" outlineLevel="0" collapsed="false">
      <c r="A1220" s="4" t="s">
        <v>560</v>
      </c>
      <c r="B1220" s="0" t="s">
        <v>48</v>
      </c>
      <c r="D1220" s="20" t="n">
        <f aca="false">a26_ais/D1218</f>
        <v>0.0875096501918446</v>
      </c>
      <c r="K1220" s="8" t="s">
        <v>561</v>
      </c>
    </row>
    <row r="1221" customFormat="false" ht="17.15" hidden="false" customHeight="false" outlineLevel="0" collapsed="false">
      <c r="A1221" s="4" t="s">
        <v>562</v>
      </c>
      <c r="B1221" s="0" t="s">
        <v>60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563</v>
      </c>
      <c r="B1222" s="0" t="s">
        <v>48</v>
      </c>
      <c r="D1222" s="20" t="n">
        <f aca="false">$D$1220*D1221</f>
        <v>0.0875096501918446</v>
      </c>
      <c r="E1222" s="20" t="n">
        <f aca="false">$D$1220*E1221</f>
        <v>0.0875096501918446</v>
      </c>
      <c r="F1222" s="20" t="n">
        <f aca="false">$D$1220*F1221</f>
        <v>0.0831341676822524</v>
      </c>
      <c r="G1222" s="20" t="n">
        <f aca="false">$D$1220*G1221</f>
        <v>0.0787586851726601</v>
      </c>
    </row>
    <row r="1223" customFormat="false" ht="17.15" hidden="false" customHeight="false" outlineLevel="0" collapsed="false">
      <c r="A1223" s="4" t="s">
        <v>564</v>
      </c>
      <c r="B1223" s="0" t="s">
        <v>147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565</v>
      </c>
      <c r="B1224" s="0" t="s">
        <v>48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566</v>
      </c>
    </row>
    <row r="1225" customFormat="false" ht="17.15" hidden="false" customHeight="false" outlineLevel="0" collapsed="false">
      <c r="A1225" s="4" t="s">
        <v>567</v>
      </c>
      <c r="B1225" s="0" t="s">
        <v>147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3072.99589502208</v>
      </c>
      <c r="G1225" s="21" t="n">
        <f aca="false">G1223*(1-G1224)</f>
        <v>3109.11053614536</v>
      </c>
    </row>
    <row r="1226" customFormat="false" ht="17.15" hidden="false" customHeight="false" outlineLevel="0" collapsed="false">
      <c r="A1226" s="6" t="s">
        <v>568</v>
      </c>
    </row>
    <row r="1227" customFormat="false" ht="17.15" hidden="false" customHeight="false" outlineLevel="0" collapsed="false">
      <c r="A1227" s="0" t="s">
        <v>569</v>
      </c>
      <c r="B1227" s="4" t="s">
        <v>81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570</v>
      </c>
      <c r="B1228" s="0" t="s">
        <v>48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571</v>
      </c>
      <c r="B1229" s="0" t="s">
        <v>520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572</v>
      </c>
    </row>
    <row r="1230" customFormat="false" ht="17.15" hidden="false" customHeight="false" outlineLevel="0" collapsed="false">
      <c r="A1230" s="0" t="s">
        <v>522</v>
      </c>
      <c r="B1230" s="0" t="s">
        <v>147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573</v>
      </c>
    </row>
    <row r="1232" customFormat="false" ht="15" hidden="false" customHeight="false" outlineLevel="0" collapsed="false">
      <c r="A1232" s="4" t="s">
        <v>574</v>
      </c>
      <c r="B1232" s="0" t="s">
        <v>147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575</v>
      </c>
      <c r="B1233" s="0" t="s">
        <v>147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576</v>
      </c>
      <c r="B1234" s="0" t="s">
        <v>147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3816.64127975755</v>
      </c>
      <c r="F1234" s="21" t="n">
        <f aca="false">F1225+F1230+F1232+F1233</f>
        <v>4039.86719118604</v>
      </c>
      <c r="G1234" s="21" t="n">
        <f aca="false">G1225+G1230+G1232+G1233</f>
        <v>4102.65057482429</v>
      </c>
    </row>
    <row r="1235" customFormat="false" ht="17.15" hidden="false" customHeight="false" outlineLevel="0" collapsed="false">
      <c r="A1235" s="4" t="s">
        <v>577</v>
      </c>
      <c r="B1235" s="0" t="s">
        <v>48</v>
      </c>
      <c r="D1235" s="20" t="n">
        <f aca="false">a26_wai/D1218</f>
        <v>0.0391523244650416</v>
      </c>
      <c r="K1235" s="8" t="s">
        <v>578</v>
      </c>
    </row>
    <row r="1236" customFormat="false" ht="17.15" hidden="false" customHeight="false" outlineLevel="0" collapsed="false">
      <c r="A1236" s="4" t="s">
        <v>504</v>
      </c>
      <c r="B1236" s="0" t="s">
        <v>48</v>
      </c>
      <c r="D1236" s="20" t="n">
        <f aca="false">D1235</f>
        <v>0.0391523244650416</v>
      </c>
      <c r="E1236" s="20" t="n">
        <f aca="false">$D$1235*wrel_27</f>
        <v>0.0391523244650416</v>
      </c>
      <c r="F1236" s="20" t="n">
        <f aca="false">$D$1235*wrel_28</f>
        <v>0.0391523244650416</v>
      </c>
      <c r="G1236" s="20" t="n">
        <f aca="false">$D$1235*wrel_29</f>
        <v>0.0371947082417896</v>
      </c>
    </row>
    <row r="1237" customFormat="false" ht="17.15" hidden="false" customHeight="false" outlineLevel="0" collapsed="false">
      <c r="A1237" s="4" t="s">
        <v>524</v>
      </c>
      <c r="B1237" s="0" t="s">
        <v>147</v>
      </c>
      <c r="D1237" s="21" t="n">
        <f aca="false">D1218*D1236</f>
        <v>795.094795</v>
      </c>
      <c r="E1237" s="21" t="n">
        <f aca="false">E1218*E1236</f>
        <v>1427.12501917769</v>
      </c>
      <c r="F1237" s="21" t="n">
        <f aca="false">F1218*F1236</f>
        <v>1809.04758711097</v>
      </c>
      <c r="G1237" s="21" t="n">
        <f aca="false">G1218*G1236</f>
        <v>1957.75164825537</v>
      </c>
    </row>
    <row r="1238" customFormat="false" ht="17.15" hidden="false" customHeight="false" outlineLevel="0" collapsed="false">
      <c r="A1238" s="4" t="s">
        <v>579</v>
      </c>
      <c r="B1238" s="0" t="s">
        <v>147</v>
      </c>
      <c r="D1238" s="21" t="n">
        <f aca="false">a26_wna</f>
        <v>650.532105</v>
      </c>
      <c r="E1238" s="21" t="n">
        <f aca="false">D1238*(1+g_wn27)</f>
        <v>715.5853155</v>
      </c>
      <c r="F1238" s="21" t="n">
        <f aca="false">E1238*(1+g_wn28)</f>
        <v>758.52043443</v>
      </c>
      <c r="G1238" s="21" t="n">
        <f aca="false">F1238*(1+g_wn29)</f>
        <v>796.4464561515</v>
      </c>
    </row>
    <row r="1239" customFormat="false" ht="15" hidden="false" customHeight="false" outlineLevel="0" collapsed="false">
      <c r="A1239" s="4" t="s">
        <v>434</v>
      </c>
      <c r="B1239" s="0" t="s">
        <v>147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2142.71033467769</v>
      </c>
      <c r="F1239" s="21" t="n">
        <f aca="false">F1237+F1238</f>
        <v>2567.56802154097</v>
      </c>
      <c r="G1239" s="21" t="n">
        <f aca="false">G1237+G1238</f>
        <v>2754.19810440687</v>
      </c>
    </row>
    <row r="1240" customFormat="false" ht="17.15" hidden="false" customHeight="false" outlineLevel="0" collapsed="false">
      <c r="A1240" s="4" t="s">
        <v>420</v>
      </c>
      <c r="B1240" s="0" t="s">
        <v>147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5959.35161443524</v>
      </c>
      <c r="F1240" s="21" t="n">
        <f aca="false">F1234+F1239</f>
        <v>6607.43521272701</v>
      </c>
      <c r="G1240" s="21" t="n">
        <f aca="false">G1234+G1239</f>
        <v>6856.84867923116</v>
      </c>
      <c r="H1240" s="26" t="n">
        <f aca="false">G1240*(1+H1241)</f>
        <v>7166.53776956726</v>
      </c>
      <c r="I1240" s="26" t="n">
        <f aca="false">H1240*(1+I1241)</f>
        <v>7543.37199085936</v>
      </c>
      <c r="J1240" s="26" t="n">
        <f aca="false">I1240*(1+J1241)</f>
        <v>7995.97431031092</v>
      </c>
      <c r="K1240" s="8" t="s">
        <v>580</v>
      </c>
    </row>
    <row r="1241" customFormat="false" ht="15" hidden="false" customHeight="false" outlineLevel="0" collapsed="false">
      <c r="A1241" s="4" t="s">
        <v>581</v>
      </c>
      <c r="B1241" s="0" t="s">
        <v>48</v>
      </c>
      <c r="D1241" s="20" t="n">
        <f aca="false">D1240/C1240-1</f>
        <v>0.873912121761526</v>
      </c>
      <c r="E1241" s="20" t="n">
        <f aca="false">E1240/D1240-1</f>
        <v>0.454439765251677</v>
      </c>
      <c r="F1241" s="20" t="n">
        <f aca="false">F1240/E1240-1</f>
        <v>0.108750689709586</v>
      </c>
      <c r="G1241" s="20" t="n">
        <f aca="false">G1240/F1240-1</f>
        <v>0.0377473949383174</v>
      </c>
      <c r="H1241" s="27" t="n">
        <f aca="false">$G1241+(fade_gA-$G1241)*1/3</f>
        <v>0.0451649299588782</v>
      </c>
      <c r="I1241" s="27" t="n">
        <f aca="false">$G1241+(fade_gA-$G1241)*2/3</f>
        <v>0.0525824649794391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582</v>
      </c>
      <c r="B1242" s="0" t="s">
        <v>48</v>
      </c>
      <c r="D1242" s="20" t="n">
        <f aca="false">(D1225+D1230+D1237)/D1240</f>
        <v>0.6546220793463</v>
      </c>
      <c r="E1242" s="20" t="n">
        <f aca="false">(E1225+E1230+E1237)/E1240</f>
        <v>0.749679139384196</v>
      </c>
      <c r="F1242" s="20" t="n">
        <f aca="false">(F1225+F1230+F1237)/F1240</f>
        <v>0.76500940322852</v>
      </c>
      <c r="G1242" s="20" t="n">
        <f aca="false">(G1225+G1230+G1237)/G1240</f>
        <v>0.765715820686707</v>
      </c>
    </row>
    <row r="1243" customFormat="false" ht="17.15" hidden="false" customHeight="false" outlineLevel="0" collapsed="false">
      <c r="A1243" s="4" t="s">
        <v>583</v>
      </c>
      <c r="B1243" s="0" t="s">
        <v>48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0.359554272563384</v>
      </c>
      <c r="F1243" s="20" t="n">
        <f aca="false">F1239/F1240</f>
        <v>0.388587695358012</v>
      </c>
      <c r="G1243" s="20" t="n">
        <f aca="false">G1239/G1240</f>
        <v>0.40167112229691</v>
      </c>
    </row>
    <row r="1244" customFormat="false" ht="17.15" hidden="false" customHeight="false" outlineLevel="0" collapsed="false">
      <c r="A1244" s="4" t="s">
        <v>584</v>
      </c>
      <c r="B1244" s="4" t="s">
        <v>331</v>
      </c>
      <c r="D1244" s="21" t="n">
        <f aca="false">D1223/fx/(odm_gb*(1-vr26)+odm_vr*vr26)</f>
        <v>12.0597330420658</v>
      </c>
      <c r="E1244" s="21" t="n">
        <f aca="false">E1223/fx/odm_vr</f>
        <v>14.7674893195131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585</v>
      </c>
    </row>
    <row r="1245" customFormat="false" ht="17.15" hidden="false" customHeight="false" outlineLevel="0" collapsed="false">
      <c r="A1245" s="6" t="s">
        <v>586</v>
      </c>
    </row>
    <row r="1246" customFormat="false" ht="17.15" hidden="false" customHeight="false" outlineLevel="0" collapsed="false">
      <c r="A1246" s="4" t="s">
        <v>587</v>
      </c>
      <c r="B1246" s="0" t="s">
        <v>48</v>
      </c>
      <c r="D1246" s="17" t="n">
        <f aca="false">(a26_sgp-d_ai*D1225-d_brd*D1230-d_gen*D1232)/D1234</f>
        <v>0.0436423860147897</v>
      </c>
      <c r="K1246" s="8" t="s">
        <v>588</v>
      </c>
    </row>
    <row r="1247" customFormat="false" ht="17.15" hidden="false" customHeight="false" outlineLevel="0" collapsed="false">
      <c r="A1247" s="4" t="s">
        <v>589</v>
      </c>
      <c r="B1247" s="0" t="s">
        <v>147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99.9228552931035</v>
      </c>
      <c r="F1247" s="25" t="n">
        <f aca="false">($D$1246+d_ai+vrd)*F1223*(1-F1224*(1-keep))</f>
        <v>119.115229856887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590</v>
      </c>
      <c r="B1248" s="0" t="s">
        <v>147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591</v>
      </c>
      <c r="B1249" s="0" t="s">
        <v>48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592</v>
      </c>
      <c r="B1250" s="0" t="s">
        <v>48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593</v>
      </c>
      <c r="B1251" s="0" t="s">
        <v>147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60.8177612504608</v>
      </c>
      <c r="F1251" s="21" t="n">
        <f aca="false">E1251*(1+F1250)+opx_adj_hi*F1234</f>
        <v>69.9646197761087</v>
      </c>
      <c r="G1251" s="21" t="n">
        <f aca="false">F1251*(1+G1250)+opx_adj_hi*G1234</f>
        <v>78.4961159730171</v>
      </c>
    </row>
    <row r="1252" customFormat="false" ht="15" hidden="false" customHeight="false" outlineLevel="0" collapsed="false">
      <c r="A1252" s="4" t="s">
        <v>594</v>
      </c>
      <c r="B1252" s="0" t="s">
        <v>147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88.1741670130733</v>
      </c>
      <c r="F1252" s="21" t="n">
        <f aca="false">F1248-F1251</f>
        <v>99.4983780193766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595</v>
      </c>
      <c r="B1253" s="0" t="s">
        <v>48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596</v>
      </c>
      <c r="B1254" s="0" t="s">
        <v>147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55.7190916908509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597</v>
      </c>
    </row>
    <row r="1256" customFormat="false" ht="15" hidden="false" customHeight="false" outlineLevel="0" collapsed="false">
      <c r="A1256" s="4" t="s">
        <v>438</v>
      </c>
      <c r="B1256" s="0" t="s">
        <v>147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182.130378447603</v>
      </c>
      <c r="F1256" s="21" t="n">
        <f aca="false">F1239*wgm</f>
        <v>218.243281830982</v>
      </c>
      <c r="G1256" s="21" t="n">
        <f aca="false">G1239*wgm</f>
        <v>234.106838874584</v>
      </c>
    </row>
    <row r="1257" customFormat="false" ht="15" hidden="false" customHeight="false" outlineLevel="0" collapsed="false">
      <c r="A1257" s="4" t="s">
        <v>440</v>
      </c>
      <c r="B1257" s="0" t="s">
        <v>147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139.27617175405</v>
      </c>
      <c r="F1257" s="21" t="n">
        <f aca="false">F1239*wopm</f>
        <v>166.891921400163</v>
      </c>
      <c r="G1257" s="21" t="n">
        <f aca="false">G1239*wopm</f>
        <v>179.022876786446</v>
      </c>
    </row>
    <row r="1258" customFormat="false" ht="15" hidden="false" customHeight="false" outlineLevel="0" collapsed="false">
      <c r="A1258" s="4" t="s">
        <v>448</v>
      </c>
      <c r="B1258" s="0" t="s">
        <v>147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108.635413968159</v>
      </c>
      <c r="F1258" s="21" t="n">
        <f aca="false">F1257*wnio</f>
        <v>130.175698692127</v>
      </c>
      <c r="G1258" s="21" t="n">
        <f aca="false">G1257*wnio</f>
        <v>139.637843893428</v>
      </c>
    </row>
    <row r="1259" customFormat="false" ht="15" hidden="false" customHeight="false" outlineLevel="0" collapsed="false">
      <c r="A1259" s="4" t="s">
        <v>450</v>
      </c>
      <c r="B1259" s="0" t="s">
        <v>48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598</v>
      </c>
    </row>
    <row r="1261" customFormat="false" ht="15" hidden="false" customHeight="false" outlineLevel="0" collapsed="false">
      <c r="A1261" s="4" t="s">
        <v>424</v>
      </c>
      <c r="B1261" s="0" t="s">
        <v>147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331.122306711138</v>
      </c>
      <c r="F1261" s="21" t="n">
        <f aca="false">F1248+F1256</f>
        <v>387.706279626467</v>
      </c>
      <c r="G1261" s="21" t="n">
        <f aca="false">G1248+G1256</f>
        <v>414.074535115568</v>
      </c>
    </row>
    <row r="1262" customFormat="false" ht="15" hidden="false" customHeight="false" outlineLevel="0" collapsed="false">
      <c r="A1262" s="4" t="s">
        <v>427</v>
      </c>
      <c r="B1262" s="0" t="s">
        <v>48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0.0555634787363554</v>
      </c>
      <c r="F1262" s="17" t="n">
        <f aca="false">F1261/F1240</f>
        <v>0.058677272972678</v>
      </c>
      <c r="G1262" s="17" t="n">
        <f aca="false">G1261/G1240</f>
        <v>0.0603884604264006</v>
      </c>
    </row>
    <row r="1263" customFormat="false" ht="15" hidden="false" customHeight="false" outlineLevel="0" collapsed="false">
      <c r="A1263" s="4" t="s">
        <v>428</v>
      </c>
      <c r="B1263" s="0" t="s">
        <v>147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227.450338767123</v>
      </c>
      <c r="F1263" s="21" t="n">
        <f aca="false">F1252+F1257</f>
        <v>266.390299419539</v>
      </c>
      <c r="G1263" s="21" t="n">
        <f aca="false">G1252+G1257</f>
        <v>280.494457054414</v>
      </c>
    </row>
    <row r="1264" customFormat="false" ht="15" hidden="false" customHeight="false" outlineLevel="0" collapsed="false">
      <c r="A1264" s="4" t="s">
        <v>431</v>
      </c>
      <c r="B1264" s="0" t="s">
        <v>48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0.03816696068347</v>
      </c>
      <c r="F1264" s="17" t="n">
        <f aca="false">F1263/F1240</f>
        <v>0.0403167478519393</v>
      </c>
      <c r="G1264" s="17" t="n">
        <f aca="false">G1263/G1240</f>
        <v>0.0409071966111792</v>
      </c>
    </row>
    <row r="1265" customFormat="false" ht="15" hidden="false" customHeight="false" outlineLevel="0" collapsed="false">
      <c r="A1265" s="4" t="s">
        <v>461</v>
      </c>
      <c r="B1265" s="0" t="s">
        <v>147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158.01294749548</v>
      </c>
      <c r="F1265" s="21" t="n">
        <f aca="false">F1254+F1258</f>
        <v>185.894790382978</v>
      </c>
      <c r="G1265" s="21" t="n">
        <f aca="false">G1254+G1258</f>
        <v>196.46192884349</v>
      </c>
    </row>
    <row r="1266" customFormat="false" ht="17.15" hidden="false" customHeight="false" outlineLevel="0" collapsed="false">
      <c r="A1266" s="4" t="s">
        <v>599</v>
      </c>
      <c r="B1266" s="0" t="s">
        <v>147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67.7015899849565</v>
      </c>
      <c r="F1266" s="21" t="n">
        <f aca="false">(1-F1259)*F1258</f>
        <v>81.1254954249335</v>
      </c>
      <c r="G1266" s="21" t="n">
        <f aca="false">(1-G1259)*G1258</f>
        <v>87.0223043143844</v>
      </c>
    </row>
    <row r="1267" customFormat="false" ht="15" hidden="false" customHeight="false" outlineLevel="0" collapsed="false">
      <c r="A1267" s="4" t="s">
        <v>457</v>
      </c>
      <c r="B1267" s="0" t="s">
        <v>147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90.3113575105233</v>
      </c>
      <c r="F1267" s="21" t="n">
        <f aca="false">F1265-F1266</f>
        <v>104.769294958044</v>
      </c>
      <c r="G1267" s="21" t="n">
        <f aca="false">G1265-G1266</f>
        <v>109.439624529105</v>
      </c>
      <c r="H1267" s="26" t="n">
        <f aca="false">H1240*H1272</f>
        <v>119.0894053328</v>
      </c>
      <c r="I1267" s="26" t="n">
        <f aca="false">I1240*I1272</f>
        <v>130.305870564524</v>
      </c>
      <c r="J1267" s="26" t="n">
        <f aca="false">J1240*J1272</f>
        <v>143.375940589569</v>
      </c>
    </row>
    <row r="1268" customFormat="false" ht="17.15" hidden="false" customHeight="false" outlineLevel="0" collapsed="false">
      <c r="A1268" s="4" t="s">
        <v>600</v>
      </c>
      <c r="B1268" s="0" t="s">
        <v>48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0.453252227754771</v>
      </c>
      <c r="F1268" s="20" t="n">
        <f aca="false">F1259*F1258/F1267</f>
        <v>0.468173459474324</v>
      </c>
      <c r="G1268" s="20" t="n">
        <f aca="false">G1259*G1258/G1267</f>
        <v>0.480772296190131</v>
      </c>
    </row>
    <row r="1269" customFormat="false" ht="17.15" hidden="false" customHeight="false" outlineLevel="0" collapsed="false">
      <c r="A1269" s="4" t="s">
        <v>601</v>
      </c>
      <c r="B1269" s="4" t="s">
        <v>282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602</v>
      </c>
    </row>
    <row r="1270" customFormat="false" ht="15" hidden="false" customHeight="false" outlineLevel="0" collapsed="false">
      <c r="A1270" s="0" t="s">
        <v>464</v>
      </c>
      <c r="B1270" s="0" t="s">
        <v>312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26.3298418398027</v>
      </c>
      <c r="F1270" s="18" t="n">
        <f aca="false">F1267/F1269</f>
        <v>30.5449839527826</v>
      </c>
      <c r="G1270" s="18" t="n">
        <f aca="false">G1267/G1269</f>
        <v>31.9065960726255</v>
      </c>
      <c r="H1270" s="29" t="n">
        <f aca="false">H1267/H1269</f>
        <v>34.7199432457142</v>
      </c>
      <c r="I1270" s="29" t="n">
        <f aca="false">I1267/I1269</f>
        <v>37.9900497272665</v>
      </c>
      <c r="J1270" s="29" t="n">
        <f aca="false">J1267/J1269</f>
        <v>41.8005657695538</v>
      </c>
    </row>
    <row r="1271" customFormat="false" ht="17.15" hidden="false" customHeight="false" outlineLevel="0" collapsed="false">
      <c r="A1271" s="0" t="s">
        <v>603</v>
      </c>
      <c r="B1271" s="0" t="s">
        <v>48</v>
      </c>
      <c r="D1271" s="20" t="n">
        <f aca="false">D1270/C1270-1</f>
        <v>1.03813580587031</v>
      </c>
      <c r="E1271" s="20" t="n">
        <f aca="false">E1270/D1270-1</f>
        <v>0.429047620616365</v>
      </c>
      <c r="F1271" s="20" t="n">
        <f aca="false">F1270/E1270-1</f>
        <v>0.160089913894123</v>
      </c>
      <c r="G1271" s="20" t="n">
        <f aca="false">G1270/F1270-1</f>
        <v>0.0445772740279606</v>
      </c>
      <c r="H1271" s="27" t="n">
        <f aca="false">H1270/G1270-1</f>
        <v>0.0881744692127298</v>
      </c>
      <c r="I1271" s="27" t="n">
        <f aca="false">I1270/H1270-1</f>
        <v>0.0941852484726056</v>
      </c>
      <c r="J1271" s="27" t="n">
        <f aca="false">J1270/I1270-1</f>
        <v>0.100303002224089</v>
      </c>
    </row>
    <row r="1272" customFormat="false" ht="17.15" hidden="false" customHeight="false" outlineLevel="0" collapsed="false">
      <c r="A1272" s="4" t="s">
        <v>604</v>
      </c>
      <c r="B1272" s="0" t="s">
        <v>48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0.0151545609914615</v>
      </c>
      <c r="F1272" s="17" t="n">
        <f aca="false">F1267/F1240</f>
        <v>0.0158562727571269</v>
      </c>
      <c r="G1272" s="17" t="n">
        <f aca="false">G1267/G1240</f>
        <v>0.0159606299699436</v>
      </c>
      <c r="H1272" s="28" t="n">
        <f aca="false">$G1272+(fade_mA-$G1272)*1/3</f>
        <v>0.0166174252005638</v>
      </c>
      <c r="I1272" s="28" t="n">
        <f aca="false">$G1272+(fade_mA-$G1272)*2/3</f>
        <v>0.017274220431184</v>
      </c>
      <c r="J1272" s="28" t="n">
        <f aca="false">$G1272+(fade_mA-$G1272)*3/3</f>
        <v>0.0179310156618042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892</v>
      </c>
    </row>
    <row r="2" customFormat="false" ht="17.15" hidden="false" customHeight="false" outlineLevel="0" collapsed="false">
      <c r="A2" s="4" t="s">
        <v>893</v>
      </c>
      <c r="B2" s="0" t="s">
        <v>894</v>
      </c>
    </row>
    <row r="3" customFormat="false" ht="17.15" hidden="false" customHeight="false" outlineLevel="0" collapsed="false">
      <c r="A3" s="4" t="s">
        <v>895</v>
      </c>
      <c r="B3" s="0" t="s">
        <v>896</v>
      </c>
    </row>
    <row r="4" customFormat="false" ht="17.15" hidden="false" customHeight="false" outlineLevel="0" collapsed="false">
      <c r="A4" s="4" t="s">
        <v>897</v>
      </c>
      <c r="B4" s="0" t="s">
        <v>898</v>
      </c>
    </row>
    <row r="5" customFormat="false" ht="17.15" hidden="false" customHeight="false" outlineLevel="0" collapsed="false">
      <c r="A5" s="4" t="s">
        <v>899</v>
      </c>
      <c r="B5" s="0" t="s">
        <v>900</v>
      </c>
    </row>
    <row r="6" customFormat="false" ht="17.15" hidden="false" customHeight="false" outlineLevel="0" collapsed="false">
      <c r="A6" s="4" t="s">
        <v>901</v>
      </c>
      <c r="B6" s="0" t="s">
        <v>902</v>
      </c>
    </row>
    <row r="7" customFormat="false" ht="17.15" hidden="false" customHeight="false" outlineLevel="0" collapsed="false">
      <c r="A7" s="4" t="s">
        <v>903</v>
      </c>
      <c r="B7" s="0" t="s">
        <v>904</v>
      </c>
    </row>
    <row r="8" customFormat="false" ht="17.15" hidden="false" customHeight="false" outlineLevel="0" collapsed="false">
      <c r="A8" s="4" t="s">
        <v>905</v>
      </c>
      <c r="B8" s="0" t="s">
        <v>906</v>
      </c>
    </row>
    <row r="9" customFormat="false" ht="17.15" hidden="false" customHeight="false" outlineLevel="0" collapsed="false">
      <c r="A9" s="4" t="s">
        <v>907</v>
      </c>
      <c r="B9" s="0" t="s">
        <v>908</v>
      </c>
    </row>
    <row r="10" customFormat="false" ht="17.15" hidden="false" customHeight="false" outlineLevel="0" collapsed="false">
      <c r="A10" s="4" t="s">
        <v>909</v>
      </c>
      <c r="B10" s="0" t="s">
        <v>910</v>
      </c>
    </row>
    <row r="11" customFormat="false" ht="17.15" hidden="false" customHeight="false" outlineLevel="0" collapsed="false">
      <c r="A11" s="4" t="s">
        <v>911</v>
      </c>
      <c r="B11" s="0" t="s">
        <v>912</v>
      </c>
    </row>
    <row r="12" customFormat="false" ht="17.15" hidden="false" customHeight="false" outlineLevel="0" collapsed="false">
      <c r="A12" s="4" t="s">
        <v>913</v>
      </c>
      <c r="B12" s="0" t="s">
        <v>914</v>
      </c>
    </row>
    <row r="13" customFormat="false" ht="17.15" hidden="false" customHeight="false" outlineLevel="0" collapsed="false">
      <c r="A13" s="4" t="s">
        <v>915</v>
      </c>
      <c r="B13" s="0" t="s">
        <v>916</v>
      </c>
    </row>
    <row r="14" customFormat="false" ht="17.15" hidden="false" customHeight="false" outlineLevel="0" collapsed="false">
      <c r="A14" s="4" t="s">
        <v>917</v>
      </c>
      <c r="B14" s="0" t="s">
        <v>918</v>
      </c>
    </row>
    <row r="15" customFormat="false" ht="17.15" hidden="false" customHeight="false" outlineLevel="0" collapsed="false">
      <c r="A15" s="4" t="s">
        <v>919</v>
      </c>
      <c r="B15" s="0" t="s">
        <v>920</v>
      </c>
    </row>
    <row r="16" customFormat="false" ht="17.15" hidden="false" customHeight="false" outlineLevel="0" collapsed="false">
      <c r="A16" s="4" t="s">
        <v>921</v>
      </c>
      <c r="B16" s="0" t="s">
        <v>922</v>
      </c>
    </row>
    <row r="17" customFormat="false" ht="17.15" hidden="false" customHeight="false" outlineLevel="0" collapsed="false">
      <c r="A17" s="4" t="s">
        <v>923</v>
      </c>
      <c r="B17" s="0" t="s">
        <v>924</v>
      </c>
    </row>
    <row r="18" customFormat="false" ht="17.15" hidden="false" customHeight="false" outlineLevel="0" collapsed="false">
      <c r="A18" s="4" t="s">
        <v>925</v>
      </c>
      <c r="B18" s="0" t="s">
        <v>926</v>
      </c>
    </row>
    <row r="19" customFormat="false" ht="17.15" hidden="false" customHeight="false" outlineLevel="0" collapsed="false">
      <c r="A19" s="4" t="s">
        <v>927</v>
      </c>
      <c r="B19" s="0" t="s">
        <v>928</v>
      </c>
    </row>
    <row r="20" customFormat="false" ht="17.15" hidden="false" customHeight="false" outlineLevel="0" collapsed="false">
      <c r="A20" s="4" t="s">
        <v>929</v>
      </c>
      <c r="B20" s="0" t="s">
        <v>930</v>
      </c>
    </row>
    <row r="21" customFormat="false" ht="17.15" hidden="false" customHeight="false" outlineLevel="0" collapsed="false">
      <c r="A21" s="4" t="s">
        <v>931</v>
      </c>
      <c r="B21" s="0" t="s">
        <v>932</v>
      </c>
    </row>
    <row r="22" customFormat="false" ht="17.15" hidden="false" customHeight="false" outlineLevel="0" collapsed="false">
      <c r="A22" s="4" t="s">
        <v>933</v>
      </c>
      <c r="B22" s="0" t="s">
        <v>934</v>
      </c>
    </row>
    <row r="23" customFormat="false" ht="17.15" hidden="false" customHeight="false" outlineLevel="0" collapsed="false">
      <c r="A23" s="4" t="s">
        <v>935</v>
      </c>
      <c r="B23" s="0" t="s">
        <v>936</v>
      </c>
    </row>
    <row r="24" customFormat="false" ht="17.15" hidden="false" customHeight="false" outlineLevel="0" collapsed="false">
      <c r="A24" s="4" t="s">
        <v>937</v>
      </c>
      <c r="B24" s="0" t="s">
        <v>938</v>
      </c>
    </row>
    <row r="25" customFormat="false" ht="17.15" hidden="false" customHeight="false" outlineLevel="0" collapsed="false">
      <c r="A25" s="4" t="s">
        <v>939</v>
      </c>
      <c r="B25" s="0" t="s">
        <v>940</v>
      </c>
    </row>
    <row r="26" customFormat="false" ht="17.15" hidden="false" customHeight="false" outlineLevel="0" collapsed="false">
      <c r="A26" s="4" t="s">
        <v>941</v>
      </c>
      <c r="B26" s="0" t="s">
        <v>942</v>
      </c>
    </row>
    <row r="27" customFormat="false" ht="17.15" hidden="false" customHeight="false" outlineLevel="0" collapsed="false">
      <c r="A27" s="4" t="s">
        <v>943</v>
      </c>
      <c r="B27" s="4" t="s">
        <v>214</v>
      </c>
    </row>
    <row r="28" customFormat="false" ht="15" hidden="false" customHeight="false" outlineLevel="0" collapsed="false">
      <c r="A28" s="0" t="s">
        <v>944</v>
      </c>
      <c r="B28" s="4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2026-10-25T04:42:14Z</dcterms:created>
  <dc:creator>openpyxl</dc:creator>
  <dc:description/>
  <dc:language>en-US</dc:language>
  <cp:lastModifiedBy/>
  <dcterms:modified xsi:type="dcterms:W3CDTF">2026-10-25T04:42:15Z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