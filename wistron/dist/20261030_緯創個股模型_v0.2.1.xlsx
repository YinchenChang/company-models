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ni" vbProcedure="false">Q!$B$22</definedName>
    <definedName function="false" hidden="false" name="a25_eps" vbProcedure="false">Q!$B$24</definedName>
    <definedName function="false" hidden="false" name="a25_gp" vbProcedure="false">Q!$B$5</definedName>
    <definedName function="false" hidden="false" name="a25_nci" vbProcedure="false">Q!$B$19</definedName>
    <definedName function="false" hidden="false" name="a25_ni" vbProcedure="false">Q!$B$20</definedName>
    <definedName function="false" hidden="false" name="a25_oi" vbProcedure="false">Q!$B$7</definedName>
    <definedName function="false" hidden="false" name="a25_rev" vbProcedure="false">Q!$B$4</definedName>
    <definedName function="false" hidden="false" name="a25_sgp" vbProcedure="false">Q!$B$14</definedName>
    <definedName function="false" hidden="false" name="a25_sh" vbProcedure="false">Q!$B$23</definedName>
    <definedName function="false" hidden="false" name="a25_sni" vbProcedure="false">Q!$B$21</definedName>
    <definedName function="false" hidden="false" name="a25_soi" vbProcedure="false">Q!$B$15</definedName>
    <definedName function="false" hidden="false" name="a25_sopx" vbProcedure="false">Q!$B$16</definedName>
    <definedName function="false" hidden="false" name="a25_srev" vbProcedure="false">Q!$B$13</definedName>
    <definedName function="false" hidden="false" name="a25_wgp" vbProcedure="false">Q!$B$11</definedName>
    <definedName function="false" hidden="false" name="a25_wni" vbProcedure="false">Q!$B$17</definedName>
    <definedName function="false" hidden="false" name="a25_woi" vbProcedure="false">Q!$B$12</definedName>
    <definedName function="false" hidden="false" name="a25_wrev" vbProcedure="false">Q!$B$10</definedName>
    <definedName function="false" hidden="false" name="a26_ais" vbProcedure="false">Q!$F$30</definedName>
    <definedName function="false" hidden="false" name="a26_brd" vbProcedure="false">Q!$F$27</definedName>
    <definedName function="false" hidden="false" name="a26_cni" vbProcedure="false">Q!$F$22</definedName>
    <definedName function="false" hidden="false" name="a26_eps" vbProcedure="false">Q!$F$24</definedName>
    <definedName function="false" hidden="false" name="a26_gen" vbProcedure="false">Q!$F$28</definedName>
    <definedName function="false" hidden="false" name="a26_gp" vbProcedure="false">Q!$F$5</definedName>
    <definedName function="false" hidden="false" name="a26_nci" vbProcedure="false">Q!$F$19</definedName>
    <definedName function="false" hidden="false" name="a26_ni" vbProcedure="false">Q!$F$20</definedName>
    <definedName function="false" hidden="false" name="a26_oi" vbProcedure="false">Q!$F$7</definedName>
    <definedName function="false" hidden="false" name="a26_pc" vbProcedure="false">Q!$F$29</definedName>
    <definedName function="false" hidden="false" name="a26_rev" vbProcedure="false">Q!$F$4</definedName>
    <definedName function="false" hidden="false" name="a26_sgp" vbProcedure="false">Q!$F$14</definedName>
    <definedName function="false" hidden="false" name="a26_sh" vbProcedure="false">Q!$F$23</definedName>
    <definedName function="false" hidden="false" name="a26_sni" vbProcedure="false">Q!$F$21</definedName>
    <definedName function="false" hidden="false" name="a26_soi" vbProcedure="false">Q!$F$15</definedName>
    <definedName function="false" hidden="false" name="a26_sopx" vbProcedure="false">Q!$F$16</definedName>
    <definedName function="false" hidden="false" name="a26_srev" vbProcedure="false">Q!$F$13</definedName>
    <definedName function="false" hidden="false" name="a26_wai" vbProcedure="false">Q!$F$31</definedName>
    <definedName function="false" hidden="false" name="a26_wgp" vbProcedure="false">Q!$F$11</definedName>
    <definedName function="false" hidden="false" name="a26_wna" vbProcedure="false">Q!$F$32</definedName>
    <definedName function="false" hidden="false" name="a26_wni" vbProcedure="false">Q!$F$17</definedName>
    <definedName function="false" hidden="false" name="a26_woi" vbProcedure="false">Q!$F$12</definedName>
    <definedName function="false" hidden="false" name="a26_wrev" vbProcedure="false">Q!$F$10</definedName>
    <definedName function="false" hidden="false" name="brd_26" vbProcedure="false">In!$E$41</definedName>
    <definedName function="false" hidden="false" name="brd_26_hi" vbProcedure="false">In!$F$41</definedName>
    <definedName function="false" hidden="false" name="brd_26_lo" vbProcedure="false">In!$D$41</definedName>
    <definedName function="false" hidden="false" name="brel_27" vbProcedure="false">In!$E$46</definedName>
    <definedName function="false" hidden="false" name="brel_27_hi" vbProcedure="false">In!$F$46</definedName>
    <definedName function="false" hidden="false" name="brel_27_lo" vbProcedure="false">In!$D$46</definedName>
    <definedName function="false" hidden="false" name="brel_28" vbProcedure="false">In!$E$47</definedName>
    <definedName function="false" hidden="false" name="brel_28_hi" vbProcedure="false">In!$F$47</definedName>
    <definedName function="false" hidden="false" name="brel_28_lo" vbProcedure="false">In!$D$47</definedName>
    <definedName function="false" hidden="false" name="brel_29" vbProcedure="false">In!$E$48</definedName>
    <definedName function="false" hidden="false" name="brel_29_hi" vbProcedure="false">In!$F$48</definedName>
    <definedName function="false" hidden="false" name="brel_29_lo" vbProcedure="false">In!$D$48</definedName>
    <definedName function="false" hidden="false" name="bsh_26" vbProcedure="false">In!$E$42</definedName>
    <definedName function="false" hidden="false" name="bsh_26_hi" vbProcedure="false">In!$F$42</definedName>
    <definedName function="false" hidden="false" name="bsh_26_lo" vbProcedure="false">In!$D$42</definedName>
    <definedName function="false" hidden="false" name="bv_27" vbProcedure="false">In!$E$43</definedName>
    <definedName function="false" hidden="false" name="bv_27_hi" vbProcedure="false">In!$F$43</definedName>
    <definedName function="false" hidden="false" name="bv_27_lo" vbProcedure="false">In!$D$43</definedName>
    <definedName function="false" hidden="false" name="bv_28" vbProcedure="false">In!$E$44</definedName>
    <definedName function="false" hidden="false" name="bv_28_hi" vbProcedure="false">In!$F$44</definedName>
    <definedName function="false" hidden="false" name="bv_28_lo" vbProcedure="false">In!$D$44</definedName>
    <definedName function="false" hidden="false" name="bv_29" vbProcedure="false">In!$E$45</definedName>
    <definedName function="false" hidden="false" name="bv_29_hi" vbProcedure="false">In!$F$45</definedName>
    <definedName function="false" hidden="false" name="bv_29_lo" vbProcedure="false">In!$D$45</definedName>
    <definedName function="false" hidden="false" name="b_eps27" vbProcedure="false">In!$E$94</definedName>
    <definedName function="false" hidden="false" name="b_eps27h" vbProcedure="false">In!$E$95</definedName>
    <definedName function="false" hidden="false" name="b_eps27h_hi" vbProcedure="false">In!$F$95</definedName>
    <definedName function="false" hidden="false" name="b_eps27h_lo" vbProcedure="false">In!$D$95</definedName>
    <definedName function="false" hidden="false" name="cons_eps26" vbProcedure="false">In!$E$93</definedName>
    <definedName function="false" hidden="false" name="cons_eps26_hi" vbProcedure="false">In!$F$93</definedName>
    <definedName function="false" hidden="false" name="cons_eps26_lo" vbProcedure="false">In!$D$93</definedName>
    <definedName function="false" hidden="false" name="cons_feps" vbProcedure="false">In!$E$107</definedName>
    <definedName function="false" hidden="false" name="cons_rev26" vbProcedure="false">In!$E$92</definedName>
    <definedName function="false" hidden="false" name="cons_rev26_hi" vbProcedure="false">In!$F$92</definedName>
    <definedName function="false" hidden="false" name="cons_rev26_lo" vbProcedure="false">In!$D$92</definedName>
    <definedName function="false" hidden="false" name="cons_tp" vbProcedure="false">In!$E$108</definedName>
    <definedName function="false" hidden="false" name="cons_tp_hi" vbProcedure="false">In!$F$108</definedName>
    <definedName function="false" hidden="false" name="cons_tp_lo" vbProcedure="false">In!$D$108</definedName>
    <definedName function="false" hidden="false" name="cs_27" vbProcedure="false">In!$E$30</definedName>
    <definedName function="false" hidden="false" name="cs_27_hi" vbProcedure="false">In!$F$30</definedName>
    <definedName function="false" hidden="false" name="cs_27_lo" vbProcedure="false">In!$D$30</definedName>
    <definedName function="false" hidden="false" name="cs_28" vbProcedure="false">In!$E$31</definedName>
    <definedName function="false" hidden="false" name="cs_28_hi" vbProcedure="false">In!$F$31</definedName>
    <definedName function="false" hidden="false" name="cs_28_lo" vbProcedure="false">In!$D$31</definedName>
    <definedName function="false" hidden="false" name="cs_29" vbProcedure="false">In!$E$32</definedName>
    <definedName function="false" hidden="false" name="cs_29_hi" vbProcedure="false">In!$F$32</definedName>
    <definedName function="false" hidden="false" name="cs_29_lo" vbProcedure="false">In!$D$32</definedName>
    <definedName function="false" hidden="false" name="d_ai" vbProcedure="false">In!$E$63</definedName>
    <definedName function="false" hidden="false" name="d_ai_hi" vbProcedure="false">In!$F$63</definedName>
    <definedName function="false" hidden="false" name="d_ai_lo" vbProcedure="false">In!$D$63</definedName>
    <definedName function="false" hidden="false" name="d_brd" vbProcedure="false">In!$E$64</definedName>
    <definedName function="false" hidden="false" name="d_brd_hi" vbProcedure="false">In!$F$64</definedName>
    <definedName function="false" hidden="false" name="d_brd_lo" vbProcedure="false">In!$D$64</definedName>
    <definedName function="false" hidden="false" name="d_gen" vbProcedure="false">In!$E$65</definedName>
    <definedName function="false" hidden="false" name="d_gen_hi" vbProcedure="false">In!$F$65</definedName>
    <definedName function="false" hidden="false" name="d_gen_lo" vbProcedure="false">In!$D$65</definedName>
    <definedName function="false" hidden="false" name="fade_gA" vbProcedure="false">In!$E$118</definedName>
    <definedName function="false" hidden="false" name="fade_gB" vbProcedure="false">In!$E$119</definedName>
    <definedName function="false" hidden="false" name="fade_gC" vbProcedure="false">In!$E$120</definedName>
    <definedName function="false" hidden="false" name="fade_mA" vbProcedure="false">In!$E$121</definedName>
    <definedName function="false" hidden="false" name="fade_mB" vbProcedure="false">In!$E$122</definedName>
    <definedName function="false" hidden="false" name="fade_mC" vbProcedure="false">In!$E$123</definedName>
    <definedName function="false" hidden="false" name="fpe" vbProcedure="false">In!$E$106</definedName>
    <definedName function="false" hidden="false" name="fx" vbProcedure="false">In!$E$24</definedName>
    <definedName function="false" hidden="false" name="fx_hi" vbProcedure="false">In!$F$24</definedName>
    <definedName function="false" hidden="false" name="fx_lo" vbProcedure="false">In!$D$24</definedName>
    <definedName function="false" hidden="false" name="gen_26" vbProcedure="false">In!$E$51</definedName>
    <definedName function="false" hidden="false" name="gen_26_hi" vbProcedure="false">In!$F$51</definedName>
    <definedName function="false" hidden="false" name="gen_26_lo" vbProcedure="false">In!$D$51</definedName>
    <definedName function="false" hidden="false" name="gu_26" vbProcedure="false">In!$E$20</definedName>
    <definedName function="false" hidden="false" name="gu_27" vbProcedure="false">In!$E$21</definedName>
    <definedName function="false" hidden="false" name="gu_28" vbProcedure="false">In!$E$22</definedName>
    <definedName function="false" hidden="false" name="gu_29" vbProcedure="false">In!$E$23</definedName>
    <definedName function="false" hidden="false" name="g_gen27" vbProcedure="false">In!$E$53</definedName>
    <definedName function="false" hidden="false" name="g_gen27_hi" vbProcedure="false">In!$F$53</definedName>
    <definedName function="false" hidden="false" name="g_gen27_lo" vbProcedure="false">In!$D$53</definedName>
    <definedName function="false" hidden="false" name="g_gen28" vbProcedure="false">In!$E$54</definedName>
    <definedName function="false" hidden="false" name="g_gen28_hi" vbProcedure="false">In!$F$54</definedName>
    <definedName function="false" hidden="false" name="g_gen28_lo" vbProcedure="false">In!$D$54</definedName>
    <definedName function="false" hidden="false" name="g_gen29" vbProcedure="false">In!$E$55</definedName>
    <definedName function="false" hidden="false" name="g_gen29_hi" vbProcedure="false">In!$F$55</definedName>
    <definedName function="false" hidden="false" name="g_gen29_lo" vbProcedure="false">In!$D$55</definedName>
    <definedName function="false" hidden="false" name="g_pc27" vbProcedure="false">In!$E$56</definedName>
    <definedName function="false" hidden="false" name="g_pc27_hi" vbProcedure="false">In!$F$56</definedName>
    <definedName function="false" hidden="false" name="g_pc27_lo" vbProcedure="false">In!$D$56</definedName>
    <definedName function="false" hidden="false" name="g_pc28" vbProcedure="false">In!$E$57</definedName>
    <definedName function="false" hidden="false" name="g_pc28_hi" vbProcedure="false">In!$F$57</definedName>
    <definedName function="false" hidden="false" name="g_pc28_lo" vbProcedure="false">In!$D$57</definedName>
    <definedName function="false" hidden="false" name="g_pc29" vbProcedure="false">In!$E$58</definedName>
    <definedName function="false" hidden="false" name="g_pc29_hi" vbProcedure="false">In!$F$58</definedName>
    <definedName function="false" hidden="false" name="g_pc29_lo" vbProcedure="false">In!$D$58</definedName>
    <definedName function="false" hidden="false" name="g_wn27" vbProcedure="false">In!$E$59</definedName>
    <definedName function="false" hidden="false" name="g_wn27_hi" vbProcedure="false">In!$F$59</definedName>
    <definedName function="false" hidden="false" name="g_wn27_lo" vbProcedure="false">In!$D$59</definedName>
    <definedName function="false" hidden="false" name="g_wn28" vbProcedure="false">In!$E$60</definedName>
    <definedName function="false" hidden="false" name="g_wn28_hi" vbProcedure="false">In!$F$60</definedName>
    <definedName function="false" hidden="false" name="g_wn28_lo" vbProcedure="false">In!$D$60</definedName>
    <definedName function="false" hidden="false" name="g_wn29" vbProcedure="false">In!$E$61</definedName>
    <definedName function="false" hidden="false" name="g_wn29_hi" vbProcedure="false">In!$F$61</definedName>
    <definedName function="false" hidden="false" name="g_wn29_lo" vbProcedure="false">In!$D$61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keep" vbProcedure="false">In!$E$33</definedName>
    <definedName function="false" hidden="false" name="keep_hi" vbProcedure="false">In!$F$33</definedName>
    <definedName function="false" hidden="false" name="keep_lo" vbProcedure="false">In!$D$33</definedName>
    <definedName function="false" hidden="false" name="kw_ni27" vbProcedure="false">In!$E$102</definedName>
    <definedName function="false" hidden="false" name="kw_rev26" vbProcedure="false">In!$E$100</definedName>
    <definedName function="false" hidden="false" name="kw_rev27" vbProcedure="false">In!$E$101</definedName>
    <definedName function="false" hidden="false" name="k_eps26" vbProcedure="false">In!$E$96</definedName>
    <definedName function="false" hidden="false" name="k_eps27" vbProcedure="false">In!$E$97</definedName>
    <definedName function="false" hidden="false" name="k_racks" vbProcedure="false">In!$E$98</definedName>
    <definedName function="false" hidden="false" name="mf" vbProcedure="false">In!$E$90</definedName>
    <definedName function="false" hidden="false" name="mf_hi" vbProcedure="false">In!$F$90</definedName>
    <definedName function="false" hidden="false" name="mf_lo" vbProcedure="false">In!$D$90</definedName>
    <definedName function="false" hidden="false" name="nim_5y" vbProcedure="false">In!$E$109</definedName>
    <definedName function="false" hidden="false" name="nsv_26" vbProcedure="false">In!$E$50</definedName>
    <definedName function="false" hidden="false" name="nsv_26_hi" vbProcedure="false">In!$F$50</definedName>
    <definedName function="false" hidden="false" name="nsv_26_lo" vbProcedure="false">In!$D$50</definedName>
    <definedName function="false" hidden="false" name="odm_gb" vbProcedure="false">In!$E$26</definedName>
    <definedName function="false" hidden="false" name="odm_gb_hi" vbProcedure="false">In!$F$26</definedName>
    <definedName function="false" hidden="false" name="odm_gb_lo" vbProcedure="false">In!$D$26</definedName>
    <definedName function="false" hidden="false" name="odm_vr" vbProcedure="false">In!$E$27</definedName>
    <definedName function="false" hidden="false" name="odm_vr_hi" vbProcedure="false">In!$F$27</definedName>
    <definedName function="false" hidden="false" name="odm_vr_lo" vbProcedure="false">In!$D$27</definedName>
    <definedName function="false" hidden="false" name="opx_adj" vbProcedure="false">In!$E$87</definedName>
    <definedName function="false" hidden="false" name="opx_adj_hi" vbProcedure="false">In!$F$87</definedName>
    <definedName function="false" hidden="false" name="opx_adj_lo" vbProcedure="false">In!$D$87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In!$E$105</definedName>
    <definedName function="false" hidden="false" name="phi" vbProcedure="false">In!$E$86</definedName>
    <definedName function="false" hidden="false" name="phi_hi" vbProcedure="false">In!$F$86</definedName>
    <definedName function="false" hidden="false" name="phi_lo" vbProcedure="false">In!$D$86</definedName>
    <definedName function="false" hidden="false" name="px" vbProcedure="false">In!$E$104</definedName>
    <definedName function="false" hidden="false" name="q3_rev" vbProcedure="false">In!$E$71</definedName>
    <definedName function="false" hidden="false" name="q3_wrev" vbProcedure="false">In!$E$73</definedName>
    <definedName function="false" hidden="false" name="q4g" vbProcedure="false">In!$E$72</definedName>
    <definedName function="false" hidden="false" name="q4gw" vbProcedure="false">In!$E$74</definedName>
    <definedName function="false" hidden="false" name="q4gw_hi" vbProcedure="false">In!$F$74</definedName>
    <definedName function="false" hidden="false" name="q4gw_lo" vbProcedure="false">In!$D$74</definedName>
    <definedName function="false" hidden="false" name="q4g_hi" vbProcedure="false">In!$F$72</definedName>
    <definedName function="false" hidden="false" name="q4g_lo" vbProcedure="false">In!$D$72</definedName>
    <definedName function="false" hidden="false" name="q_sgm" vbProcedure="false">In!$E$78</definedName>
    <definedName function="false" hidden="false" name="q_sgm_hi" vbProcedure="false">In!$F$78</definedName>
    <definedName function="false" hidden="false" name="q_sgm_lo" vbProcedure="false">In!$D$78</definedName>
    <definedName function="false" hidden="false" name="q_sh3" vbProcedure="false">In!$E$83</definedName>
    <definedName function="false" hidden="false" name="q_sh4" vbProcedure="false">In!$E$84</definedName>
    <definedName function="false" hidden="false" name="q_snio" vbProcedure="false">In!$E$80</definedName>
    <definedName function="false" hidden="false" name="q_snio_hi" vbProcedure="false">In!$F$80</definedName>
    <definedName function="false" hidden="false" name="q_snio_lo" vbProcedure="false">In!$D$80</definedName>
    <definedName function="false" hidden="false" name="q_sopx" vbProcedure="false">In!$E$79</definedName>
    <definedName function="false" hidden="false" name="q_sopx_hi" vbProcedure="false">In!$F$79</definedName>
    <definedName function="false" hidden="false" name="q_sopx_lo" vbProcedure="false">In!$D$79</definedName>
    <definedName function="false" hidden="false" name="q_wgm" vbProcedure="false">In!$E$75</definedName>
    <definedName function="false" hidden="false" name="q_wgm_hi" vbProcedure="false">In!$F$75</definedName>
    <definedName function="false" hidden="false" name="q_wgm_lo" vbProcedure="false">In!$D$75</definedName>
    <definedName function="false" hidden="false" name="q_wnio" vbProcedure="false">In!$E$77</definedName>
    <definedName function="false" hidden="false" name="q_wnio_hi" vbProcedure="false">In!$F$77</definedName>
    <definedName function="false" hidden="false" name="q_wnio_lo" vbProcedure="false">In!$D$77</definedName>
    <definedName function="false" hidden="false" name="q_wopm" vbProcedure="false">In!$E$76</definedName>
    <definedName function="false" hidden="false" name="q_wopm_hi" vbProcedure="false">In!$F$76</definedName>
    <definedName function="false" hidden="false" name="q_wopm_lo" vbProcedure="false">In!$D$76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k_sh" vbProcedure="false">In!$E$99</definedName>
    <definedName function="false" hidden="false" name="rm_factor" vbProcedure="false">Val!$B$155</definedName>
    <definedName function="false" hidden="false" name="sh_g" vbProcedure="false">In!$E$89</definedName>
    <definedName function="false" hidden="false" name="sh_g_hi" vbProcedure="false">In!$F$89</definedName>
    <definedName function="false" hidden="false" name="sh_g_lo" vbProcedure="false">In!$D$89</definedName>
    <definedName function="false" hidden="false" name="snio" vbProcedure="false">In!$E$88</definedName>
    <definedName function="false" hidden="false" name="snio_hi" vbProcedure="false">In!$F$88</definedName>
    <definedName function="false" hidden="false" name="snio_lo" vbProcedure="false">In!$D$88</definedName>
    <definedName function="false" hidden="false" name="stake" vbProcedure="false">In!$E$81</definedName>
    <definedName function="false" hidden="false" name="stake25" vbProcedure="false">In!$E$82</definedName>
    <definedName function="false" hidden="false" name="stake25_hi" vbProcedure="false">In!$F$82</definedName>
    <definedName function="false" hidden="false" name="stake25_lo" vbProcedure="false">In!$D$82</definedName>
    <definedName function="false" hidden="false" name="stake_hi" vbProcedure="false">In!$F$81</definedName>
    <definedName function="false" hidden="false" name="stake_lo" vbProcedure="false">In!$D$81</definedName>
    <definedName function="false" hidden="false" name="tp_comp_adj" vbProcedure="false">Val!$B$156</definedName>
    <definedName function="false" hidden="false" name="tp_g" vbProcedure="false">In!$E$115</definedName>
    <definedName function="false" hidden="false" name="tp_r" vbProcedure="false">In!$E$114</definedName>
    <definedName function="false" hidden="false" name="tp_roe" vbProcedure="false">In!$E$116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In!$E$117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pg_28" vbProcedure="false">In!$E$28</definedName>
    <definedName function="false" hidden="false" name="vpg_28_hi" vbProcedure="false">In!$F$28</definedName>
    <definedName function="false" hidden="false" name="vpg_28_lo" vbProcedure="false">In!$D$28</definedName>
    <definedName function="false" hidden="false" name="vpg_29" vbProcedure="false">In!$E$29</definedName>
    <definedName function="false" hidden="false" name="vpg_29_hi" vbProcedure="false">In!$F$29</definedName>
    <definedName function="false" hidden="false" name="vpg_29_lo" vbProcedure="false">In!$D$29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  <definedName function="false" hidden="false" name="vrd" vbProcedure="false">In!$E$66</definedName>
    <definedName function="false" hidden="false" name="vrd_hi" vbProcedure="false">In!$F$66</definedName>
    <definedName function="false" hidden="false" name="vrd_lo" vbProcedure="false">In!$D$66</definedName>
    <definedName function="false" hidden="false" name="wai_26" vbProcedure="false">In!$E$52</definedName>
    <definedName function="false" hidden="false" name="wai_26_hi" vbProcedure="false">In!$F$52</definedName>
    <definedName function="false" hidden="false" name="wai_26_lo" vbProcedure="false">In!$D$52</definedName>
    <definedName function="false" hidden="false" name="wgm" vbProcedure="false">In!$E$67</definedName>
    <definedName function="false" hidden="false" name="wgm_hi" vbProcedure="false">In!$F$67</definedName>
    <definedName function="false" hidden="false" name="wgm_lo" vbProcedure="false">In!$D$67</definedName>
    <definedName function="false" hidden="false" name="wnio" vbProcedure="false">In!$E$69</definedName>
    <definedName function="false" hidden="false" name="wnio_hi" vbProcedure="false">In!$F$69</definedName>
    <definedName function="false" hidden="false" name="wnio_lo" vbProcedure="false">In!$D$69</definedName>
    <definedName function="false" hidden="false" name="wopm" vbProcedure="false">In!$E$68</definedName>
    <definedName function="false" hidden="false" name="wopm_hi" vbProcedure="false">In!$F$68</definedName>
    <definedName function="false" hidden="false" name="wopm_lo" vbProcedure="false">In!$D$68</definedName>
    <definedName function="false" hidden="false" name="wrel_27" vbProcedure="false">In!$E$37</definedName>
    <definedName function="false" hidden="false" name="wrel_27_hi" vbProcedure="false">In!$F$37</definedName>
    <definedName function="false" hidden="false" name="wrel_27_lo" vbProcedure="false">In!$D$37</definedName>
    <definedName function="false" hidden="false" name="wrel_28" vbProcedure="false">In!$E$38</definedName>
    <definedName function="false" hidden="false" name="wrel_28_hi" vbProcedure="false">In!$F$38</definedName>
    <definedName function="false" hidden="false" name="wrel_28_lo" vbProcedure="false">In!$D$38</definedName>
    <definedName function="false" hidden="false" name="wrel_29" vbProcedure="false">In!$E$39</definedName>
    <definedName function="false" hidden="false" name="wrel_29_hi" vbProcedure="false">In!$F$39</definedName>
    <definedName function="false" hidden="false" name="wrel_29_lo" vbProcedure="false">In!$D$39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<sst xmlns="http://schemas.openxmlformats.org/spreadsheetml/2006/main" count="4677" uniqueCount="1020">
  <si>
    <r>
      <rPr>
        <b val="true"/>
        <sz val="11"/>
        <rFont val="Noto Sans CJK SC"/>
        <family val="2"/>
      </rPr>
      <t xml:space="preserve">緯創資通（</t>
    </r>
    <r>
      <rPr>
        <b val="true"/>
        <sz val="11"/>
        <rFont val="Cambria"/>
        <family val="0"/>
        <charset val="1"/>
      </rPr>
      <t xml:space="preserve">3231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</si>
  <si>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（初版）。伺服器組裝次產業第三家（廣達、鴻海之後）；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伺服器組裝市場、</t>
    </r>
    <r>
      <rPr>
        <sz val="11"/>
        <rFont val="Cambria"/>
        <family val="0"/>
        <charset val="1"/>
      </rPr>
      <t xml:space="preserve">ODM </t>
    </r>
    <r>
      <rPr>
        <sz val="11"/>
        <rFont val="Noto Sans CJK SC"/>
        <family val="2"/>
      </rPr>
      <t xml:space="preserve">每櫃價格、客供比例讀廣達模型（規則第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條）。另加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基板驅動（讀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成品顆數），並把子公司緯穎拆開以區分合併與歸母口徑。</t>
    </r>
  </si>
  <si>
    <r>
      <rPr>
        <sz val="11"/>
        <rFont val="Noto Sans CJK SC"/>
        <family val="2"/>
      </rPr>
      <t xml:space="preserve">模型命題：緯創的合併營收＝本體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系統（部署 </t>
    </r>
    <r>
      <rPr>
        <sz val="11"/>
        <rFont val="Cambria"/>
        <family val="0"/>
        <charset val="1"/>
      </rPr>
      <t xml:space="preserve">GW 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每櫃價格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客供））＋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基板與運算板（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每顆基板金額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份額）＋一般伺服器與非伺服器＋子公司緯穎（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機架為主）。緯穎占合併營收約三分之一、營益率約為本體的三倍，但緯創只持有 </t>
    </r>
    <r>
      <rPr>
        <sz val="11"/>
        <rFont val="Cambria"/>
        <family val="0"/>
        <charset val="1"/>
      </rPr>
      <t xml:space="preserve">37.68%</t>
    </r>
    <r>
      <rPr>
        <sz val="11"/>
        <rFont val="Noto Sans CJK SC"/>
        <family val="2"/>
      </rPr>
      <t xml:space="preserve">，合併淨利約四成歸少數股東；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看歸屬母公司淨利＝本體淨利＋</t>
    </r>
    <r>
      <rPr>
        <sz val="11"/>
        <rFont val="Cambria"/>
        <family val="0"/>
        <charset val="1"/>
      </rPr>
      <t xml:space="preserve">37.68% × </t>
    </r>
    <r>
      <rPr>
        <sz val="11"/>
        <rFont val="Noto Sans CJK SC"/>
        <family val="2"/>
      </rPr>
      <t xml:space="preserve">緯穎淨利。</t>
    </r>
  </si>
  <si>
    <r>
      <rPr>
        <sz val="11"/>
        <rFont val="Noto Sans CJK SC"/>
        <family val="2"/>
      </rPr>
      <t xml:space="preserve">核心問題：本體約 </t>
    </r>
    <r>
      <rPr>
        <sz val="11"/>
        <rFont val="Cambria"/>
        <family val="0"/>
        <charset val="1"/>
      </rPr>
      <t xml:space="preserve">2% </t>
    </r>
    <r>
      <rPr>
        <sz val="11"/>
        <rFont val="Noto Sans CJK SC"/>
        <family val="2"/>
      </rPr>
      <t xml:space="preserve">的營益率能不能隨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系統與基板放量撐住，以及緯穎的成長有多少真正流到緯創股東；約 </t>
    </r>
    <r>
      <rPr>
        <sz val="11"/>
        <rFont val="Cambria"/>
        <family val="0"/>
        <charset val="1"/>
      </rPr>
      <t xml:space="preserve">9–10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</si>
  <si>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，不平移。金額：十億新台幣；整櫃價格與市場以美元計、以匯率換算。口徑：營收、毛利、營業利益為合併（含緯穎）；淨利與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為歸屬母公司。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財報與法說約 </t>
    </r>
    <r>
      <rPr>
        <sz val="11"/>
        <rFont val="Cambria"/>
        <family val="0"/>
        <charset val="1"/>
      </rPr>
      <t xml:space="preserve">2026-11-10</t>
    </r>
    <r>
      <rPr>
        <sz val="11"/>
        <rFont val="Noto Sans CJK SC"/>
        <family val="2"/>
      </rPr>
      <t xml:space="preserve">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月營收。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</si>
  <si>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</si>
  <si>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架數 </t>
    </r>
    <r>
      <rPr>
        <sz val="11"/>
        <rFont val="Cambria"/>
        <family val="0"/>
        <charset val="1"/>
      </rPr>
      <t xml:space="preserve">× ODM </t>
    </r>
    <r>
      <rPr>
        <sz val="11"/>
        <rFont val="Noto Sans CJK SC"/>
        <family val="2"/>
      </rPr>
      <t xml:space="preserve">每櫃價格（廣達模型）＝組裝市場；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本體有效份額（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以本體營收殘差校準）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客供比例，廣達模型）。</t>
    </r>
  </si>
  <si>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基板與運算板：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AMD GPU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緯創基板份額（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每顆基板金額（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以券商「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伺服器零組件超過千億」校準，之後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金額指數，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）。緯穎：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＝組裝市場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以緯穎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占比略高於五成校準）；非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以成長率推。</t>
    </r>
  </si>
  <si>
    <r>
      <rPr>
        <sz val="11"/>
        <rFont val="Noto Sans CJK SC"/>
        <family val="2"/>
      </rPr>
      <t xml:space="preserve">損益：本體毛利＝各部門營收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毛利率（非伺服器毛利率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系統、基板、一般伺服器加減差距，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，本體淨利＝本體營業利益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淨利係數；緯穎營業利益＝營收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營益率、淨利＝營業利益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係數。合併淨利＝本體＋緯穎；非控制權益＝（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持股）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緯穎淨利；歸屬母公司淨利＝合併淨利 − 非控制權益。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</si>
  <si>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實績（公司與緯穎）＋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營收實績（兩家月營收）＋假設（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季增、利潤率）。不用券商數字（只在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</si>
  <si>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目標價（廣達、鴻海、英業達、緯穎、美超微前瞻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＝不如預期（即顆數情境）。本版未做先驗，無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</si>
  <si>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頁灰底）。十年平均淨利率未找到，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FY2029 × 0.8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FY2029 × 0.9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</si>
  <si>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未使用。公司原文只經法說摘要與新聞；券商多未具名或單一來源。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</si>
  <si>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本體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基板、一般伺服器的金額公司都沒有揭露，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系統是殘差，基板取單一券商說法；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緯穎持股只有單一近期來源（凱基 </t>
    </r>
    <r>
      <rPr>
        <sz val="11"/>
        <rFont val="Cambria"/>
        <family val="0"/>
        <charset val="1"/>
      </rPr>
      <t xml:space="preserve">37.68%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用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）拆分，非控制權益金額未找到；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集團內交易（緯創與緯穎互供）假設為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客供比例、份額相對值、基板份額與每顆金額是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業外與稅前利益未找到，以淨利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營業利益係數涵蓋；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2017–2025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Goodinfo</t>
    </r>
    <r>
      <rPr>
        <sz val="11"/>
        <rFont val="Noto Sans CJK SC"/>
        <family val="2"/>
      </rPr>
      <t xml:space="preserve">）與 </t>
    </r>
    <r>
      <rPr>
        <sz val="11"/>
        <rFont val="Cambria"/>
        <family val="0"/>
        <charset val="1"/>
      </rPr>
      <t xml:space="preserve">2021–25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stockanalysis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缺；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11-10</t>
    </r>
    <r>
      <rPr>
        <sz val="11"/>
        <rFont val="Noto Sans CJK SC"/>
        <family val="2"/>
      </rPr>
      <t xml:space="preserve">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</si>
  <si>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：獲利的兩個槓桿是本體淨利係數與緯穎（持股 </t>
    </r>
    <r>
      <rPr>
        <sz val="11"/>
        <color theme="1"/>
        <rFont val="Calibri"/>
        <family val="2"/>
        <charset val="1"/>
      </rPr>
      <t xml:space="preserve">37.68%</t>
    </r>
    <r>
      <rPr>
        <sz val="11"/>
        <color theme="1"/>
        <rFont val="Noto Sans CJK SC"/>
        <family val="2"/>
      </rPr>
      <t xml:space="preserve">）：本體淨利係數 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FY2027 EPS −11.1%</t>
    </r>
    <r>
      <rPr>
        <sz val="11"/>
        <color theme="1"/>
        <rFont val="Noto Sans CJK SC"/>
        <family val="2"/>
      </rPr>
      <t xml:space="preserve">，緯穎營益率 </t>
    </r>
    <r>
      <rPr>
        <sz val="11"/>
        <color theme="1"/>
        <rFont val="Calibri"/>
        <family val="2"/>
        <charset val="1"/>
      </rPr>
      <t xml:space="preserve">5.5%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）時 −</t>
    </r>
    <r>
      <rPr>
        <sz val="11"/>
        <color theme="1"/>
        <rFont val="Calibri"/>
        <family val="2"/>
        <charset val="1"/>
      </rPr>
      <t xml:space="preserve">6.7%</t>
    </r>
    <r>
      <rPr>
        <sz val="11"/>
        <color theme="1"/>
        <rFont val="Noto Sans CJK SC"/>
        <family val="2"/>
      </rPr>
      <t xml:space="preserve">，僅次於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±17.2%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2026-11-10</t>
    </r>
    <r>
      <rPr>
        <sz val="11"/>
        <color theme="1"/>
        <rFont val="Noto Sans CJK SC"/>
        <family val="2"/>
      </rPr>
      <t xml:space="preserve">，緯穎約同期）可檢驗本體獲利率。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</si>
  <si>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33.13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26.96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20.64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37.7%</t>
    </r>
    <r>
      <rPr>
        <sz val="11"/>
        <color theme="1"/>
        <rFont val="Noto Sans CJK SC"/>
        <family val="2"/>
      </rPr>
      <t xml:space="preserve">）；現價只有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6.9 </t>
    </r>
    <r>
      <rPr>
        <sz val="11"/>
        <color theme="1"/>
        <rFont val="Noto Sans CJK SC"/>
        <family val="2"/>
      </rPr>
      <t xml:space="preserve">倍，情境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也只有 </t>
    </r>
    <r>
      <rPr>
        <sz val="11"/>
        <color theme="1"/>
        <rFont val="Calibri"/>
        <family val="2"/>
        <charset val="1"/>
      </rPr>
      <t xml:space="preserve">9.2 </t>
    </r>
    <r>
      <rPr>
        <sz val="11"/>
        <color theme="1"/>
        <rFont val="Noto Sans CJK SC"/>
        <family val="2"/>
      </rPr>
      <t xml:space="preserve">倍，低於十年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14.5 </t>
    </r>
    <r>
      <rPr>
        <sz val="11"/>
        <color theme="1"/>
        <rFont val="Noto Sans CJK SC"/>
        <family val="2"/>
      </rPr>
      <t xml:space="preserve">倍。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</si>
  <si>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</si>
  <si>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</si>
  <si>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），整櫃價格與市場為美元；顆數：百萬顆；比例：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</si>
  <si>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未使用。公司原文＝緯創、緯穎法說（經鉅亨、優分析、富果摘要）與月營收公告；公司展望為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。組裝市場與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每櫃價格讀廣達模型（唯讀），口徑一致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</si>
  <si>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</si>
  <si>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</si>
  <si>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</si>
  <si>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</si>
  <si>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</si>
  <si>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</si>
  <si>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</si>
  <si>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</si>
  <si>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</si>
  <si>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部署規模與加速器顆數（讀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</si>
  <si>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</si>
  <si>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</si>
  <si>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</si>
  <si>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</si>
  <si>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</si>
  <si>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（與廣達、鴻海模型同口徑）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</si>
  <si>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</si>
  <si>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</si>
  <si>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</si>
  <si>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</si>
  <si>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</si>
  <si>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</si>
  <si>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</si>
  <si>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</si>
  <si>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</si>
  <si>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</si>
  <si>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</si>
  <si>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</si>
  <si>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</si>
  <si>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</si>
  <si>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</si>
  <si>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世代占比（混合用；廣達模型）</t>
    </r>
  </si>
  <si>
    <t xml:space="preserve">%</t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</si>
  <si>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</si>
  <si>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Noto Sans CJK SC"/>
        <family val="2"/>
      </rPr>
      <t xml:space="preserve">廣達模型輸入（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）；緯創：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已開始出貨（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，優分析）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</si>
  <si>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</si>
  <si>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</si>
  <si>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</si>
  <si>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</si>
  <si>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IF_RacksPerGW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</si>
  <si>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</si>
  <si>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</si>
  <si>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</si>
  <si>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</si>
  <si>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</si>
  <si>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</si>
  <si>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</si>
  <si>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＝明顯下修（與台積電、廣達、鴻海模型相同）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</si>
  <si>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</si>
  <si>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</si>
  <si>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</si>
  <si>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</si>
  <si>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</si>
  <si>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</si>
  <si>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</si>
  <si>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</si>
  <si>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</si>
  <si>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</si>
  <si>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</si>
  <si>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</si>
  <si>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</si>
  <si>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</si>
  <si>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</si>
  <si>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gu_26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</si>
  <si>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</si>
  <si>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</si>
  <si>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加總；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＋各類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成長））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</si>
  <si>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基板（</t>
    </r>
    <r>
      <rPr>
        <sz val="11"/>
        <color theme="1"/>
        <rFont val="Calibri"/>
        <family val="2"/>
        <charset val="1"/>
      </rPr>
      <t xml:space="preserve">HGX</t>
    </r>
    <r>
      <rPr>
        <sz val="11"/>
        <color theme="1"/>
        <rFont val="Noto Sans CJK SC"/>
        <family val="2"/>
      </rPr>
      <t xml:space="preserve">）與運算板（</t>
    </r>
    <r>
      <rPr>
        <sz val="11"/>
        <color theme="1"/>
        <rFont val="Calibri"/>
        <family val="2"/>
        <charset val="1"/>
      </rPr>
      <t xml:space="preserve">Bianca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Strata</t>
    </r>
    <r>
      <rPr>
        <sz val="11"/>
        <color theme="1"/>
        <rFont val="Noto Sans CJK SC"/>
        <family val="2"/>
      </rPr>
      <t xml:space="preserve">）只對應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不計</t>
    </r>
  </si>
  <si>
    <t xml:space="preserve">gu_27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</si>
  <si>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</si>
  <si>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gu_28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</si>
  <si>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</si>
  <si>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gu_29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</si>
  <si>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</si>
  <si>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</si>
  <si>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美元；廣達模型）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</si>
  <si>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</si>
  <si>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</si>
  <si>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與廣達、鴻海、台達電模型相同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</si>
  <si>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組裝價格與客供（讀廣達模型，唯讀）、緯創本體與緯穎的份額</t>
    </r>
  </si>
  <si>
    <t xml:space="preserve">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</si>
  <si>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</si>
  <si>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</si>
  <si>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In!D24:F24</t>
    </r>
  </si>
  <si>
    <r>
      <rPr>
        <sz val="11"/>
        <color theme="1"/>
        <rFont val="Noto Sans CJK SC"/>
        <family val="2"/>
      </rPr>
      <t xml:space="preserve">廣達模型標記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（工商時報、</t>
    </r>
    <r>
      <rPr>
        <sz val="11"/>
        <color theme="1"/>
        <rFont val="Calibri"/>
        <family val="2"/>
        <charset val="1"/>
      </rPr>
      <t xml:space="preserve">FTNN </t>
    </r>
    <r>
      <rPr>
        <sz val="11"/>
        <color theme="1"/>
        <rFont val="Noto Sans CJK SC"/>
        <family val="2"/>
      </rPr>
      <t xml:space="preserve">引述法人）；本模型不另訂</t>
    </r>
  </si>
  <si>
    <t xml:space="preserve">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</si>
  <si>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</si>
  <si>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In!D25:F25</t>
    </r>
  </si>
  <si>
    <t xml:space="preserve">vpg_28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</si>
  <si>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</si>
  <si>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In!D26:F26</t>
    </r>
  </si>
  <si>
    <r>
      <rPr>
        <sz val="11"/>
        <color theme="1"/>
        <rFont val="Noto Sans CJK SC"/>
        <family val="2"/>
      </rPr>
      <t xml:space="preserve">廣達模型的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每櫃價格與每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架數未找到</t>
    </r>
  </si>
  <si>
    <t xml:space="preserve">vpg_29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</si>
  <si>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</si>
  <si>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In!D27:F27</t>
    </r>
  </si>
  <si>
    <t xml:space="preserve">cs_27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</si>
  <si>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</si>
  <si>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</si>
  <si>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r>
      <rPr>
        <sz val="11"/>
        <color theme="1"/>
        <rFont val="Noto Sans CJK SC"/>
        <family val="2"/>
      </rPr>
      <t xml:space="preserve">緯創：與新客戶議定較好的價格條件，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新計價下營益率維持合理（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法說，鉅亨）；客供比例的量化：未找到</t>
    </r>
  </si>
  <si>
    <t xml:space="preserve">cs_28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</si>
  <si>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</si>
  <si>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</si>
  <si>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t xml:space="preserve">cs_29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</si>
  <si>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系統；廣達模型）</t>
    </r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</si>
  <si>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</si>
  <si>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keep</t>
  </si>
  <si>
    <t xml:space="preserve">客供部分保留的毛利比例（相對買賣模式；廣達模型）</t>
  </si>
  <si>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In!D34:F34</t>
    </r>
  </si>
  <si>
    <t xml:space="preserve">同廣達模型</t>
  </si>
  <si>
    <t xml:space="preserve">rel_27</t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</si>
  <si>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</si>
  <si>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起新企業與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客戶，含 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L11 </t>
    </r>
    <r>
      <rPr>
        <sz val="11"/>
        <color theme="1"/>
        <rFont val="Noto Sans CJK SC"/>
        <family val="2"/>
      </rPr>
      <t xml:space="preserve">整櫃（公司）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</si>
  <si>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 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</t>
    </r>
  </si>
  <si>
    <t xml:space="preserve">rel_28</t>
  </si>
  <si>
    <r>
      <rPr>
        <sz val="11"/>
        <color theme="1"/>
        <rFont val="Noto Sans CJK SC"/>
        <family val="2"/>
      </rPr>
      <t xml:space="preserve">緯創本體份額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</si>
  <si>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同上；鴻海、廣達同時擴產（廣達模型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、鴻海模型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</si>
  <si>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</si>
  <si>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</si>
  <si>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緯創本體份額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</si>
  <si>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wrel_27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</si>
  <si>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</si>
  <si>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伺服器約九成為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專案；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平台開始出貨（公司）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</si>
  <si>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+74%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</si>
  <si>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wrel_28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</si>
  <si>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</si>
  <si>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顆數占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成品的比重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上升）</t>
    </r>
  </si>
  <si>
    <t xml:space="preserve">wrel_29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</si>
  <si>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</si>
  <si>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GPU </t>
    </r>
    <r>
      <rPr>
        <b val="true"/>
        <sz val="11"/>
        <rFont val="Noto Sans CJK SC"/>
        <family val="2"/>
      </rPr>
      <t xml:space="preserve">基板與運算板（緯創本體：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每顆基板金額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以券商「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伺服器零組件超過千億」校準）</t>
    </r>
  </si>
  <si>
    <t xml:space="preserve">brd_26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</si>
  <si>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基板與運算板營收（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伺服器零組件）</t>
    </r>
  </si>
  <si>
    <t xml:space="preserve">NT$B</t>
  </si>
  <si>
    <t xml:space="preserve">Interested-party</t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</si>
  <si>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伺服器零組件營收超過 </t>
    </r>
    <r>
      <rPr>
        <sz val="11"/>
        <color theme="1"/>
        <rFont val="Calibri"/>
        <family val="2"/>
        <charset val="1"/>
      </rPr>
      <t xml:space="preserve">NT$1,000 </t>
    </r>
    <r>
      <rPr>
        <sz val="11"/>
        <color theme="1"/>
        <rFont val="Noto Sans CJK SC"/>
        <family val="2"/>
      </rPr>
      <t xml:space="preserve">億，由運算板（</t>
    </r>
    <r>
      <rPr>
        <sz val="11"/>
        <color theme="1"/>
        <rFont val="Calibri"/>
        <family val="2"/>
        <charset val="1"/>
      </rPr>
      <t xml:space="preserve">Bianca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Strata</t>
    </r>
    <r>
      <rPr>
        <sz val="11"/>
        <color theme="1"/>
        <rFont val="Noto Sans CJK SC"/>
        <family val="2"/>
      </rPr>
      <t xml:space="preserve">）帶動（凱基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</si>
  <si>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公司：零組件（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）出貨量逐季增加（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法說，鉅亨）；金額公司未揭露：未找到</t>
    </r>
  </si>
  <si>
    <t xml:space="preserve">bsh_26</t>
  </si>
  <si>
    <r>
      <rPr>
        <sz val="11"/>
        <color theme="1"/>
        <rFont val="Noto Sans CJK SC"/>
        <family val="2"/>
      </rPr>
      <t xml:space="preserve">緯創占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GPU </t>
    </r>
    <r>
      <rPr>
        <sz val="11"/>
        <color theme="1"/>
        <rFont val="Noto Sans CJK SC"/>
        <family val="2"/>
      </rPr>
      <t xml:space="preserve">基板的份額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（只用於換算每顆金額）</t>
    </r>
  </si>
  <si>
    <r>
      <rPr>
        <sz val="11"/>
        <color theme="1"/>
        <rFont val="Noto Sans CJK SC"/>
        <family val="2"/>
      </rPr>
      <t xml:space="preserve">緯創為 </t>
    </r>
    <r>
      <rPr>
        <sz val="11"/>
        <color theme="1"/>
        <rFont val="Calibri"/>
        <family val="2"/>
        <charset val="1"/>
      </rPr>
      <t xml:space="preserve">NVIDIA HGX </t>
    </r>
    <r>
      <rPr>
        <sz val="11"/>
        <color theme="1"/>
        <rFont val="Noto Sans CJK SC"/>
        <family val="2"/>
      </rPr>
      <t xml:space="preserve">基板與運算板主要供應商（多家媒體）；份額量化：未找到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</si>
  <si>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營收由 </t>
    </r>
    <r>
      <rPr>
        <sz val="11"/>
        <color theme="1"/>
        <rFont val="Calibri"/>
        <family val="2"/>
        <charset val="1"/>
      </rPr>
      <t xml:space="preserve">brd_26 </t>
    </r>
    <r>
      <rPr>
        <sz val="11"/>
        <color theme="1"/>
        <rFont val="Noto Sans CJK SC"/>
        <family val="2"/>
      </rPr>
      <t xml:space="preserve">固定，份額只影響每顆金額的顯示</t>
    </r>
  </si>
  <si>
    <t xml:space="preserve">bv_27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</si>
  <si>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</si>
  <si>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每顆功耗、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I/O </t>
    </r>
    <r>
      <rPr>
        <sz val="11"/>
        <color theme="1"/>
        <rFont val="Noto Sans CJK SC"/>
        <family val="2"/>
      </rPr>
      <t xml:space="preserve">增加，基板層數與面積上升（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</si>
  <si>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每顆基板金額：未找到</t>
  </si>
  <si>
    <t xml:space="preserve">bv_28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</si>
  <si>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</si>
  <si>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bv_29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</si>
  <si>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</si>
  <si>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brel_27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</si>
  <si>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2027 ÷ 2026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</si>
  <si>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需求帶動零組件營收；</t>
    </r>
    <r>
      <rPr>
        <sz val="11"/>
        <color theme="1"/>
        <rFont val="Calibri"/>
        <family val="2"/>
        <charset val="1"/>
      </rPr>
      <t xml:space="preserve">NVIDIA LPU </t>
    </r>
    <r>
      <rPr>
        <sz val="11"/>
        <color theme="1"/>
        <rFont val="Noto Sans CJK SC"/>
        <family val="2"/>
      </rPr>
      <t xml:space="preserve">基板專案（凱基）</t>
    </r>
  </si>
  <si>
    <t xml:space="preserve">第二供應商（鴻海、廣達）分食：未找到量化</t>
  </si>
  <si>
    <t xml:space="preserve">brel_28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</si>
  <si>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</si>
  <si>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brel_29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</si>
  <si>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</si>
  <si>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營收結構錨點與非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</t>
    </r>
  </si>
  <si>
    <t xml:space="preserve">nsv_26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</si>
  <si>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年非伺服器（筆電、桌機、顯示器等）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</si>
  <si>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伺服器占營收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（凱基）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</si>
  <si>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</t>
    </r>
    <r>
      <rPr>
        <sz val="11"/>
        <color theme="1"/>
        <rFont val="Calibri"/>
        <family val="2"/>
        <charset val="1"/>
      </rPr>
      <t xml:space="preserve">2H26 PC </t>
    </r>
    <r>
      <rPr>
        <sz val="11"/>
        <color theme="1"/>
        <rFont val="Noto Sans CJK SC"/>
        <family val="2"/>
      </rPr>
      <t xml:space="preserve">出貨約減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提前拉貨），營收降幅較小（公司）</t>
    </r>
  </si>
  <si>
    <t xml:space="preserve">gen_26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</si>
  <si>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緯創本體一般伺服器與交換器營收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</si>
  <si>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：交換器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營收成長十倍以上至 </t>
    </r>
    <r>
      <rPr>
        <sz val="11"/>
        <color theme="1"/>
        <rFont val="Calibri"/>
        <family val="2"/>
        <charset val="1"/>
      </rPr>
      <t xml:space="preserve">NT$160–180 </t>
    </r>
    <r>
      <rPr>
        <sz val="11"/>
        <color theme="1"/>
        <rFont val="Noto Sans CJK SC"/>
        <family val="2"/>
      </rPr>
      <t xml:space="preserve">億；一般伺服器需求優於預期（凱基）</t>
    </r>
  </si>
  <si>
    <r>
      <rPr>
        <sz val="11"/>
        <color theme="1"/>
        <rFont val="Noto Sans CJK SC"/>
        <family val="2"/>
      </rPr>
      <t xml:space="preserve">本體一般伺服器金額：未找到；本體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系統＝本體營收 − 基板 − 一般伺服器 − 非伺服器（殘差）</t>
    </r>
  </si>
  <si>
    <t xml:space="preserve">wai_26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</si>
  <si>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</si>
  <si>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SIF_asm_wyai_26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：與緯穎模型同一值，以緯穎模型的公司說明與凱基 </t>
    </r>
    <r>
      <rPr>
        <sz val="11"/>
        <color theme="1"/>
        <rFont val="Calibri"/>
        <family val="2"/>
        <charset val="1"/>
      </rPr>
      <t xml:space="preserve">46% </t>
    </r>
    <r>
      <rPr>
        <sz val="11"/>
        <color theme="1"/>
        <rFont val="Noto Sans CJK SC"/>
        <family val="2"/>
      </rPr>
      <t xml:space="preserve">為準）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</si>
  <si>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2025 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略高於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法說；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前本模型取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</si>
  <si>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t xml:space="preserve">g_gen27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</si>
  <si>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</si>
  <si>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法說（鉅亨）：交換器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年新客戶、持續成長（公司）</t>
    </r>
  </si>
  <si>
    <t xml:space="preserve">g_gen28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</si>
  <si>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</si>
  <si>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g_gen29</t>
  </si>
  <si>
    <r>
      <rPr>
        <sz val="11"/>
        <color theme="1"/>
        <rFont val="Noto Sans CJK SC"/>
        <family val="2"/>
      </rPr>
      <t xml:space="preserve">本體一般伺服器與交換器年增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</si>
  <si>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g_pc27</t>
  </si>
  <si>
    <r>
      <rPr>
        <sz val="11"/>
        <color theme="1"/>
        <rFont val="Noto Sans CJK SC"/>
        <family val="2"/>
      </rPr>
      <t xml:space="preserve">非伺服器（筆電等）年增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</si>
  <si>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法說（鉅亨）：記憶體漲價主要影響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與手機（公司）</t>
    </r>
  </si>
  <si>
    <t xml:space="preserve">g_pc28</t>
  </si>
  <si>
    <r>
      <rPr>
        <sz val="11"/>
        <color theme="1"/>
        <rFont val="Noto Sans CJK SC"/>
        <family val="2"/>
      </rPr>
      <t xml:space="preserve">非伺服器年增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</si>
  <si>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g_pc29</t>
  </si>
  <si>
    <r>
      <rPr>
        <sz val="11"/>
        <color theme="1"/>
        <rFont val="Noto Sans CJK SC"/>
        <family val="2"/>
      </rPr>
      <t xml:space="preserve">非伺服器年增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</si>
  <si>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g_wn27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</si>
  <si>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</si>
  <si>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一般伺服器出貨 </t>
    </r>
    <r>
      <rPr>
        <sz val="11"/>
        <color theme="1"/>
        <rFont val="Calibri"/>
        <family val="2"/>
        <charset val="1"/>
      </rPr>
      <t xml:space="preserve">+20–30%</t>
    </r>
    <r>
      <rPr>
        <sz val="11"/>
        <color theme="1"/>
        <rFont val="Noto Sans CJK SC"/>
        <family val="2"/>
      </rPr>
      <t xml:space="preserve">（緯穎）</t>
    </r>
  </si>
  <si>
    <t xml:space="preserve">g_wn28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</si>
  <si>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</si>
  <si>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g_wn29</t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</si>
  <si>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</si>
  <si>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毛利率與緯穎利潤率</t>
    </r>
  </si>
  <si>
    <t xml:space="preserve">d_ai</t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</si>
  <si>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系統毛利率（毛額基礎）減非伺服器毛利率</t>
    </r>
  </si>
  <si>
    <t xml:space="preserve">pt</t>
  </si>
  <si>
    <r>
      <rPr>
        <sz val="11"/>
        <color theme="1"/>
        <rFont val="Noto Sans CJK SC"/>
        <family val="2"/>
      </rPr>
      <t xml:space="preserve">本體毛利率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（合併 − 緯穎推得）；整櫃含轉手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，毛利率低</t>
    </r>
  </si>
  <si>
    <t xml:space="preserve">部門別毛利率未揭露：未找到</t>
  </si>
  <si>
    <t xml:space="preserve">d_brd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</si>
  <si>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基板毛利率減非伺服器毛利率</t>
    </r>
  </si>
  <si>
    <r>
      <rPr>
        <sz val="11"/>
        <color theme="1"/>
        <rFont val="Noto Sans CJK SC"/>
        <family val="2"/>
      </rPr>
      <t xml:space="preserve">基板多為客供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金額），加工價值占比較高（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</si>
  <si>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</si>
  <si>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d_gen</t>
  </si>
  <si>
    <t xml:space="preserve">一般伺服器與交換器毛利率減非伺服器毛利率</t>
  </si>
  <si>
    <r>
      <rPr>
        <sz val="11"/>
        <color theme="1"/>
        <rFont val="Noto Sans CJK SC"/>
        <family val="2"/>
      </rPr>
      <t xml:space="preserve">交換器與一般伺服器不含轉手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</si>
  <si>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vrd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</si>
  <si>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世代起本體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系統毛利率變動（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</si>
  <si>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與鴻海模型同值；廣達模型 −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</si>
  <si>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公司：營益率可望逐季、逐年改善（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法說）——為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，本版不採上修</t>
    </r>
  </si>
  <si>
    <t xml:space="preserve">wgm</t>
  </si>
  <si>
    <r>
      <rPr>
        <sz val="11"/>
        <color theme="1"/>
        <rFont val="Noto Sans CJK SC"/>
        <family val="2"/>
      </rPr>
      <t xml:space="preserve">緯穎毛利率（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</si>
  <si>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法說（富果）：</t>
    </r>
    <r>
      <rPr>
        <sz val="11"/>
        <color theme="1"/>
        <rFont val="Calibri"/>
        <family val="2"/>
        <charset val="1"/>
      </rPr>
      <t xml:space="preserve">FY2025 8.3%</t>
    </r>
    <r>
      <rPr>
        <sz val="11"/>
        <color theme="1"/>
        <rFont val="Noto Sans CJK SC"/>
        <family val="2"/>
      </rPr>
      <t xml:space="preserve">；緯穎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財報（優分析）：</t>
    </r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</si>
  <si>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只影響合併毛利率顯示；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用營益率 </t>
    </r>
    <r>
      <rPr>
        <sz val="11"/>
        <color theme="1"/>
        <rFont val="Calibri"/>
        <family val="2"/>
        <charset val="1"/>
      </rPr>
      <t xml:space="preserve">wopm</t>
    </r>
  </si>
  <si>
    <t xml:space="preserve">wopm</t>
  </si>
  <si>
    <r>
      <rPr>
        <sz val="11"/>
        <color theme="1"/>
        <rFont val="Noto Sans CJK SC"/>
        <family val="2"/>
      </rPr>
      <t xml:space="preserve">緯穎營業利益率（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</si>
  <si>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6.7%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6.79%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7.27%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</si>
  <si>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：凱基隱含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4.4%</t>
    </r>
    <r>
      <rPr>
        <sz val="11"/>
        <color theme="1"/>
        <rFont val="Noto Sans CJK SC"/>
        <family val="2"/>
      </rPr>
      <t xml:space="preserve">（＝營益率約 </t>
    </r>
    <r>
      <rPr>
        <sz val="11"/>
        <color theme="1"/>
        <rFont val="Calibri"/>
        <family val="2"/>
        <charset val="1"/>
      </rPr>
      <t xml:space="preserve">5.7%</t>
    </r>
    <r>
      <rPr>
        <sz val="11"/>
        <color theme="1"/>
        <rFont val="Noto Sans CJK SC"/>
        <family val="2"/>
      </rPr>
      <t xml:space="preserve">）</t>
    </r>
  </si>
  <si>
    <t xml:space="preserve">wnio</t>
  </si>
  <si>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</si>
  <si>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51.118 ÷ 63.918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29.084 ÷ 37.66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0.77</t>
    </r>
    <r>
      <rPr>
        <sz val="11"/>
        <color theme="1"/>
        <rFont val="Noto Sans CJK SC"/>
        <family val="2"/>
      </rPr>
      <t xml:space="preserve">（緯穎）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</si>
  <si>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營收實績（月營收）＋假設）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</si>
  <si>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</si>
  <si>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合併營收（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</si>
  <si>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</si>
  <si>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3,082.19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4,600.65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3,808.06 </t>
    </r>
    <r>
      <rPr>
        <sz val="11"/>
        <color theme="1"/>
        <rFont val="Noto Sans CJK SC"/>
        <family val="2"/>
      </rPr>
      <t xml:space="preserve">億（公司月營收）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</si>
  <si>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兆、前三季 </t>
    </r>
    <r>
      <rPr>
        <sz val="11"/>
        <color theme="1"/>
        <rFont val="Calibri"/>
        <family val="2"/>
        <charset val="1"/>
      </rPr>
      <t xml:space="preserve">2.89 </t>
    </r>
    <r>
      <rPr>
        <sz val="11"/>
        <color theme="1"/>
        <rFont val="Noto Sans CJK SC"/>
        <family val="2"/>
      </rPr>
      <t xml:space="preserve">兆（年增 </t>
    </r>
    <r>
      <rPr>
        <sz val="11"/>
        <color theme="1"/>
        <rFont val="Calibri"/>
        <family val="2"/>
        <charset val="1"/>
      </rPr>
      <t xml:space="preserve">97%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</si>
  <si>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</si>
  <si>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合併營收季增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</si>
  <si>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兆，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家）隱含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+5%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</si>
  <si>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伺服器逐季成長、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為今年高峰；筆電季減（公司）</t>
    </r>
  </si>
  <si>
    <t xml:space="preserve">q3_wrev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</si>
  <si>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緯穎營收（前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</si>
  <si>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1,726.20 </t>
    </r>
    <r>
      <rPr>
        <sz val="11"/>
        <color theme="1"/>
        <rFont val="Noto Sans CJK SC"/>
        <family val="2"/>
      </rPr>
      <t xml:space="preserve">億（緯穎月營收）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</si>
  <si>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財報（優分析）：</t>
    </r>
    <r>
      <rPr>
        <sz val="11"/>
        <color theme="1"/>
        <rFont val="Calibri"/>
        <family val="2"/>
        <charset val="1"/>
      </rPr>
      <t xml:space="preserve">1H26 5,546.6 </t>
    </r>
    <r>
      <rPr>
        <sz val="11"/>
        <color theme="1"/>
        <rFont val="Noto Sans CJK SC"/>
        <family val="2"/>
      </rPr>
      <t xml:space="preserve">億（緯穎）</t>
    </r>
  </si>
  <si>
    <t xml:space="preserve">q4gw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</si>
  <si>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緯穎營收季增</t>
    </r>
  </si>
  <si>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1,726 </t>
    </r>
    <r>
      <rPr>
        <sz val="11"/>
        <color theme="1"/>
        <rFont val="Noto Sans CJK SC"/>
        <family val="2"/>
      </rPr>
      <t xml:space="preserve">億高於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月均約 </t>
    </r>
    <r>
      <rPr>
        <sz val="11"/>
        <color theme="1"/>
        <rFont val="Calibri"/>
        <family val="2"/>
        <charset val="1"/>
      </rPr>
      <t xml:space="preserve">1,449 </t>
    </r>
    <r>
      <rPr>
        <sz val="11"/>
        <color theme="1"/>
        <rFont val="Noto Sans CJK SC"/>
        <family val="2"/>
      </rPr>
      <t xml:space="preserve">億（緯穎月營收）</t>
    </r>
  </si>
  <si>
    <t xml:space="preserve">q_wgm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</si>
  <si>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緯穎毛利率</t>
    </r>
  </si>
  <si>
    <r>
      <rPr>
        <sz val="11"/>
        <color theme="1"/>
        <rFont val="Calibri"/>
        <family val="2"/>
        <charset val="1"/>
      </rPr>
      <t xml:space="preserve">1H26 8.41%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9.26%</t>
    </r>
    <r>
      <rPr>
        <sz val="11"/>
        <color theme="1"/>
        <rFont val="Noto Sans CJK SC"/>
        <family val="2"/>
      </rPr>
      <t xml:space="preserve">（緯穎）</t>
    </r>
  </si>
  <si>
    <t xml:space="preserve">q_wopm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</si>
  <si>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緯穎營業利益率</t>
    </r>
  </si>
  <si>
    <r>
      <rPr>
        <sz val="11"/>
        <color theme="1"/>
        <rFont val="Calibri"/>
        <family val="2"/>
        <charset val="1"/>
      </rPr>
      <t xml:space="preserve">1H26 6.79%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7.27%</t>
    </r>
    <r>
      <rPr>
        <sz val="11"/>
        <color theme="1"/>
        <rFont val="Noto Sans CJK SC"/>
        <family val="2"/>
      </rPr>
      <t xml:space="preserve">（緯穎）</t>
    </r>
  </si>
  <si>
    <r>
      <rPr>
        <sz val="11"/>
        <color theme="1"/>
        <rFont val="Noto Sans CJK SC"/>
        <family val="2"/>
      </rPr>
      <t xml:space="preserve">新平台放量初期利潤率較低（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</si>
  <si>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q_wnio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</si>
  <si>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</si>
  <si>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0.77</t>
    </r>
    <r>
      <rPr>
        <sz val="11"/>
        <color theme="1"/>
        <rFont val="Noto Sans CJK SC"/>
        <family val="2"/>
      </rPr>
      <t xml:space="preserve">（緯穎）</t>
    </r>
  </si>
  <si>
    <t xml:space="preserve">q_sgm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</si>
  <si>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緯創本體毛利率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</si>
  <si>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3.91%</t>
    </r>
    <r>
      <rPr>
        <sz val="11"/>
        <color theme="1"/>
        <rFont val="Noto Sans CJK SC"/>
        <family val="2"/>
      </rPr>
      <t xml:space="preserve">（合併 − 緯穎推得）</t>
    </r>
  </si>
  <si>
    <r>
      <rPr>
        <sz val="11"/>
        <color theme="1"/>
        <rFont val="Noto Sans CJK SC"/>
        <family val="2"/>
      </rPr>
      <t xml:space="preserve">公司：營益率可望逐季改善（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</si>
  <si>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q_sopx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</si>
  <si>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</si>
  <si>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1.74%</t>
    </r>
    <r>
      <rPr>
        <sz val="11"/>
        <color theme="1"/>
        <rFont val="Noto Sans CJK SC"/>
        <family val="2"/>
      </rPr>
      <t xml:space="preserve">（本體毛利 − 本體營業利益）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</si>
  <si>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</si>
  <si>
    <t xml:space="preserve">q_snio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</si>
  <si>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緯創本體淨利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本體營業利益（含業外、稅、其他少數股權）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</si>
  <si>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0.54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匯損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億，凱基）、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0.56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</si>
  <si>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業外與稅前利益：未找到（公開摘要未列）</t>
  </si>
  <si>
    <t xml:space="preserve">stake</t>
  </si>
  <si>
    <r>
      <rPr>
        <sz val="11"/>
        <color theme="1"/>
        <rFont val="Noto Sans CJK SC"/>
        <family val="2"/>
      </rPr>
      <t xml:space="preserve">緯創持有緯穎比例（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</si>
  <si>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：緯創持有緯穎 </t>
    </r>
    <r>
      <rPr>
        <sz val="11"/>
        <color theme="1"/>
        <rFont val="Calibri"/>
        <family val="2"/>
        <charset val="1"/>
      </rPr>
      <t xml:space="preserve">37.68%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</si>
  <si>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CMoney 2024-08-01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CMoney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年緯穎現金增資最多 </t>
    </r>
    <r>
      <rPr>
        <sz val="11"/>
        <color theme="1"/>
        <rFont val="Calibri"/>
        <family val="2"/>
        <charset val="1"/>
      </rPr>
      <t xml:space="preserve">1,800 </t>
    </r>
    <r>
      <rPr>
        <sz val="11"/>
        <color theme="1"/>
        <rFont val="Noto Sans CJK SC"/>
        <family val="2"/>
      </rPr>
      <t xml:space="preserve">萬股（富果）</t>
    </r>
  </si>
  <si>
    <t xml:space="preserve">stake25</t>
  </si>
  <si>
    <r>
      <rPr>
        <sz val="11"/>
        <color theme="1"/>
        <rFont val="Noto Sans CJK SC"/>
        <family val="2"/>
      </rPr>
      <t xml:space="preserve">緯創持有緯穎比例（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拆分用）</t>
    </r>
  </si>
  <si>
    <r>
      <rPr>
        <sz val="11"/>
        <color theme="1"/>
        <rFont val="Noto Sans CJK SC"/>
        <family val="2"/>
      </rPr>
      <t xml:space="preserve">介於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42.66%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37.68% </t>
    </r>
    <r>
      <rPr>
        <sz val="11"/>
        <color theme="1"/>
        <rFont val="Noto Sans CJK SC"/>
        <family val="2"/>
      </rPr>
      <t xml:space="preserve">之間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</si>
  <si>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本體淨利的拆分</t>
    </r>
  </si>
  <si>
    <t xml:space="preserve">q_sh3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</si>
  <si>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加權股數（</t>
    </r>
    <r>
      <rPr>
        <sz val="11"/>
        <color theme="1"/>
        <rFont val="Calibri"/>
        <family val="2"/>
        <charset val="1"/>
      </rPr>
      <t xml:space="preserve">GDR 9-10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億股）</t>
    </r>
  </si>
  <si>
    <t xml:space="preserve">十億股</t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</si>
  <si>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新聞：</t>
    </r>
    <r>
      <rPr>
        <sz val="11"/>
        <color theme="1"/>
        <rFont val="Calibri"/>
        <family val="2"/>
        <charset val="1"/>
      </rPr>
      <t xml:space="preserve">GDR 2.5 </t>
    </r>
    <r>
      <rPr>
        <sz val="11"/>
        <color theme="1"/>
        <rFont val="Noto Sans CJK SC"/>
        <family val="2"/>
      </rPr>
      <t xml:space="preserve">億股、每股約 </t>
    </r>
    <r>
      <rPr>
        <sz val="11"/>
        <color theme="1"/>
        <rFont val="Calibri"/>
        <family val="2"/>
        <charset val="1"/>
      </rPr>
      <t xml:space="preserve">NT$186.24</t>
    </r>
    <r>
      <rPr>
        <sz val="11"/>
        <color theme="1"/>
        <rFont val="Noto Sans CJK SC"/>
        <family val="2"/>
      </rPr>
      <t xml:space="preserve">、募資約 </t>
    </r>
    <r>
      <rPr>
        <sz val="11"/>
        <color theme="1"/>
        <rFont val="Calibri"/>
        <family val="2"/>
        <charset val="1"/>
      </rPr>
      <t xml:space="preserve">NT$460 </t>
    </r>
    <r>
      <rPr>
        <sz val="11"/>
        <color theme="1"/>
        <rFont val="Noto Sans CJK SC"/>
        <family val="2"/>
      </rPr>
      <t xml:space="preserve">億、稀釋 </t>
    </r>
    <r>
      <rPr>
        <sz val="11"/>
        <color theme="1"/>
        <rFont val="Calibri"/>
        <family val="2"/>
        <charset val="1"/>
      </rPr>
      <t xml:space="preserve">7.29%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日發行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</si>
  <si>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報價頁：發行前流通股數 </t>
    </r>
    <r>
      <rPr>
        <sz val="11"/>
        <color theme="1"/>
        <rFont val="Calibri"/>
        <family val="2"/>
        <charset val="1"/>
      </rPr>
      <t xml:space="preserve">3.18B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</si>
  <si>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q_sh4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</si>
  <si>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起股數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</si>
  <si>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營業費用、淨利係數、股數（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</si>
  <si>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</si>
  <si>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緯創本體營業費用成長對本體營收成長的彈性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</si>
  <si>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</si>
  <si>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本體營業費用率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3.3% → 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1.74%</t>
    </r>
  </si>
  <si>
    <t xml:space="preserve">opx_adj</t>
  </si>
  <si>
    <r>
      <rPr>
        <sz val="11"/>
        <color theme="1"/>
        <rFont val="Noto Sans CJK SC"/>
        <family val="2"/>
      </rPr>
      <t xml:space="preserve">本體營業費用額外占本體營收比（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</si>
  <si>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</si>
  <si>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±10% </t>
    </r>
    <r>
      <rPr>
        <sz val="11"/>
        <color theme="1"/>
        <rFont val="Noto Sans CJK SC"/>
        <family val="2"/>
      </rPr>
      <t xml:space="preserve">本體營業利益</t>
    </r>
  </si>
  <si>
    <t xml:space="preserve">snio</t>
  </si>
  <si>
    <r>
      <rPr>
        <sz val="11"/>
        <color theme="1"/>
        <rFont val="Noto Sans CJK SC"/>
        <family val="2"/>
      </rPr>
      <t xml:space="preserve">緯創本體淨利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本體營業利益（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</si>
  <si>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q_snio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</si>
  <si>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</si>
  <si>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</si>
  <si>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3.43B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</si>
  <si>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</si>
  <si>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</si>
  <si>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</si>
  <si>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</si>
  <si>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</si>
  <si>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</si>
  <si>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</si>
  <si>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4.1 </t>
    </r>
    <r>
      <rPr>
        <sz val="11"/>
        <color theme="1"/>
        <rFont val="Noto Sans CJK SC"/>
        <family val="2"/>
      </rPr>
      <t xml:space="preserve">兆（區間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兆；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</si>
  <si>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</si>
  <si>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</si>
  <si>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NT$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</si>
  <si>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家平均 </t>
    </r>
    <r>
      <rPr>
        <sz val="11"/>
        <color theme="1"/>
        <rFont val="Calibri"/>
        <family val="2"/>
        <charset val="1"/>
      </rPr>
      <t xml:space="preserve">17.09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</si>
  <si>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：美系外資與本土投顧 </t>
    </r>
    <r>
      <rPr>
        <sz val="11"/>
        <color theme="1"/>
        <rFont val="Calibri"/>
        <family val="2"/>
        <charset val="1"/>
      </rPr>
      <t xml:space="preserve">16.67–17.65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</si>
  <si>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b_eps27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</si>
  <si>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（下限說法）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</si>
  <si>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：法人報告估 </t>
    </r>
    <r>
      <rPr>
        <sz val="11"/>
        <color theme="1"/>
        <rFont val="Calibri"/>
        <family val="2"/>
        <charset val="1"/>
      </rPr>
      <t xml:space="preserve">2027 EPS </t>
    </r>
    <r>
      <rPr>
        <sz val="11"/>
        <color theme="1"/>
        <rFont val="Noto Sans CJK SC"/>
        <family val="2"/>
      </rPr>
      <t xml:space="preserve">可望超過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元（未具名）</t>
    </r>
  </si>
  <si>
    <r>
      <rPr>
        <sz val="11"/>
        <color theme="1"/>
        <rFont val="Noto Sans CJK SC"/>
        <family val="2"/>
      </rPr>
      <t xml:space="preserve">較樂觀說法 </t>
    </r>
    <r>
      <rPr>
        <sz val="11"/>
        <color theme="1"/>
        <rFont val="Calibri"/>
        <family val="2"/>
        <charset val="1"/>
      </rPr>
      <t xml:space="preserve">23.3–26.4</t>
    </r>
    <r>
      <rPr>
        <sz val="11"/>
        <color theme="1"/>
        <rFont val="Noto Sans CJK SC"/>
        <family val="2"/>
      </rPr>
      <t xml:space="preserve">（同文，未具名）</t>
    </r>
  </si>
  <si>
    <t xml:space="preserve">b_eps27h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</si>
  <si>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（樂觀說法中點）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</si>
  <si>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（未具名）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</si>
  <si>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（付費）：未找到</t>
    </r>
  </si>
  <si>
    <t xml:space="preserve">k_eps26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</si>
  <si>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</si>
  <si>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</si>
  <si>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225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15x 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EPS</t>
    </r>
  </si>
  <si>
    <t xml:space="preserve">k_eps27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</si>
  <si>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）</t>
    </r>
  </si>
  <si>
    <t xml:space="preserve">k_racks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</si>
  <si>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出貨櫃數</t>
    </r>
  </si>
  <si>
    <t xml:space="preserve">千櫃</t>
  </si>
  <si>
    <r>
      <rPr>
        <sz val="11"/>
        <color theme="1"/>
        <rFont val="Noto Sans CJK SC"/>
        <family val="2"/>
      </rPr>
      <t xml:space="preserve">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伺服器系統（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）營收倍增以上，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萬櫃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</si>
  <si>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3.9–4.0 </t>
    </r>
    <r>
      <rPr>
        <sz val="11"/>
        <color theme="1"/>
        <rFont val="Noto Sans CJK SC"/>
        <family val="2"/>
      </rPr>
      <t xml:space="preserve">千櫃、</t>
    </r>
    <r>
      <rPr>
        <sz val="11"/>
        <color theme="1"/>
        <rFont val="Calibri"/>
        <family val="2"/>
        <charset val="1"/>
      </rPr>
      <t xml:space="preserve">2Q26F 4.0–4.2 </t>
    </r>
    <r>
      <rPr>
        <sz val="11"/>
        <color theme="1"/>
        <rFont val="Noto Sans CJK SC"/>
        <family val="2"/>
      </rPr>
      <t xml:space="preserve">千櫃（凱基）</t>
    </r>
  </si>
  <si>
    <t xml:space="preserve">rk_sh</t>
  </si>
  <si>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中緯創的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</si>
  <si>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</si>
  <si>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櫃數口徑；單月、三家合計（不含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等）</t>
    </r>
  </si>
  <si>
    <t xml:space="preserve">kw_rev26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</si>
  <si>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</si>
  <si>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凱基緯穎報告 </t>
    </r>
    <r>
      <rPr>
        <sz val="11"/>
        <color theme="1"/>
        <rFont val="Calibri"/>
        <family val="2"/>
        <charset val="1"/>
      </rPr>
      <t xml:space="preserve">2026-07-28</t>
    </r>
  </si>
  <si>
    <t xml:space="preserve">kw_rev27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</si>
  <si>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</si>
  <si>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t xml:space="preserve">kw_ni27</t>
  </si>
  <si>
    <r>
      <rPr>
        <sz val="11"/>
        <color theme="1"/>
        <rFont val="Noto Sans CJK SC"/>
        <family val="2"/>
      </rPr>
      <t xml:space="preserve">凱基緯穎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</si>
  <si>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</si>
  <si>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</si>
  <si>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</si>
  <si>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財報狗個股頁：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2.56%</t>
    </r>
    <r>
      <rPr>
        <sz val="11"/>
        <color theme="1"/>
        <rFont val="Noto Sans CJK SC"/>
        <family val="2"/>
      </rPr>
      <t xml:space="preserve">）（財報狗）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</si>
  <si>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10-14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頁面同 </t>
    </r>
    <r>
      <rPr>
        <sz val="11"/>
        <color theme="1"/>
        <rFont val="Calibri"/>
        <family val="2"/>
        <charset val="1"/>
      </rPr>
      <t xml:space="preserve">190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</si>
  <si>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</si>
  <si>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</si>
  <si>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財報狗個股頁：近四季 </t>
    </r>
    <r>
      <rPr>
        <sz val="11"/>
        <color theme="1"/>
        <rFont val="Calibri"/>
        <family val="2"/>
        <charset val="1"/>
      </rPr>
      <t xml:space="preserve">EPS 12.59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</si>
  <si>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目前 </t>
    </r>
    <r>
      <rPr>
        <sz val="11"/>
        <color theme="1"/>
        <rFont val="Calibri"/>
        <family val="2"/>
        <charset val="1"/>
      </rPr>
      <t xml:space="preserve">P/E 14.93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</si>
  <si>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</si>
  <si>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</si>
  <si>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報價頁：價格 </t>
    </r>
    <r>
      <rPr>
        <sz val="11"/>
        <color theme="1"/>
        <rFont val="Calibri"/>
        <family val="2"/>
        <charset val="1"/>
      </rPr>
      <t xml:space="preserve">185.5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擷取）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</si>
  <si>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</si>
  <si>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</si>
  <si>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9.93</t>
    </r>
    <r>
      <rPr>
        <sz val="11"/>
        <color theme="1"/>
        <rFont val="Noto Sans CJK SC"/>
        <family val="2"/>
      </rPr>
      <t xml:space="preserve">、價格 </t>
    </r>
    <r>
      <rPr>
        <sz val="11"/>
        <color theme="1"/>
        <rFont val="Calibri"/>
        <family val="2"/>
        <charset val="1"/>
      </rPr>
      <t xml:space="preserve">185.5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</si>
  <si>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</si>
  <si>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</si>
  <si>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</si>
  <si>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268.71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275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165–400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</si>
  <si>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：本國投顧目標價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；旺得富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240–243</t>
    </r>
  </si>
  <si>
    <t xml:space="preserve">nim_5y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</si>
  <si>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合併營收；只作參考）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</si>
  <si>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financials/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營收與淨利（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</si>
  <si>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十年平均（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）：未找到；收斂法改用最後一年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（工作單規則）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</si>
  <si>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</si>
  <si>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</si>
  <si>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</si>
  <si>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</si>
  <si>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</si>
  <si>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</si>
  <si>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</si>
  <si>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</si>
  <si>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</si>
  <si>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</si>
  <si>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</si>
  <si>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</si>
  <si>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</si>
  <si>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</si>
  <si>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</si>
  <si>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</si>
  <si>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</si>
  <si>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</si>
  <si>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</si>
  <si>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</t>
    </r>
    <r>
      <rPr>
        <sz val="11"/>
        <color theme="1"/>
        <rFont val="Calibri"/>
        <family val="2"/>
        <charset val="1"/>
      </rPr>
      <t xml:space="preserve">financials/ratios/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14.77%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19.42%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26.26%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</si>
  <si>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經營績效：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同（</t>
    </r>
    <r>
      <rPr>
        <sz val="11"/>
        <color theme="1"/>
        <rFont val="Calibri"/>
        <family val="2"/>
        <charset val="1"/>
      </rPr>
      <t xml:space="preserve">14.8%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26.3%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</si>
  <si>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</si>
  <si>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</si>
  <si>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</si>
  <si>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</si>
  <si>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</si>
  <si>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</si>
  <si>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</si>
  <si>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</si>
  <si>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</si>
  <si>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</si>
  <si>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</si>
  <si>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</si>
  <si>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</si>
  <si>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</si>
  <si>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</si>
  <si>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與「十年平均替代值」的中點＝</t>
    </r>
    <r>
      <rPr>
        <sz val="11"/>
        <color theme="1"/>
        <rFont val="Calibri"/>
        <family val="2"/>
        <charset val="1"/>
      </rPr>
      <t xml:space="preserve">FY2029 × 0.9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</si>
  <si>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代替（工作單規則）；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</si>
  <si>
    <r>
      <rPr>
        <sz val="11"/>
        <color theme="1"/>
        <rFont val="Noto Sans CJK SC"/>
        <family val="2"/>
      </rPr>
      <t xml:space="preserve">近五年平均 </t>
    </r>
    <r>
      <rPr>
        <sz val="11"/>
        <color theme="1"/>
        <rFont val="Calibri"/>
        <family val="2"/>
        <charset val="1"/>
      </rPr>
      <t xml:space="preserve">nim_5y </t>
    </r>
    <r>
      <rPr>
        <sz val="11"/>
        <color theme="1"/>
        <rFont val="Noto Sans CJK SC"/>
        <family val="2"/>
      </rPr>
      <t xml:space="preserve">只作參考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</si>
  <si>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</si>
  <si>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淨利率收斂目標（十年平均未找到：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</si>
  <si>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工作單規則：找不到十年平均用最後一年 </t>
    </r>
    <r>
      <rPr>
        <sz val="11"/>
        <color theme="1"/>
        <rFont val="Calibri"/>
        <family val="2"/>
        <charset val="1"/>
      </rPr>
      <t xml:space="preserve">× 0.8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</si>
  <si>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C FY2029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</si>
  <si>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</si>
  <si>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</si>
  <si>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</si>
  <si>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</si>
  <si>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</si>
  <si>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</si>
  <si>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</si>
  <si>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</si>
  <si>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</si>
  <si>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</si>
  <si>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</si>
  <si>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</si>
  <si>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</si>
  <si>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</si>
  <si>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</si>
  <si>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淨利率收斂目標（十年平均未找到：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</si>
  <si>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</si>
  <si>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</si>
  <si>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</si>
  <si>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</si>
  <si>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為新台幣；股數為十億股）。藍字＝輸入；黑字＝公式。合併＝緯創本體＋緯穎；本體＝合併 − 緯穎（含其他子公司，集團內交易未扣除）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</si>
  <si>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營收實績（緯創、緯穎月營收）＋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假設（緯穎毛利率與營益率、本體毛利率與費用率、淨利係數；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＋季增））。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2Q26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5.81%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毛利率、營益率由 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與季增百分點推得。歸屬母公司淨利＝本體淨利＋持股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緯穎淨利；非控制權益＝（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緯穎淨利（其他子公司的少數股權併入本體係數）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</si>
  <si>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</si>
  <si>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</si>
  <si>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</si>
  <si>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</si>
  <si>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</si>
  <si>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</si>
  <si>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合併營收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</si>
  <si>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</si>
  <si>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財報頁、優分析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：鉅亨、優分析 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</si>
  <si>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FY2025 2,186.523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2.19 </t>
    </r>
    <r>
      <rPr>
        <sz val="11"/>
        <color theme="1"/>
        <rFont val="Noto Sans CJK SC"/>
        <family val="2"/>
      </rPr>
      <t xml:space="preserve">兆）；</t>
    </r>
    <r>
      <rPr>
        <sz val="11"/>
        <color theme="1"/>
        <rFont val="Calibri"/>
        <family val="2"/>
        <charset val="1"/>
      </rPr>
      <t xml:space="preserve">2Q26 8,954.43 </t>
    </r>
    <r>
      <rPr>
        <sz val="11"/>
        <color theme="1"/>
        <rFont val="Noto Sans CJK SC"/>
        <family val="2"/>
      </rPr>
      <t xml:space="preserve">億、季增 </t>
    </r>
    <r>
      <rPr>
        <sz val="11"/>
        <color theme="1"/>
        <rFont val="Calibri"/>
        <family val="2"/>
        <charset val="1"/>
      </rPr>
      <t xml:space="preserve">5.81%</t>
    </r>
    <r>
      <rPr>
        <sz val="11"/>
        <color theme="1"/>
        <rFont val="Noto Sans CJK SC"/>
        <family val="2"/>
      </rPr>
      <t xml:space="preserve">（公司）</t>
    </r>
  </si>
  <si>
    <t xml:space="preserve">合併毛利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</si>
  <si>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</si>
  <si>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6.13%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5.56%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0.45 </t>
    </r>
    <r>
      <rPr>
        <sz val="11"/>
        <color theme="1"/>
        <rFont val="Noto Sans CJK SC"/>
        <family val="2"/>
      </rPr>
      <t xml:space="preserve">個百分點（公司）</t>
    </r>
  </si>
  <si>
    <t xml:space="preserve">合併毛利率</t>
  </si>
  <si>
    <t xml:space="preserve">合併營業利益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</si>
  <si>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</si>
  <si>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3.59%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3.74%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0.29 </t>
    </r>
    <r>
      <rPr>
        <sz val="11"/>
        <color theme="1"/>
        <rFont val="Noto Sans CJK SC"/>
        <family val="2"/>
      </rPr>
      <t xml:space="preserve">個百分點（公司）</t>
    </r>
  </si>
  <si>
    <t xml:space="preserve">合併營業利益率</t>
  </si>
  <si>
    <t xml:space="preserve">合併營業費用</t>
  </si>
  <si>
    <t xml:space="preserve">毛利 − 營業利益</t>
  </si>
  <si>
    <t xml:space="preserve">緯穎營收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</si>
  <si>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</si>
  <si>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緯穎：富果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法說、優分析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財報、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月營收</t>
    </r>
  </si>
  <si>
    <r>
      <rPr>
        <sz val="11"/>
        <color theme="1"/>
        <rFont val="Calibri"/>
        <family val="2"/>
        <charset val="1"/>
      </rPr>
      <t xml:space="preserve">FY2025 9,506.63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5,546.6 </t>
    </r>
    <r>
      <rPr>
        <sz val="11"/>
        <color theme="1"/>
        <rFont val="Noto Sans CJK SC"/>
        <family val="2"/>
      </rPr>
      <t xml:space="preserve">億（緯穎）</t>
    </r>
  </si>
  <si>
    <t xml:space="preserve">緯穎毛利</t>
  </si>
  <si>
    <r>
      <rPr>
        <sz val="11"/>
        <color theme="1"/>
        <rFont val="Calibri"/>
        <family val="2"/>
        <charset val="1"/>
      </rPr>
      <t xml:space="preserve">FY2025 784.54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8.41%</t>
    </r>
  </si>
  <si>
    <t xml:space="preserve">緯穎營業利益</t>
  </si>
  <si>
    <r>
      <rPr>
        <sz val="11"/>
        <color theme="1"/>
        <rFont val="Calibri"/>
        <family val="2"/>
        <charset val="1"/>
      </rPr>
      <t xml:space="preserve">FY2025 639.18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6.79%</t>
    </r>
  </si>
  <si>
    <t xml:space="preserve">緯創本體營收（合併 − 緯穎）</t>
  </si>
  <si>
    <r>
      <rPr>
        <sz val="11"/>
        <color theme="1"/>
        <rFont val="Noto Sans CJK SC"/>
        <family val="2"/>
      </rPr>
      <t xml:space="preserve">集團內交易：未找到（假設為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</si>
  <si>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緯創本體毛利</t>
  </si>
  <si>
    <t xml:space="preserve">緯創本體營業利益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</si>
  <si>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本體營益率約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、緯穎 </t>
    </r>
    <r>
      <rPr>
        <sz val="11"/>
        <color theme="1"/>
        <rFont val="Calibri"/>
        <family val="2"/>
        <charset val="1"/>
      </rPr>
      <t xml:space="preserve">6.3%</t>
    </r>
  </si>
  <si>
    <t xml:space="preserve">緯創本體營業費用</t>
  </si>
  <si>
    <t xml:space="preserve">緯穎淨利</t>
  </si>
  <si>
    <r>
      <rPr>
        <sz val="11"/>
        <color theme="1"/>
        <rFont val="Calibri"/>
        <family val="2"/>
        <charset val="1"/>
      </rPr>
      <t xml:space="preserve">FY2025 511.18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1H26 290.84 </t>
    </r>
    <r>
      <rPr>
        <sz val="11"/>
        <color theme="1"/>
        <rFont val="Noto Sans CJK SC"/>
        <family val="2"/>
      </rPr>
      <t xml:space="preserve">億（緯穎）</t>
    </r>
  </si>
  <si>
    <t xml:space="preserve">緯創持有緯穎比例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</si>
  <si>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</si>
  <si>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37.68%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</si>
  <si>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CMoney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</si>
  <si>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非控制權益（≈（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</si>
  <si>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t xml:space="preserve">其他子公司的少數股權併入本體係數</t>
  </si>
  <si>
    <t xml:space="preserve">公司揭露的非控制權益金額：未找到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</si>
  <si>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</si>
  <si>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</si>
  <si>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274.08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96.31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2Q26 148.27 </t>
    </r>
    <r>
      <rPr>
        <sz val="11"/>
        <color theme="1"/>
        <rFont val="Noto Sans CJK SC"/>
        <family val="2"/>
      </rPr>
      <t xml:space="preserve">億（公司稅後純益）</t>
    </r>
  </si>
  <si>
    <r>
      <rPr>
        <sz val="11"/>
        <color theme="1"/>
        <rFont val="Noto Sans CJK SC"/>
        <family val="2"/>
      </rPr>
      <t xml:space="preserve">緯創本體淨利（歸屬母公司淨利 − 持股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</si>
  <si>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t xml:space="preserve">合併淨利（含非控制權益）</t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</si>
  <si>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</si>
  <si>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起含 </t>
    </r>
    <r>
      <rPr>
        <sz val="11"/>
        <color theme="1"/>
        <rFont val="Calibri"/>
        <family val="2"/>
        <charset val="1"/>
      </rPr>
      <t xml:space="preserve">GDR 2.5 </t>
    </r>
    <r>
      <rPr>
        <sz val="11"/>
        <color theme="1"/>
        <rFont val="Noto Sans CJK SC"/>
        <family val="2"/>
      </rPr>
      <t xml:space="preserve">億股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</si>
  <si>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</si>
  <si>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</si>
  <si>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</si>
  <si>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3.06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4.72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</si>
  <si>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營收拆分（緯創本體與緯穎；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拆分未找到）</t>
    </r>
  </si>
  <si>
    <r>
      <rPr>
        <sz val="11"/>
        <color theme="1"/>
        <rFont val="Noto Sans CJK SC"/>
        <family val="2"/>
      </rPr>
      <t xml:space="preserve">緯創本體：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基板與運算板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</si>
  <si>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伺服器零組件超過千億</t>
    </r>
  </si>
  <si>
    <t xml:space="preserve">緯創本體：一般伺服器與交換器</t>
  </si>
  <si>
    <t xml:space="preserve">緯創本體：非伺服器（筆電、桌機、顯示器等）</t>
  </si>
  <si>
    <r>
      <rPr>
        <sz val="11"/>
        <color theme="1"/>
        <rFont val="Noto Sans CJK SC"/>
        <family val="2"/>
      </rPr>
      <t xml:space="preserve">凱基：伺服器 </t>
    </r>
    <r>
      <rPr>
        <sz val="11"/>
        <color theme="1"/>
        <rFont val="Calibri"/>
        <family val="2"/>
        <charset val="1"/>
      </rPr>
      <t xml:space="preserve">85%</t>
    </r>
  </si>
  <si>
    <r>
      <rPr>
        <sz val="11"/>
        <color theme="1"/>
        <rFont val="Noto Sans CJK SC"/>
        <family val="2"/>
      </rPr>
      <t xml:space="preserve">緯創本體：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系統（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L11</t>
    </r>
    <r>
      <rPr>
        <sz val="11"/>
        <color theme="1"/>
        <rFont val="Noto Sans CJK SC"/>
        <family val="2"/>
      </rPr>
      <t xml:space="preserve">；殘差）</t>
    </r>
  </si>
  <si>
    <t xml:space="preserve">本體營收 − 基板 − 一般伺服器 − 非伺服器</t>
  </si>
  <si>
    <t xml:space="preserve">公司未揭露：未找到</t>
  </si>
  <si>
    <r>
      <rPr>
        <sz val="11"/>
        <color theme="1"/>
        <rFont val="Noto Sans CJK SC"/>
        <family val="2"/>
      </rPr>
      <t xml:space="preserve">緯穎：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</t>
    </r>
  </si>
  <si>
    <r>
      <rPr>
        <sz val="11"/>
        <color theme="1"/>
        <rFont val="Noto Sans CJK SC"/>
        <family val="2"/>
      </rPr>
      <t xml:space="preserve">緯穎：略高於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</si>
  <si>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緯穎：非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</si>
  <si>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</si>
  <si>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合併營收年增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</si>
  <si>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</si>
  <si>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</si>
  <si>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本體營業費用年增</t>
    </r>
  </si>
  <si>
    <r>
      <rPr>
        <sz val="11"/>
        <color theme="1"/>
        <rFont val="Noto Sans CJK SC"/>
        <family val="2"/>
      </rPr>
      <t xml:space="preserve">本體營業費用彈性（費用年增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</si>
  <si>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</si>
  <si>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</si>
  <si>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1H26 EPS </t>
    </r>
    <r>
      <rPr>
        <sz val="11"/>
        <color theme="1"/>
        <rFont val="Noto Sans CJK SC"/>
        <family val="2"/>
      </rPr>
      <t xml:space="preserve">自算 − 公司 </t>
    </r>
    <r>
      <rPr>
        <sz val="11"/>
        <color theme="1"/>
        <rFont val="Calibri"/>
        <family val="2"/>
        <charset val="1"/>
      </rPr>
      <t xml:space="preserve">7.78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</si>
  <si>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合併營業利益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緯穎營業利益（緯穎占比的倒數）</t>
    </r>
  </si>
  <si>
    <r>
      <rPr>
        <sz val="11"/>
        <color theme="1"/>
        <rFont val="Noto Sans CJK SC"/>
        <family val="2"/>
      </rPr>
      <t xml:space="preserve">隱含本體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系統出貨櫃數（千櫃；</t>
    </r>
    <r>
      <rPr>
        <sz val="11"/>
        <color theme="1"/>
        <rFont val="Calibri"/>
        <family val="2"/>
        <charset val="1"/>
      </rPr>
      <t xml:space="preserve">FY2026 ODM </t>
    </r>
    <r>
      <rPr>
        <sz val="11"/>
        <color theme="1"/>
        <rFont val="Noto Sans CJK SC"/>
        <family val="2"/>
      </rPr>
      <t xml:space="preserve">混合價格）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</si>
  <si>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伺服器組裝市場（與廣達模型同口徑）、緯創本體與緯穎份額、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每櫃價格讀廣達模型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</si>
  <si>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</si>
  <si>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</si>
  <si>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</si>
  <si>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</si>
  <si>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</si>
  <si>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</si>
  <si>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</si>
  <si>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</si>
  <si>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價值相同；廣達模型口徑）</t>
    </r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</si>
  <si>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系統有效份額（金額口徑）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</si>
  <si>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以本體營收殘差校準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</si>
  <si>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</si>
  <si>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約九成為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</si>
  <si>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緯創合併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系統份額（本體＋緯穎）</t>
    </r>
  </si>
  <si>
    <r>
      <rPr>
        <sz val="11"/>
        <color theme="1"/>
        <rFont val="Noto Sans CJK SC"/>
        <family val="2"/>
      </rPr>
      <t xml:space="preserve">廣達有效份額（廣達模型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</si>
  <si>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</si>
  <si>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鴻海有效份額（鴻海模型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</si>
  <si>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foxconn/dist/20261030_</t>
    </r>
    <r>
      <rPr>
        <sz val="11"/>
        <color theme="1"/>
        <rFont val="Noto Sans CJK SC"/>
        <family val="2"/>
      </rPr>
      <t xml:space="preserve">鴻海個股模型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</si>
  <si>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t xml:space="preserve">鴻海＋廣達＋緯創（含緯穎）合計有效份額</t>
  </si>
  <si>
    <r>
      <rPr>
        <sz val="11"/>
        <color theme="1"/>
        <rFont val="Noto Sans CJK SC"/>
        <family val="2"/>
      </rPr>
      <t xml:space="preserve">其餘為英業達、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自有組裝等</t>
    </r>
  </si>
  <si>
    <r>
      <rPr>
        <sz val="11"/>
        <color theme="1"/>
        <rFont val="Noto Sans CJK SC"/>
        <family val="2"/>
      </rPr>
      <t xml:space="preserve">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</t>
    </r>
  </si>
  <si>
    <t xml:space="preserve">扣除客供</t>
  </si>
  <si>
    <r>
      <rPr>
        <sz val="11"/>
        <color theme="1"/>
        <rFont val="Noto Sans CJK SC"/>
        <family val="2"/>
      </rPr>
      <t xml:space="preserve">隱含本體出貨櫃數（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</si>
  <si>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</si>
  <si>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</si>
  <si>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</si>
  <si>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</si>
  <si>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</si>
  <si>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校準；份額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</si>
  <si>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基板與運算板營收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</si>
  <si>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</si>
  <si>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</si>
  <si>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b val="true"/>
        <sz val="11"/>
        <rFont val="Noto Sans CJK SC"/>
        <family val="2"/>
      </rPr>
      <t xml:space="preserve">讀法：有效份額為金額口徑（分母為全部 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資本支出換算的組裝市場，含 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HGX </t>
    </r>
    <r>
      <rPr>
        <b val="true"/>
        <sz val="11"/>
        <rFont val="Noto Sans CJK SC"/>
        <family val="2"/>
      </rPr>
      <t xml:space="preserve">與其他組裝廠），低於櫃數份額。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基板只對應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顆數；基板份額與每顆金額是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金額取券商說法。緯穎以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機架為主，所以份額跟著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部署走。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</si>
  <si>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緯創損益（十億新台幣；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新台幣）。營收、毛利、營業利益為合併（含緯穎）；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用歸屬母公司淨利。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</si>
  <si>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</si>
  <si>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</si>
  <si>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</si>
  <si>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</si>
  <si>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</si>
  <si>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</si>
  <si>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</si>
  <si>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</si>
  <si>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</si>
  <si>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</si>
  <si>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</si>
  <si>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Noto Sans CJK SC"/>
        <family val="2"/>
      </rPr>
      <t xml:space="preserve">  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</t>
    </r>
  </si>
  <si>
    <r>
      <rPr>
        <sz val="11"/>
        <color theme="1"/>
        <rFont val="Calibri"/>
        <family val="2"/>
        <charset val="1"/>
      </rPr>
      <t xml:space="preserve">  GPU </t>
    </r>
    <r>
      <rPr>
        <sz val="11"/>
        <color theme="1"/>
        <rFont val="Noto Sans CJK SC"/>
        <family val="2"/>
      </rPr>
      <t xml:space="preserve">基板與運算板</t>
    </r>
  </si>
  <si>
    <t xml:space="preserve">  緯穎</t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</si>
  <si>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</si>
  <si>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</si>
  <si>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</si>
  <si>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</si>
  <si>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</si>
  <si>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三情境：合併營收差（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</si>
  <si>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</si>
  <si>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：本體毛利差（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</si>
  <si>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</si>
  <si>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部署與整櫃組裝市場（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；與廣達模型同口徑）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</si>
  <si>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</si>
  <si>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</si>
  <si>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</si>
  <si>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</si>
  <si>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</si>
  <si>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每櫃價格（讀廣達模型）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</si>
  <si>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價，美元）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</si>
  <si>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伺服器組裝市場（新台幣）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</si>
  <si>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緯創本體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系統（</t>
    </r>
    <r>
      <rPr>
        <b val="true"/>
        <sz val="11"/>
        <rFont val="Cambria"/>
        <family val="0"/>
        <charset val="1"/>
      </rPr>
      <t xml:space="preserve">L10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L11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</si>
  <si>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</si>
  <si>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：分子為本體營收殘差；分母含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機架與其他組裝廠，所以低於櫃數份額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</si>
  <si>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</si>
  <si>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</si>
  <si>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系統毛額價值（買賣模式下的營收）</t>
    </r>
  </si>
  <si>
    <r>
      <rPr>
        <sz val="11"/>
        <color theme="1"/>
        <rFont val="Noto Sans CJK SC"/>
        <family val="2"/>
      </rPr>
      <t xml:space="preserve">客供比例（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起新增部分）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</si>
  <si>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的客供已含在錨點與校準份額內，記為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</si>
  <si>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</si>
  <si>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緯創本體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基板與運算板（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每顆基板金額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</si>
  <si>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，含情境係數）</t>
    </r>
  </si>
  <si>
    <t xml:space="preserve">緯創基板份額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</si>
  <si>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基板金額（緯創營收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</si>
  <si>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每顆金額指數 </t>
    </r>
    <r>
      <rPr>
        <sz val="11"/>
        <color theme="1"/>
        <rFont val="Calibri"/>
        <family val="2"/>
        <charset val="1"/>
      </rPr>
      <t xml:space="preserve">bv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</si>
  <si>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其他事業與合計</t>
    </r>
  </si>
  <si>
    <t xml:space="preserve">本體一般伺服器與交換器</t>
  </si>
  <si>
    <t xml:space="preserve">本體非伺服器（筆電、桌機、顯示器等）</t>
  </si>
  <si>
    <t xml:space="preserve">緯創本體營收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</si>
  <si>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</si>
  <si>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：緯穎營收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市場（緯穎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約九成為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</si>
  <si>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緯穎非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（一般伺服器）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</si>
  <si>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</si>
  <si>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r>
      <rPr>
        <sz val="11"/>
        <color theme="1"/>
        <rFont val="Noto Sans CJK SC"/>
        <family val="2"/>
      </rPr>
      <t xml:space="preserve">伺服器營收（本體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基板＋本體一般伺服器與交換器＋緯穎）</t>
    </r>
  </si>
  <si>
    <r>
      <rPr>
        <sz val="11"/>
        <color theme="1"/>
        <rFont val="Noto Sans CJK SC"/>
        <family val="2"/>
      </rPr>
      <t xml:space="preserve">公司產品別揭露：伺服器（凱基：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伺服器約占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）</t>
    </r>
  </si>
  <si>
    <t xml:space="preserve">非伺服器營收（筆電、桌機、顯示器等）</t>
  </si>
  <si>
    <t xml:space="preserve">公司產品別揭露：非伺服器</t>
  </si>
  <si>
    <r>
      <rPr>
        <sz val="11"/>
        <color theme="1"/>
        <rFont val="Noto Sans CJK SC"/>
        <family val="2"/>
      </rPr>
      <t xml:space="preserve">檢查：分部合計 − 合併營收（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錨點起）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</si>
  <si>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</si>
  <si>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t xml:space="preserve">合併營收年增</t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</si>
  <si>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系統＋基板＋緯穎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</si>
  <si>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</si>
  <si>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Noto Sans CJK SC"/>
        <family val="2"/>
      </rPr>
      <t xml:space="preserve">隱含本體出貨櫃數（毛額價值 </t>
    </r>
    <r>
      <rPr>
        <sz val="11"/>
        <color theme="1"/>
        <rFont val="Calibri"/>
        <family val="2"/>
        <charset val="1"/>
      </rPr>
      <t xml:space="preserve">÷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</si>
  <si>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Noto Sans CJK SC"/>
        <family val="2"/>
      </rPr>
      <t xml:space="preserve">十億美元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百萬美元 ＝ 千櫃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</si>
  <si>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緯創本體損益</t>
    </r>
  </si>
  <si>
    <r>
      <rPr>
        <sz val="11"/>
        <color theme="1"/>
        <rFont val="Noto Sans CJK SC"/>
        <family val="2"/>
      </rPr>
      <t xml:space="preserve">非伺服器毛利率（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校準，其他部門＝此值＋差距）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</si>
  <si>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本體毛利等於錨點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</si>
  <si>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系統毛利 ＝ 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毛額價值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客供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保留比例））</t>
    </r>
  </si>
  <si>
    <t xml:space="preserve">本體毛利</t>
  </si>
  <si>
    <t xml:space="preserve">本體毛利率</t>
  </si>
  <si>
    <t xml:space="preserve">本體營業費用成長（基準路徑）</t>
  </si>
  <si>
    <t xml:space="preserve">本體營業費用</t>
  </si>
  <si>
    <t xml:space="preserve">本體營業利益</t>
  </si>
  <si>
    <t xml:space="preserve">本體營業利益率</t>
  </si>
  <si>
    <t xml:space="preserve">本體淨利（歸屬緯創，不含緯穎持股收益）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</si>
  <si>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緯穎（合併子公司）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</si>
  <si>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合併與歸屬母公司</t>
    </r>
  </si>
  <si>
    <r>
      <rPr>
        <sz val="11"/>
        <color theme="1"/>
        <rFont val="Noto Sans CJK SC"/>
        <family val="2"/>
      </rPr>
      <t xml:space="preserve">非控制權益（（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持股）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緯穎淨利）</t>
    </r>
  </si>
  <si>
    <r>
      <rPr>
        <sz val="11"/>
        <color theme="1"/>
        <rFont val="Noto Sans CJK SC"/>
        <family val="2"/>
      </rPr>
      <t xml:space="preserve">緯穎對歸屬母公司淨利的貢獻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歸屬母公司淨利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</si>
  <si>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</si>
  <si>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後股數 </t>
    </r>
    <r>
      <rPr>
        <sz val="11"/>
        <color theme="1"/>
        <rFont val="Calibri"/>
        <family val="2"/>
        <charset val="1"/>
      </rPr>
      <t xml:space="preserve">3.43B </t>
    </r>
    <r>
      <rPr>
        <sz val="11"/>
        <color theme="1"/>
        <rFont val="Noto Sans CJK SC"/>
        <family val="2"/>
      </rPr>
      <t xml:space="preserve">為基礎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</si>
  <si>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</si>
  <si>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</si>
  <si>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</si>
  <si>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</si>
  <si>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為歸屬母公司）。結論用「現價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</si>
  <si>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循環位置：緯創不是設備股，不套設備市場見頂年；以本模型營收最高的會計年度為見頂年（比照廣達、鴻海、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</si>
  <si>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</si>
  <si>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</si>
  <si>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</si>
  <si>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</si>
  <si>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</si>
  <si>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</si>
  <si>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頁各情境（歸屬母公司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</si>
  <si>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</si>
  <si>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</si>
  <si>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</si>
  <si>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</si>
  <si>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</si>
  <si>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</si>
  <si>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</si>
  <si>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</si>
  <si>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</si>
  <si>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</si>
  <si>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</si>
  <si>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</si>
  <si>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</si>
  <si>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</si>
  <si>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</si>
  <si>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</si>
  <si>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</si>
  <si>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</si>
  <si>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</si>
  <si>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</si>
  <si>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</si>
  <si>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</si>
  <si>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t xml:space="preserve">2026-10-14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</si>
  <si>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</si>
  <si>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鴻海（</t>
    </r>
    <r>
      <rPr>
        <sz val="11"/>
        <color theme="1"/>
        <rFont val="Calibri"/>
        <family val="2"/>
        <charset val="1"/>
      </rPr>
      <t xml:space="preserve">Hon Hai</t>
    </r>
    <r>
      <rPr>
        <sz val="11"/>
        <color theme="1"/>
        <rFont val="Noto Sans CJK SC"/>
        <family val="2"/>
      </rPr>
      <t xml:space="preserve">）</t>
    </r>
  </si>
  <si>
    <t xml:space="preserve">2317.TW</t>
  </si>
  <si>
    <t xml:space="preserve">2026-10-19</t>
  </si>
  <si>
    <r>
      <rPr>
        <sz val="11"/>
        <color theme="1"/>
        <rFont val="Noto Sans CJK SC"/>
        <family val="2"/>
      </rPr>
      <t xml:space="preserve">英業達（</t>
    </r>
    <r>
      <rPr>
        <sz val="11"/>
        <color theme="1"/>
        <rFont val="Calibri"/>
        <family val="2"/>
        <charset val="1"/>
      </rPr>
      <t xml:space="preserve">Inventec</t>
    </r>
    <r>
      <rPr>
        <sz val="11"/>
        <color theme="1"/>
        <rFont val="Noto Sans CJK SC"/>
        <family val="2"/>
      </rPr>
      <t xml:space="preserve">）</t>
    </r>
  </si>
  <si>
    <t xml:space="preserve">2356.TW</t>
  </si>
  <si>
    <t xml:space="preserve">2026-08-14</t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</si>
  <si>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；緯創子公司）</t>
    </r>
  </si>
  <si>
    <t xml:space="preserve">6669.TW</t>
  </si>
  <si>
    <t xml:space="preserve">2026-10-02</t>
  </si>
  <si>
    <r>
      <rPr>
        <sz val="11"/>
        <color theme="1"/>
        <rFont val="Noto Sans CJK SC"/>
        <family val="2"/>
      </rPr>
      <t xml:space="preserve">美超微（</t>
    </r>
    <r>
      <rPr>
        <sz val="11"/>
        <color theme="1"/>
        <rFont val="Calibri"/>
        <family val="2"/>
        <charset val="1"/>
      </rPr>
      <t xml:space="preserve">Supermicro</t>
    </r>
    <r>
      <rPr>
        <sz val="11"/>
        <color theme="1"/>
        <rFont val="Noto Sans CJK SC"/>
        <family val="2"/>
      </rPr>
      <t xml:space="preserve">）</t>
    </r>
  </si>
  <si>
    <t xml:space="preserve">SMCI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</si>
  <si>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</si>
  <si>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</si>
  <si>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同業：廣達、鴻海、英業達、緯穎、美超微（券商常用比較組；不含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</si>
  <si>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</si>
  <si>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</si>
  <si>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</si>
  <si>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</si>
  <si>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</si>
  <si>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</si>
  <si>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</si>
  <si>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</si>
  <si>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</si>
  <si>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</si>
  <si>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268.71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275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165–400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2026-09-16 </t>
    </r>
    <r>
      <rPr>
        <sz val="11"/>
        <color theme="1"/>
        <rFont val="Noto Sans CJK SC"/>
        <family val="2"/>
      </rPr>
      <t xml:space="preserve">擷取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</si>
  <si>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</si>
  <si>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</si>
  <si>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</si>
  <si>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</si>
  <si>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09-29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</si>
  <si>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</si>
  <si>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</si>
  <si>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</si>
  <si>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</si>
  <si>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缺）的分位（低於十年最小值記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</si>
  <si>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</si>
  <si>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：股東現金流＝歸屬母公司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明確期＋永續；組裝廠資本支出相對淨利不高，未改用淨利＋折舊－資本支出。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高於法人說法，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：廣達、鴻海、英業達、緯穎、美超微前瞻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股）；英業達價格日期為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月、緯穎為子公司，同業倍數低（伺服器組裝的低利潤率）。情境對應：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</si>
  <si>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</si>
  <si>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</si>
  <si>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</si>
  <si>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</si>
  <si>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</si>
  <si>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</si>
  <si>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</si>
  <si>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</si>
  <si>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</si>
  <si>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</si>
  <si>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</si>
  <si>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</si>
  <si>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</si>
  <si>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</si>
  <si>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</si>
  <si>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</si>
  <si>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</si>
  <si>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</si>
  <si>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</si>
  <si>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</si>
  <si>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</si>
  <si>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</si>
  <si>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</si>
  <si>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</si>
  <si>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</si>
  <si>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</si>
  <si>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</si>
  <si>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</si>
  <si>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</si>
  <si>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</si>
  <si>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</si>
  <si>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</si>
  <si>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</si>
  <si>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</si>
  <si>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兩來源皆未找到）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</si>
  <si>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</si>
  <si>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</si>
  <si>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</si>
  <si>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</si>
  <si>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</si>
  <si>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</si>
  <si>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</si>
  <si>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</si>
  <si>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</si>
  <si>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</si>
  <si>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</si>
  <si>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</si>
  <si>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</si>
  <si>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</si>
  <si>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</si>
  <si>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</si>
  <si>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年、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年緯創以筆電代工為主（約 </t>
    </r>
    <r>
      <rPr>
        <sz val="11"/>
        <color theme="1"/>
        <rFont val="Calibri"/>
        <family val="2"/>
        <charset val="1"/>
      </rPr>
      <t xml:space="preserve">7–16x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伺服器重新定價（</t>
    </r>
    <r>
      <rPr>
        <sz val="11"/>
        <color theme="1"/>
        <rFont val="Calibri"/>
        <family val="2"/>
        <charset val="1"/>
      </rPr>
      <t xml:space="preserve">17–24x</t>
    </r>
    <r>
      <rPr>
        <sz val="11"/>
        <color theme="1"/>
        <rFont val="Noto Sans CJK SC"/>
        <family val="2"/>
      </rPr>
      <t xml:space="preserve">），規則值可能低估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</si>
  <si>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</si>
  <si>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</si>
  <si>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；未還原除息；</t>
    </r>
    <r>
      <rPr>
        <sz val="11"/>
        <color theme="1"/>
        <rFont val="Calibri"/>
        <family val="2"/>
        <charset val="1"/>
      </rPr>
      <t xml:space="preserve">2016 EPS </t>
    </r>
    <r>
      <rPr>
        <sz val="11"/>
        <color theme="1"/>
        <rFont val="Noto Sans CJK SC"/>
        <family val="2"/>
      </rPr>
      <t xml:space="preserve">未找到）；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</si>
  <si>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</si>
  <si>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</si>
  <si>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</si>
  <si>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</si>
  <si>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</si>
  <si>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</si>
  <si>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</si>
  <si>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</si>
  <si>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</si>
  <si>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</si>
  <si>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</si>
  <si>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</si>
  <si>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</si>
  <si>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</si>
  <si>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</si>
  <si>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</si>
  <si>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</si>
  <si>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</si>
  <si>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</si>
  <si>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</si>
  <si>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</si>
  <si>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</si>
  <si>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</si>
  <si>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</si>
  <si>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</si>
  <si>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</si>
  <si>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</si>
  <si>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</si>
  <si>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</si>
  <si>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</si>
  <si>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</si>
  <si>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</si>
  <si>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</si>
  <si>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</si>
  <si>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</si>
  <si>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</si>
  <si>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</si>
  <si>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</si>
  <si>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</si>
  <si>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</si>
  <si>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</si>
  <si>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</si>
  <si>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</si>
  <si>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</si>
  <si>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</si>
  <si>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</si>
  <si>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緯創</t>
  </si>
  <si>
    <t xml:space="preserve">3231.TW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</si>
  <si>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</si>
  <si>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3231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</si>
  <si>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</si>
  <si>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2382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</si>
  <si>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</si>
  <si>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2356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</si>
  <si>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6669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</si>
  <si>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SMCI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</si>
  <si>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</si>
  <si>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</si>
  <si>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</si>
  <si>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</si>
  <si>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</si>
  <si>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</si>
  <si>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</si>
  <si>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</si>
  <si>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</si>
  <si>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</si>
  <si>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</si>
  <si>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</si>
  <si>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</si>
  <si>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</si>
  <si>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共識、券商估計與櫃數調查。只作事後對照，不為對上數字而調參數。券商多未具名或單一來源；共識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</si>
  <si>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</si>
  <si>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</si>
  <si>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</si>
  <si>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</si>
  <si>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</si>
  <si>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</si>
  <si>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</si>
  <si>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</si>
  <si>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</si>
  <si>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</si>
  <si>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09-16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</si>
  <si>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</si>
  <si>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營收創高後，共識可能上修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</si>
  <si>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</si>
  <si>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2026-05-08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</si>
  <si>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法人下限說法（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元以上）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</si>
  <si>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法人樂觀說法中點（</t>
    </r>
    <r>
      <rPr>
        <sz val="11"/>
        <color theme="1"/>
        <rFont val="Calibri"/>
        <family val="2"/>
        <charset val="1"/>
      </rPr>
      <t xml:space="preserve">23.3–26.4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</si>
  <si>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05-08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</si>
  <si>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財報前，偏舊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</si>
  <si>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營收年增（模型）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</si>
  <si>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緯穎（子公司）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凱基緯穎報告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</si>
  <si>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</si>
  <si>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</si>
  <si>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緯穎月營收大增，高於凱基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</si>
  <si>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</si>
  <si>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</si>
  <si>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緯穎對歸屬母公司淨利的貢獻比重（模型）</t>
    </r>
  </si>
  <si>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37.68% × </t>
    </r>
    <r>
      <rPr>
        <sz val="11"/>
        <color theme="1"/>
        <rFont val="Noto Sans CJK SC"/>
        <family val="2"/>
      </rPr>
      <t xml:space="preserve">緯穎淨利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歸屬母公司淨利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</si>
  <si>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櫃數與份額（機制檢查）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</si>
  <si>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隱含本體出貨櫃數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萬櫃（千櫃）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</si>
  <si>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系統營收為殘差；凱基口徑（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是否含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）不明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</si>
  <si>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中緯創的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櫃數份額（百分點）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</si>
  <si>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（美系券商）</t>
    </r>
  </si>
  <si>
    <r>
      <rPr>
        <sz val="11"/>
        <color theme="1"/>
        <rFont val="Noto Sans CJK SC"/>
        <family val="2"/>
      </rPr>
      <t xml:space="preserve">口徑不同：本模型分母為全部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組裝市場</t>
    </r>
  </si>
  <si>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月調查年化櫃數（</t>
    </r>
    <r>
      <rPr>
        <sz val="11"/>
        <color theme="1"/>
        <rFont val="Calibri"/>
        <family val="2"/>
        <charset val="1"/>
      </rPr>
      <t xml:space="preserve">2,300–2,400 × 12</t>
    </r>
    <r>
      <rPr>
        <sz val="11"/>
        <color theme="1"/>
        <rFont val="Noto Sans CJK SC"/>
        <family val="2"/>
      </rPr>
      <t xml:space="preserve">；千櫃）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隱含本體櫃數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</si>
  <si>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</si>
  <si>
    <t xml:space="preserve">調查可能含緯穎或運算托盤口徑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</si>
  <si>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基板營收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凱基「超過千億」（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</si>
  <si>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brd_26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110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</si>
  <si>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本體一般伺服器與交換器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凱基交換器 </t>
    </r>
    <r>
      <rPr>
        <sz val="11"/>
        <color theme="1"/>
        <rFont val="Calibri"/>
        <family val="2"/>
        <charset val="1"/>
      </rPr>
      <t xml:space="preserve">160–180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</si>
  <si>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本模型含一般伺服器（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</si>
  <si>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合併與歸母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</si>
  <si>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非控制權益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合併淨利</t>
    </r>
  </si>
  <si>
    <t xml:space="preserve">合併淨利約四成歸緯穎的少數股東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</si>
  <si>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</si>
  <si>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</si>
  <si>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</si>
  <si>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</si>
  <si>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</si>
  <si>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恆等於錨點，份額與本體毛利率在每個案例內依錨點重算）：對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合併營收、合併毛利率與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</si>
  <si>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</si>
  <si>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</si>
  <si>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</si>
  <si>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</si>
  <si>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</si>
  <si>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</si>
  <si>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</si>
  <si>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</si>
  <si>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</si>
  <si>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</si>
  <si>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</si>
  <si>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</si>
  <si>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</si>
  <si>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</si>
  <si>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</si>
  <si>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本體份額流失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</si>
  <si>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</si>
  <si>
    <t xml:space="preserve">本體份額上升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</si>
  <si>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1.15</t>
    </r>
  </si>
  <si>
    <t xml:space="preserve">緯穎份額流失</t>
  </si>
  <si>
    <t xml:space="preserve">緯穎份額上升</t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</si>
  <si>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1.2</t>
    </r>
  </si>
  <si>
    <t xml:space="preserve">客供 高</t>
  </si>
  <si>
    <r>
      <rPr>
        <sz val="11"/>
        <color theme="1"/>
        <rFont val="Noto Sans CJK SC"/>
        <family val="2"/>
      </rPr>
      <t xml:space="preserve">客供比例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</si>
  <si>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客供保留毛利 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</si>
  <si>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Noto Sans CJK SC"/>
        <family val="2"/>
      </rPr>
      <t xml:space="preserve">客供部分只保留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</si>
  <si>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低</t>
    </r>
  </si>
  <si>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價值 </t>
    </r>
    <r>
      <rPr>
        <sz val="11"/>
        <color theme="1"/>
        <rFont val="Calibri"/>
        <family val="2"/>
        <charset val="1"/>
      </rPr>
      <t xml:space="preserve">×0.85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</si>
  <si>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 高</t>
    </r>
  </si>
  <si>
    <t xml:space="preserve">基板份額 低</t>
  </si>
  <si>
    <r>
      <rPr>
        <sz val="11"/>
        <color theme="1"/>
        <rFont val="Calibri"/>
        <family val="2"/>
        <charset val="1"/>
      </rPr>
      <t xml:space="preserve">2027 0.8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2029 0.65</t>
    </r>
  </si>
  <si>
    <t xml:space="preserve">基板每顆金額 高</t>
  </si>
  <si>
    <r>
      <rPr>
        <sz val="11"/>
        <color theme="1"/>
        <rFont val="Calibri"/>
        <family val="2"/>
        <charset val="1"/>
      </rPr>
      <t xml:space="preserve">2027 1.4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1.5</t>
    </r>
  </si>
  <si>
    <r>
      <rPr>
        <sz val="11"/>
        <color theme="1"/>
        <rFont val="Noto Sans CJK SC"/>
        <family val="2"/>
      </rPr>
      <t xml:space="preserve">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</si>
  <si>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基準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</si>
  <si>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緯穎營益率 </t>
    </r>
    <r>
      <rPr>
        <sz val="11"/>
        <color theme="1"/>
        <rFont val="Calibri"/>
        <family val="2"/>
        <charset val="1"/>
      </rPr>
      <t xml:space="preserve">5.5%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</si>
  <si>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6.5%</t>
    </r>
  </si>
  <si>
    <r>
      <rPr>
        <sz val="11"/>
        <color theme="1"/>
        <rFont val="Noto Sans CJK SC"/>
        <family val="2"/>
      </rPr>
      <t xml:space="preserve">緯穎營益率 </t>
    </r>
    <r>
      <rPr>
        <sz val="11"/>
        <color theme="1"/>
        <rFont val="Calibri"/>
        <family val="2"/>
        <charset val="1"/>
      </rPr>
      <t xml:space="preserve">7.5%</t>
    </r>
  </si>
  <si>
    <r>
      <rPr>
        <sz val="11"/>
        <color theme="1"/>
        <rFont val="Noto Sans CJK SC"/>
        <family val="2"/>
      </rPr>
      <t xml:space="preserve">本體淨利係數 </t>
    </r>
    <r>
      <rPr>
        <sz val="11"/>
        <color theme="1"/>
        <rFont val="Calibri"/>
        <family val="2"/>
        <charset val="1"/>
      </rPr>
      <t xml:space="preserve">0.45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</si>
  <si>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0.56</t>
    </r>
  </si>
  <si>
    <r>
      <rPr>
        <sz val="11"/>
        <color theme="1"/>
        <rFont val="Noto Sans CJK SC"/>
        <family val="2"/>
      </rPr>
      <t xml:space="preserve">本體淨利係數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</si>
  <si>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Noto Sans CJK SC"/>
        <family val="2"/>
      </rPr>
      <t xml:space="preserve">緯穎持股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</si>
  <si>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37.68%</t>
    </r>
  </si>
  <si>
    <r>
      <rPr>
        <sz val="11"/>
        <color theme="1"/>
        <rFont val="Noto Sans CJK SC"/>
        <family val="2"/>
      </rPr>
      <t xml:space="preserve">本體營業費用率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</si>
  <si>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本體營收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</si>
  <si>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</si>
  <si>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</si>
  <si>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</si>
  <si>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</si>
  <si>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起。緯穎持股比例只影響歸屬母公司淨利（合併營收與毛利率不變）；客供案例同時改變營收與毛利率，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只受保留毛利比例影響。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</si>
  <si>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</si>
  <si>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</si>
  <si>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</si>
  <si>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</si>
  <si>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</si>
  <si>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</si>
  <si>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</si>
  <si>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</si>
  <si>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</si>
  <si>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</si>
  <si>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</si>
  <si>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</si>
  <si>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</si>
  <si>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</si>
  <si>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</si>
  <si>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</si>
  <si>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</si>
  <si>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</si>
  <si>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案例區塊：本體份額上升（情境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</si>
  <si>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案例區塊：緯穎份額流失（情境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</si>
  <si>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案例區塊：緯穎份額上升（情境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</si>
  <si>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</si>
  <si>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案例區塊：客供保留毛利 </t>
    </r>
    <r>
      <rPr>
        <b val="true"/>
        <sz val="11"/>
        <rFont val="Cambria"/>
        <family val="0"/>
        <charset val="1"/>
      </rPr>
      <t xml:space="preserve">0.7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</si>
  <si>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</si>
  <si>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</si>
  <si>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案例區塊：基板份額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</si>
  <si>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案例區塊：基板每顆金額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</si>
  <si>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</si>
  <si>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案例區塊：緯穎營益率 </t>
    </r>
    <r>
      <rPr>
        <b val="true"/>
        <sz val="11"/>
        <rFont val="Cambria"/>
        <family val="0"/>
        <charset val="1"/>
      </rPr>
      <t xml:space="preserve">5.5%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</si>
  <si>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案例區塊：緯穎營益率 </t>
    </r>
    <r>
      <rPr>
        <b val="true"/>
        <sz val="11"/>
        <rFont val="Cambria"/>
        <family val="0"/>
        <charset val="1"/>
      </rPr>
      <t xml:space="preserve">7.5%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</si>
  <si>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案例區塊：本體淨利係數 </t>
    </r>
    <r>
      <rPr>
        <b val="true"/>
        <sz val="11"/>
        <rFont val="Cambria"/>
        <family val="0"/>
        <charset val="1"/>
      </rPr>
      <t xml:space="preserve">0.45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</si>
  <si>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案例區塊：本體淨利係數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</si>
  <si>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案例區塊：緯穎持股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</si>
  <si>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案例區塊：本體營業費用率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</si>
  <si>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來源（公司原文只經法說摘要與新聞轉述，原始簡報待人工複核；券商與資料商皆為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</si>
  <si>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公司（摘要）：鉅亨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營收、毛利率、營益率、淨利、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伺服器展望、</t>
    </r>
    <r>
      <rPr>
        <sz val="11"/>
        <color theme="1"/>
        <rFont val="Calibri"/>
        <family val="2"/>
        <charset val="1"/>
      </rPr>
      <t xml:space="preserve">L10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L11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GDR</t>
    </r>
    <r>
      <rPr>
        <sz val="11"/>
        <color theme="1"/>
        <rFont val="Noto Sans CJK SC"/>
        <family val="2"/>
      </rPr>
      <t xml:space="preserve">）</t>
    </r>
  </si>
  <si>
    <t xml:space="preserve">https://news.cnyes.com/news/id/6559382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</si>
  <si>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營收、毛利率、營益率、淨利 </t>
    </r>
    <r>
      <rPr>
        <sz val="11"/>
        <color theme="1"/>
        <rFont val="Calibri"/>
        <family val="2"/>
        <charset val="1"/>
      </rPr>
      <t xml:space="preserve">244.58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7.78</t>
    </r>
    <r>
      <rPr>
        <sz val="11"/>
        <color theme="1"/>
        <rFont val="Noto Sans CJK SC"/>
        <family val="2"/>
      </rPr>
      <t xml:space="preserve">；資本支出）</t>
    </r>
  </si>
  <si>
    <t xml:space="preserve">https://uanalyze.com.tw/articles/5392152784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</si>
  <si>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2.19 </t>
    </r>
    <r>
      <rPr>
        <sz val="11"/>
        <color theme="1"/>
        <rFont val="Noto Sans CJK SC"/>
        <family val="2"/>
      </rPr>
      <t xml:space="preserve">兆、毛利率 </t>
    </r>
    <r>
      <rPr>
        <sz val="11"/>
        <color theme="1"/>
        <rFont val="Calibri"/>
        <family val="2"/>
        <charset val="1"/>
      </rPr>
      <t xml:space="preserve">6.13%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3.59%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274.08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9.04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</si>
  <si>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https://uanalyze.com.tw/articles/6054848921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</si>
  <si>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7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</si>
  <si>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https://finance.technews.tw/2026/08/07/wistron-3231-202607-financial-report/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</si>
  <si>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8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</si>
  <si>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https://finance.technews.tw/2026/09/09/wistron-3231-202608-financial-report/</t>
  </si>
  <si>
    <r>
      <rPr>
        <sz val="11"/>
        <color theme="1"/>
        <rFont val="Noto Sans CJK SC"/>
        <family val="2"/>
      </rPr>
      <t xml:space="preserve">公司：月營收公告（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月）</t>
    </r>
  </si>
  <si>
    <t xml:space="preserve">https://finance.technews.tw/2026/10/08/wistron-3231-202609-financial-report/</t>
  </si>
  <si>
    <r>
      <rPr>
        <sz val="11"/>
        <color theme="1"/>
        <rFont val="Noto Sans CJK SC"/>
        <family val="2"/>
      </rPr>
      <t xml:space="preserve">公司（摘要）：優分析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1.15 </t>
    </r>
    <r>
      <rPr>
        <sz val="11"/>
        <color theme="1"/>
        <rFont val="Noto Sans CJK SC"/>
        <family val="2"/>
      </rPr>
      <t xml:space="preserve">兆、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展望）</t>
    </r>
  </si>
  <si>
    <t xml:space="preserve">https://uanalyze.com.tw/articles/5406456758</t>
  </si>
  <si>
    <r>
      <rPr>
        <sz val="11"/>
        <color theme="1"/>
        <rFont val="Noto Sans CJK SC"/>
        <family val="2"/>
      </rPr>
      <t xml:space="preserve">緯穎（摘要）：富果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營收、毛利、營業利益、淨利、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展望）</t>
    </r>
  </si>
  <si>
    <t xml:space="preserve">https://blog.fugle.tw/post/earnings-call-6669-2026-02-26-2</t>
  </si>
  <si>
    <r>
      <rPr>
        <sz val="11"/>
        <color theme="1"/>
        <rFont val="Noto Sans CJK SC"/>
        <family val="2"/>
      </rPr>
      <t xml:space="preserve">緯穎（摘要）：優分析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營收、毛利率、營益率、淨利）</t>
    </r>
  </si>
  <si>
    <t xml:space="preserve">https://uanalyze.com.tw/articles/3734153022</t>
  </si>
  <si>
    <r>
      <rPr>
        <sz val="11"/>
        <color theme="1"/>
        <rFont val="Noto Sans CJK SC"/>
        <family val="2"/>
      </rPr>
      <t xml:space="preserve">緯穎：月營收公告（</t>
    </r>
    <r>
      <rPr>
        <sz val="11"/>
        <color theme="1"/>
        <rFont val="Calibri"/>
        <family val="2"/>
        <charset val="1"/>
      </rPr>
      <t xml:space="preserve">TechNews 9 </t>
    </r>
    <r>
      <rPr>
        <sz val="11"/>
        <color theme="1"/>
        <rFont val="Noto Sans CJK SC"/>
        <family val="2"/>
      </rPr>
      <t xml:space="preserve">月；前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9,892.78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</si>
  <si>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https://finance.technews.tw/2026/10/08/wiwynn-6669-202609-financial-report/</t>
  </si>
  <si>
    <r>
      <rPr>
        <sz val="11"/>
        <color theme="1"/>
        <rFont val="Noto Sans CJK SC"/>
        <family val="2"/>
      </rPr>
      <t xml:space="preserve">券商：凱基緯創報告 </t>
    </r>
    <r>
      <rPr>
        <sz val="11"/>
        <color theme="1"/>
        <rFont val="Calibri"/>
        <family val="2"/>
        <charset val="1"/>
      </rPr>
      <t xml:space="preserve">2026-05-08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、伺服器占比、零組件、櫃數、交換器）</t>
    </r>
  </si>
  <si>
    <t xml:space="preserve">https://www.kgi.com.hk/zh-cn/-/media/files/kgishk/research-reports/tw-reports/wistron_3231-tt_08052026e.pdf</t>
  </si>
  <si>
    <r>
      <rPr>
        <sz val="11"/>
        <color theme="1"/>
        <rFont val="Noto Sans CJK SC"/>
        <family val="2"/>
      </rPr>
      <t xml:space="preserve">券商：凱基緯穎報告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（緯穎 </t>
    </r>
    <r>
      <rPr>
        <sz val="11"/>
        <color theme="1"/>
        <rFont val="Calibri"/>
        <family val="2"/>
        <charset val="1"/>
      </rPr>
      <t xml:space="preserve">2025A–2027F</t>
    </r>
    <r>
      <rPr>
        <sz val="11"/>
        <color theme="1"/>
        <rFont val="Noto Sans CJK SC"/>
        <family val="2"/>
      </rPr>
      <t xml:space="preserve">、緯創持股 </t>
    </r>
    <r>
      <rPr>
        <sz val="11"/>
        <color theme="1"/>
        <rFont val="Calibri"/>
        <family val="2"/>
        <charset val="1"/>
      </rPr>
      <t xml:space="preserve">37.68%</t>
    </r>
    <r>
      <rPr>
        <sz val="11"/>
        <color theme="1"/>
        <rFont val="Noto Sans CJK SC"/>
        <family val="2"/>
      </rPr>
      <t xml:space="preserve">）</t>
    </r>
  </si>
  <si>
    <t xml:space="preserve">https://www.kgi.com.hk/zh-hk/-/media/files/kgishk/research-reports/tw-reports/wiwynn-6669-tt20260728en.pdf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</si>
  <si>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CMoney 2024-08-01</t>
    </r>
    <r>
      <rPr>
        <sz val="11"/>
        <color theme="1"/>
        <rFont val="Noto Sans CJK SC"/>
        <family val="2"/>
      </rPr>
      <t xml:space="preserve">（緯創持有緯穎 </t>
    </r>
    <r>
      <rPr>
        <sz val="11"/>
        <color theme="1"/>
        <rFont val="Calibri"/>
        <family val="2"/>
        <charset val="1"/>
      </rPr>
      <t xml:space="preserve">42.66%</t>
    </r>
    <r>
      <rPr>
        <sz val="11"/>
        <color theme="1"/>
        <rFont val="Noto Sans CJK SC"/>
        <family val="2"/>
      </rPr>
      <t xml:space="preserve">）</t>
    </r>
  </si>
  <si>
    <t xml:space="preserve">https://www.cmoney.tw/notes/note-detail.aspx?nid=851483</t>
  </si>
  <si>
    <r>
      <rPr>
        <sz val="11"/>
        <color theme="1"/>
        <rFont val="Noto Sans CJK SC"/>
        <family val="2"/>
      </rPr>
      <t xml:space="preserve">媒體：財報狗 </t>
    </r>
    <r>
      <rPr>
        <sz val="11"/>
        <color theme="1"/>
        <rFont val="Calibri"/>
        <family val="2"/>
        <charset val="1"/>
      </rPr>
      <t xml:space="preserve">GDR </t>
    </r>
    <r>
      <rPr>
        <sz val="11"/>
        <color theme="1"/>
        <rFont val="Noto Sans CJK SC"/>
        <family val="2"/>
      </rPr>
      <t xml:space="preserve">新聞（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億股、</t>
    </r>
    <r>
      <rPr>
        <sz val="11"/>
        <color theme="1"/>
        <rFont val="Calibri"/>
        <family val="2"/>
        <charset val="1"/>
      </rPr>
      <t xml:space="preserve">NT$186.24</t>
    </r>
    <r>
      <rPr>
        <sz val="11"/>
        <color theme="1"/>
        <rFont val="Noto Sans CJK SC"/>
        <family val="2"/>
      </rPr>
      <t xml:space="preserve">、稀釋 </t>
    </r>
    <r>
      <rPr>
        <sz val="11"/>
        <color theme="1"/>
        <rFont val="Calibri"/>
        <family val="2"/>
        <charset val="1"/>
      </rPr>
      <t xml:space="preserve">7.29%</t>
    </r>
    <r>
      <rPr>
        <sz val="11"/>
        <color theme="1"/>
        <rFont val="Noto Sans CJK SC"/>
        <family val="2"/>
      </rPr>
      <t xml:space="preserve">）</t>
    </r>
  </si>
  <si>
    <t xml:space="preserve">https://statementdog.com/news/17618</t>
  </si>
  <si>
    <r>
      <rPr>
        <sz val="11"/>
        <color theme="1"/>
        <rFont val="Noto Sans CJK SC"/>
        <family val="2"/>
      </rPr>
      <t xml:space="preserve">券商：經濟日報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櫃數調查）</t>
    </r>
  </si>
  <si>
    <t xml:space="preserve">https://money.udn.com/money/amp/story/5607/9745501</t>
  </si>
  <si>
    <r>
      <rPr>
        <sz val="11"/>
        <color theme="1"/>
        <rFont val="Noto Sans CJK SC"/>
        <family val="2"/>
      </rPr>
      <t xml:space="preserve">券商：旺得富 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（法人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、目標價）</t>
    </r>
  </si>
  <si>
    <t xml:space="preserve">https://wantrich.chinatimes.com/news/20260810900002-420101</t>
  </si>
  <si>
    <r>
      <rPr>
        <sz val="11"/>
        <color theme="1"/>
        <rFont val="Noto Sans CJK SC"/>
        <family val="2"/>
      </rPr>
      <t xml:space="preserve">券商：工商時報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（本國投顧目標價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）</t>
    </r>
  </si>
  <si>
    <t xml:space="preserve">https://www.ctee.com.tw/news/20260805700302-430203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</si>
  <si>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190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</si>
  <si>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https://statementdog.com/analysis/3231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</si>
  <si>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報價頁（前瞻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、股數）</t>
    </r>
  </si>
  <si>
    <t xml:space="preserve">https://stockanalysis.com/quote/tpe/3231/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</si>
  <si>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預估頁（共識營收、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</si>
  <si>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https://stockanalysis.com/quote/tpe/3231/forecast/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</si>
  <si>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財報與比率頁（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損益、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</si>
  <si>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https://stockanalysis.com/quote/tpe/3231/financials/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</si>
  <si>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</t>
    </r>
  </si>
  <si>
    <t xml:space="preserve">https://stockanalysis.com/quote/tpe/3231/financials/ratios/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</si>
  <si>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歷年經營績效（年底收盤、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</si>
  <si>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https://goodinfo.tw/tw/StockBzPerformance.asp?STOCK_ID=3231&amp;RPT_CAT=M_YEAR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</si>
  <si>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（廣達、鴻海、英業達、緯穎、美超微各報價頁）</t>
    </r>
  </si>
  <si>
    <r>
      <rPr>
        <sz val="11"/>
        <color theme="1"/>
        <rFont val="Calibri"/>
        <family val="2"/>
        <charset val="1"/>
      </rPr>
      <t xml:space="preserve">https://stockanalysis.com/quote/tpe/2382/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https://stockanalysis.com/quote/tpe/2317/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https://stockanalysis.com/quote/tpe/2356/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https://stockanalysis.com/quote/tpe/6669/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https://stockanalysis.com/stocks/smci/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</si>
  <si>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foxconn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</si>
  <si>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quanta/dist/20261030_</t>
    </r>
    <r>
      <rPr>
        <sz val="11"/>
        <color theme="1"/>
        <rFont val="Noto Sans CJK SC"/>
        <family val="2"/>
      </rPr>
      <t xml:space="preserve">廣達個股模型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foxconn/dist/20261030_</t>
    </r>
    <r>
      <rPr>
        <sz val="11"/>
        <color theme="1"/>
        <rFont val="Noto Sans CJK SC"/>
        <family val="2"/>
      </rPr>
      <t xml:space="preserve">鴻海個股模型</t>
    </r>
    <r>
      <rPr>
        <sz val="11"/>
        <color theme="1"/>
        <rFont val="Calibri"/>
        <family val="2"/>
        <charset val="1"/>
      </rPr>
      <t xml:space="preserve">_v0.3.1.xlsx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</si>
  <si>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）；緯創本體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基板、一般伺服器的金額（公司未揭露）；非控制權益金額；業外與稅前利益；客供比例的量化；</t>
    </r>
    <r>
      <rPr>
        <sz val="11"/>
        <color theme="1"/>
        <rFont val="Calibri"/>
        <family val="2"/>
        <charset val="1"/>
      </rPr>
      <t xml:space="preserve">2016 EPS</t>
    </r>
    <r>
      <rPr>
        <sz val="11"/>
        <color theme="1"/>
        <rFont val="Noto Sans CJK SC"/>
        <family val="2"/>
      </rPr>
      <t xml:space="preserve">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</si>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</sst>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%"/>
    <numFmt numFmtId="170" formatCode="#,##0.0"/>
    <numFmt numFmtId="171" formatCode="0.0"/>
    <numFmt numFmtId="172" formatCode="#,##0"/>
    <numFmt numFmtId="173" formatCode="#,##0.00"/>
    <numFmt numFmtId="174" formatCode="0.0000"/>
    <numFmt numFmtId="175" formatCode="0.000"/>
    <numFmt numFmtId="176" formatCode="@"/>
    <numFmt numFmtId="177" formatCode="0%"/>
    <numFmt numFmtId="17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1" t="str">
        <f aca="false">"投資建議："&amp;Val!B136&amp;"（依上檔空間固定規則）"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0" t="str">
        <f aca="false">"重點觀察 1：目標價 NT$"&amp;TEXT(Val!$B$39,"0.00")&amp;"（DCF "&amp;TEXT(Val!$B$24,"0.00")&amp;"、Comparable（相對倍數調整後）"&amp;TEXT(tp_comp_adj,"0.00")&amp;"；DCF 權重 "&amp;TEXT(tp_w_dcf,"0%")&amp;"），比現價 "&amp;TEXT(px,"0.00")&amp;"（2026-10-22）"&amp;IF(Val!$B$42&gt;=0,"高 "&amp;TEXT(Val!$B$42,"0.0%"),"低 "&amp;TEXT(-Val!$B$42,"0.0%"))&amp;"，級距 "&amp;Val!$B$135&amp;"、投資建議 "&amp;Val!$B$136&amp;"。相對倍數調整係數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EPS 不是倍數：本模型 12 個月後前瞻 EPS 27.56 比共識前瞻 EPS 18.68 高 47.5%（兩者期間差約一年；FY2027 EPS 27.58 也比法人樂觀說法中點 24.85 高 11.0%），同業（廣達、鴻海、英業達、緯穎、美超微）前瞻 P/E 中位數 11.4 倍與現價隱含 10.2 倍相近"&amp;"；DCF（ROE 20.2%）比 Comparable 高 26.7%，再把目標價往上拉。"</f>
        <v>重點觀察 1：目標價 NT$332.77（DCF 390.01、Comparable（相對倍數調整後）275.53；DCF 權重 50%），比現價 190.00（2026-10-22）高 75.1%，級距 大於 50%、投資建議 強力買進。相對倍數調整係數 0.89（本公司 10 年前瞻倍數中位數 ÷ 同業的中位數，夾在 0.5–2.0；Val 第 0.5 節），調整前加權上檔空間 +83.9%；Comparable 單獨（市場主流同業法、未調整）為 +62.5%。以下為 2026-10-29 相對倍數調整前撰寫的說明，其中數字為調整前：主因是 EPS 不是倍數：本模型 12 個月後前瞻 EPS 27.56 比共識前瞻 EPS 18.68 高 47.5%（兩者期間差約一年；FY2027 EPS 27.58 也比法人樂觀說法中點 24.85 高 11.0%），同業（廣達、鴻海、英業達、緯穎、美超微）前瞻 P/E 中位數 11.4 倍與現價隱含 10.2 倍相近；DCF（ROE 20.2%）比 Comparable 高 26.7%，再把目標價往上拉。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4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781.872916666666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1565.35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1984.26388888889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2260.39027777778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32</v>
      </c>
      <c r="E9" s="7" t="n">
        <v>32.237224</v>
      </c>
      <c r="G9" s="8" t="s">
        <v>33</v>
      </c>
      <c r="H9" s="8" t="s">
        <v>45</v>
      </c>
      <c r="I9" s="8" t="s">
        <v>46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0" t="s">
        <v>32</v>
      </c>
      <c r="E10" s="7" t="n">
        <v>37.586352</v>
      </c>
      <c r="G10" s="8" t="s">
        <v>33</v>
      </c>
      <c r="H10" s="8" t="s">
        <v>45</v>
      </c>
      <c r="I10" s="4" t="s">
        <v>49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52</v>
      </c>
      <c r="D11" s="7" t="n">
        <v>0.15</v>
      </c>
      <c r="E11" s="7" t="n">
        <v>0.22</v>
      </c>
      <c r="F11" s="7" t="n">
        <v>0.3</v>
      </c>
      <c r="G11" s="8" t="s">
        <v>33</v>
      </c>
      <c r="H11" s="8" t="s">
        <v>53</v>
      </c>
      <c r="I11" s="4" t="s">
        <v>54</v>
      </c>
    </row>
    <row r="12" customFormat="false" ht="17.15" hidden="false" customHeight="false" outlineLevel="0" collapsed="false">
      <c r="A12" s="0" t="s">
        <v>55</v>
      </c>
      <c r="B12" s="4" t="s">
        <v>56</v>
      </c>
      <c r="C12" s="4" t="s">
        <v>57</v>
      </c>
      <c r="E12" s="7" t="n">
        <v>6764</v>
      </c>
      <c r="G12" s="8" t="s">
        <v>33</v>
      </c>
      <c r="H12" s="8" t="s">
        <v>58</v>
      </c>
      <c r="I12" s="8" t="s">
        <v>59</v>
      </c>
    </row>
    <row r="13" customFormat="false" ht="17.15" hidden="false" customHeight="false" outlineLevel="0" collapsed="false">
      <c r="A13" s="0" t="s">
        <v>60</v>
      </c>
      <c r="B13" s="4" t="s">
        <v>61</v>
      </c>
      <c r="C13" s="4" t="s">
        <v>57</v>
      </c>
      <c r="E13" s="7" t="n">
        <v>4052</v>
      </c>
      <c r="G13" s="8" t="s">
        <v>33</v>
      </c>
      <c r="H13" s="8" t="s">
        <v>58</v>
      </c>
      <c r="I13" s="4" t="s">
        <v>38</v>
      </c>
    </row>
    <row r="14" customFormat="false" ht="17.15" hidden="false" customHeight="false" outlineLevel="0" collapsed="false">
      <c r="A14" s="0" t="s">
        <v>62</v>
      </c>
      <c r="B14" s="4" t="s">
        <v>63</v>
      </c>
      <c r="C14" s="0" t="s">
        <v>64</v>
      </c>
      <c r="E14" s="7" t="n">
        <v>1</v>
      </c>
      <c r="G14" s="8" t="s">
        <v>65</v>
      </c>
      <c r="H14" s="8" t="s">
        <v>66</v>
      </c>
      <c r="I14" s="8" t="s">
        <v>67</v>
      </c>
    </row>
    <row r="15" customFormat="false" ht="17.15" hidden="false" customHeight="false" outlineLevel="0" collapsed="false">
      <c r="A15" s="0" t="s">
        <v>68</v>
      </c>
      <c r="B15" s="4" t="s">
        <v>69</v>
      </c>
      <c r="C15" s="0" t="s">
        <v>64</v>
      </c>
      <c r="E15" s="7" t="n">
        <v>1</v>
      </c>
      <c r="G15" s="8" t="s">
        <v>65</v>
      </c>
      <c r="H15" s="8" t="s">
        <v>70</v>
      </c>
      <c r="I15" s="4" t="s">
        <v>38</v>
      </c>
    </row>
    <row r="16" customFormat="false" ht="17.15" hidden="false" customHeight="false" outlineLevel="0" collapsed="false">
      <c r="A16" s="0" t="s">
        <v>71</v>
      </c>
      <c r="B16" s="4" t="s">
        <v>72</v>
      </c>
      <c r="C16" s="0" t="s">
        <v>64</v>
      </c>
      <c r="E16" s="7" t="n">
        <v>0.8</v>
      </c>
      <c r="G16" s="8" t="s">
        <v>65</v>
      </c>
      <c r="H16" s="8" t="s">
        <v>73</v>
      </c>
      <c r="I16" s="8" t="s">
        <v>67</v>
      </c>
    </row>
    <row r="17" customFormat="false" ht="17.15" hidden="false" customHeight="false" outlineLevel="0" collapsed="false">
      <c r="A17" s="0" t="s">
        <v>74</v>
      </c>
      <c r="B17" s="4" t="s">
        <v>75</v>
      </c>
      <c r="C17" s="0" t="s">
        <v>64</v>
      </c>
      <c r="E17" s="7" t="n">
        <v>0.85</v>
      </c>
      <c r="G17" s="8" t="s">
        <v>65</v>
      </c>
      <c r="H17" s="8" t="s">
        <v>76</v>
      </c>
      <c r="I17" s="4" t="s">
        <v>38</v>
      </c>
    </row>
    <row r="18" customFormat="false" ht="17.15" hidden="false" customHeight="false" outlineLevel="0" collapsed="false">
      <c r="A18" s="0" t="s">
        <v>77</v>
      </c>
      <c r="B18" s="4" t="s">
        <v>78</v>
      </c>
      <c r="C18" s="0" t="s">
        <v>64</v>
      </c>
      <c r="E18" s="7" t="n">
        <v>0.6</v>
      </c>
      <c r="G18" s="8" t="s">
        <v>65</v>
      </c>
      <c r="H18" s="8" t="s">
        <v>79</v>
      </c>
      <c r="I18" s="8" t="s">
        <v>67</v>
      </c>
    </row>
    <row r="19" customFormat="false" ht="17.15" hidden="false" customHeight="false" outlineLevel="0" collapsed="false">
      <c r="A19" s="0" t="s">
        <v>80</v>
      </c>
      <c r="B19" s="4" t="s">
        <v>81</v>
      </c>
      <c r="C19" s="0" t="s">
        <v>64</v>
      </c>
      <c r="E19" s="7" t="n">
        <v>0.6</v>
      </c>
      <c r="G19" s="8" t="s">
        <v>65</v>
      </c>
      <c r="H19" s="8" t="s">
        <v>82</v>
      </c>
      <c r="I19" s="4" t="s">
        <v>38</v>
      </c>
    </row>
    <row r="20" customFormat="false" ht="17.15" hidden="false" customHeight="false" outlineLevel="0" collapsed="false">
      <c r="A20" s="0" t="s">
        <v>83</v>
      </c>
      <c r="B20" s="0" t="s">
        <v>84</v>
      </c>
      <c r="C20" s="4" t="s">
        <v>85</v>
      </c>
      <c r="E20" s="7" t="n">
        <v>8.35</v>
      </c>
      <c r="G20" s="8" t="s">
        <v>33</v>
      </c>
      <c r="H20" s="8" t="s">
        <v>86</v>
      </c>
      <c r="I20" s="8" t="s">
        <v>87</v>
      </c>
    </row>
    <row r="21" customFormat="false" ht="17.15" hidden="false" customHeight="false" outlineLevel="0" collapsed="false">
      <c r="A21" s="0" t="s">
        <v>88</v>
      </c>
      <c r="B21" s="0" t="s">
        <v>89</v>
      </c>
      <c r="C21" s="4" t="s">
        <v>85</v>
      </c>
      <c r="E21" s="7" t="n">
        <v>11.2</v>
      </c>
      <c r="G21" s="8" t="s">
        <v>33</v>
      </c>
      <c r="H21" s="4" t="s">
        <v>38</v>
      </c>
      <c r="I21" s="4" t="s">
        <v>38</v>
      </c>
    </row>
    <row r="22" customFormat="false" ht="17.15" hidden="false" customHeight="false" outlineLevel="0" collapsed="false">
      <c r="A22" s="0" t="s">
        <v>90</v>
      </c>
      <c r="B22" s="0" t="s">
        <v>91</v>
      </c>
      <c r="C22" s="4" t="s">
        <v>85</v>
      </c>
      <c r="E22" s="7" t="n">
        <v>11.5</v>
      </c>
      <c r="G22" s="8" t="s">
        <v>33</v>
      </c>
      <c r="H22" s="4" t="s">
        <v>38</v>
      </c>
      <c r="I22" s="4" t="s">
        <v>38</v>
      </c>
    </row>
    <row r="23" customFormat="false" ht="17.15" hidden="false" customHeight="false" outlineLevel="0" collapsed="false">
      <c r="A23" s="0" t="s">
        <v>92</v>
      </c>
      <c r="B23" s="0" t="s">
        <v>93</v>
      </c>
      <c r="C23" s="4" t="s">
        <v>85</v>
      </c>
      <c r="E23" s="7" t="n">
        <v>12.9</v>
      </c>
      <c r="G23" s="8" t="s">
        <v>33</v>
      </c>
      <c r="H23" s="4" t="s">
        <v>38</v>
      </c>
      <c r="I23" s="4" t="s">
        <v>38</v>
      </c>
    </row>
    <row r="24" customFormat="false" ht="17.15" hidden="false" customHeight="false" outlineLevel="0" collapsed="false">
      <c r="A24" s="0" t="s">
        <v>94</v>
      </c>
      <c r="B24" s="4" t="s">
        <v>95</v>
      </c>
      <c r="C24" s="0" t="s">
        <v>96</v>
      </c>
      <c r="D24" s="7" t="n">
        <v>30.5</v>
      </c>
      <c r="E24" s="7" t="n">
        <v>32</v>
      </c>
      <c r="F24" s="7" t="n">
        <v>33</v>
      </c>
      <c r="G24" s="8" t="s">
        <v>33</v>
      </c>
      <c r="H24" s="8" t="s">
        <v>97</v>
      </c>
      <c r="I24" s="4" t="s">
        <v>98</v>
      </c>
    </row>
    <row r="25" customFormat="false" ht="17.15" hidden="false" customHeight="false" outlineLevel="0" collapsed="false">
      <c r="A25" s="6" t="s">
        <v>99</v>
      </c>
    </row>
    <row r="26" customFormat="false" ht="17.15" hidden="false" customHeight="false" outlineLevel="0" collapsed="false">
      <c r="A26" s="0" t="s">
        <v>100</v>
      </c>
      <c r="B26" s="0" t="s">
        <v>101</v>
      </c>
      <c r="C26" s="0" t="s">
        <v>102</v>
      </c>
      <c r="D26" s="7" t="n">
        <v>3.6</v>
      </c>
      <c r="E26" s="7" t="n">
        <v>4</v>
      </c>
      <c r="F26" s="7" t="n">
        <v>4.3</v>
      </c>
      <c r="G26" s="8" t="s">
        <v>33</v>
      </c>
      <c r="H26" s="8" t="s">
        <v>103</v>
      </c>
      <c r="I26" s="4" t="s">
        <v>104</v>
      </c>
    </row>
    <row r="27" customFormat="false" ht="17.15" hidden="false" customHeight="false" outlineLevel="0" collapsed="false">
      <c r="A27" s="0" t="s">
        <v>105</v>
      </c>
      <c r="B27" s="0" t="s">
        <v>106</v>
      </c>
      <c r="C27" s="0" t="s">
        <v>102</v>
      </c>
      <c r="D27" s="7" t="n">
        <v>6.5</v>
      </c>
      <c r="E27" s="7" t="n">
        <v>6.75</v>
      </c>
      <c r="F27" s="7" t="n">
        <v>7</v>
      </c>
      <c r="G27" s="8" t="s">
        <v>33</v>
      </c>
      <c r="H27" s="8" t="s">
        <v>107</v>
      </c>
      <c r="I27" s="4" t="s">
        <v>38</v>
      </c>
    </row>
    <row r="28" customFormat="false" ht="17.15" hidden="false" customHeight="false" outlineLevel="0" collapsed="false">
      <c r="A28" s="0" t="s">
        <v>108</v>
      </c>
      <c r="B28" s="4" t="s">
        <v>109</v>
      </c>
      <c r="C28" s="0" t="s">
        <v>64</v>
      </c>
      <c r="D28" s="7" t="n">
        <v>0.85</v>
      </c>
      <c r="E28" s="7" t="n">
        <v>1</v>
      </c>
      <c r="F28" s="7" t="n">
        <v>1.2</v>
      </c>
      <c r="G28" s="8" t="s">
        <v>65</v>
      </c>
      <c r="H28" s="8" t="s">
        <v>110</v>
      </c>
      <c r="I28" s="4" t="s">
        <v>111</v>
      </c>
    </row>
    <row r="29" customFormat="false" ht="17.15" hidden="false" customHeight="false" outlineLevel="0" collapsed="false">
      <c r="A29" s="0" t="s">
        <v>112</v>
      </c>
      <c r="B29" s="4" t="s">
        <v>113</v>
      </c>
      <c r="C29" s="0" t="s">
        <v>64</v>
      </c>
      <c r="D29" s="7" t="n">
        <v>0.85</v>
      </c>
      <c r="E29" s="7" t="n">
        <v>1</v>
      </c>
      <c r="F29" s="7" t="n">
        <v>1.2</v>
      </c>
      <c r="G29" s="8" t="s">
        <v>65</v>
      </c>
      <c r="H29" s="8" t="s">
        <v>114</v>
      </c>
      <c r="I29" s="4" t="s">
        <v>38</v>
      </c>
    </row>
    <row r="30" customFormat="false" ht="17.15" hidden="false" customHeight="false" outlineLevel="0" collapsed="false">
      <c r="A30" s="0" t="s">
        <v>115</v>
      </c>
      <c r="B30" s="4" t="s">
        <v>116</v>
      </c>
      <c r="C30" s="0" t="s">
        <v>52</v>
      </c>
      <c r="D30" s="7" t="n">
        <v>0</v>
      </c>
      <c r="E30" s="7" t="n">
        <v>0.1</v>
      </c>
      <c r="F30" s="7" t="n">
        <v>0.25</v>
      </c>
      <c r="G30" s="8" t="s">
        <v>65</v>
      </c>
      <c r="H30" s="8" t="s">
        <v>117</v>
      </c>
      <c r="I30" s="4" t="s">
        <v>118</v>
      </c>
    </row>
    <row r="31" customFormat="false" ht="17.15" hidden="false" customHeight="false" outlineLevel="0" collapsed="false">
      <c r="A31" s="0" t="s">
        <v>119</v>
      </c>
      <c r="B31" s="4" t="s">
        <v>120</v>
      </c>
      <c r="C31" s="0" t="s">
        <v>52</v>
      </c>
      <c r="D31" s="7" t="n">
        <v>0</v>
      </c>
      <c r="E31" s="7" t="n">
        <v>0.2</v>
      </c>
      <c r="F31" s="7" t="n">
        <v>0.4</v>
      </c>
      <c r="G31" s="8" t="s">
        <v>65</v>
      </c>
      <c r="H31" s="8" t="s">
        <v>121</v>
      </c>
      <c r="I31" s="4" t="s">
        <v>38</v>
      </c>
    </row>
    <row r="32" customFormat="false" ht="17.15" hidden="false" customHeight="false" outlineLevel="0" collapsed="false">
      <c r="A32" s="0" t="s">
        <v>122</v>
      </c>
      <c r="B32" s="4" t="s">
        <v>123</v>
      </c>
      <c r="C32" s="0" t="s">
        <v>52</v>
      </c>
      <c r="D32" s="7" t="n">
        <v>0</v>
      </c>
      <c r="E32" s="7" t="n">
        <v>0.25</v>
      </c>
      <c r="F32" s="7" t="n">
        <v>0.5</v>
      </c>
      <c r="G32" s="8" t="s">
        <v>65</v>
      </c>
      <c r="H32" s="8" t="s">
        <v>124</v>
      </c>
      <c r="I32" s="4" t="s">
        <v>38</v>
      </c>
    </row>
    <row r="33" customFormat="false" ht="17.15" hidden="false" customHeight="false" outlineLevel="0" collapsed="false">
      <c r="A33" s="0" t="s">
        <v>125</v>
      </c>
      <c r="B33" s="4" t="s">
        <v>126</v>
      </c>
      <c r="C33" s="0" t="s">
        <v>64</v>
      </c>
      <c r="D33" s="7" t="n">
        <v>0.7</v>
      </c>
      <c r="E33" s="7" t="n">
        <v>0.9</v>
      </c>
      <c r="F33" s="7" t="n">
        <v>1</v>
      </c>
      <c r="G33" s="8" t="s">
        <v>65</v>
      </c>
      <c r="H33" s="8" t="s">
        <v>127</v>
      </c>
      <c r="I33" s="4" t="s">
        <v>128</v>
      </c>
    </row>
    <row r="34" customFormat="false" ht="17.15" hidden="false" customHeight="false" outlineLevel="0" collapsed="false">
      <c r="A34" s="0" t="s">
        <v>129</v>
      </c>
      <c r="B34" s="4" t="s">
        <v>130</v>
      </c>
      <c r="C34" s="0" t="s">
        <v>64</v>
      </c>
      <c r="D34" s="7" t="n">
        <v>0.85</v>
      </c>
      <c r="E34" s="7" t="n">
        <v>1</v>
      </c>
      <c r="F34" s="7" t="n">
        <v>1.15</v>
      </c>
      <c r="G34" s="8" t="s">
        <v>65</v>
      </c>
      <c r="H34" s="4" t="s">
        <v>131</v>
      </c>
      <c r="I34" s="4" t="s">
        <v>132</v>
      </c>
    </row>
    <row r="35" customFormat="false" ht="17.15" hidden="false" customHeight="false" outlineLevel="0" collapsed="false">
      <c r="A35" s="0" t="s">
        <v>133</v>
      </c>
      <c r="B35" s="4" t="s">
        <v>134</v>
      </c>
      <c r="C35" s="0" t="s">
        <v>64</v>
      </c>
      <c r="D35" s="7" t="n">
        <v>0.75</v>
      </c>
      <c r="E35" s="7" t="n">
        <v>0.95</v>
      </c>
      <c r="F35" s="7" t="n">
        <v>1.15</v>
      </c>
      <c r="G35" s="8" t="s">
        <v>65</v>
      </c>
      <c r="H35" s="4" t="s">
        <v>135</v>
      </c>
      <c r="I35" s="8" t="s">
        <v>136</v>
      </c>
    </row>
    <row r="36" customFormat="false" ht="17.15" hidden="false" customHeight="false" outlineLevel="0" collapsed="false">
      <c r="A36" s="0" t="s">
        <v>137</v>
      </c>
      <c r="B36" s="4" t="s">
        <v>138</v>
      </c>
      <c r="C36" s="0" t="s">
        <v>64</v>
      </c>
      <c r="D36" s="7" t="n">
        <v>0.7</v>
      </c>
      <c r="E36" s="7" t="n">
        <v>0.9</v>
      </c>
      <c r="F36" s="7" t="n">
        <v>1.15</v>
      </c>
      <c r="G36" s="8" t="s">
        <v>65</v>
      </c>
      <c r="H36" s="4" t="s">
        <v>38</v>
      </c>
      <c r="I36" s="8" t="s">
        <v>136</v>
      </c>
    </row>
    <row r="37" customFormat="false" ht="17.15" hidden="false" customHeight="false" outlineLevel="0" collapsed="false">
      <c r="A37" s="0" t="s">
        <v>139</v>
      </c>
      <c r="B37" s="4" t="s">
        <v>140</v>
      </c>
      <c r="C37" s="0" t="s">
        <v>64</v>
      </c>
      <c r="D37" s="7" t="n">
        <v>0.85</v>
      </c>
      <c r="E37" s="7" t="n">
        <v>1</v>
      </c>
      <c r="F37" s="7" t="n">
        <v>1.2</v>
      </c>
      <c r="G37" s="8" t="s">
        <v>65</v>
      </c>
      <c r="H37" s="4" t="s">
        <v>141</v>
      </c>
      <c r="I37" s="4" t="s">
        <v>142</v>
      </c>
    </row>
    <row r="38" customFormat="false" ht="17.15" hidden="false" customHeight="false" outlineLevel="0" collapsed="false">
      <c r="A38" s="0" t="s">
        <v>143</v>
      </c>
      <c r="B38" s="4" t="s">
        <v>144</v>
      </c>
      <c r="C38" s="0" t="s">
        <v>64</v>
      </c>
      <c r="D38" s="7" t="n">
        <v>0.75</v>
      </c>
      <c r="E38" s="7" t="n">
        <v>1</v>
      </c>
      <c r="F38" s="7" t="n">
        <v>1.2</v>
      </c>
      <c r="G38" s="8" t="s">
        <v>65</v>
      </c>
      <c r="H38" s="4" t="s">
        <v>145</v>
      </c>
      <c r="I38" s="8" t="s">
        <v>136</v>
      </c>
    </row>
    <row r="39" customFormat="false" ht="17.15" hidden="false" customHeight="false" outlineLevel="0" collapsed="false">
      <c r="A39" s="0" t="s">
        <v>146</v>
      </c>
      <c r="B39" s="4" t="s">
        <v>147</v>
      </c>
      <c r="C39" s="0" t="s">
        <v>64</v>
      </c>
      <c r="D39" s="7" t="n">
        <v>0.7</v>
      </c>
      <c r="E39" s="7" t="n">
        <v>0.95</v>
      </c>
      <c r="F39" s="7" t="n">
        <v>1.2</v>
      </c>
      <c r="G39" s="8" t="s">
        <v>65</v>
      </c>
      <c r="H39" s="4" t="s">
        <v>38</v>
      </c>
      <c r="I39" s="8" t="s">
        <v>136</v>
      </c>
    </row>
    <row r="40" customFormat="false" ht="17.15" hidden="false" customHeight="false" outlineLevel="0" collapsed="false">
      <c r="A40" s="6" t="s">
        <v>148</v>
      </c>
    </row>
    <row r="41" customFormat="false" ht="17.15" hidden="false" customHeight="false" outlineLevel="0" collapsed="false">
      <c r="A41" s="0" t="s">
        <v>149</v>
      </c>
      <c r="B41" s="0" t="s">
        <v>150</v>
      </c>
      <c r="C41" s="0" t="s">
        <v>151</v>
      </c>
      <c r="D41" s="7" t="n">
        <v>100</v>
      </c>
      <c r="E41" s="7" t="n">
        <v>110</v>
      </c>
      <c r="F41" s="7" t="n">
        <v>140</v>
      </c>
      <c r="G41" s="8" t="s">
        <v>152</v>
      </c>
      <c r="H41" s="4" t="s">
        <v>153</v>
      </c>
      <c r="I41" s="4" t="s">
        <v>154</v>
      </c>
    </row>
    <row r="42" customFormat="false" ht="17.15" hidden="false" customHeight="false" outlineLevel="0" collapsed="false">
      <c r="A42" s="0" t="s">
        <v>155</v>
      </c>
      <c r="B42" s="4" t="s">
        <v>156</v>
      </c>
      <c r="C42" s="0" t="s">
        <v>52</v>
      </c>
      <c r="D42" s="7" t="n">
        <v>0.35</v>
      </c>
      <c r="E42" s="7" t="n">
        <v>0.5</v>
      </c>
      <c r="F42" s="7" t="n">
        <v>0.7</v>
      </c>
      <c r="G42" s="8" t="s">
        <v>65</v>
      </c>
      <c r="H42" s="4" t="s">
        <v>157</v>
      </c>
      <c r="I42" s="8" t="s">
        <v>158</v>
      </c>
    </row>
    <row r="43" customFormat="false" ht="17.15" hidden="false" customHeight="false" outlineLevel="0" collapsed="false">
      <c r="A43" s="0" t="s">
        <v>159</v>
      </c>
      <c r="B43" s="4" t="s">
        <v>160</v>
      </c>
      <c r="C43" s="0" t="s">
        <v>64</v>
      </c>
      <c r="D43" s="7" t="n">
        <v>1</v>
      </c>
      <c r="E43" s="7" t="n">
        <v>1.15</v>
      </c>
      <c r="F43" s="7" t="n">
        <v>1.4</v>
      </c>
      <c r="G43" s="8" t="s">
        <v>65</v>
      </c>
      <c r="H43" s="8" t="s">
        <v>161</v>
      </c>
      <c r="I43" s="4" t="s">
        <v>162</v>
      </c>
    </row>
    <row r="44" customFormat="false" ht="17.15" hidden="false" customHeight="false" outlineLevel="0" collapsed="false">
      <c r="A44" s="0" t="s">
        <v>163</v>
      </c>
      <c r="B44" s="4" t="s">
        <v>164</v>
      </c>
      <c r="C44" s="0" t="s">
        <v>64</v>
      </c>
      <c r="D44" s="7" t="n">
        <v>1</v>
      </c>
      <c r="E44" s="7" t="n">
        <v>1.2</v>
      </c>
      <c r="F44" s="7" t="n">
        <v>1.5</v>
      </c>
      <c r="G44" s="8" t="s">
        <v>65</v>
      </c>
      <c r="H44" s="4" t="s">
        <v>38</v>
      </c>
      <c r="I44" s="8" t="s">
        <v>136</v>
      </c>
    </row>
    <row r="45" customFormat="false" ht="17.15" hidden="false" customHeight="false" outlineLevel="0" collapsed="false">
      <c r="A45" s="0" t="s">
        <v>165</v>
      </c>
      <c r="B45" s="4" t="s">
        <v>166</v>
      </c>
      <c r="C45" s="0" t="s">
        <v>64</v>
      </c>
      <c r="D45" s="7" t="n">
        <v>1</v>
      </c>
      <c r="E45" s="7" t="n">
        <v>1.2</v>
      </c>
      <c r="F45" s="7" t="n">
        <v>1.5</v>
      </c>
      <c r="G45" s="8" t="s">
        <v>65</v>
      </c>
      <c r="H45" s="4" t="s">
        <v>38</v>
      </c>
      <c r="I45" s="8" t="s">
        <v>136</v>
      </c>
    </row>
    <row r="46" customFormat="false" ht="17.15" hidden="false" customHeight="false" outlineLevel="0" collapsed="false">
      <c r="A46" s="0" t="s">
        <v>167</v>
      </c>
      <c r="B46" s="0" t="s">
        <v>168</v>
      </c>
      <c r="C46" s="0" t="s">
        <v>64</v>
      </c>
      <c r="D46" s="7" t="n">
        <v>0.8</v>
      </c>
      <c r="E46" s="7" t="n">
        <v>1</v>
      </c>
      <c r="F46" s="7" t="n">
        <v>1.1</v>
      </c>
      <c r="G46" s="8" t="s">
        <v>65</v>
      </c>
      <c r="H46" s="4" t="s">
        <v>169</v>
      </c>
      <c r="I46" s="4" t="s">
        <v>170</v>
      </c>
    </row>
    <row r="47" customFormat="false" ht="17.15" hidden="false" customHeight="false" outlineLevel="0" collapsed="false">
      <c r="A47" s="0" t="s">
        <v>171</v>
      </c>
      <c r="B47" s="0" t="s">
        <v>172</v>
      </c>
      <c r="C47" s="0" t="s">
        <v>64</v>
      </c>
      <c r="D47" s="7" t="n">
        <v>0.7</v>
      </c>
      <c r="E47" s="7" t="n">
        <v>0.95</v>
      </c>
      <c r="F47" s="7" t="n">
        <v>1.1</v>
      </c>
      <c r="G47" s="8" t="s">
        <v>65</v>
      </c>
      <c r="H47" s="4" t="s">
        <v>38</v>
      </c>
      <c r="I47" s="8" t="s">
        <v>136</v>
      </c>
    </row>
    <row r="48" customFormat="false" ht="17.15" hidden="false" customHeight="false" outlineLevel="0" collapsed="false">
      <c r="A48" s="0" t="s">
        <v>173</v>
      </c>
      <c r="B48" s="0" t="s">
        <v>174</v>
      </c>
      <c r="C48" s="0" t="s">
        <v>64</v>
      </c>
      <c r="D48" s="7" t="n">
        <v>0.65</v>
      </c>
      <c r="E48" s="7" t="n">
        <v>0.9</v>
      </c>
      <c r="F48" s="7" t="n">
        <v>1.1</v>
      </c>
      <c r="G48" s="8" t="s">
        <v>65</v>
      </c>
      <c r="H48" s="4" t="s">
        <v>38</v>
      </c>
      <c r="I48" s="8" t="s">
        <v>136</v>
      </c>
    </row>
    <row r="49" customFormat="false" ht="17.15" hidden="false" customHeight="false" outlineLevel="0" collapsed="false">
      <c r="A49" s="6" t="s">
        <v>175</v>
      </c>
    </row>
    <row r="50" customFormat="false" ht="17.15" hidden="false" customHeight="false" outlineLevel="0" collapsed="false">
      <c r="A50" s="0" t="s">
        <v>176</v>
      </c>
      <c r="B50" s="0" t="s">
        <v>177</v>
      </c>
      <c r="C50" s="0" t="s">
        <v>52</v>
      </c>
      <c r="D50" s="7" t="n">
        <v>0.13</v>
      </c>
      <c r="E50" s="7" t="n">
        <v>0.15</v>
      </c>
      <c r="F50" s="7" t="n">
        <v>0.18</v>
      </c>
      <c r="G50" s="8" t="s">
        <v>152</v>
      </c>
      <c r="H50" s="4" t="s">
        <v>178</v>
      </c>
      <c r="I50" s="4" t="s">
        <v>179</v>
      </c>
    </row>
    <row r="51" customFormat="false" ht="17.15" hidden="false" customHeight="false" outlineLevel="0" collapsed="false">
      <c r="A51" s="0" t="s">
        <v>180</v>
      </c>
      <c r="B51" s="0" t="s">
        <v>181</v>
      </c>
      <c r="C51" s="0" t="s">
        <v>151</v>
      </c>
      <c r="D51" s="7" t="n">
        <v>80</v>
      </c>
      <c r="E51" s="7" t="n">
        <v>150</v>
      </c>
      <c r="F51" s="7" t="n">
        <v>250</v>
      </c>
      <c r="G51" s="8" t="s">
        <v>65</v>
      </c>
      <c r="H51" s="4" t="s">
        <v>182</v>
      </c>
      <c r="I51" s="4" t="s">
        <v>183</v>
      </c>
    </row>
    <row r="52" customFormat="false" ht="17.15" hidden="false" customHeight="false" outlineLevel="0" collapsed="false">
      <c r="A52" s="0" t="s">
        <v>184</v>
      </c>
      <c r="B52" s="0" t="s">
        <v>185</v>
      </c>
      <c r="C52" s="0" t="s">
        <v>52</v>
      </c>
      <c r="D52" s="7" t="n">
        <v>0.45</v>
      </c>
      <c r="E52" s="7" t="n">
        <v>0.48</v>
      </c>
      <c r="F52" s="7" t="n">
        <v>0.52</v>
      </c>
      <c r="G52" s="8" t="s">
        <v>152</v>
      </c>
      <c r="H52" s="8" t="s">
        <v>186</v>
      </c>
      <c r="I52" s="4" t="s">
        <v>187</v>
      </c>
    </row>
    <row r="53" customFormat="false" ht="17.15" hidden="false" customHeight="false" outlineLevel="0" collapsed="false">
      <c r="A53" s="0" t="s">
        <v>188</v>
      </c>
      <c r="B53" s="4" t="s">
        <v>189</v>
      </c>
      <c r="C53" s="0" t="s">
        <v>52</v>
      </c>
      <c r="D53" s="7" t="n">
        <v>0</v>
      </c>
      <c r="E53" s="7" t="n">
        <v>0.2</v>
      </c>
      <c r="F53" s="7" t="n">
        <v>0.4</v>
      </c>
      <c r="G53" s="8" t="s">
        <v>65</v>
      </c>
      <c r="H53" s="4" t="s">
        <v>190</v>
      </c>
      <c r="I53" s="8" t="s">
        <v>136</v>
      </c>
    </row>
    <row r="54" customFormat="false" ht="17.15" hidden="false" customHeight="false" outlineLevel="0" collapsed="false">
      <c r="A54" s="0" t="s">
        <v>191</v>
      </c>
      <c r="B54" s="4" t="s">
        <v>192</v>
      </c>
      <c r="C54" s="0" t="s">
        <v>52</v>
      </c>
      <c r="D54" s="7" t="n">
        <v>-0.05</v>
      </c>
      <c r="E54" s="7" t="n">
        <v>0.1</v>
      </c>
      <c r="F54" s="7" t="n">
        <v>0.25</v>
      </c>
      <c r="G54" s="8" t="s">
        <v>65</v>
      </c>
      <c r="H54" s="4" t="s">
        <v>38</v>
      </c>
      <c r="I54" s="8" t="s">
        <v>136</v>
      </c>
    </row>
    <row r="55" customFormat="false" ht="17.15" hidden="false" customHeight="false" outlineLevel="0" collapsed="false">
      <c r="A55" s="0" t="s">
        <v>193</v>
      </c>
      <c r="B55" s="4" t="s">
        <v>194</v>
      </c>
      <c r="C55" s="0" t="s">
        <v>52</v>
      </c>
      <c r="D55" s="7" t="n">
        <v>-0.05</v>
      </c>
      <c r="E55" s="7" t="n">
        <v>0.08</v>
      </c>
      <c r="F55" s="7" t="n">
        <v>0.2</v>
      </c>
      <c r="G55" s="8" t="s">
        <v>65</v>
      </c>
      <c r="H55" s="4" t="s">
        <v>38</v>
      </c>
      <c r="I55" s="8" t="s">
        <v>136</v>
      </c>
    </row>
    <row r="56" customFormat="false" ht="17.15" hidden="false" customHeight="false" outlineLevel="0" collapsed="false">
      <c r="A56" s="0" t="s">
        <v>195</v>
      </c>
      <c r="B56" s="4" t="s">
        <v>196</v>
      </c>
      <c r="C56" s="0" t="s">
        <v>52</v>
      </c>
      <c r="D56" s="7" t="n">
        <v>-0.15</v>
      </c>
      <c r="E56" s="7" t="n">
        <v>-0.03</v>
      </c>
      <c r="F56" s="7" t="n">
        <v>0.05</v>
      </c>
      <c r="G56" s="8" t="s">
        <v>65</v>
      </c>
      <c r="H56" s="4" t="s">
        <v>197</v>
      </c>
      <c r="I56" s="8" t="s">
        <v>136</v>
      </c>
    </row>
    <row r="57" customFormat="false" ht="17.15" hidden="false" customHeight="false" outlineLevel="0" collapsed="false">
      <c r="A57" s="0" t="s">
        <v>198</v>
      </c>
      <c r="B57" s="4" t="s">
        <v>199</v>
      </c>
      <c r="C57" s="0" t="s">
        <v>52</v>
      </c>
      <c r="D57" s="7" t="n">
        <v>-0.1</v>
      </c>
      <c r="E57" s="7" t="n">
        <v>0</v>
      </c>
      <c r="F57" s="7" t="n">
        <v>0.05</v>
      </c>
      <c r="G57" s="8" t="s">
        <v>65</v>
      </c>
      <c r="H57" s="4" t="s">
        <v>38</v>
      </c>
      <c r="I57" s="8" t="s">
        <v>136</v>
      </c>
    </row>
    <row r="58" customFormat="false" ht="17.15" hidden="false" customHeight="false" outlineLevel="0" collapsed="false">
      <c r="A58" s="0" t="s">
        <v>200</v>
      </c>
      <c r="B58" s="4" t="s">
        <v>201</v>
      </c>
      <c r="C58" s="0" t="s">
        <v>52</v>
      </c>
      <c r="D58" s="7" t="n">
        <v>-0.1</v>
      </c>
      <c r="E58" s="7" t="n">
        <v>0</v>
      </c>
      <c r="F58" s="7" t="n">
        <v>0.05</v>
      </c>
      <c r="G58" s="8" t="s">
        <v>65</v>
      </c>
      <c r="H58" s="4" t="s">
        <v>38</v>
      </c>
      <c r="I58" s="8" t="s">
        <v>136</v>
      </c>
    </row>
    <row r="59" customFormat="false" ht="17.15" hidden="false" customHeight="false" outlineLevel="0" collapsed="false">
      <c r="A59" s="0" t="s">
        <v>202</v>
      </c>
      <c r="B59" s="4" t="s">
        <v>203</v>
      </c>
      <c r="C59" s="0" t="s">
        <v>52</v>
      </c>
      <c r="D59" s="7" t="n">
        <v>0</v>
      </c>
      <c r="E59" s="7" t="n">
        <v>0.1</v>
      </c>
      <c r="F59" s="7" t="n">
        <v>0.25</v>
      </c>
      <c r="G59" s="8" t="s">
        <v>65</v>
      </c>
      <c r="H59" s="4" t="s">
        <v>204</v>
      </c>
      <c r="I59" s="8" t="s">
        <v>136</v>
      </c>
    </row>
    <row r="60" customFormat="false" ht="17.15" hidden="false" customHeight="false" outlineLevel="0" collapsed="false">
      <c r="A60" s="0" t="s">
        <v>205</v>
      </c>
      <c r="B60" s="4" t="s">
        <v>206</v>
      </c>
      <c r="C60" s="0" t="s">
        <v>52</v>
      </c>
      <c r="D60" s="7" t="n">
        <v>-0.05</v>
      </c>
      <c r="E60" s="7" t="n">
        <v>0.06</v>
      </c>
      <c r="F60" s="7" t="n">
        <v>0.2</v>
      </c>
      <c r="G60" s="8" t="s">
        <v>65</v>
      </c>
      <c r="H60" s="4" t="s">
        <v>38</v>
      </c>
      <c r="I60" s="8" t="s">
        <v>136</v>
      </c>
    </row>
    <row r="61" customFormat="false" ht="17.15" hidden="false" customHeight="false" outlineLevel="0" collapsed="false">
      <c r="A61" s="0" t="s">
        <v>207</v>
      </c>
      <c r="B61" s="4" t="s">
        <v>208</v>
      </c>
      <c r="C61" s="0" t="s">
        <v>52</v>
      </c>
      <c r="D61" s="7" t="n">
        <v>-0.05</v>
      </c>
      <c r="E61" s="7" t="n">
        <v>0.05</v>
      </c>
      <c r="F61" s="7" t="n">
        <v>0.15</v>
      </c>
      <c r="G61" s="8" t="s">
        <v>65</v>
      </c>
      <c r="H61" s="4" t="s">
        <v>38</v>
      </c>
      <c r="I61" s="8" t="s">
        <v>136</v>
      </c>
    </row>
    <row r="62" customFormat="false" ht="17.15" hidden="false" customHeight="false" outlineLevel="0" collapsed="false">
      <c r="A62" s="6" t="s">
        <v>209</v>
      </c>
    </row>
    <row r="63" customFormat="false" ht="17.15" hidden="false" customHeight="false" outlineLevel="0" collapsed="false">
      <c r="A63" s="0" t="s">
        <v>210</v>
      </c>
      <c r="B63" s="4" t="s">
        <v>211</v>
      </c>
      <c r="C63" s="0" t="s">
        <v>212</v>
      </c>
      <c r="D63" s="7" t="n">
        <v>-0.02</v>
      </c>
      <c r="E63" s="7" t="n">
        <v>-0.01</v>
      </c>
      <c r="F63" s="7" t="n">
        <v>0</v>
      </c>
      <c r="G63" s="8" t="s">
        <v>65</v>
      </c>
      <c r="H63" s="4" t="s">
        <v>213</v>
      </c>
      <c r="I63" s="4" t="s">
        <v>214</v>
      </c>
    </row>
    <row r="64" customFormat="false" ht="17.15" hidden="false" customHeight="false" outlineLevel="0" collapsed="false">
      <c r="A64" s="0" t="s">
        <v>215</v>
      </c>
      <c r="B64" s="0" t="s">
        <v>216</v>
      </c>
      <c r="C64" s="0" t="s">
        <v>212</v>
      </c>
      <c r="D64" s="7" t="n">
        <v>0.01</v>
      </c>
      <c r="E64" s="7" t="n">
        <v>0.03</v>
      </c>
      <c r="F64" s="7" t="n">
        <v>0.05</v>
      </c>
      <c r="G64" s="8" t="s">
        <v>65</v>
      </c>
      <c r="H64" s="4" t="s">
        <v>217</v>
      </c>
      <c r="I64" s="4" t="s">
        <v>218</v>
      </c>
    </row>
    <row r="65" customFormat="false" ht="17.15" hidden="false" customHeight="false" outlineLevel="0" collapsed="false">
      <c r="A65" s="0" t="s">
        <v>219</v>
      </c>
      <c r="B65" s="4" t="s">
        <v>220</v>
      </c>
      <c r="C65" s="0" t="s">
        <v>212</v>
      </c>
      <c r="D65" s="7" t="n">
        <v>0</v>
      </c>
      <c r="E65" s="7" t="n">
        <v>0.015</v>
      </c>
      <c r="F65" s="7" t="n">
        <v>0.03</v>
      </c>
      <c r="G65" s="8" t="s">
        <v>65</v>
      </c>
      <c r="H65" s="4" t="s">
        <v>221</v>
      </c>
      <c r="I65" s="4" t="s">
        <v>218</v>
      </c>
    </row>
    <row r="66" customFormat="false" ht="17.15" hidden="false" customHeight="false" outlineLevel="0" collapsed="false">
      <c r="A66" s="0" t="s">
        <v>222</v>
      </c>
      <c r="B66" s="0" t="s">
        <v>223</v>
      </c>
      <c r="C66" s="0" t="s">
        <v>212</v>
      </c>
      <c r="D66" s="7" t="n">
        <v>-0.005</v>
      </c>
      <c r="E66" s="7" t="n">
        <v>-0.002</v>
      </c>
      <c r="F66" s="7" t="n">
        <v>0</v>
      </c>
      <c r="G66" s="8" t="s">
        <v>65</v>
      </c>
      <c r="H66" s="4" t="s">
        <v>224</v>
      </c>
      <c r="I66" s="4" t="s">
        <v>225</v>
      </c>
    </row>
    <row r="67" customFormat="false" ht="17.15" hidden="false" customHeight="false" outlineLevel="0" collapsed="false">
      <c r="A67" s="0" t="s">
        <v>226</v>
      </c>
      <c r="B67" s="4" t="s">
        <v>227</v>
      </c>
      <c r="C67" s="0" t="s">
        <v>52</v>
      </c>
      <c r="D67" s="7" t="n">
        <v>0.075</v>
      </c>
      <c r="E67" s="7" t="n">
        <v>0.085</v>
      </c>
      <c r="F67" s="7" t="n">
        <v>0.095</v>
      </c>
      <c r="G67" s="8" t="s">
        <v>152</v>
      </c>
      <c r="H67" s="4" t="s">
        <v>228</v>
      </c>
      <c r="I67" s="4" t="s">
        <v>229</v>
      </c>
    </row>
    <row r="68" customFormat="false" ht="17.15" hidden="false" customHeight="false" outlineLevel="0" collapsed="false">
      <c r="A68" s="0" t="s">
        <v>230</v>
      </c>
      <c r="B68" s="4" t="s">
        <v>231</v>
      </c>
      <c r="C68" s="0" t="s">
        <v>52</v>
      </c>
      <c r="D68" s="7" t="n">
        <v>0.055</v>
      </c>
      <c r="E68" s="7" t="n">
        <v>0.065</v>
      </c>
      <c r="F68" s="7" t="n">
        <v>0.075</v>
      </c>
      <c r="G68" s="8" t="s">
        <v>65</v>
      </c>
      <c r="H68" s="8" t="s">
        <v>232</v>
      </c>
      <c r="I68" s="4" t="s">
        <v>233</v>
      </c>
    </row>
    <row r="69" customFormat="false" ht="17.15" hidden="false" customHeight="false" outlineLevel="0" collapsed="false">
      <c r="A69" s="0" t="s">
        <v>234</v>
      </c>
      <c r="B69" s="4" t="s">
        <v>235</v>
      </c>
      <c r="C69" s="0" t="s">
        <v>52</v>
      </c>
      <c r="D69" s="7" t="n">
        <v>0.74</v>
      </c>
      <c r="E69" s="7" t="n">
        <v>0.78</v>
      </c>
      <c r="F69" s="7" t="n">
        <v>0.82</v>
      </c>
      <c r="G69" s="8" t="s">
        <v>33</v>
      </c>
      <c r="H69" s="8" t="s">
        <v>236</v>
      </c>
      <c r="I69" s="8" t="s">
        <v>136</v>
      </c>
    </row>
    <row r="70" customFormat="false" ht="17.15" hidden="false" customHeight="false" outlineLevel="0" collapsed="false">
      <c r="A70" s="6" t="s">
        <v>237</v>
      </c>
    </row>
    <row r="71" customFormat="false" ht="17.15" hidden="false" customHeight="false" outlineLevel="0" collapsed="false">
      <c r="A71" s="0" t="s">
        <v>238</v>
      </c>
      <c r="B71" s="0" t="s">
        <v>239</v>
      </c>
      <c r="C71" s="0" t="s">
        <v>151</v>
      </c>
      <c r="E71" s="0" t="n">
        <f aca="false">308.219+460.065+380.806</f>
        <v>1149.09</v>
      </c>
      <c r="G71" s="0" t="s">
        <v>240</v>
      </c>
      <c r="H71" s="0" t="s">
        <v>241</v>
      </c>
      <c r="I71" s="4" t="s">
        <v>242</v>
      </c>
    </row>
    <row r="72" customFormat="false" ht="17.15" hidden="false" customHeight="false" outlineLevel="0" collapsed="false">
      <c r="A72" s="0" t="s">
        <v>243</v>
      </c>
      <c r="B72" s="0" t="s">
        <v>244</v>
      </c>
      <c r="C72" s="0" t="s">
        <v>52</v>
      </c>
      <c r="D72" s="7" t="n">
        <v>-0.08</v>
      </c>
      <c r="E72" s="7" t="n">
        <v>0.05</v>
      </c>
      <c r="F72" s="7" t="n">
        <v>0.15</v>
      </c>
      <c r="G72" s="8" t="s">
        <v>152</v>
      </c>
      <c r="H72" s="8" t="s">
        <v>245</v>
      </c>
      <c r="I72" s="4" t="s">
        <v>246</v>
      </c>
    </row>
    <row r="73" customFormat="false" ht="17.15" hidden="false" customHeight="false" outlineLevel="0" collapsed="false">
      <c r="A73" s="0" t="s">
        <v>247</v>
      </c>
      <c r="B73" s="0" t="s">
        <v>248</v>
      </c>
      <c r="C73" s="0" t="s">
        <v>151</v>
      </c>
      <c r="E73" s="0" t="n">
        <f aca="false">989.278-554.66</f>
        <v>434.618</v>
      </c>
      <c r="G73" s="0" t="s">
        <v>240</v>
      </c>
      <c r="H73" s="0" t="s">
        <v>249</v>
      </c>
      <c r="I73" s="4" t="s">
        <v>250</v>
      </c>
    </row>
    <row r="74" customFormat="false" ht="17.15" hidden="false" customHeight="false" outlineLevel="0" collapsed="false">
      <c r="A74" s="0" t="s">
        <v>251</v>
      </c>
      <c r="B74" s="0" t="s">
        <v>252</v>
      </c>
      <c r="C74" s="0" t="s">
        <v>52</v>
      </c>
      <c r="D74" s="7" t="n">
        <v>-0.1</v>
      </c>
      <c r="E74" s="7" t="n">
        <v>0.05</v>
      </c>
      <c r="F74" s="7" t="n">
        <v>0.15</v>
      </c>
      <c r="G74" s="8" t="s">
        <v>65</v>
      </c>
      <c r="H74" s="8" t="s">
        <v>253</v>
      </c>
      <c r="I74" s="8" t="s">
        <v>136</v>
      </c>
    </row>
    <row r="75" customFormat="false" ht="17.15" hidden="false" customHeight="false" outlineLevel="0" collapsed="false">
      <c r="A75" s="0" t="s">
        <v>254</v>
      </c>
      <c r="B75" s="0" t="s">
        <v>255</v>
      </c>
      <c r="C75" s="0" t="s">
        <v>52</v>
      </c>
      <c r="D75" s="7" t="n">
        <v>0.08</v>
      </c>
      <c r="E75" s="7" t="n">
        <v>0.088</v>
      </c>
      <c r="F75" s="7" t="n">
        <v>0.095</v>
      </c>
      <c r="G75" s="8" t="s">
        <v>152</v>
      </c>
      <c r="H75" s="8" t="s">
        <v>256</v>
      </c>
      <c r="I75" s="8" t="s">
        <v>136</v>
      </c>
    </row>
    <row r="76" customFormat="false" ht="17.15" hidden="false" customHeight="false" outlineLevel="0" collapsed="false">
      <c r="A76" s="0" t="s">
        <v>257</v>
      </c>
      <c r="B76" s="0" t="s">
        <v>258</v>
      </c>
      <c r="C76" s="0" t="s">
        <v>52</v>
      </c>
      <c r="D76" s="7" t="n">
        <v>0.06</v>
      </c>
      <c r="E76" s="7" t="n">
        <v>0.068</v>
      </c>
      <c r="F76" s="7" t="n">
        <v>0.075</v>
      </c>
      <c r="G76" s="8" t="s">
        <v>152</v>
      </c>
      <c r="H76" s="8" t="s">
        <v>259</v>
      </c>
      <c r="I76" s="4" t="s">
        <v>260</v>
      </c>
    </row>
    <row r="77" customFormat="false" ht="17.15" hidden="false" customHeight="false" outlineLevel="0" collapsed="false">
      <c r="A77" s="0" t="s">
        <v>261</v>
      </c>
      <c r="B77" s="0" t="s">
        <v>262</v>
      </c>
      <c r="C77" s="0" t="s">
        <v>52</v>
      </c>
      <c r="D77" s="7" t="n">
        <v>0.74</v>
      </c>
      <c r="E77" s="7" t="n">
        <v>0.77</v>
      </c>
      <c r="F77" s="7" t="n">
        <v>0.8</v>
      </c>
      <c r="G77" s="8" t="s">
        <v>33</v>
      </c>
      <c r="H77" s="8" t="s">
        <v>263</v>
      </c>
      <c r="I77" s="8" t="s">
        <v>136</v>
      </c>
    </row>
    <row r="78" customFormat="false" ht="17.15" hidden="false" customHeight="false" outlineLevel="0" collapsed="false">
      <c r="A78" s="0" t="s">
        <v>264</v>
      </c>
      <c r="B78" s="0" t="s">
        <v>265</v>
      </c>
      <c r="C78" s="0" t="s">
        <v>52</v>
      </c>
      <c r="D78" s="7" t="n">
        <v>0.036</v>
      </c>
      <c r="E78" s="7" t="n">
        <v>0.039</v>
      </c>
      <c r="F78" s="7" t="n">
        <v>0.042</v>
      </c>
      <c r="G78" s="8" t="s">
        <v>33</v>
      </c>
      <c r="H78" s="8" t="s">
        <v>266</v>
      </c>
      <c r="I78" s="4" t="s">
        <v>267</v>
      </c>
    </row>
    <row r="79" customFormat="false" ht="17.15" hidden="false" customHeight="false" outlineLevel="0" collapsed="false">
      <c r="A79" s="0" t="s">
        <v>268</v>
      </c>
      <c r="B79" s="0" t="s">
        <v>269</v>
      </c>
      <c r="C79" s="0" t="s">
        <v>52</v>
      </c>
      <c r="D79" s="7" t="n">
        <v>0.016</v>
      </c>
      <c r="E79" s="7" t="n">
        <v>0.0175</v>
      </c>
      <c r="F79" s="7" t="n">
        <v>0.019</v>
      </c>
      <c r="G79" s="8" t="s">
        <v>33</v>
      </c>
      <c r="H79" s="8" t="s">
        <v>270</v>
      </c>
      <c r="I79" s="4" t="s">
        <v>271</v>
      </c>
    </row>
    <row r="80" customFormat="false" ht="17.15" hidden="false" customHeight="false" outlineLevel="0" collapsed="false">
      <c r="A80" s="0" t="s">
        <v>272</v>
      </c>
      <c r="B80" s="0" t="s">
        <v>273</v>
      </c>
      <c r="C80" s="0" t="s">
        <v>52</v>
      </c>
      <c r="D80" s="7" t="n">
        <v>0.45</v>
      </c>
      <c r="E80" s="7" t="n">
        <v>0.56</v>
      </c>
      <c r="F80" s="7" t="n">
        <v>0.65</v>
      </c>
      <c r="G80" s="8" t="s">
        <v>33</v>
      </c>
      <c r="H80" s="8" t="s">
        <v>274</v>
      </c>
      <c r="I80" s="4" t="s">
        <v>275</v>
      </c>
    </row>
    <row r="81" customFormat="false" ht="17.15" hidden="false" customHeight="false" outlineLevel="0" collapsed="false">
      <c r="A81" s="0" t="s">
        <v>276</v>
      </c>
      <c r="B81" s="4" t="s">
        <v>277</v>
      </c>
      <c r="C81" s="0" t="s">
        <v>52</v>
      </c>
      <c r="D81" s="7" t="n">
        <v>0.35</v>
      </c>
      <c r="E81" s="7" t="n">
        <v>0.3768</v>
      </c>
      <c r="F81" s="7" t="n">
        <v>0.43</v>
      </c>
      <c r="G81" s="8" t="s">
        <v>152</v>
      </c>
      <c r="H81" s="4" t="s">
        <v>278</v>
      </c>
      <c r="I81" s="8" t="s">
        <v>279</v>
      </c>
    </row>
    <row r="82" customFormat="false" ht="17.15" hidden="false" customHeight="false" outlineLevel="0" collapsed="false">
      <c r="A82" s="0" t="s">
        <v>280</v>
      </c>
      <c r="B82" s="4" t="s">
        <v>281</v>
      </c>
      <c r="C82" s="0" t="s">
        <v>52</v>
      </c>
      <c r="D82" s="7" t="n">
        <v>0.3768</v>
      </c>
      <c r="E82" s="7" t="n">
        <v>0.4</v>
      </c>
      <c r="F82" s="7" t="n">
        <v>0.4266</v>
      </c>
      <c r="G82" s="8" t="s">
        <v>65</v>
      </c>
      <c r="H82" s="4" t="s">
        <v>282</v>
      </c>
      <c r="I82" s="4" t="s">
        <v>283</v>
      </c>
    </row>
    <row r="83" customFormat="false" ht="17.15" hidden="false" customHeight="false" outlineLevel="0" collapsed="false">
      <c r="A83" s="0" t="s">
        <v>284</v>
      </c>
      <c r="B83" s="0" t="s">
        <v>285</v>
      </c>
      <c r="C83" s="4" t="s">
        <v>286</v>
      </c>
      <c r="E83" s="0" t="n">
        <f aca="false">3.18+0.25*21/92</f>
        <v>3.2370652173913</v>
      </c>
      <c r="G83" s="0" t="s">
        <v>33</v>
      </c>
      <c r="H83" s="4" t="s">
        <v>287</v>
      </c>
      <c r="I83" s="0" t="s">
        <v>288</v>
      </c>
    </row>
    <row r="84" customFormat="false" ht="17.15" hidden="false" customHeight="false" outlineLevel="0" collapsed="false">
      <c r="A84" s="0" t="s">
        <v>289</v>
      </c>
      <c r="B84" s="0" t="s">
        <v>290</v>
      </c>
      <c r="C84" s="4" t="s">
        <v>286</v>
      </c>
      <c r="E84" s="0" t="n">
        <f aca="false">3.18+0.25</f>
        <v>3.43</v>
      </c>
      <c r="G84" s="0" t="s">
        <v>33</v>
      </c>
      <c r="H84" s="4" t="s">
        <v>38</v>
      </c>
      <c r="I84" s="0" t="s">
        <v>136</v>
      </c>
    </row>
    <row r="85" customFormat="false" ht="17.15" hidden="false" customHeight="false" outlineLevel="0" collapsed="false">
      <c r="A85" s="6" t="s">
        <v>291</v>
      </c>
    </row>
    <row r="86" customFormat="false" ht="17.15" hidden="false" customHeight="false" outlineLevel="0" collapsed="false">
      <c r="A86" s="0" t="s">
        <v>292</v>
      </c>
      <c r="B86" s="4" t="s">
        <v>293</v>
      </c>
      <c r="C86" s="0" t="s">
        <v>64</v>
      </c>
      <c r="D86" s="7" t="n">
        <v>0.15</v>
      </c>
      <c r="E86" s="7" t="n">
        <v>0.3</v>
      </c>
      <c r="F86" s="7" t="n">
        <v>0.6</v>
      </c>
      <c r="G86" s="8" t="s">
        <v>33</v>
      </c>
      <c r="H86" s="8" t="s">
        <v>294</v>
      </c>
      <c r="I86" s="4" t="s">
        <v>295</v>
      </c>
    </row>
    <row r="87" customFormat="false" ht="17.15" hidden="false" customHeight="false" outlineLevel="0" collapsed="false">
      <c r="A87" s="0" t="s">
        <v>296</v>
      </c>
      <c r="B87" s="4" t="s">
        <v>297</v>
      </c>
      <c r="C87" s="0" t="s">
        <v>212</v>
      </c>
      <c r="D87" s="7" t="n">
        <v>-0.002</v>
      </c>
      <c r="E87" s="7" t="n">
        <v>0</v>
      </c>
      <c r="F87" s="7" t="n">
        <v>0.002</v>
      </c>
      <c r="G87" s="8" t="s">
        <v>65</v>
      </c>
      <c r="H87" s="4" t="s">
        <v>298</v>
      </c>
      <c r="I87" s="4" t="s">
        <v>299</v>
      </c>
    </row>
    <row r="88" customFormat="false" ht="17.15" hidden="false" customHeight="false" outlineLevel="0" collapsed="false">
      <c r="A88" s="0" t="s">
        <v>300</v>
      </c>
      <c r="B88" s="4" t="s">
        <v>301</v>
      </c>
      <c r="C88" s="0" t="s">
        <v>52</v>
      </c>
      <c r="D88" s="7" t="n">
        <v>0.45</v>
      </c>
      <c r="E88" s="7" t="n">
        <v>0.56</v>
      </c>
      <c r="F88" s="7" t="n">
        <v>0.65</v>
      </c>
      <c r="G88" s="8" t="s">
        <v>33</v>
      </c>
      <c r="H88" s="4" t="s">
        <v>302</v>
      </c>
      <c r="I88" s="8" t="s">
        <v>136</v>
      </c>
    </row>
    <row r="89" customFormat="false" ht="17.15" hidden="false" customHeight="false" outlineLevel="0" collapsed="false">
      <c r="A89" s="0" t="s">
        <v>303</v>
      </c>
      <c r="B89" s="4" t="s">
        <v>304</v>
      </c>
      <c r="C89" s="0" t="s">
        <v>52</v>
      </c>
      <c r="D89" s="7" t="n">
        <v>0</v>
      </c>
      <c r="E89" s="7" t="n">
        <v>0</v>
      </c>
      <c r="F89" s="7" t="n">
        <v>0.01</v>
      </c>
      <c r="G89" s="8" t="s">
        <v>65</v>
      </c>
      <c r="H89" s="8" t="s">
        <v>305</v>
      </c>
      <c r="I89" s="8" t="s">
        <v>136</v>
      </c>
    </row>
    <row r="90" customFormat="false" ht="17.15" hidden="false" customHeight="false" outlineLevel="0" collapsed="false">
      <c r="A90" s="0" t="s">
        <v>306</v>
      </c>
      <c r="B90" s="0" t="s">
        <v>307</v>
      </c>
      <c r="C90" s="0" t="s">
        <v>64</v>
      </c>
      <c r="D90" s="7" t="n">
        <v>0.8</v>
      </c>
      <c r="E90" s="7" t="n">
        <v>1</v>
      </c>
      <c r="F90" s="7" t="n">
        <v>1.2</v>
      </c>
      <c r="G90" s="8" t="s">
        <v>65</v>
      </c>
      <c r="H90" s="4" t="s">
        <v>308</v>
      </c>
      <c r="I90" s="8" t="s">
        <v>309</v>
      </c>
    </row>
    <row r="91" customFormat="false" ht="17.15" hidden="false" customHeight="false" outlineLevel="0" collapsed="false">
      <c r="A91" s="6" t="s">
        <v>310</v>
      </c>
    </row>
    <row r="92" customFormat="false" ht="17.15" hidden="false" customHeight="false" outlineLevel="0" collapsed="false">
      <c r="A92" s="0" t="s">
        <v>311</v>
      </c>
      <c r="B92" s="4" t="s">
        <v>312</v>
      </c>
      <c r="C92" s="0" t="s">
        <v>151</v>
      </c>
      <c r="D92" s="7" t="n">
        <v>4000</v>
      </c>
      <c r="E92" s="7" t="n">
        <v>4100</v>
      </c>
      <c r="F92" s="7" t="n">
        <v>4200</v>
      </c>
      <c r="G92" s="8" t="s">
        <v>152</v>
      </c>
      <c r="H92" s="8" t="s">
        <v>313</v>
      </c>
      <c r="I92" s="8" t="s">
        <v>136</v>
      </c>
    </row>
    <row r="93" customFormat="false" ht="17.15" hidden="false" customHeight="false" outlineLevel="0" collapsed="false">
      <c r="A93" s="0" t="s">
        <v>314</v>
      </c>
      <c r="B93" s="4" t="s">
        <v>315</v>
      </c>
      <c r="C93" s="0" t="s">
        <v>316</v>
      </c>
      <c r="D93" s="7" t="n">
        <v>16.14</v>
      </c>
      <c r="E93" s="7" t="n">
        <v>17.09</v>
      </c>
      <c r="F93" s="7" t="n">
        <v>18.14</v>
      </c>
      <c r="G93" s="8" t="s">
        <v>152</v>
      </c>
      <c r="H93" s="8" t="s">
        <v>317</v>
      </c>
      <c r="I93" s="4" t="s">
        <v>318</v>
      </c>
    </row>
    <row r="94" customFormat="false" ht="17.15" hidden="false" customHeight="false" outlineLevel="0" collapsed="false">
      <c r="A94" s="0" t="s">
        <v>319</v>
      </c>
      <c r="B94" s="4" t="s">
        <v>320</v>
      </c>
      <c r="C94" s="0" t="s">
        <v>316</v>
      </c>
      <c r="E94" s="7" t="n">
        <v>20</v>
      </c>
      <c r="G94" s="8" t="s">
        <v>152</v>
      </c>
      <c r="H94" s="4" t="s">
        <v>321</v>
      </c>
      <c r="I94" s="4" t="s">
        <v>322</v>
      </c>
    </row>
    <row r="95" customFormat="false" ht="17.15" hidden="false" customHeight="false" outlineLevel="0" collapsed="false">
      <c r="A95" s="0" t="s">
        <v>323</v>
      </c>
      <c r="B95" s="4" t="s">
        <v>324</v>
      </c>
      <c r="C95" s="0" t="s">
        <v>316</v>
      </c>
      <c r="D95" s="7" t="n">
        <v>23.3</v>
      </c>
      <c r="E95" s="7" t="n">
        <v>24.85</v>
      </c>
      <c r="F95" s="7" t="n">
        <v>26.4</v>
      </c>
      <c r="G95" s="8" t="s">
        <v>152</v>
      </c>
      <c r="H95" s="4" t="s">
        <v>325</v>
      </c>
      <c r="I95" s="4" t="s">
        <v>326</v>
      </c>
    </row>
    <row r="96" customFormat="false" ht="17.15" hidden="false" customHeight="false" outlineLevel="0" collapsed="false">
      <c r="A96" s="0" t="s">
        <v>327</v>
      </c>
      <c r="B96" s="4" t="s">
        <v>328</v>
      </c>
      <c r="C96" s="0" t="s">
        <v>316</v>
      </c>
      <c r="E96" s="7" t="n">
        <v>13.96</v>
      </c>
      <c r="G96" s="8" t="s">
        <v>152</v>
      </c>
      <c r="H96" s="4" t="s">
        <v>329</v>
      </c>
      <c r="I96" s="4" t="s">
        <v>330</v>
      </c>
    </row>
    <row r="97" customFormat="false" ht="17.15" hidden="false" customHeight="false" outlineLevel="0" collapsed="false">
      <c r="A97" s="0" t="s">
        <v>331</v>
      </c>
      <c r="B97" s="4" t="s">
        <v>332</v>
      </c>
      <c r="C97" s="0" t="s">
        <v>316</v>
      </c>
      <c r="E97" s="7" t="n">
        <v>18.29</v>
      </c>
      <c r="G97" s="8" t="s">
        <v>152</v>
      </c>
      <c r="H97" s="4" t="s">
        <v>329</v>
      </c>
      <c r="I97" s="8" t="s">
        <v>136</v>
      </c>
    </row>
    <row r="98" customFormat="false" ht="17.15" hidden="false" customHeight="false" outlineLevel="0" collapsed="false">
      <c r="A98" s="0" t="s">
        <v>333</v>
      </c>
      <c r="B98" s="4" t="s">
        <v>334</v>
      </c>
      <c r="C98" s="4" t="s">
        <v>335</v>
      </c>
      <c r="E98" s="7" t="n">
        <v>15</v>
      </c>
      <c r="G98" s="8" t="s">
        <v>152</v>
      </c>
      <c r="H98" s="4" t="s">
        <v>336</v>
      </c>
      <c r="I98" s="8" t="s">
        <v>337</v>
      </c>
    </row>
    <row r="99" customFormat="false" ht="17.15" hidden="false" customHeight="false" outlineLevel="0" collapsed="false">
      <c r="A99" s="0" t="s">
        <v>338</v>
      </c>
      <c r="B99" s="4" t="s">
        <v>339</v>
      </c>
      <c r="C99" s="0" t="s">
        <v>52</v>
      </c>
      <c r="E99" s="0" t="n">
        <f aca="false">2350/(2600+2525+2350)</f>
        <v>0.31438127090301</v>
      </c>
      <c r="G99" s="0" t="s">
        <v>152</v>
      </c>
      <c r="H99" s="4" t="s">
        <v>340</v>
      </c>
      <c r="I99" s="4" t="s">
        <v>341</v>
      </c>
    </row>
    <row r="100" customFormat="false" ht="17.15" hidden="false" customHeight="false" outlineLevel="0" collapsed="false">
      <c r="A100" s="0" t="s">
        <v>342</v>
      </c>
      <c r="B100" s="4" t="s">
        <v>343</v>
      </c>
      <c r="C100" s="0" t="s">
        <v>151</v>
      </c>
      <c r="E100" s="7" t="n">
        <v>1361.998</v>
      </c>
      <c r="G100" s="8" t="s">
        <v>152</v>
      </c>
      <c r="H100" s="4" t="s">
        <v>344</v>
      </c>
      <c r="I100" s="8" t="s">
        <v>136</v>
      </c>
    </row>
    <row r="101" customFormat="false" ht="17.15" hidden="false" customHeight="false" outlineLevel="0" collapsed="false">
      <c r="A101" s="0" t="s">
        <v>345</v>
      </c>
      <c r="B101" s="4" t="s">
        <v>346</v>
      </c>
      <c r="C101" s="0" t="s">
        <v>151</v>
      </c>
      <c r="E101" s="7" t="n">
        <v>2368.079</v>
      </c>
      <c r="G101" s="8" t="s">
        <v>152</v>
      </c>
      <c r="H101" s="4" t="s">
        <v>344</v>
      </c>
      <c r="I101" s="8" t="s">
        <v>136</v>
      </c>
    </row>
    <row r="102" customFormat="false" ht="17.15" hidden="false" customHeight="false" outlineLevel="0" collapsed="false">
      <c r="A102" s="0" t="s">
        <v>347</v>
      </c>
      <c r="B102" s="4" t="s">
        <v>348</v>
      </c>
      <c r="C102" s="0" t="s">
        <v>151</v>
      </c>
      <c r="E102" s="7" t="n">
        <v>105.263</v>
      </c>
      <c r="G102" s="8" t="s">
        <v>152</v>
      </c>
      <c r="H102" s="4" t="s">
        <v>344</v>
      </c>
      <c r="I102" s="8" t="s">
        <v>136</v>
      </c>
    </row>
    <row r="103" customFormat="false" ht="17.15" hidden="false" customHeight="false" outlineLevel="0" collapsed="false">
      <c r="A103" s="6" t="s">
        <v>349</v>
      </c>
    </row>
    <row r="104" customFormat="false" ht="17.15" hidden="false" customHeight="false" outlineLevel="0" collapsed="false">
      <c r="A104" s="0" t="s">
        <v>350</v>
      </c>
      <c r="B104" s="4" t="s">
        <v>351</v>
      </c>
      <c r="C104" s="0" t="s">
        <v>316</v>
      </c>
      <c r="E104" s="7" t="n">
        <v>190</v>
      </c>
      <c r="G104" s="8" t="s">
        <v>152</v>
      </c>
      <c r="H104" s="4" t="s">
        <v>352</v>
      </c>
      <c r="I104" s="4" t="s">
        <v>353</v>
      </c>
    </row>
    <row r="105" customFormat="false" ht="17.15" hidden="false" customHeight="false" outlineLevel="0" collapsed="false">
      <c r="A105" s="0" t="s">
        <v>354</v>
      </c>
      <c r="B105" s="4" t="s">
        <v>355</v>
      </c>
      <c r="C105" s="0" t="s">
        <v>64</v>
      </c>
      <c r="E105" s="7" t="n">
        <v>15.09</v>
      </c>
      <c r="G105" s="8" t="s">
        <v>152</v>
      </c>
      <c r="H105" s="4" t="s">
        <v>356</v>
      </c>
      <c r="I105" s="8" t="s">
        <v>357</v>
      </c>
    </row>
    <row r="106" customFormat="false" ht="17.15" hidden="false" customHeight="false" outlineLevel="0" collapsed="false">
      <c r="A106" s="0" t="s">
        <v>358</v>
      </c>
      <c r="B106" s="4" t="s">
        <v>359</v>
      </c>
      <c r="C106" s="0" t="s">
        <v>64</v>
      </c>
      <c r="E106" s="7" t="n">
        <v>9.93</v>
      </c>
      <c r="G106" s="8" t="s">
        <v>152</v>
      </c>
      <c r="H106" s="8" t="s">
        <v>360</v>
      </c>
      <c r="I106" s="8" t="s">
        <v>136</v>
      </c>
    </row>
    <row r="107" customFormat="false" ht="17.15" hidden="false" customHeight="false" outlineLevel="0" collapsed="false">
      <c r="A107" s="0" t="s">
        <v>361</v>
      </c>
      <c r="B107" s="4" t="s">
        <v>362</v>
      </c>
      <c r="C107" s="0" t="s">
        <v>316</v>
      </c>
      <c r="E107" s="0" t="n">
        <f aca="false">185.5/fpe</f>
        <v>18.6807653575025</v>
      </c>
      <c r="G107" s="0" t="s">
        <v>33</v>
      </c>
      <c r="H107" s="0" t="s">
        <v>363</v>
      </c>
      <c r="I107" s="4" t="s">
        <v>364</v>
      </c>
    </row>
    <row r="108" customFormat="false" ht="17.15" hidden="false" customHeight="false" outlineLevel="0" collapsed="false">
      <c r="A108" s="0" t="s">
        <v>365</v>
      </c>
      <c r="B108" s="4" t="s">
        <v>366</v>
      </c>
      <c r="C108" s="0" t="s">
        <v>316</v>
      </c>
      <c r="D108" s="7" t="n">
        <v>165</v>
      </c>
      <c r="E108" s="7" t="n">
        <v>268.71</v>
      </c>
      <c r="F108" s="7" t="n">
        <v>400</v>
      </c>
      <c r="G108" s="8" t="s">
        <v>152</v>
      </c>
      <c r="H108" s="8" t="s">
        <v>367</v>
      </c>
      <c r="I108" s="4" t="s">
        <v>368</v>
      </c>
    </row>
    <row r="109" customFormat="false" ht="17.15" hidden="false" customHeight="false" outlineLevel="0" collapsed="false">
      <c r="A109" s="0" t="s">
        <v>369</v>
      </c>
      <c r="B109" s="4" t="s">
        <v>370</v>
      </c>
      <c r="C109" s="0" t="s">
        <v>52</v>
      </c>
      <c r="E109" s="0" t="n">
        <f aca="false">AVERAGE(10.468/862.083,11.162/984.619,11.472/867.057,17.446/1049.256,27.408/2186.523)</f>
        <v>0.0131744000852347</v>
      </c>
      <c r="G109" s="0" t="s">
        <v>33</v>
      </c>
      <c r="H109" s="0" t="s">
        <v>371</v>
      </c>
      <c r="I109" s="4" t="s">
        <v>372</v>
      </c>
    </row>
    <row r="110" customFormat="false" ht="17.15" hidden="false" customHeight="false" outlineLevel="0" collapsed="false">
      <c r="A110" s="6" t="s">
        <v>373</v>
      </c>
    </row>
    <row r="111" customFormat="false" ht="17.15" hidden="false" customHeight="false" outlineLevel="0" collapsed="false">
      <c r="A111" s="9" t="s">
        <v>374</v>
      </c>
      <c r="B111" s="10" t="s">
        <v>375</v>
      </c>
      <c r="C111" s="9" t="s">
        <v>52</v>
      </c>
      <c r="D111" s="9"/>
      <c r="E111" s="11" t="n">
        <v>0.3</v>
      </c>
      <c r="F111" s="9"/>
      <c r="G111" s="9" t="s">
        <v>65</v>
      </c>
      <c r="H111" s="9" t="s">
        <v>376</v>
      </c>
      <c r="I111" s="10" t="s">
        <v>377</v>
      </c>
    </row>
    <row r="112" customFormat="false" ht="17.15" hidden="false" customHeight="false" outlineLevel="0" collapsed="false">
      <c r="A112" s="9" t="s">
        <v>378</v>
      </c>
      <c r="B112" s="10" t="s">
        <v>379</v>
      </c>
      <c r="C112" s="9" t="s">
        <v>52</v>
      </c>
      <c r="D112" s="9"/>
      <c r="E112" s="11" t="n">
        <v>0.5</v>
      </c>
      <c r="F112" s="9"/>
      <c r="G112" s="9" t="s">
        <v>65</v>
      </c>
      <c r="H112" s="9" t="s">
        <v>376</v>
      </c>
      <c r="I112" s="10" t="s">
        <v>377</v>
      </c>
    </row>
    <row r="113" customFormat="false" ht="17.15" hidden="false" customHeight="false" outlineLevel="0" collapsed="false">
      <c r="A113" s="9" t="s">
        <v>380</v>
      </c>
      <c r="B113" s="10" t="s">
        <v>381</v>
      </c>
      <c r="C113" s="9" t="s">
        <v>52</v>
      </c>
      <c r="D113" s="9"/>
      <c r="E113" s="11" t="n">
        <v>0.2</v>
      </c>
      <c r="F113" s="9"/>
      <c r="G113" s="9" t="s">
        <v>65</v>
      </c>
      <c r="H113" s="9" t="s">
        <v>376</v>
      </c>
      <c r="I113" s="10" t="s">
        <v>377</v>
      </c>
    </row>
    <row r="114" customFormat="false" ht="17.15" hidden="false" customHeight="false" outlineLevel="0" collapsed="false">
      <c r="A114" s="9" t="s">
        <v>382</v>
      </c>
      <c r="B114" s="10" t="s">
        <v>383</v>
      </c>
      <c r="C114" s="9" t="s">
        <v>52</v>
      </c>
      <c r="D114" s="9"/>
      <c r="E114" s="11" t="n">
        <v>0.1</v>
      </c>
      <c r="F114" s="9"/>
      <c r="G114" s="9" t="s">
        <v>65</v>
      </c>
      <c r="H114" s="9" t="s">
        <v>384</v>
      </c>
      <c r="I114" s="9" t="s">
        <v>385</v>
      </c>
    </row>
    <row r="115" customFormat="false" ht="17.15" hidden="false" customHeight="false" outlineLevel="0" collapsed="false">
      <c r="A115" s="9" t="s">
        <v>386</v>
      </c>
      <c r="B115" s="10" t="s">
        <v>387</v>
      </c>
      <c r="C115" s="9" t="s">
        <v>52</v>
      </c>
      <c r="D115" s="9"/>
      <c r="E115" s="11" t="n">
        <v>0.04</v>
      </c>
      <c r="F115" s="9"/>
      <c r="G115" s="9" t="s">
        <v>65</v>
      </c>
      <c r="H115" s="9" t="s">
        <v>388</v>
      </c>
      <c r="I115" s="9" t="s">
        <v>389</v>
      </c>
    </row>
    <row r="116" customFormat="false" ht="17.15" hidden="false" customHeight="false" outlineLevel="0" collapsed="false">
      <c r="A116" s="9" t="s">
        <v>390</v>
      </c>
      <c r="B116" s="9" t="s">
        <v>391</v>
      </c>
      <c r="C116" s="9" t="s">
        <v>52</v>
      </c>
      <c r="D116" s="9"/>
      <c r="E116" s="9" t="n">
        <f aca="false">AVERAGE(0.1477,0.1942,0.2626)</f>
        <v>0.2015</v>
      </c>
      <c r="F116" s="9"/>
      <c r="G116" s="9" t="s">
        <v>33</v>
      </c>
      <c r="H116" s="9" t="s">
        <v>392</v>
      </c>
      <c r="I116" s="9" t="s">
        <v>393</v>
      </c>
    </row>
    <row r="117" customFormat="false" ht="17.15" hidden="false" customHeight="false" outlineLevel="0" collapsed="false">
      <c r="A117" s="9" t="s">
        <v>394</v>
      </c>
      <c r="B117" s="10" t="s">
        <v>395</v>
      </c>
      <c r="C117" s="9" t="s">
        <v>52</v>
      </c>
      <c r="D117" s="9"/>
      <c r="E117" s="11" t="n">
        <v>0.5</v>
      </c>
      <c r="F117" s="9"/>
      <c r="G117" s="9" t="s">
        <v>65</v>
      </c>
      <c r="H117" s="9" t="s">
        <v>396</v>
      </c>
      <c r="I117" s="9" t="s">
        <v>136</v>
      </c>
    </row>
    <row r="118" customFormat="false" ht="17.15" hidden="false" customHeight="false" outlineLevel="0" collapsed="false">
      <c r="A118" s="9" t="s">
        <v>397</v>
      </c>
      <c r="B118" s="10" t="s">
        <v>398</v>
      </c>
      <c r="C118" s="9" t="s">
        <v>52</v>
      </c>
      <c r="D118" s="9"/>
      <c r="E118" s="9" t="n">
        <f aca="false">tp_g+0.02</f>
        <v>0.06</v>
      </c>
      <c r="F118" s="9"/>
      <c r="G118" s="9" t="s">
        <v>65</v>
      </c>
      <c r="H118" s="10" t="s">
        <v>399</v>
      </c>
      <c r="I118" s="9" t="s">
        <v>400</v>
      </c>
    </row>
    <row r="119" customFormat="false" ht="17.15" hidden="false" customHeight="false" outlineLevel="0" collapsed="false">
      <c r="A119" s="9" t="s">
        <v>401</v>
      </c>
      <c r="B119" s="10" t="s">
        <v>402</v>
      </c>
      <c r="C119" s="9" t="s">
        <v>52</v>
      </c>
      <c r="D119" s="9"/>
      <c r="E119" s="9" t="n">
        <f aca="false">tp_g</f>
        <v>0.04</v>
      </c>
      <c r="F119" s="9"/>
      <c r="G119" s="9" t="s">
        <v>65</v>
      </c>
      <c r="H119" s="10" t="s">
        <v>38</v>
      </c>
      <c r="I119" s="9" t="s">
        <v>136</v>
      </c>
    </row>
    <row r="120" customFormat="false" ht="17.15" hidden="false" customHeight="false" outlineLevel="0" collapsed="false">
      <c r="A120" s="9" t="s">
        <v>403</v>
      </c>
      <c r="B120" s="10" t="s">
        <v>404</v>
      </c>
      <c r="C120" s="9" t="s">
        <v>52</v>
      </c>
      <c r="D120" s="9"/>
      <c r="E120" s="9" t="n">
        <f aca="false">tp_g-0.02</f>
        <v>0.02</v>
      </c>
      <c r="F120" s="9"/>
      <c r="G120" s="9" t="s">
        <v>65</v>
      </c>
      <c r="H120" s="10" t="s">
        <v>38</v>
      </c>
      <c r="I120" s="9" t="s">
        <v>136</v>
      </c>
    </row>
    <row r="121" customFormat="false" ht="17.15" hidden="false" customHeight="false" outlineLevel="0" collapsed="false">
      <c r="A121" s="9" t="s">
        <v>405</v>
      </c>
      <c r="B121" s="10" t="s">
        <v>406</v>
      </c>
      <c r="C121" s="9" t="s">
        <v>52</v>
      </c>
      <c r="D121" s="9"/>
      <c r="E121" s="12" t="n">
        <f aca="false">PL!G14</f>
        <v>0.0179091905122343</v>
      </c>
      <c r="F121" s="9"/>
      <c r="G121" s="9" t="s">
        <v>33</v>
      </c>
      <c r="H121" s="9" t="s">
        <v>407</v>
      </c>
      <c r="I121" s="9" t="s">
        <v>136</v>
      </c>
    </row>
    <row r="122" customFormat="false" ht="17.15" hidden="false" customHeight="false" outlineLevel="0" collapsed="false">
      <c r="A122" s="9" t="s">
        <v>408</v>
      </c>
      <c r="B122" s="10" t="s">
        <v>409</v>
      </c>
      <c r="C122" s="9" t="s">
        <v>52</v>
      </c>
      <c r="D122" s="9"/>
      <c r="E122" s="13" t="n">
        <f aca="false">PL!G28*0.9</f>
        <v>0.015629267878702</v>
      </c>
      <c r="F122" s="9"/>
      <c r="G122" s="9" t="s">
        <v>65</v>
      </c>
      <c r="H122" s="10" t="s">
        <v>410</v>
      </c>
      <c r="I122" s="10" t="s">
        <v>411</v>
      </c>
    </row>
    <row r="123" customFormat="false" ht="17.15" hidden="false" customHeight="false" outlineLevel="0" collapsed="false">
      <c r="A123" s="9" t="s">
        <v>412</v>
      </c>
      <c r="B123" s="10" t="s">
        <v>413</v>
      </c>
      <c r="C123" s="9" t="s">
        <v>52</v>
      </c>
      <c r="D123" s="9"/>
      <c r="E123" s="13" t="n">
        <f aca="false">PL!G42*0.8</f>
        <v>0.0129096231632397</v>
      </c>
      <c r="F123" s="9"/>
      <c r="G123" s="9" t="s">
        <v>65</v>
      </c>
      <c r="H123" s="10" t="s">
        <v>414</v>
      </c>
      <c r="I123" s="9" t="s">
        <v>415</v>
      </c>
    </row>
    <row r="125" customFormat="false" ht="17.15" hidden="false" customHeight="false" outlineLevel="0" collapsed="false">
      <c r="A125" s="1" t="s">
        <v>416</v>
      </c>
    </row>
    <row r="126" customFormat="false" ht="17.15" hidden="false" customHeight="false" outlineLevel="0" collapsed="false">
      <c r="A126" s="1" t="s">
        <v>20</v>
      </c>
      <c r="B126" s="1" t="s">
        <v>21</v>
      </c>
      <c r="C126" s="1" t="s">
        <v>22</v>
      </c>
      <c r="D126" s="1" t="s">
        <v>417</v>
      </c>
      <c r="E126" s="1" t="s">
        <v>418</v>
      </c>
      <c r="F126" s="1" t="s">
        <v>419</v>
      </c>
      <c r="G126" s="1" t="s">
        <v>26</v>
      </c>
      <c r="H126" s="1" t="s">
        <v>420</v>
      </c>
    </row>
    <row r="127" customFormat="false" ht="17.15" hidden="false" customHeight="false" outlineLevel="0" collapsed="false">
      <c r="A127" s="0" t="s">
        <v>421</v>
      </c>
      <c r="B127" s="0" t="s">
        <v>422</v>
      </c>
      <c r="C127" s="0" t="s">
        <v>64</v>
      </c>
      <c r="D127" s="0" t="n">
        <f aca="false">E14</f>
        <v>1</v>
      </c>
      <c r="E127" s="0" t="n">
        <f aca="false">E16</f>
        <v>0.8</v>
      </c>
      <c r="F127" s="0" t="n">
        <f aca="false">E18</f>
        <v>0.6</v>
      </c>
      <c r="G127" s="0" t="s">
        <v>33</v>
      </c>
      <c r="H127" s="4" t="s">
        <v>423</v>
      </c>
    </row>
    <row r="128" customFormat="false" ht="17.15" hidden="false" customHeight="false" outlineLevel="0" collapsed="false">
      <c r="A128" s="0" t="s">
        <v>424</v>
      </c>
      <c r="B128" s="0" t="s">
        <v>425</v>
      </c>
      <c r="C128" s="0" t="s">
        <v>64</v>
      </c>
      <c r="D128" s="0" t="n">
        <f aca="false">E15</f>
        <v>1</v>
      </c>
      <c r="E128" s="0" t="n">
        <f aca="false">E17</f>
        <v>0.85</v>
      </c>
      <c r="F128" s="0" t="n">
        <f aca="false">E19</f>
        <v>0.6</v>
      </c>
      <c r="G128" s="0" t="s">
        <v>33</v>
      </c>
      <c r="H128" s="4" t="s">
        <v>426</v>
      </c>
    </row>
    <row r="129" customFormat="false" ht="17.15" hidden="false" customHeight="false" outlineLevel="0" collapsed="false">
      <c r="A129" s="0" t="s">
        <v>427</v>
      </c>
      <c r="B129" s="0" t="s">
        <v>428</v>
      </c>
      <c r="C129" s="0" t="s">
        <v>52</v>
      </c>
      <c r="D129" s="0" t="n">
        <f aca="false">E118</f>
        <v>0.06</v>
      </c>
      <c r="E129" s="0" t="n">
        <f aca="false">E119</f>
        <v>0.04</v>
      </c>
      <c r="F129" s="0" t="n">
        <f aca="false">E120</f>
        <v>0.02</v>
      </c>
      <c r="G129" s="0" t="s">
        <v>33</v>
      </c>
      <c r="H129" s="4" t="s">
        <v>429</v>
      </c>
    </row>
    <row r="130" customFormat="false" ht="17.15" hidden="false" customHeight="false" outlineLevel="0" collapsed="false">
      <c r="A130" s="0" t="s">
        <v>430</v>
      </c>
      <c r="B130" s="0" t="s">
        <v>431</v>
      </c>
      <c r="C130" s="0" t="s">
        <v>52</v>
      </c>
      <c r="D130" s="14" t="n">
        <f aca="false">E121</f>
        <v>0.0179091905122343</v>
      </c>
      <c r="E130" s="8" t="n">
        <f aca="false">E122</f>
        <v>0.015629267878702</v>
      </c>
      <c r="F130" s="8" t="n">
        <f aca="false">E123</f>
        <v>0.0129096231632397</v>
      </c>
      <c r="G130" s="8" t="s">
        <v>33</v>
      </c>
      <c r="H130" s="4" t="s">
        <v>432</v>
      </c>
    </row>
    <row r="131" customFormat="false" ht="17.15" hidden="false" customHeight="false" outlineLevel="0" collapsed="false">
      <c r="A131" s="0" t="s">
        <v>433</v>
      </c>
      <c r="B131" s="4" t="s">
        <v>434</v>
      </c>
      <c r="C131" s="0" t="s">
        <v>52</v>
      </c>
      <c r="D131" s="0" t="n">
        <f aca="false">E111</f>
        <v>0.3</v>
      </c>
      <c r="E131" s="0" t="n">
        <f aca="false">E112</f>
        <v>0.5</v>
      </c>
      <c r="F131" s="0" t="n">
        <f aca="false">E113</f>
        <v>0.2</v>
      </c>
      <c r="G131" s="0" t="s">
        <v>33</v>
      </c>
      <c r="H131" s="4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8"/>
    <col collapsed="false" customWidth="true" hidden="false" outlineLevel="0" max="8" min="8" style="0" width="6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436</v>
      </c>
    </row>
    <row r="2" customFormat="false" ht="17.15" hidden="false" customHeight="false" outlineLevel="0" collapsed="false">
      <c r="A2" s="0" t="s">
        <v>437</v>
      </c>
    </row>
    <row r="3" customFormat="false" ht="17.15" hidden="false" customHeight="false" outlineLevel="0" collapsed="false">
      <c r="A3" s="5" t="s">
        <v>21</v>
      </c>
      <c r="B3" s="15" t="s">
        <v>438</v>
      </c>
      <c r="C3" s="15" t="s">
        <v>439</v>
      </c>
      <c r="D3" s="15" t="s">
        <v>440</v>
      </c>
      <c r="E3" s="15" t="s">
        <v>441</v>
      </c>
      <c r="F3" s="15" t="s">
        <v>442</v>
      </c>
      <c r="G3" s="5" t="s">
        <v>26</v>
      </c>
      <c r="H3" s="5" t="s">
        <v>443</v>
      </c>
      <c r="I3" s="5" t="s">
        <v>28</v>
      </c>
    </row>
    <row r="4" customFormat="false" ht="17.15" hidden="false" customHeight="false" outlineLevel="0" collapsed="false">
      <c r="A4" s="4" t="s">
        <v>444</v>
      </c>
      <c r="B4" s="16" t="n">
        <v>2186.523</v>
      </c>
      <c r="C4" s="17" t="n">
        <f aca="false">895.443/(1+0.0581)+895.443</f>
        <v>1741.71745421038</v>
      </c>
      <c r="D4" s="17" t="n">
        <f aca="false">q3_rev</f>
        <v>1149.09</v>
      </c>
      <c r="E4" s="17" t="n">
        <f aca="false">D4*(1+q4g)</f>
        <v>1206.5445</v>
      </c>
      <c r="F4" s="17" t="n">
        <f aca="false">SUM(C4:E4)</f>
        <v>4097.35195421038</v>
      </c>
      <c r="G4" s="8" t="s">
        <v>445</v>
      </c>
      <c r="H4" s="8" t="s">
        <v>446</v>
      </c>
      <c r="I4" s="8" t="s">
        <v>447</v>
      </c>
    </row>
    <row r="5" customFormat="false" ht="17.15" hidden="false" customHeight="false" outlineLevel="0" collapsed="false">
      <c r="A5" s="4" t="s">
        <v>448</v>
      </c>
      <c r="B5" s="16" t="n">
        <v>133.983</v>
      </c>
      <c r="C5" s="17" t="n">
        <f aca="false">895.443/(1+0.0581)*(0.0556-0.0045)+895.443*0.0556</f>
        <v>93.0312554101503</v>
      </c>
      <c r="D5" s="17" t="n">
        <f aca="false">D10*q_wgm+D13*q_sgm</f>
        <v>66.110792</v>
      </c>
      <c r="E5" s="17" t="n">
        <f aca="false">E10*q_wgm+E13*q_sgm</f>
        <v>69.4163316</v>
      </c>
      <c r="F5" s="17" t="n">
        <f aca="false">SUM(C5:E5)</f>
        <v>228.55837901015</v>
      </c>
      <c r="G5" s="8" t="s">
        <v>449</v>
      </c>
      <c r="H5" s="8" t="s">
        <v>446</v>
      </c>
      <c r="I5" s="8" t="s">
        <v>450</v>
      </c>
    </row>
    <row r="6" customFormat="false" ht="15" hidden="false" customHeight="false" outlineLevel="0" collapsed="false">
      <c r="A6" s="4" t="s">
        <v>451</v>
      </c>
      <c r="B6" s="14" t="n">
        <f aca="false">B5/B4</f>
        <v>0.0612767393711386</v>
      </c>
      <c r="C6" s="14" t="n">
        <f aca="false">C5/C4</f>
        <v>0.0534135173218017</v>
      </c>
      <c r="D6" s="14" t="n">
        <f aca="false">D5/D4</f>
        <v>0.0575331714661167</v>
      </c>
      <c r="E6" s="14" t="n">
        <f aca="false">E5/E4</f>
        <v>0.0575331714661167</v>
      </c>
      <c r="F6" s="14" t="n">
        <f aca="false">F5/F4</f>
        <v>0.055781973714825</v>
      </c>
      <c r="G6" s="8" t="s">
        <v>33</v>
      </c>
      <c r="H6" s="8" t="s">
        <v>136</v>
      </c>
      <c r="I6" s="8" t="s">
        <v>136</v>
      </c>
    </row>
    <row r="7" customFormat="false" ht="17.15" hidden="false" customHeight="false" outlineLevel="0" collapsed="false">
      <c r="A7" s="4" t="s">
        <v>452</v>
      </c>
      <c r="B7" s="16" t="n">
        <v>78.553</v>
      </c>
      <c r="C7" s="17" t="n">
        <f aca="false">895.443/(1+0.0581)*(0.0374-0.0029)+895.443*0.0374</f>
        <v>62.686036870258</v>
      </c>
      <c r="D7" s="17" t="n">
        <f aca="false">D12+D15</f>
        <v>44.915172</v>
      </c>
      <c r="E7" s="17" t="n">
        <f aca="false">E12+E15</f>
        <v>47.1609306</v>
      </c>
      <c r="F7" s="17" t="n">
        <f aca="false">SUM(C7:E7)</f>
        <v>154.762139470258</v>
      </c>
      <c r="G7" s="8" t="s">
        <v>453</v>
      </c>
      <c r="H7" s="8" t="s">
        <v>446</v>
      </c>
      <c r="I7" s="8" t="s">
        <v>454</v>
      </c>
    </row>
    <row r="8" customFormat="false" ht="15" hidden="false" customHeight="false" outlineLevel="0" collapsed="false">
      <c r="A8" s="4" t="s">
        <v>455</v>
      </c>
      <c r="B8" s="14" t="n">
        <f aca="false">B7/B4</f>
        <v>0.0359259884300325</v>
      </c>
      <c r="C8" s="14" t="n">
        <f aca="false">C7/C4</f>
        <v>0.0359909333851611</v>
      </c>
      <c r="D8" s="14" t="n">
        <f aca="false">D7/D4</f>
        <v>0.0390876014933556</v>
      </c>
      <c r="E8" s="14" t="n">
        <f aca="false">E7/E4</f>
        <v>0.0390876014933556</v>
      </c>
      <c r="F8" s="14" t="n">
        <f aca="false">F7/F4</f>
        <v>0.0377712584126992</v>
      </c>
      <c r="G8" s="8" t="s">
        <v>33</v>
      </c>
      <c r="H8" s="8" t="s">
        <v>136</v>
      </c>
      <c r="I8" s="8" t="s">
        <v>136</v>
      </c>
    </row>
    <row r="9" customFormat="false" ht="15" hidden="false" customHeight="false" outlineLevel="0" collapsed="false">
      <c r="A9" s="4" t="s">
        <v>456</v>
      </c>
      <c r="B9" s="17" t="n">
        <f aca="false">B5-B7</f>
        <v>55.43</v>
      </c>
      <c r="C9" s="17" t="n">
        <f aca="false">C5-C7</f>
        <v>30.3452185398923</v>
      </c>
      <c r="D9" s="17" t="n">
        <f aca="false">D5-D7</f>
        <v>21.19562</v>
      </c>
      <c r="E9" s="17" t="n">
        <f aca="false">E5-E7</f>
        <v>22.255401</v>
      </c>
      <c r="F9" s="17" t="n">
        <f aca="false">SUM(C9:E9)</f>
        <v>73.7962395398922</v>
      </c>
      <c r="G9" s="8" t="s">
        <v>33</v>
      </c>
      <c r="H9" s="4" t="s">
        <v>457</v>
      </c>
      <c r="I9" s="8" t="s">
        <v>136</v>
      </c>
    </row>
    <row r="10" customFormat="false" ht="17.15" hidden="false" customHeight="false" outlineLevel="0" collapsed="false">
      <c r="A10" s="4" t="s">
        <v>458</v>
      </c>
      <c r="B10" s="16" t="n">
        <v>950.663</v>
      </c>
      <c r="C10" s="16" t="n">
        <v>554.66</v>
      </c>
      <c r="D10" s="17" t="n">
        <f aca="false">q3_wrev</f>
        <v>434.618</v>
      </c>
      <c r="E10" s="17" t="n">
        <f aca="false">D10*(1+q4gw)</f>
        <v>456.3489</v>
      </c>
      <c r="F10" s="17" t="n">
        <f aca="false">SUM(C10:E10)</f>
        <v>1445.6269</v>
      </c>
      <c r="G10" s="8" t="s">
        <v>459</v>
      </c>
      <c r="H10" s="4" t="s">
        <v>460</v>
      </c>
      <c r="I10" s="8" t="s">
        <v>461</v>
      </c>
    </row>
    <row r="11" customFormat="false" ht="17.15" hidden="false" customHeight="false" outlineLevel="0" collapsed="false">
      <c r="A11" s="4" t="s">
        <v>462</v>
      </c>
      <c r="B11" s="16" t="n">
        <v>78.454</v>
      </c>
      <c r="C11" s="17" t="n">
        <f aca="false">554.66*0.0841</f>
        <v>46.646906</v>
      </c>
      <c r="D11" s="17" t="n">
        <f aca="false">D10*q_wgm</f>
        <v>38.246384</v>
      </c>
      <c r="E11" s="17" t="n">
        <f aca="false">E10*q_wgm</f>
        <v>40.1587032</v>
      </c>
      <c r="F11" s="17" t="n">
        <f aca="false">SUM(C11:E11)</f>
        <v>125.0519932</v>
      </c>
      <c r="G11" s="8" t="s">
        <v>453</v>
      </c>
      <c r="H11" s="4" t="s">
        <v>460</v>
      </c>
      <c r="I11" s="8" t="s">
        <v>463</v>
      </c>
    </row>
    <row r="12" customFormat="false" ht="17.15" hidden="false" customHeight="false" outlineLevel="0" collapsed="false">
      <c r="A12" s="4" t="s">
        <v>464</v>
      </c>
      <c r="B12" s="16" t="n">
        <v>63.918</v>
      </c>
      <c r="C12" s="17" t="n">
        <f aca="false">554.66*0.0679</f>
        <v>37.661414</v>
      </c>
      <c r="D12" s="17" t="n">
        <f aca="false">D10*q_wopm</f>
        <v>29.554024</v>
      </c>
      <c r="E12" s="17" t="n">
        <f aca="false">E10*q_wopm</f>
        <v>31.0317252</v>
      </c>
      <c r="F12" s="17" t="n">
        <f aca="false">SUM(C12:E12)</f>
        <v>98.2471632</v>
      </c>
      <c r="G12" s="8" t="s">
        <v>453</v>
      </c>
      <c r="H12" s="4" t="s">
        <v>460</v>
      </c>
      <c r="I12" s="8" t="s">
        <v>465</v>
      </c>
    </row>
    <row r="13" customFormat="false" ht="17.15" hidden="false" customHeight="false" outlineLevel="0" collapsed="false">
      <c r="A13" s="4" t="s">
        <v>466</v>
      </c>
      <c r="B13" s="17" t="n">
        <f aca="false">B4-B10</f>
        <v>1235.86</v>
      </c>
      <c r="C13" s="17" t="n">
        <f aca="false">C4-C10</f>
        <v>1187.05745421038</v>
      </c>
      <c r="D13" s="17" t="n">
        <f aca="false">D4-D10</f>
        <v>714.472</v>
      </c>
      <c r="E13" s="17" t="n">
        <f aca="false">E4-E10</f>
        <v>750.1956</v>
      </c>
      <c r="F13" s="17" t="n">
        <f aca="false">SUM(C13:E13)</f>
        <v>2651.72505421038</v>
      </c>
      <c r="G13" s="8" t="s">
        <v>33</v>
      </c>
      <c r="H13" s="8" t="s">
        <v>136</v>
      </c>
      <c r="I13" s="4" t="s">
        <v>467</v>
      </c>
    </row>
    <row r="14" customFormat="false" ht="15" hidden="false" customHeight="false" outlineLevel="0" collapsed="false">
      <c r="A14" s="4" t="s">
        <v>468</v>
      </c>
      <c r="B14" s="17" t="n">
        <f aca="false">B5-B11</f>
        <v>55.529</v>
      </c>
      <c r="C14" s="17" t="n">
        <f aca="false">C5-C11</f>
        <v>46.3843494101503</v>
      </c>
      <c r="D14" s="17" t="n">
        <f aca="false">D5-D11</f>
        <v>27.864408</v>
      </c>
      <c r="E14" s="17" t="n">
        <f aca="false">E5-E11</f>
        <v>29.2576284</v>
      </c>
      <c r="F14" s="17" t="n">
        <f aca="false">SUM(C14:E14)</f>
        <v>103.50638581015</v>
      </c>
      <c r="G14" s="8" t="s">
        <v>33</v>
      </c>
      <c r="H14" s="8" t="s">
        <v>136</v>
      </c>
      <c r="I14" s="8" t="s">
        <v>136</v>
      </c>
    </row>
    <row r="15" customFormat="false" ht="17.15" hidden="false" customHeight="false" outlineLevel="0" collapsed="false">
      <c r="A15" s="4" t="s">
        <v>469</v>
      </c>
      <c r="B15" s="17" t="n">
        <f aca="false">B7-B12</f>
        <v>14.635</v>
      </c>
      <c r="C15" s="17" t="n">
        <f aca="false">C7-C12</f>
        <v>25.024622870258</v>
      </c>
      <c r="D15" s="17" t="n">
        <f aca="false">D14-D13*q_sopx</f>
        <v>15.361148</v>
      </c>
      <c r="E15" s="17" t="n">
        <f aca="false">E14-E13*q_sopx</f>
        <v>16.1292054</v>
      </c>
      <c r="F15" s="17" t="n">
        <f aca="false">SUM(C15:E15)</f>
        <v>56.514976270258</v>
      </c>
      <c r="G15" s="8" t="s">
        <v>33</v>
      </c>
      <c r="H15" s="8" t="s">
        <v>136</v>
      </c>
      <c r="I15" s="4" t="s">
        <v>470</v>
      </c>
    </row>
    <row r="16" customFormat="false" ht="15" hidden="false" customHeight="false" outlineLevel="0" collapsed="false">
      <c r="A16" s="4" t="s">
        <v>471</v>
      </c>
      <c r="B16" s="17" t="n">
        <f aca="false">B14-B15</f>
        <v>40.894</v>
      </c>
      <c r="C16" s="17" t="n">
        <f aca="false">C14-C15</f>
        <v>21.3597265398923</v>
      </c>
      <c r="D16" s="17" t="n">
        <f aca="false">D14-D15</f>
        <v>12.50326</v>
      </c>
      <c r="E16" s="17" t="n">
        <f aca="false">E14-E15</f>
        <v>13.128423</v>
      </c>
      <c r="F16" s="17" t="n">
        <f aca="false">SUM(C16:E16)</f>
        <v>46.9914095398923</v>
      </c>
      <c r="G16" s="8" t="s">
        <v>33</v>
      </c>
      <c r="H16" s="8" t="s">
        <v>136</v>
      </c>
      <c r="I16" s="8" t="s">
        <v>136</v>
      </c>
    </row>
    <row r="17" customFormat="false" ht="17.15" hidden="false" customHeight="false" outlineLevel="0" collapsed="false">
      <c r="A17" s="4" t="s">
        <v>472</v>
      </c>
      <c r="B17" s="16" t="n">
        <v>51.118</v>
      </c>
      <c r="C17" s="16" t="n">
        <v>29.084</v>
      </c>
      <c r="D17" s="17" t="n">
        <f aca="false">D12*q_wnio</f>
        <v>22.75659848</v>
      </c>
      <c r="E17" s="17" t="n">
        <f aca="false">E12*q_wnio</f>
        <v>23.894428404</v>
      </c>
      <c r="F17" s="17" t="n">
        <f aca="false">SUM(C17:E17)</f>
        <v>75.735026884</v>
      </c>
      <c r="G17" s="8" t="s">
        <v>453</v>
      </c>
      <c r="H17" s="4" t="s">
        <v>460</v>
      </c>
      <c r="I17" s="8" t="s">
        <v>473</v>
      </c>
    </row>
    <row r="18" customFormat="false" ht="17.15" hidden="false" customHeight="false" outlineLevel="0" collapsed="false">
      <c r="A18" s="4" t="s">
        <v>474</v>
      </c>
      <c r="B18" s="14" t="n">
        <f aca="false">stake25</f>
        <v>0.4</v>
      </c>
      <c r="C18" s="14" t="n">
        <f aca="false">stake</f>
        <v>0.3768</v>
      </c>
      <c r="D18" s="14" t="n">
        <f aca="false">stake</f>
        <v>0.3768</v>
      </c>
      <c r="E18" s="14" t="n">
        <f aca="false">stake</f>
        <v>0.3768</v>
      </c>
      <c r="F18" s="14" t="n">
        <f aca="false">stake</f>
        <v>0.3768</v>
      </c>
      <c r="G18" s="8" t="s">
        <v>475</v>
      </c>
      <c r="H18" s="4" t="s">
        <v>476</v>
      </c>
      <c r="I18" s="8" t="s">
        <v>477</v>
      </c>
    </row>
    <row r="19" customFormat="false" ht="17.15" hidden="false" customHeight="false" outlineLevel="0" collapsed="false">
      <c r="A19" s="4" t="s">
        <v>478</v>
      </c>
      <c r="B19" s="17" t="n">
        <f aca="false">(1-B18)*B17</f>
        <v>30.6708</v>
      </c>
      <c r="C19" s="17" t="n">
        <f aca="false">(1-C18)*C17</f>
        <v>18.1251488</v>
      </c>
      <c r="D19" s="17" t="n">
        <f aca="false">(1-D18)*D17</f>
        <v>14.181912172736</v>
      </c>
      <c r="E19" s="17" t="n">
        <f aca="false">(1-E18)*E17</f>
        <v>14.8910077813728</v>
      </c>
      <c r="F19" s="17" t="n">
        <f aca="false">SUM(C19:E19)</f>
        <v>47.1980687541088</v>
      </c>
      <c r="G19" s="8" t="s">
        <v>33</v>
      </c>
      <c r="H19" s="4" t="s">
        <v>479</v>
      </c>
      <c r="I19" s="4" t="s">
        <v>480</v>
      </c>
    </row>
    <row r="20" customFormat="false" ht="17.15" hidden="false" customHeight="false" outlineLevel="0" collapsed="false">
      <c r="A20" s="4" t="s">
        <v>481</v>
      </c>
      <c r="B20" s="16" t="n">
        <v>27.408</v>
      </c>
      <c r="C20" s="17" t="n">
        <f aca="false">9.631+14.827</f>
        <v>24.458</v>
      </c>
      <c r="D20" s="17" t="n">
        <f aca="false">D21+D18*D17</f>
        <v>17.176929187264</v>
      </c>
      <c r="E20" s="17" t="n">
        <f aca="false">E21+E18*E17</f>
        <v>18.0357756466272</v>
      </c>
      <c r="F20" s="17" t="n">
        <f aca="false">SUM(C20:E20)</f>
        <v>59.6707048338912</v>
      </c>
      <c r="G20" s="8" t="s">
        <v>482</v>
      </c>
      <c r="H20" s="8" t="s">
        <v>446</v>
      </c>
      <c r="I20" s="8" t="s">
        <v>483</v>
      </c>
    </row>
    <row r="21" customFormat="false" ht="17.15" hidden="false" customHeight="false" outlineLevel="0" collapsed="false">
      <c r="A21" s="4" t="s">
        <v>484</v>
      </c>
      <c r="B21" s="17" t="n">
        <f aca="false">B20-B18*B17</f>
        <v>6.9608</v>
      </c>
      <c r="C21" s="17" t="n">
        <f aca="false">C20-C18*C17</f>
        <v>13.4991488</v>
      </c>
      <c r="D21" s="17" t="n">
        <f aca="false">D15*q_snio</f>
        <v>8.60224288</v>
      </c>
      <c r="E21" s="17" t="n">
        <f aca="false">E15*q_snio</f>
        <v>9.032355024</v>
      </c>
      <c r="F21" s="17" t="n">
        <f aca="false">SUM(C21:E21)</f>
        <v>31.133746704</v>
      </c>
      <c r="G21" s="8" t="s">
        <v>33</v>
      </c>
      <c r="H21" s="8" t="s">
        <v>136</v>
      </c>
      <c r="I21" s="8" t="s">
        <v>136</v>
      </c>
    </row>
    <row r="22" customFormat="false" ht="15" hidden="false" customHeight="false" outlineLevel="0" collapsed="false">
      <c r="A22" s="4" t="s">
        <v>485</v>
      </c>
      <c r="B22" s="17" t="n">
        <f aca="false">B20+B19</f>
        <v>58.0788</v>
      </c>
      <c r="C22" s="17" t="n">
        <f aca="false">C20+C19</f>
        <v>42.5831488</v>
      </c>
      <c r="D22" s="17" t="n">
        <f aca="false">D20+D19</f>
        <v>31.35884136</v>
      </c>
      <c r="E22" s="17" t="n">
        <f aca="false">E20+E19</f>
        <v>32.926783428</v>
      </c>
      <c r="F22" s="17" t="n">
        <f aca="false">SUM(C22:E22)</f>
        <v>106.868773588</v>
      </c>
      <c r="G22" s="8" t="s">
        <v>33</v>
      </c>
      <c r="H22" s="8" t="s">
        <v>136</v>
      </c>
      <c r="I22" s="8" t="s">
        <v>136</v>
      </c>
    </row>
    <row r="23" customFormat="false" ht="17.15" hidden="false" customHeight="false" outlineLevel="0" collapsed="false">
      <c r="A23" s="4" t="s">
        <v>486</v>
      </c>
      <c r="B23" s="17" t="n">
        <f aca="false">27.408/9.04</f>
        <v>3.03185840707965</v>
      </c>
      <c r="C23" s="17" t="n">
        <f aca="false">24.458/7.78</f>
        <v>3.14370179948586</v>
      </c>
      <c r="D23" s="17" t="n">
        <f aca="false">q_sh3</f>
        <v>3.2370652173913</v>
      </c>
      <c r="E23" s="17" t="n">
        <f aca="false">q_sh4</f>
        <v>3.43</v>
      </c>
      <c r="F23" s="17" t="n">
        <f aca="false">(2*C23+D23+E23)/4</f>
        <v>3.23861720409076</v>
      </c>
      <c r="G23" s="8" t="s">
        <v>33</v>
      </c>
      <c r="H23" s="8" t="s">
        <v>446</v>
      </c>
      <c r="I23" s="4" t="s">
        <v>487</v>
      </c>
    </row>
    <row r="24" customFormat="false" ht="17.15" hidden="false" customHeight="false" outlineLevel="0" collapsed="false">
      <c r="A24" s="0" t="s">
        <v>488</v>
      </c>
      <c r="B24" s="18" t="n">
        <f aca="false">B20/B23</f>
        <v>9.04</v>
      </c>
      <c r="C24" s="18" t="n">
        <f aca="false">C20/C23</f>
        <v>7.78</v>
      </c>
      <c r="D24" s="18" t="n">
        <f aca="false">D20/D23</f>
        <v>5.30632781044387</v>
      </c>
      <c r="E24" s="18" t="n">
        <f aca="false">E20/E23</f>
        <v>5.25824362875429</v>
      </c>
      <c r="F24" s="18" t="n">
        <f aca="false">F20/F23</f>
        <v>18.4247476850676</v>
      </c>
      <c r="G24" s="8" t="s">
        <v>33</v>
      </c>
      <c r="H24" s="4" t="s">
        <v>489</v>
      </c>
      <c r="I24" s="8" t="s">
        <v>136</v>
      </c>
    </row>
    <row r="25" customFormat="false" ht="17.15" hidden="false" customHeight="false" outlineLevel="0" collapsed="false">
      <c r="A25" s="4" t="s">
        <v>490</v>
      </c>
      <c r="B25" s="19" t="n">
        <v>9.04</v>
      </c>
      <c r="C25" s="19" t="n">
        <v>7.78</v>
      </c>
      <c r="G25" s="8" t="s">
        <v>240</v>
      </c>
      <c r="H25" s="8" t="s">
        <v>446</v>
      </c>
      <c r="I25" s="8" t="s">
        <v>491</v>
      </c>
    </row>
    <row r="26" customFormat="false" ht="17.15" hidden="false" customHeight="false" outlineLevel="0" collapsed="false">
      <c r="A26" s="6" t="s">
        <v>492</v>
      </c>
    </row>
    <row r="27" customFormat="false" ht="17.15" hidden="false" customHeight="false" outlineLevel="0" collapsed="false">
      <c r="A27" s="4" t="s">
        <v>493</v>
      </c>
      <c r="F27" s="17" t="n">
        <f aca="false">brd_26</f>
        <v>110</v>
      </c>
      <c r="G27" s="8" t="s">
        <v>152</v>
      </c>
      <c r="H27" s="4" t="s">
        <v>494</v>
      </c>
      <c r="I27" s="8" t="s">
        <v>136</v>
      </c>
    </row>
    <row r="28" customFormat="false" ht="15" hidden="false" customHeight="false" outlineLevel="0" collapsed="false">
      <c r="A28" s="4" t="s">
        <v>495</v>
      </c>
      <c r="F28" s="17" t="n">
        <f aca="false">gen_26</f>
        <v>150</v>
      </c>
      <c r="G28" s="8" t="s">
        <v>65</v>
      </c>
      <c r="H28" s="8" t="s">
        <v>136</v>
      </c>
      <c r="I28" s="8" t="s">
        <v>136</v>
      </c>
    </row>
    <row r="29" customFormat="false" ht="17.15" hidden="false" customHeight="false" outlineLevel="0" collapsed="false">
      <c r="A29" s="4" t="s">
        <v>496</v>
      </c>
      <c r="F29" s="17" t="n">
        <f aca="false">F4*nsv_26</f>
        <v>614.602793131557</v>
      </c>
      <c r="G29" s="8" t="s">
        <v>152</v>
      </c>
      <c r="H29" s="4" t="s">
        <v>497</v>
      </c>
      <c r="I29" s="8" t="s">
        <v>136</v>
      </c>
    </row>
    <row r="30" customFormat="false" ht="17.15" hidden="false" customHeight="false" outlineLevel="0" collapsed="false">
      <c r="A30" s="4" t="s">
        <v>498</v>
      </c>
      <c r="F30" s="17" t="n">
        <f aca="false">F13-F27-F28-F29</f>
        <v>1777.12226107882</v>
      </c>
      <c r="G30" s="8" t="s">
        <v>33</v>
      </c>
      <c r="H30" s="4" t="s">
        <v>499</v>
      </c>
      <c r="I30" s="4" t="s">
        <v>500</v>
      </c>
    </row>
    <row r="31" customFormat="false" ht="17.15" hidden="false" customHeight="false" outlineLevel="0" collapsed="false">
      <c r="A31" s="4" t="s">
        <v>501</v>
      </c>
      <c r="F31" s="17" t="n">
        <f aca="false">F10*wai_26</f>
        <v>693.900912</v>
      </c>
      <c r="G31" s="8" t="s">
        <v>152</v>
      </c>
      <c r="H31" s="4" t="s">
        <v>502</v>
      </c>
      <c r="I31" s="8" t="s">
        <v>136</v>
      </c>
    </row>
    <row r="32" customFormat="false" ht="17.15" hidden="false" customHeight="false" outlineLevel="0" collapsed="false">
      <c r="A32" s="4" t="s">
        <v>503</v>
      </c>
      <c r="F32" s="17" t="n">
        <f aca="false">F10-F31</f>
        <v>751.725988</v>
      </c>
      <c r="G32" s="8" t="s">
        <v>33</v>
      </c>
      <c r="H32" s="8" t="s">
        <v>136</v>
      </c>
      <c r="I32" s="8" t="s">
        <v>136</v>
      </c>
    </row>
    <row r="34" customFormat="false" ht="17.15" hidden="false" customHeight="false" outlineLevel="0" collapsed="false">
      <c r="A34" s="6" t="s">
        <v>504</v>
      </c>
    </row>
    <row r="35" customFormat="false" ht="17.15" hidden="false" customHeight="false" outlineLevel="0" collapsed="false">
      <c r="A35" s="0" t="s">
        <v>505</v>
      </c>
      <c r="B35" s="20" t="n">
        <f aca="false">F4/B4-1</f>
        <v>0.873912121761526</v>
      </c>
    </row>
    <row r="36" customFormat="false" ht="17.15" hidden="false" customHeight="false" outlineLevel="0" collapsed="false">
      <c r="A36" s="0" t="s">
        <v>506</v>
      </c>
      <c r="B36" s="20" t="n">
        <f aca="false">F10/B10-1</f>
        <v>0.520651271796631</v>
      </c>
    </row>
    <row r="37" customFormat="false" ht="17.15" hidden="false" customHeight="false" outlineLevel="0" collapsed="false">
      <c r="A37" s="0" t="s">
        <v>507</v>
      </c>
      <c r="B37" s="20" t="n">
        <f aca="false">F13/B13-1</f>
        <v>1.1456516548884</v>
      </c>
    </row>
    <row r="38" customFormat="false" ht="17.15" hidden="false" customHeight="false" outlineLevel="0" collapsed="false">
      <c r="A38" s="0" t="s">
        <v>508</v>
      </c>
      <c r="B38" s="20" t="n">
        <f aca="false">F16/B16-1</f>
        <v>0.149102791115866</v>
      </c>
    </row>
    <row r="39" customFormat="false" ht="17.15" hidden="false" customHeight="false" outlineLevel="0" collapsed="false">
      <c r="A39" s="4" t="s">
        <v>509</v>
      </c>
      <c r="B39" s="18" t="n">
        <f aca="false">B38/B37</f>
        <v>0.130146707753319</v>
      </c>
    </row>
    <row r="40" customFormat="false" ht="17.15" hidden="false" customHeight="false" outlineLevel="0" collapsed="false">
      <c r="A40" s="0" t="s">
        <v>510</v>
      </c>
      <c r="B40" s="20" t="n">
        <f aca="false">F4/cons_rev26-1</f>
        <v>-0.000645864826737341</v>
      </c>
    </row>
    <row r="41" customFormat="false" ht="17.15" hidden="false" customHeight="false" outlineLevel="0" collapsed="false">
      <c r="A41" s="0" t="s">
        <v>511</v>
      </c>
      <c r="B41" s="20" t="n">
        <f aca="false">F24/cons_eps26-1</f>
        <v>0.0781010933333868</v>
      </c>
    </row>
    <row r="42" customFormat="false" ht="17.15" hidden="false" customHeight="false" outlineLevel="0" collapsed="false">
      <c r="A42" s="0" t="s">
        <v>512</v>
      </c>
      <c r="B42" s="18" t="n">
        <f aca="false">C24-C25</f>
        <v>0</v>
      </c>
    </row>
    <row r="43" customFormat="false" ht="17.15" hidden="false" customHeight="false" outlineLevel="0" collapsed="false">
      <c r="A43" s="0" t="s">
        <v>513</v>
      </c>
      <c r="B43" s="18" t="n">
        <f aca="false">F7/F12</f>
        <v>1.57523265231803</v>
      </c>
    </row>
    <row r="44" customFormat="false" ht="17.15" hidden="false" customHeight="false" outlineLevel="0" collapsed="false">
      <c r="A44" s="4" t="s">
        <v>514</v>
      </c>
      <c r="B44" s="21" t="n">
        <f aca="false">F30/fx/(odm_gb*(1-vr26)+odm_vr*vr26)</f>
        <v>12.0597330420658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515</v>
      </c>
    </row>
    <row r="3" customFormat="false" ht="15" hidden="false" customHeight="false" outlineLevel="0" collapsed="false">
      <c r="A3" s="5" t="s">
        <v>21</v>
      </c>
      <c r="B3" s="5" t="s">
        <v>22</v>
      </c>
      <c r="C3" s="15" t="s">
        <v>516</v>
      </c>
      <c r="D3" s="15" t="s">
        <v>517</v>
      </c>
      <c r="E3" s="15" t="s">
        <v>518</v>
      </c>
      <c r="F3" s="15" t="s">
        <v>519</v>
      </c>
      <c r="G3" s="5" t="s">
        <v>420</v>
      </c>
    </row>
    <row r="4" customFormat="false" ht="17.15" hidden="false" customHeight="false" outlineLevel="0" collapsed="false">
      <c r="A4" s="4" t="s">
        <v>520</v>
      </c>
      <c r="B4" s="0" t="s">
        <v>521</v>
      </c>
      <c r="C4" s="22" t="n">
        <f aca="false">PL!D65</f>
        <v>23.3995380420639</v>
      </c>
      <c r="D4" s="22" t="n">
        <f aca="false">PL!E65</f>
        <v>41.6467658260637</v>
      </c>
      <c r="E4" s="22" t="n">
        <f aca="false">PL!F65</f>
        <v>52.792138191248</v>
      </c>
      <c r="F4" s="22" t="n">
        <f aca="false">PL!G65</f>
        <v>60.1385917361116</v>
      </c>
      <c r="G4" s="8" t="s">
        <v>522</v>
      </c>
    </row>
    <row r="5" customFormat="false" ht="17.15" hidden="false" customHeight="false" outlineLevel="0" collapsed="false">
      <c r="A5" s="0" t="s">
        <v>523</v>
      </c>
      <c r="B5" s="0" t="s">
        <v>32</v>
      </c>
      <c r="C5" s="21" t="n">
        <f aca="false">PL!D67</f>
        <v>634.61653128501</v>
      </c>
      <c r="D5" s="21" t="n">
        <f aca="false">PL!E67</f>
        <v>1139.08069210867</v>
      </c>
      <c r="E5" s="21" t="n">
        <f aca="false">PL!F67</f>
        <v>1443.91777166882</v>
      </c>
      <c r="F5" s="21" t="n">
        <f aca="false">PL!G67</f>
        <v>1644.85062257439</v>
      </c>
      <c r="G5" s="4" t="s">
        <v>524</v>
      </c>
    </row>
    <row r="6" customFormat="false" ht="17.15" hidden="false" customHeight="false" outlineLevel="0" collapsed="false">
      <c r="A6" s="4" t="s">
        <v>525</v>
      </c>
      <c r="B6" s="0" t="s">
        <v>52</v>
      </c>
      <c r="C6" s="20" t="n">
        <f aca="false">PL!D72</f>
        <v>0.0875096501918447</v>
      </c>
      <c r="D6" s="20" t="n">
        <f aca="false">PL!E72</f>
        <v>0.0875096501918447</v>
      </c>
      <c r="E6" s="20" t="n">
        <f aca="false">PL!F72</f>
        <v>0.0831341676822525</v>
      </c>
      <c r="F6" s="20" t="n">
        <f aca="false">PL!G72</f>
        <v>0.0787586851726602</v>
      </c>
      <c r="G6" s="8" t="s">
        <v>526</v>
      </c>
    </row>
    <row r="7" customFormat="false" ht="17.15" hidden="false" customHeight="false" outlineLevel="0" collapsed="false">
      <c r="A7" s="4" t="s">
        <v>527</v>
      </c>
      <c r="B7" s="0" t="s">
        <v>52</v>
      </c>
      <c r="C7" s="20" t="n">
        <f aca="false">PL!D86</f>
        <v>0.0341693013513091</v>
      </c>
      <c r="D7" s="20" t="n">
        <f aca="false">PL!E86</f>
        <v>0.0341693013513091</v>
      </c>
      <c r="E7" s="20" t="n">
        <f aca="false">PL!F86</f>
        <v>0.0341693013513091</v>
      </c>
      <c r="F7" s="20" t="n">
        <f aca="false">PL!G86</f>
        <v>0.0324608362837436</v>
      </c>
      <c r="G7" s="4" t="s">
        <v>528</v>
      </c>
    </row>
    <row r="8" customFormat="false" ht="17.15" hidden="false" customHeight="false" outlineLevel="0" collapsed="false">
      <c r="A8" s="4" t="s">
        <v>529</v>
      </c>
      <c r="B8" s="0" t="s">
        <v>52</v>
      </c>
      <c r="C8" s="20" t="n">
        <f aca="false">C6+C7</f>
        <v>0.121678951543154</v>
      </c>
      <c r="D8" s="20" t="n">
        <f aca="false">D6+D7</f>
        <v>0.121678951543154</v>
      </c>
      <c r="E8" s="20" t="n">
        <f aca="false">E6+E7</f>
        <v>0.117303469033562</v>
      </c>
      <c r="F8" s="20" t="n">
        <f aca="false">F6+F7</f>
        <v>0.111219521456404</v>
      </c>
    </row>
    <row r="9" customFormat="false" ht="17.15" hidden="false" customHeight="false" outlineLevel="0" collapsed="false">
      <c r="A9" s="4" t="s">
        <v>530</v>
      </c>
      <c r="B9" s="0" t="s">
        <v>52</v>
      </c>
      <c r="C9" s="23" t="n">
        <v>0.133896123975753</v>
      </c>
      <c r="D9" s="23" t="n">
        <v>0.133896123975753</v>
      </c>
      <c r="E9" s="23" t="n">
        <v>0.127201317776965</v>
      </c>
      <c r="F9" s="23" t="n">
        <v>0.120506511578178</v>
      </c>
      <c r="G9" s="4" t="s">
        <v>531</v>
      </c>
    </row>
    <row r="10" customFormat="false" ht="17.15" hidden="false" customHeight="false" outlineLevel="0" collapsed="false">
      <c r="A10" s="4" t="s">
        <v>532</v>
      </c>
      <c r="B10" s="0" t="s">
        <v>52</v>
      </c>
      <c r="C10" s="23" t="n">
        <v>0.174610057569922</v>
      </c>
      <c r="D10" s="23" t="n">
        <v>0.174610057569922</v>
      </c>
      <c r="E10" s="23" t="n">
        <v>0.174610057569922</v>
      </c>
      <c r="F10" s="23" t="n">
        <v>0.165879554691426</v>
      </c>
      <c r="G10" s="4" t="s">
        <v>533</v>
      </c>
    </row>
    <row r="11" customFormat="false" ht="17.15" hidden="false" customHeight="false" outlineLevel="0" collapsed="false">
      <c r="A11" s="4" t="s">
        <v>534</v>
      </c>
      <c r="B11" s="0" t="s">
        <v>52</v>
      </c>
      <c r="C11" s="20" t="n">
        <f aca="false">C8+C9+C10</f>
        <v>0.430185133088829</v>
      </c>
      <c r="D11" s="20" t="n">
        <f aca="false">D8+D9+D10</f>
        <v>0.430185133088829</v>
      </c>
      <c r="E11" s="20" t="n">
        <f aca="false">E8+E9+E10</f>
        <v>0.419114844380449</v>
      </c>
      <c r="F11" s="20" t="n">
        <f aca="false">F8+F9+F10</f>
        <v>0.397605587726008</v>
      </c>
      <c r="G11" s="4" t="s">
        <v>535</v>
      </c>
    </row>
    <row r="12" customFormat="false" ht="17.15" hidden="false" customHeight="false" outlineLevel="0" collapsed="false">
      <c r="A12" s="4" t="s">
        <v>536</v>
      </c>
      <c r="B12" s="0" t="s">
        <v>32</v>
      </c>
      <c r="C12" s="21" t="n">
        <f aca="false">PL!D75/fx</f>
        <v>55.5350706587131</v>
      </c>
      <c r="D12" s="21" t="n">
        <f aca="false">PL!E75/fx</f>
        <v>89.7124976160425</v>
      </c>
      <c r="E12" s="21" t="n">
        <f aca="false">PL!F75/fx</f>
        <v>96.0311217194403</v>
      </c>
      <c r="F12" s="21" t="n">
        <f aca="false">PL!G75/fx</f>
        <v>97.1597042545428</v>
      </c>
      <c r="G12" s="4" t="s">
        <v>537</v>
      </c>
    </row>
    <row r="13" customFormat="false" ht="17.15" hidden="false" customHeight="false" outlineLevel="0" collapsed="false">
      <c r="A13" s="4" t="s">
        <v>538</v>
      </c>
      <c r="B13" s="4" t="s">
        <v>335</v>
      </c>
      <c r="C13" s="21" t="n">
        <f aca="false">PL!D98</f>
        <v>12.0597330420658</v>
      </c>
      <c r="D13" s="21" t="n">
        <f aca="false">PL!E98</f>
        <v>14.7674893195132</v>
      </c>
      <c r="E13" s="21" t="n">
        <f aca="false">PL!F98</f>
        <v>17.7835410591556</v>
      </c>
      <c r="F13" s="21" t="n">
        <f aca="false">PL!G98</f>
        <v>19.1920403465763</v>
      </c>
      <c r="G13" s="4" t="s">
        <v>539</v>
      </c>
    </row>
    <row r="14" customFormat="false" ht="17.15" hidden="false" customHeight="false" outlineLevel="0" collapsed="false">
      <c r="A14" s="0" t="s">
        <v>540</v>
      </c>
      <c r="B14" s="4" t="s">
        <v>85</v>
      </c>
      <c r="C14" s="18" t="n">
        <f aca="false">PL!D77</f>
        <v>8.35</v>
      </c>
      <c r="D14" s="18" t="n">
        <f aca="false">PL!E77</f>
        <v>11.2</v>
      </c>
      <c r="E14" s="18" t="n">
        <f aca="false">PL!F77</f>
        <v>11.5</v>
      </c>
      <c r="F14" s="18" t="n">
        <f aca="false">PL!G77</f>
        <v>12.9</v>
      </c>
      <c r="G14" s="8" t="s">
        <v>541</v>
      </c>
    </row>
    <row r="15" customFormat="false" ht="17.15" hidden="false" customHeight="false" outlineLevel="0" collapsed="false">
      <c r="A15" s="4" t="s">
        <v>542</v>
      </c>
      <c r="B15" s="0" t="s">
        <v>543</v>
      </c>
      <c r="C15" s="24" t="n">
        <f aca="false">PL!D79</f>
        <v>823.353293413174</v>
      </c>
      <c r="D15" s="24" t="n">
        <f aca="false">PL!E79</f>
        <v>946.85628742515</v>
      </c>
      <c r="E15" s="24" t="n">
        <f aca="false">PL!F79</f>
        <v>988.023952095808</v>
      </c>
      <c r="F15" s="24" t="n">
        <f aca="false">PL!G79</f>
        <v>988.023952095808</v>
      </c>
      <c r="G15" s="8" t="s">
        <v>544</v>
      </c>
    </row>
    <row r="16" customFormat="false" ht="17.15" hidden="false" customHeight="false" outlineLevel="0" collapsed="false">
      <c r="A16" s="0" t="s">
        <v>545</v>
      </c>
      <c r="B16" s="0" t="s">
        <v>32</v>
      </c>
      <c r="C16" s="25" t="n">
        <f aca="false">PL!D80/fx</f>
        <v>3.4375</v>
      </c>
      <c r="D16" s="25" t="n">
        <f aca="false">PL!E80/fx</f>
        <v>5.30239520958084</v>
      </c>
      <c r="E16" s="25" t="n">
        <f aca="false">PL!F80/fx</f>
        <v>5.39708083832335</v>
      </c>
      <c r="F16" s="25" t="n">
        <f aca="false">PL!G80/fx</f>
        <v>5.73547904191617</v>
      </c>
      <c r="G16" s="4" t="s">
        <v>546</v>
      </c>
    </row>
    <row r="17" customFormat="false" ht="17.15" hidden="false" customHeight="false" outlineLevel="0" collapsed="false">
      <c r="A17" s="4" t="s">
        <v>547</v>
      </c>
      <c r="B17" s="0" t="s">
        <v>32</v>
      </c>
      <c r="C17" s="21" t="n">
        <f aca="false">PL!D87/fx</f>
        <v>21.6844035</v>
      </c>
      <c r="D17" s="21" t="n">
        <f aca="false">PL!E87/fx</f>
        <v>38.9215914321188</v>
      </c>
      <c r="E17" s="21" t="n">
        <f aca="false">PL!F87/fx</f>
        <v>49.3376614666628</v>
      </c>
      <c r="F17" s="21" t="n">
        <f aca="false">PL!G87/fx</f>
        <v>53.393226770601</v>
      </c>
    </row>
    <row r="19" customFormat="false" ht="17.15" hidden="false" customHeight="false" outlineLevel="0" collapsed="false">
      <c r="A19" s="1" t="s">
        <v>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549</v>
      </c>
    </row>
    <row r="2" customFormat="false" ht="17.15" hidden="false" customHeight="false" outlineLevel="0" collapsed="false">
      <c r="A2" s="4" t="s">
        <v>550</v>
      </c>
    </row>
    <row r="3" customFormat="false" ht="17.15" hidden="false" customHeight="false" outlineLevel="0" collapsed="false">
      <c r="A3" s="5" t="s">
        <v>551</v>
      </c>
      <c r="B3" s="5" t="s">
        <v>22</v>
      </c>
      <c r="C3" s="15" t="s">
        <v>438</v>
      </c>
      <c r="D3" s="15" t="s">
        <v>552</v>
      </c>
      <c r="E3" s="15" t="s">
        <v>553</v>
      </c>
      <c r="F3" s="15" t="s">
        <v>554</v>
      </c>
      <c r="G3" s="15" t="s">
        <v>555</v>
      </c>
      <c r="H3" s="15" t="s">
        <v>556</v>
      </c>
      <c r="I3" s="15" t="s">
        <v>557</v>
      </c>
      <c r="J3" s="15" t="s">
        <v>558</v>
      </c>
      <c r="K3" s="5" t="s">
        <v>420</v>
      </c>
    </row>
    <row r="4" customFormat="false" ht="17.15" hidden="false" customHeight="false" outlineLevel="0" collapsed="false">
      <c r="A4" s="1" t="s">
        <v>559</v>
      </c>
    </row>
    <row r="5" customFormat="false" ht="15" hidden="false" customHeight="false" outlineLevel="0" collapsed="false">
      <c r="A5" s="4" t="s">
        <v>444</v>
      </c>
      <c r="B5" s="0" t="s">
        <v>151</v>
      </c>
      <c r="C5" s="21" t="n">
        <f aca="false">C90</f>
        <v>2186.523</v>
      </c>
      <c r="D5" s="21" t="n">
        <f aca="false">D90</f>
        <v>4097.35195421038</v>
      </c>
      <c r="E5" s="21" t="n">
        <f aca="false">E90</f>
        <v>5889.03079238536</v>
      </c>
      <c r="F5" s="21" t="n">
        <f aca="false">F90</f>
        <v>6495.18486012725</v>
      </c>
      <c r="G5" s="21" t="n">
        <f aca="false">G90</f>
        <v>6731.57195859193</v>
      </c>
      <c r="H5" s="26" t="n">
        <f aca="false">H90</f>
        <v>7029.53021064286</v>
      </c>
      <c r="I5" s="26" t="n">
        <f aca="false">I90</f>
        <v>7395.9894768836</v>
      </c>
      <c r="J5" s="26" t="n">
        <f aca="false">J90</f>
        <v>7839.74884549662</v>
      </c>
    </row>
    <row r="6" customFormat="false" ht="15" hidden="false" customHeight="false" outlineLevel="0" collapsed="false">
      <c r="A6" s="4" t="s">
        <v>560</v>
      </c>
      <c r="B6" s="0" t="s">
        <v>52</v>
      </c>
      <c r="D6" s="20" t="n">
        <f aca="false">D95</f>
        <v>0.873912121761526</v>
      </c>
      <c r="E6" s="20" t="n">
        <f aca="false">E95</f>
        <v>0.437277260581405</v>
      </c>
      <c r="F6" s="20" t="n">
        <f aca="false">F95</f>
        <v>0.102929342554239</v>
      </c>
      <c r="G6" s="20" t="n">
        <f aca="false">G95</f>
        <v>0.0363942064090907</v>
      </c>
      <c r="H6" s="27" t="n">
        <f aca="false">H95</f>
        <v>0.0442628042727272</v>
      </c>
      <c r="I6" s="27" t="n">
        <f aca="false">I95</f>
        <v>0.0521314021363636</v>
      </c>
      <c r="J6" s="27" t="n">
        <f aca="false">J95</f>
        <v>0.06</v>
      </c>
    </row>
    <row r="7" customFormat="false" ht="17.15" hidden="false" customHeight="false" outlineLevel="0" collapsed="false">
      <c r="A7" s="4" t="s">
        <v>561</v>
      </c>
      <c r="B7" s="0" t="s">
        <v>151</v>
      </c>
      <c r="D7" s="21" t="n">
        <f aca="false">D75</f>
        <v>1777.12226107882</v>
      </c>
      <c r="E7" s="21" t="n">
        <f aca="false">E75</f>
        <v>2870.79992371336</v>
      </c>
      <c r="F7" s="21" t="n">
        <f aca="false">F75</f>
        <v>3072.99589502209</v>
      </c>
      <c r="G7" s="21" t="n">
        <f aca="false">G75</f>
        <v>3109.11053614537</v>
      </c>
    </row>
    <row r="8" customFormat="false" ht="17.15" hidden="false" customHeight="false" outlineLevel="0" collapsed="false">
      <c r="A8" s="0" t="s">
        <v>562</v>
      </c>
      <c r="B8" s="0" t="s">
        <v>151</v>
      </c>
      <c r="D8" s="21" t="n">
        <f aca="false">D80</f>
        <v>110</v>
      </c>
      <c r="E8" s="21" t="n">
        <f aca="false">E80</f>
        <v>169.676646706587</v>
      </c>
      <c r="F8" s="21" t="n">
        <f aca="false">F80</f>
        <v>172.706586826347</v>
      </c>
      <c r="G8" s="21" t="n">
        <f aca="false">G80</f>
        <v>183.535329341317</v>
      </c>
    </row>
    <row r="9" customFormat="false" ht="15" hidden="false" customHeight="false" outlineLevel="0" collapsed="false">
      <c r="A9" s="4" t="s">
        <v>563</v>
      </c>
      <c r="B9" s="0" t="s">
        <v>151</v>
      </c>
      <c r="C9" s="21" t="n">
        <f aca="false">C89</f>
        <v>950.663</v>
      </c>
      <c r="D9" s="21" t="n">
        <f aca="false">D89</f>
        <v>1445.6269</v>
      </c>
      <c r="E9" s="21" t="n">
        <f aca="false">E89</f>
        <v>2072.3895126278</v>
      </c>
      <c r="F9" s="21" t="n">
        <f aca="false">F89</f>
        <v>2455.31766894121</v>
      </c>
      <c r="G9" s="21" t="n">
        <f aca="false">G89</f>
        <v>2628.92138376763</v>
      </c>
    </row>
    <row r="10" customFormat="false" ht="15" hidden="false" customHeight="false" outlineLevel="0" collapsed="false">
      <c r="A10" s="4" t="s">
        <v>451</v>
      </c>
      <c r="B10" s="0" t="s">
        <v>52</v>
      </c>
      <c r="C10" s="14" t="n">
        <f aca="false">C116</f>
        <v>0.0612767393711386</v>
      </c>
      <c r="D10" s="14" t="n">
        <f aca="false">D116</f>
        <v>0.055781973714825</v>
      </c>
      <c r="E10" s="14" t="n">
        <f aca="false">E116</f>
        <v>0.0552119777090174</v>
      </c>
      <c r="F10" s="14" t="n">
        <f aca="false">F116</f>
        <v>0.0582223613029051</v>
      </c>
      <c r="G10" s="14" t="n">
        <f aca="false">G116</f>
        <v>0.0599304317539554</v>
      </c>
    </row>
    <row r="11" customFormat="false" ht="15" hidden="false" customHeight="false" outlineLevel="0" collapsed="false">
      <c r="A11" s="4" t="s">
        <v>455</v>
      </c>
      <c r="B11" s="0" t="s">
        <v>52</v>
      </c>
      <c r="C11" s="14" t="n">
        <f aca="false">C118</f>
        <v>0.0359259884300325</v>
      </c>
      <c r="D11" s="14" t="n">
        <f aca="false">D118</f>
        <v>0.0377712584126992</v>
      </c>
      <c r="E11" s="14" t="n">
        <f aca="false">E118</f>
        <v>0.039142734351373</v>
      </c>
      <c r="F11" s="14" t="n">
        <f aca="false">F118</f>
        <v>0.0423299698022626</v>
      </c>
      <c r="G11" s="14" t="n">
        <f aca="false">G118</f>
        <v>0.0440428489356101</v>
      </c>
    </row>
    <row r="12" customFormat="false" ht="15" hidden="false" customHeight="false" outlineLevel="0" collapsed="false">
      <c r="A12" s="4" t="s">
        <v>485</v>
      </c>
      <c r="B12" s="0" t="s">
        <v>151</v>
      </c>
      <c r="C12" s="21" t="n">
        <f aca="false">C119</f>
        <v>58.0788</v>
      </c>
      <c r="D12" s="21" t="n">
        <f aca="false">D119</f>
        <v>106.868773588</v>
      </c>
      <c r="E12" s="21" t="n">
        <f aca="false">E119</f>
        <v>158.722320050879</v>
      </c>
      <c r="F12" s="21" t="n">
        <f aca="false">F119</f>
        <v>189.077990899867</v>
      </c>
      <c r="G12" s="21" t="n">
        <f aca="false">G119</f>
        <v>203.621035635891</v>
      </c>
    </row>
    <row r="13" customFormat="false" ht="15" hidden="false" customHeight="false" outlineLevel="0" collapsed="false">
      <c r="A13" s="4" t="s">
        <v>481</v>
      </c>
      <c r="B13" s="0" t="s">
        <v>151</v>
      </c>
      <c r="C13" s="21" t="n">
        <f aca="false">C121</f>
        <v>27.408</v>
      </c>
      <c r="D13" s="21" t="n">
        <f aca="false">D121</f>
        <v>59.6707048338912</v>
      </c>
      <c r="E13" s="21" t="n">
        <f aca="false">E121</f>
        <v>93.2426036364081</v>
      </c>
      <c r="F13" s="21" t="n">
        <f aca="false">F121</f>
        <v>111.49918455576</v>
      </c>
      <c r="G13" s="21" t="n">
        <f aca="false">G121</f>
        <v>120.557004653237</v>
      </c>
      <c r="H13" s="26" t="n">
        <f aca="false">H121</f>
        <v>125.893195753909</v>
      </c>
      <c r="I13" s="26" t="n">
        <f aca="false">I121</f>
        <v>132.456184567988</v>
      </c>
      <c r="J13" s="26" t="n">
        <f aca="false">J121</f>
        <v>140.403555642067</v>
      </c>
    </row>
    <row r="14" customFormat="false" ht="15" hidden="false" customHeight="false" outlineLevel="0" collapsed="false">
      <c r="A14" s="4" t="s">
        <v>564</v>
      </c>
      <c r="B14" s="0" t="s">
        <v>52</v>
      </c>
      <c r="C14" s="14" t="n">
        <f aca="false">C126</f>
        <v>0.0125349699042727</v>
      </c>
      <c r="D14" s="14" t="n">
        <f aca="false">D126</f>
        <v>0.0145632363293992</v>
      </c>
      <c r="E14" s="14" t="n">
        <f aca="false">E126</f>
        <v>0.0158332681426921</v>
      </c>
      <c r="F14" s="14" t="n">
        <f aca="false">F126</f>
        <v>0.0171664374389454</v>
      </c>
      <c r="G14" s="14" t="n">
        <f aca="false">G126</f>
        <v>0.0179091905122343</v>
      </c>
      <c r="H14" s="28" t="n">
        <f aca="false">H126</f>
        <v>0.0179091905122343</v>
      </c>
      <c r="I14" s="28" t="n">
        <f aca="false">I126</f>
        <v>0.0179091905122343</v>
      </c>
      <c r="J14" s="28" t="n">
        <f aca="false">J126</f>
        <v>0.0179091905122343</v>
      </c>
    </row>
    <row r="15" customFormat="false" ht="15" hidden="false" customHeight="false" outlineLevel="0" collapsed="false">
      <c r="A15" s="0" t="s">
        <v>488</v>
      </c>
      <c r="B15" s="0" t="s">
        <v>316</v>
      </c>
      <c r="C15" s="18" t="n">
        <f aca="false">C124</f>
        <v>9.04</v>
      </c>
      <c r="D15" s="18" t="n">
        <f aca="false">D124</f>
        <v>18.4247476850676</v>
      </c>
      <c r="E15" s="18" t="n">
        <f aca="false">E124</f>
        <v>27.1844325470577</v>
      </c>
      <c r="F15" s="18" t="n">
        <f aca="false">F124</f>
        <v>32.5070508908922</v>
      </c>
      <c r="G15" s="18" t="n">
        <f aca="false">G124</f>
        <v>35.1478147677075</v>
      </c>
      <c r="H15" s="29" t="n">
        <f aca="false">H124</f>
        <v>36.7035556133846</v>
      </c>
      <c r="I15" s="29" t="n">
        <f aca="false">I124</f>
        <v>38.6169634309003</v>
      </c>
      <c r="J15" s="29" t="n">
        <f aca="false">J124</f>
        <v>40.9339812367544</v>
      </c>
    </row>
    <row r="16" customFormat="false" ht="17.15" hidden="false" customHeight="false" outlineLevel="0" collapsed="false">
      <c r="A16" s="0" t="s">
        <v>565</v>
      </c>
      <c r="B16" s="0" t="s">
        <v>52</v>
      </c>
      <c r="D16" s="20" t="n">
        <f aca="false">D125</f>
        <v>1.03813580587031</v>
      </c>
      <c r="E16" s="20" t="n">
        <f aca="false">E125</f>
        <v>0.475430383727289</v>
      </c>
      <c r="F16" s="20" t="n">
        <f aca="false">F125</f>
        <v>0.19579655873341</v>
      </c>
      <c r="G16" s="20" t="n">
        <f aca="false">G125</f>
        <v>0.0812366488020984</v>
      </c>
      <c r="H16" s="27" t="n">
        <f aca="false">H125</f>
        <v>0.0442628042727271</v>
      </c>
      <c r="I16" s="27" t="n">
        <f aca="false">I125</f>
        <v>0.0521314021363635</v>
      </c>
      <c r="J16" s="27" t="n">
        <f aca="false">J125</f>
        <v>0.0600000000000003</v>
      </c>
    </row>
    <row r="18" customFormat="false" ht="17.15" hidden="false" customHeight="false" outlineLevel="0" collapsed="false">
      <c r="A18" s="1" t="s">
        <v>566</v>
      </c>
    </row>
    <row r="19" customFormat="false" ht="15" hidden="false" customHeight="false" outlineLevel="0" collapsed="false">
      <c r="A19" s="4" t="s">
        <v>444</v>
      </c>
      <c r="B19" s="0" t="s">
        <v>151</v>
      </c>
      <c r="C19" s="21" t="n">
        <f aca="false">C159</f>
        <v>2186.523</v>
      </c>
      <c r="D19" s="21" t="n">
        <f aca="false">D159</f>
        <v>4097.35195421038</v>
      </c>
      <c r="E19" s="21" t="n">
        <f aca="false">E159</f>
        <v>5889.03079238536</v>
      </c>
      <c r="F19" s="21" t="n">
        <f aca="false">F159</f>
        <v>5530.28333037093</v>
      </c>
      <c r="G19" s="21" t="n">
        <f aca="false">G159</f>
        <v>5981.38759027004</v>
      </c>
      <c r="H19" s="26" t="n">
        <f aca="false">H159</f>
        <v>6386.40659599156</v>
      </c>
      <c r="I19" s="26" t="n">
        <f aca="false">I159</f>
        <v>6730.35680101776</v>
      </c>
      <c r="J19" s="26" t="n">
        <f aca="false">J159</f>
        <v>6999.57107305847</v>
      </c>
    </row>
    <row r="20" customFormat="false" ht="15" hidden="false" customHeight="false" outlineLevel="0" collapsed="false">
      <c r="A20" s="4" t="s">
        <v>560</v>
      </c>
      <c r="B20" s="0" t="s">
        <v>52</v>
      </c>
      <c r="D20" s="20" t="n">
        <f aca="false">D164</f>
        <v>0.873912121761526</v>
      </c>
      <c r="E20" s="20" t="n">
        <f aca="false">E164</f>
        <v>0.437277260581405</v>
      </c>
      <c r="F20" s="20" t="n">
        <f aca="false">F164</f>
        <v>-0.0609179124140936</v>
      </c>
      <c r="G20" s="20" t="n">
        <f aca="false">G164</f>
        <v>0.0815698279727843</v>
      </c>
      <c r="H20" s="27" t="n">
        <f aca="false">H164</f>
        <v>0.0677132186485229</v>
      </c>
      <c r="I20" s="27" t="n">
        <f aca="false">I164</f>
        <v>0.0538566093242615</v>
      </c>
      <c r="J20" s="27" t="n">
        <f aca="false">J164</f>
        <v>0.04</v>
      </c>
    </row>
    <row r="21" customFormat="false" ht="17.15" hidden="false" customHeight="false" outlineLevel="0" collapsed="false">
      <c r="A21" s="4" t="s">
        <v>561</v>
      </c>
      <c r="B21" s="0" t="s">
        <v>151</v>
      </c>
      <c r="D21" s="21" t="n">
        <f aca="false">D144</f>
        <v>1777.12226107882</v>
      </c>
      <c r="E21" s="21" t="n">
        <f aca="false">E144</f>
        <v>2870.79992371336</v>
      </c>
      <c r="F21" s="21" t="n">
        <f aca="false">F144</f>
        <v>2458.39671601767</v>
      </c>
      <c r="G21" s="21" t="n">
        <f aca="false">G144</f>
        <v>2642.74395572356</v>
      </c>
    </row>
    <row r="22" customFormat="false" ht="17.15" hidden="false" customHeight="false" outlineLevel="0" collapsed="false">
      <c r="A22" s="0" t="s">
        <v>562</v>
      </c>
      <c r="B22" s="0" t="s">
        <v>151</v>
      </c>
      <c r="D22" s="21" t="n">
        <f aca="false">D149</f>
        <v>110</v>
      </c>
      <c r="E22" s="21" t="n">
        <f aca="false">E149</f>
        <v>169.676646706587</v>
      </c>
      <c r="F22" s="21" t="n">
        <f aca="false">F149</f>
        <v>138.165269461078</v>
      </c>
      <c r="G22" s="21" t="n">
        <f aca="false">G149</f>
        <v>156.00502994012</v>
      </c>
    </row>
    <row r="23" customFormat="false" ht="15" hidden="false" customHeight="false" outlineLevel="0" collapsed="false">
      <c r="A23" s="4" t="s">
        <v>563</v>
      </c>
      <c r="B23" s="0" t="s">
        <v>151</v>
      </c>
      <c r="C23" s="21" t="n">
        <f aca="false">C158</f>
        <v>950.663</v>
      </c>
      <c r="D23" s="21" t="n">
        <f aca="false">D158</f>
        <v>1445.6269</v>
      </c>
      <c r="E23" s="21" t="n">
        <f aca="false">E158</f>
        <v>2072.3895126278</v>
      </c>
      <c r="F23" s="21" t="n">
        <f aca="false">F158</f>
        <v>2139.55663555457</v>
      </c>
      <c r="G23" s="21" t="n">
        <f aca="false">G158</f>
        <v>2372.63389526875</v>
      </c>
    </row>
    <row r="24" customFormat="false" ht="15" hidden="false" customHeight="false" outlineLevel="0" collapsed="false">
      <c r="A24" s="4" t="s">
        <v>451</v>
      </c>
      <c r="B24" s="0" t="s">
        <v>52</v>
      </c>
      <c r="C24" s="14" t="n">
        <f aca="false">C185</f>
        <v>0.0612767393711386</v>
      </c>
      <c r="D24" s="14" t="n">
        <f aca="false">D185</f>
        <v>0.055781973714825</v>
      </c>
      <c r="E24" s="14" t="n">
        <f aca="false">E185</f>
        <v>0.0552119777090174</v>
      </c>
      <c r="F24" s="14" t="n">
        <f aca="false">F185</f>
        <v>0.0587598394886539</v>
      </c>
      <c r="G24" s="14" t="n">
        <f aca="false">G185</f>
        <v>0.060258616950154</v>
      </c>
    </row>
    <row r="25" customFormat="false" ht="15" hidden="false" customHeight="false" outlineLevel="0" collapsed="false">
      <c r="A25" s="4" t="s">
        <v>455</v>
      </c>
      <c r="B25" s="0" t="s">
        <v>52</v>
      </c>
      <c r="C25" s="14" t="n">
        <f aca="false">C187</f>
        <v>0.0359259884300325</v>
      </c>
      <c r="D25" s="14" t="n">
        <f aca="false">D187</f>
        <v>0.0377712584126992</v>
      </c>
      <c r="E25" s="14" t="n">
        <f aca="false">E187</f>
        <v>0.039142734351373</v>
      </c>
      <c r="F25" s="14" t="n">
        <f aca="false">F187</f>
        <v>0.0414052835520777</v>
      </c>
      <c r="G25" s="14" t="n">
        <f aca="false">G187</f>
        <v>0.0432620423158085</v>
      </c>
    </row>
    <row r="26" customFormat="false" ht="15" hidden="false" customHeight="false" outlineLevel="0" collapsed="false">
      <c r="A26" s="4" t="s">
        <v>485</v>
      </c>
      <c r="B26" s="0" t="s">
        <v>151</v>
      </c>
      <c r="C26" s="21" t="n">
        <f aca="false">C188</f>
        <v>58.0788</v>
      </c>
      <c r="D26" s="21" t="n">
        <f aca="false">D188</f>
        <v>106.868773588</v>
      </c>
      <c r="E26" s="21" t="n">
        <f aca="false">E188</f>
        <v>158.722320050879</v>
      </c>
      <c r="F26" s="21" t="n">
        <f aca="false">F188</f>
        <v>158.826111562139</v>
      </c>
      <c r="G26" s="21" t="n">
        <f aca="false">G188</f>
        <v>178.838208803351</v>
      </c>
    </row>
    <row r="27" customFormat="false" ht="15" hidden="false" customHeight="false" outlineLevel="0" collapsed="false">
      <c r="A27" s="4" t="s">
        <v>481</v>
      </c>
      <c r="B27" s="0" t="s">
        <v>151</v>
      </c>
      <c r="C27" s="21" t="n">
        <f aca="false">C190</f>
        <v>27.408</v>
      </c>
      <c r="D27" s="21" t="n">
        <f aca="false">D190</f>
        <v>59.6707048338912</v>
      </c>
      <c r="E27" s="21" t="n">
        <f aca="false">E190</f>
        <v>93.2426036364081</v>
      </c>
      <c r="F27" s="21" t="n">
        <f aca="false">F190</f>
        <v>91.2241666115642</v>
      </c>
      <c r="G27" s="21" t="n">
        <f aca="false">G190</f>
        <v>103.871898816305</v>
      </c>
      <c r="H27" s="26" t="n">
        <f aca="false">H190</f>
        <v>107.208552765214</v>
      </c>
      <c r="I27" s="26" t="n">
        <f aca="false">I190</f>
        <v>109.08649563503</v>
      </c>
      <c r="J27" s="26" t="n">
        <f aca="false">J190</f>
        <v>109.398171336844</v>
      </c>
    </row>
    <row r="28" customFormat="false" ht="15" hidden="false" customHeight="false" outlineLevel="0" collapsed="false">
      <c r="A28" s="4" t="s">
        <v>564</v>
      </c>
      <c r="B28" s="0" t="s">
        <v>52</v>
      </c>
      <c r="C28" s="14" t="n">
        <f aca="false">C195</f>
        <v>0.0125349699042727</v>
      </c>
      <c r="D28" s="14" t="n">
        <f aca="false">D195</f>
        <v>0.0145632363293992</v>
      </c>
      <c r="E28" s="14" t="n">
        <f aca="false">E195</f>
        <v>0.0158332681426921</v>
      </c>
      <c r="F28" s="14" t="n">
        <f aca="false">F195</f>
        <v>0.0164953875166909</v>
      </c>
      <c r="G28" s="14" t="n">
        <f aca="false">G195</f>
        <v>0.0173658531985578</v>
      </c>
      <c r="H28" s="28" t="n">
        <f aca="false">H195</f>
        <v>0.0167869914252725</v>
      </c>
      <c r="I28" s="28" t="n">
        <f aca="false">I195</f>
        <v>0.0162081296519873</v>
      </c>
      <c r="J28" s="28" t="n">
        <f aca="false">J195</f>
        <v>0.015629267878702</v>
      </c>
    </row>
    <row r="29" customFormat="false" ht="15" hidden="false" customHeight="false" outlineLevel="0" collapsed="false">
      <c r="A29" s="0" t="s">
        <v>488</v>
      </c>
      <c r="B29" s="0" t="s">
        <v>316</v>
      </c>
      <c r="C29" s="18" t="n">
        <f aca="false">C193</f>
        <v>9.04</v>
      </c>
      <c r="D29" s="18" t="n">
        <f aca="false">D193</f>
        <v>18.4247476850676</v>
      </c>
      <c r="E29" s="18" t="n">
        <f aca="false">E193</f>
        <v>27.1844325470577</v>
      </c>
      <c r="F29" s="18" t="n">
        <f aca="false">F193</f>
        <v>26.595966942147</v>
      </c>
      <c r="G29" s="18" t="n">
        <f aca="false">G193</f>
        <v>30.2833524245787</v>
      </c>
      <c r="H29" s="29" t="n">
        <f aca="false">H193</f>
        <v>31.2561378324239</v>
      </c>
      <c r="I29" s="29" t="n">
        <f aca="false">I193</f>
        <v>31.8036430422828</v>
      </c>
      <c r="J29" s="29" t="n">
        <f aca="false">J193</f>
        <v>31.8945105938322</v>
      </c>
    </row>
    <row r="30" customFormat="false" ht="17.15" hidden="false" customHeight="false" outlineLevel="0" collapsed="false">
      <c r="A30" s="0" t="s">
        <v>565</v>
      </c>
      <c r="B30" s="0" t="s">
        <v>52</v>
      </c>
      <c r="D30" s="20" t="n">
        <f aca="false">D194</f>
        <v>1.03813580587031</v>
      </c>
      <c r="E30" s="20" t="n">
        <f aca="false">E194</f>
        <v>0.475430383727289</v>
      </c>
      <c r="F30" s="20" t="n">
        <f aca="false">F194</f>
        <v>-0.0216471542634592</v>
      </c>
      <c r="G30" s="20" t="n">
        <f aca="false">G194</f>
        <v>0.138644535483619</v>
      </c>
      <c r="H30" s="27" t="n">
        <f aca="false">H194</f>
        <v>0.0321227780269056</v>
      </c>
      <c r="I30" s="27" t="n">
        <f aca="false">I194</f>
        <v>0.0175167262441143</v>
      </c>
      <c r="J30" s="27" t="n">
        <f aca="false">J194</f>
        <v>0.00285714285714311</v>
      </c>
    </row>
    <row r="32" customFormat="false" ht="17.15" hidden="false" customHeight="false" outlineLevel="0" collapsed="false">
      <c r="A32" s="1" t="s">
        <v>567</v>
      </c>
    </row>
    <row r="33" customFormat="false" ht="15" hidden="false" customHeight="false" outlineLevel="0" collapsed="false">
      <c r="A33" s="4" t="s">
        <v>444</v>
      </c>
      <c r="B33" s="0" t="s">
        <v>151</v>
      </c>
      <c r="C33" s="21" t="n">
        <f aca="false">C228</f>
        <v>2186.523</v>
      </c>
      <c r="D33" s="21" t="n">
        <f aca="false">D228</f>
        <v>4097.35195421038</v>
      </c>
      <c r="E33" s="21" t="n">
        <f aca="false">E228</f>
        <v>5889.03079238536</v>
      </c>
      <c r="F33" s="21" t="n">
        <f aca="false">F228</f>
        <v>4565.3818006146</v>
      </c>
      <c r="G33" s="21" t="n">
        <f aca="false">G228</f>
        <v>4731.08030973356</v>
      </c>
      <c r="H33" s="26" t="n">
        <f aca="false">H228</f>
        <v>4877.09582051273</v>
      </c>
      <c r="I33" s="26" t="n">
        <f aca="false">I228</f>
        <v>5001.12777522704</v>
      </c>
      <c r="J33" s="26" t="n">
        <f aca="false">J228</f>
        <v>5101.15033073158</v>
      </c>
    </row>
    <row r="34" customFormat="false" ht="15" hidden="false" customHeight="false" outlineLevel="0" collapsed="false">
      <c r="A34" s="4" t="s">
        <v>560</v>
      </c>
      <c r="B34" s="0" t="s">
        <v>52</v>
      </c>
      <c r="D34" s="20" t="n">
        <f aca="false">D233</f>
        <v>0.873912121761526</v>
      </c>
      <c r="E34" s="20" t="n">
        <f aca="false">E233</f>
        <v>0.437277260581405</v>
      </c>
      <c r="F34" s="20" t="n">
        <f aca="false">F233</f>
        <v>-0.224765167382427</v>
      </c>
      <c r="G34" s="20" t="n">
        <f aca="false">G233</f>
        <v>0.0362945568093902</v>
      </c>
      <c r="H34" s="27" t="n">
        <f aca="false">H233</f>
        <v>0.0308630378729268</v>
      </c>
      <c r="I34" s="27" t="n">
        <f aca="false">I233</f>
        <v>0.0254315189364634</v>
      </c>
      <c r="J34" s="27" t="n">
        <f aca="false">J233</f>
        <v>0.02</v>
      </c>
    </row>
    <row r="35" customFormat="false" ht="17.15" hidden="false" customHeight="false" outlineLevel="0" collapsed="false">
      <c r="A35" s="4" t="s">
        <v>561</v>
      </c>
      <c r="B35" s="0" t="s">
        <v>151</v>
      </c>
      <c r="D35" s="21" t="n">
        <f aca="false">D213</f>
        <v>1777.12226107882</v>
      </c>
      <c r="E35" s="21" t="n">
        <f aca="false">E213</f>
        <v>2870.79992371336</v>
      </c>
      <c r="F35" s="21" t="n">
        <f aca="false">F213</f>
        <v>1843.79753701325</v>
      </c>
      <c r="G35" s="21" t="n">
        <f aca="false">G213</f>
        <v>1865.46632168722</v>
      </c>
    </row>
    <row r="36" customFormat="false" ht="17.15" hidden="false" customHeight="false" outlineLevel="0" collapsed="false">
      <c r="A36" s="0" t="s">
        <v>562</v>
      </c>
      <c r="B36" s="0" t="s">
        <v>151</v>
      </c>
      <c r="D36" s="21" t="n">
        <f aca="false">D218</f>
        <v>110</v>
      </c>
      <c r="E36" s="21" t="n">
        <f aca="false">E218</f>
        <v>169.676646706587</v>
      </c>
      <c r="F36" s="21" t="n">
        <f aca="false">F218</f>
        <v>103.623952095808</v>
      </c>
      <c r="G36" s="21" t="n">
        <f aca="false">G218</f>
        <v>110.12119760479</v>
      </c>
    </row>
    <row r="37" customFormat="false" ht="15" hidden="false" customHeight="false" outlineLevel="0" collapsed="false">
      <c r="A37" s="4" t="s">
        <v>563</v>
      </c>
      <c r="B37" s="0" t="s">
        <v>151</v>
      </c>
      <c r="C37" s="21" t="n">
        <f aca="false">C227</f>
        <v>950.663</v>
      </c>
      <c r="D37" s="21" t="n">
        <f aca="false">D227</f>
        <v>1445.6269</v>
      </c>
      <c r="E37" s="21" t="n">
        <f aca="false">E227</f>
        <v>2072.3895126278</v>
      </c>
      <c r="F37" s="21" t="n">
        <f aca="false">F227</f>
        <v>1823.79560216793</v>
      </c>
      <c r="G37" s="21" t="n">
        <f aca="false">G227</f>
        <v>1945.48808110394</v>
      </c>
    </row>
    <row r="38" customFormat="false" ht="15" hidden="false" customHeight="false" outlineLevel="0" collapsed="false">
      <c r="A38" s="4" t="s">
        <v>451</v>
      </c>
      <c r="B38" s="0" t="s">
        <v>52</v>
      </c>
      <c r="C38" s="14" t="n">
        <f aca="false">C254</f>
        <v>0.0612767393711386</v>
      </c>
      <c r="D38" s="14" t="n">
        <f aca="false">D254</f>
        <v>0.055781973714825</v>
      </c>
      <c r="E38" s="14" t="n">
        <f aca="false">E254</f>
        <v>0.0552119777090174</v>
      </c>
      <c r="F38" s="14" t="n">
        <f aca="false">F254</f>
        <v>0.0595245116074795</v>
      </c>
      <c r="G38" s="14" t="n">
        <f aca="false">G254</f>
        <v>0.0610368755152609</v>
      </c>
    </row>
    <row r="39" customFormat="false" ht="15" hidden="false" customHeight="false" outlineLevel="0" collapsed="false">
      <c r="A39" s="4" t="s">
        <v>455</v>
      </c>
      <c r="B39" s="0" t="s">
        <v>52</v>
      </c>
      <c r="C39" s="14" t="n">
        <f aca="false">C256</f>
        <v>0.0359259884300325</v>
      </c>
      <c r="D39" s="14" t="n">
        <f aca="false">D256</f>
        <v>0.0377712584126992</v>
      </c>
      <c r="E39" s="14" t="n">
        <f aca="false">E256</f>
        <v>0.039142734351373</v>
      </c>
      <c r="F39" s="14" t="n">
        <f aca="false">F256</f>
        <v>0.0398853237695129</v>
      </c>
      <c r="G39" s="14" t="n">
        <f aca="false">G256</f>
        <v>0.0415169480740995</v>
      </c>
    </row>
    <row r="40" customFormat="false" ht="15" hidden="false" customHeight="false" outlineLevel="0" collapsed="false">
      <c r="A40" s="4" t="s">
        <v>485</v>
      </c>
      <c r="B40" s="0" t="s">
        <v>151</v>
      </c>
      <c r="C40" s="21" t="n">
        <f aca="false">C257</f>
        <v>58.0788</v>
      </c>
      <c r="D40" s="21" t="n">
        <f aca="false">D257</f>
        <v>106.868773588</v>
      </c>
      <c r="E40" s="21" t="n">
        <f aca="false">E257</f>
        <v>158.722320050879</v>
      </c>
      <c r="F40" s="21" t="n">
        <f aca="false">F257</f>
        <v>128.051646610416</v>
      </c>
      <c r="G40" s="21" t="n">
        <f aca="false">G257</f>
        <v>137.815688269804</v>
      </c>
    </row>
    <row r="41" customFormat="false" ht="15" hidden="false" customHeight="false" outlineLevel="0" collapsed="false">
      <c r="A41" s="4" t="s">
        <v>481</v>
      </c>
      <c r="B41" s="0" t="s">
        <v>151</v>
      </c>
      <c r="C41" s="21" t="n">
        <f aca="false">C259</f>
        <v>27.408</v>
      </c>
      <c r="D41" s="21" t="n">
        <f aca="false">D259</f>
        <v>59.6707048338912</v>
      </c>
      <c r="E41" s="21" t="n">
        <f aca="false">E259</f>
        <v>93.2426036364081</v>
      </c>
      <c r="F41" s="21" t="n">
        <f aca="false">F259</f>
        <v>70.4265630533737</v>
      </c>
      <c r="G41" s="21" t="n">
        <f aca="false">G259</f>
        <v>76.3455799421043</v>
      </c>
      <c r="H41" s="26" t="n">
        <f aca="false">H259</f>
        <v>73.4550473694688</v>
      </c>
      <c r="I41" s="26" t="n">
        <f aca="false">I259</f>
        <v>69.9428978835082</v>
      </c>
      <c r="J41" s="26" t="n">
        <f aca="false">J259</f>
        <v>65.85392846878</v>
      </c>
    </row>
    <row r="42" customFormat="false" ht="15" hidden="false" customHeight="false" outlineLevel="0" collapsed="false">
      <c r="A42" s="4" t="s">
        <v>564</v>
      </c>
      <c r="B42" s="0" t="s">
        <v>52</v>
      </c>
      <c r="C42" s="14" t="n">
        <f aca="false">C264</f>
        <v>0.0125349699042727</v>
      </c>
      <c r="D42" s="14" t="n">
        <f aca="false">D264</f>
        <v>0.0145632363293992</v>
      </c>
      <c r="E42" s="14" t="n">
        <f aca="false">E264</f>
        <v>0.0158332681426921</v>
      </c>
      <c r="F42" s="14" t="n">
        <f aca="false">F264</f>
        <v>0.0154262154030344</v>
      </c>
      <c r="G42" s="14" t="n">
        <f aca="false">G264</f>
        <v>0.0161370289540496</v>
      </c>
      <c r="H42" s="28" t="n">
        <f aca="false">H264</f>
        <v>0.0150612270237796</v>
      </c>
      <c r="I42" s="28" t="n">
        <f aca="false">I264</f>
        <v>0.0139854250935096</v>
      </c>
      <c r="J42" s="28" t="n">
        <f aca="false">J264</f>
        <v>0.0129096231632397</v>
      </c>
    </row>
    <row r="43" customFormat="false" ht="15" hidden="false" customHeight="false" outlineLevel="0" collapsed="false">
      <c r="A43" s="0" t="s">
        <v>488</v>
      </c>
      <c r="B43" s="0" t="s">
        <v>316</v>
      </c>
      <c r="C43" s="18" t="n">
        <f aca="false">C262</f>
        <v>9.04</v>
      </c>
      <c r="D43" s="18" t="n">
        <f aca="false">D262</f>
        <v>18.4247476850676</v>
      </c>
      <c r="E43" s="18" t="n">
        <f aca="false">E262</f>
        <v>27.1844325470577</v>
      </c>
      <c r="F43" s="18" t="n">
        <f aca="false">F262</f>
        <v>20.5325256715375</v>
      </c>
      <c r="G43" s="18" t="n">
        <f aca="false">G262</f>
        <v>22.2581865720421</v>
      </c>
      <c r="H43" s="29" t="n">
        <f aca="false">H262</f>
        <v>21.4154657053845</v>
      </c>
      <c r="I43" s="29" t="n">
        <f aca="false">I262</f>
        <v>20.3915154179324</v>
      </c>
      <c r="J43" s="29" t="n">
        <f aca="false">J262</f>
        <v>19.1993960550379</v>
      </c>
    </row>
    <row r="44" customFormat="false" ht="17.15" hidden="false" customHeight="false" outlineLevel="0" collapsed="false">
      <c r="A44" s="0" t="s">
        <v>565</v>
      </c>
      <c r="B44" s="0" t="s">
        <v>52</v>
      </c>
      <c r="D44" s="20" t="n">
        <f aca="false">D263</f>
        <v>1.03813580587031</v>
      </c>
      <c r="E44" s="20" t="n">
        <f aca="false">E263</f>
        <v>0.475430383727289</v>
      </c>
      <c r="F44" s="20" t="n">
        <f aca="false">F263</f>
        <v>-0.24469544707271</v>
      </c>
      <c r="G44" s="20" t="n">
        <f aca="false">G263</f>
        <v>0.0840452328228016</v>
      </c>
      <c r="H44" s="27" t="n">
        <f aca="false">H263</f>
        <v>-0.037861164651935</v>
      </c>
      <c r="I44" s="27" t="n">
        <f aca="false">I263</f>
        <v>-0.0478135895589983</v>
      </c>
      <c r="J44" s="27" t="n">
        <f aca="false">J263</f>
        <v>-0.0584615384615386</v>
      </c>
    </row>
    <row r="46" customFormat="false" ht="17.15" hidden="false" customHeight="false" outlineLevel="0" collapsed="false">
      <c r="A46" s="1" t="s">
        <v>568</v>
      </c>
    </row>
    <row r="47" customFormat="false" ht="17.15" hidden="false" customHeight="false" outlineLevel="0" collapsed="false">
      <c r="A47" s="4" t="s">
        <v>569</v>
      </c>
      <c r="D47" s="30" t="n">
        <f aca="false">ABS(D90-a26_rev)+ABS(D159-a26_rev)+ABS(D228-a26_rev)</f>
        <v>0</v>
      </c>
    </row>
    <row r="48" customFormat="false" ht="17.15" hidden="false" customHeight="false" outlineLevel="0" collapsed="false">
      <c r="A48" s="4" t="s">
        <v>570</v>
      </c>
      <c r="D48" s="30" t="n">
        <f aca="false">ABS(D124-a26_eps)+ABS(D193-a26_eps)+ABS(D262-a26_eps)</f>
        <v>0</v>
      </c>
    </row>
    <row r="49" customFormat="false" ht="17.15" hidden="false" customHeight="false" outlineLevel="0" collapsed="false">
      <c r="A49" s="4" t="s">
        <v>571</v>
      </c>
      <c r="D49" s="30" t="n">
        <f aca="false">D100*D83+(D100+d_brd)*D80+(D100+d_gen)*D82+D101-a26_sgp</f>
        <v>0</v>
      </c>
    </row>
    <row r="60" customFormat="false" ht="17.15" hidden="false" customHeight="false" outlineLevel="0" collapsed="false">
      <c r="A60" s="1" t="s">
        <v>572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5" t="s">
        <v>438</v>
      </c>
      <c r="D61" s="15" t="s">
        <v>552</v>
      </c>
      <c r="E61" s="15" t="s">
        <v>553</v>
      </c>
      <c r="F61" s="15" t="s">
        <v>554</v>
      </c>
      <c r="G61" s="15" t="s">
        <v>555</v>
      </c>
      <c r="H61" s="15" t="s">
        <v>556</v>
      </c>
      <c r="I61" s="15" t="s">
        <v>557</v>
      </c>
      <c r="J61" s="15" t="s">
        <v>558</v>
      </c>
      <c r="K61" s="5" t="s">
        <v>420</v>
      </c>
    </row>
    <row r="62" customFormat="false" ht="17.15" hidden="false" customHeight="false" outlineLevel="0" collapsed="false">
      <c r="A62" s="6" t="s">
        <v>573</v>
      </c>
    </row>
    <row r="63" customFormat="false" ht="17.15" hidden="false" customHeight="false" outlineLevel="0" collapsed="false">
      <c r="A63" s="0" t="s">
        <v>574</v>
      </c>
      <c r="B63" s="0" t="s">
        <v>32</v>
      </c>
      <c r="D63" s="21" t="n">
        <f aca="false">itc_26*1</f>
        <v>781.872916666666</v>
      </c>
      <c r="E63" s="21" t="n">
        <f aca="false">itc_27*1*1</f>
        <v>1565.35</v>
      </c>
      <c r="F63" s="21" t="n">
        <f aca="false">itc_28*um28_A*1</f>
        <v>1984.26388888889</v>
      </c>
      <c r="G63" s="21" t="n">
        <f aca="false">itc_29*um29_A*1</f>
        <v>2260.39027777778</v>
      </c>
    </row>
    <row r="64" customFormat="false" ht="17.15" hidden="false" customHeight="false" outlineLevel="0" collapsed="false">
      <c r="A64" s="4" t="s">
        <v>575</v>
      </c>
      <c r="B64" s="0" t="s">
        <v>32</v>
      </c>
      <c r="D64" s="21" t="n">
        <f aca="false">itpg_gb*(1-vr26)+itpg_vr*vr26</f>
        <v>33.41403216</v>
      </c>
      <c r="E64" s="21" t="n">
        <f aca="false">itpg_vr</f>
        <v>37.586352</v>
      </c>
      <c r="F64" s="21" t="n">
        <f aca="false">itpg_vr</f>
        <v>37.586352</v>
      </c>
      <c r="G64" s="21" t="n">
        <f aca="false">itpg_vr</f>
        <v>37.586352</v>
      </c>
    </row>
    <row r="65" customFormat="false" ht="17.15" hidden="false" customHeight="false" outlineLevel="0" collapsed="false">
      <c r="A65" s="4" t="s">
        <v>576</v>
      </c>
      <c r="B65" s="0" t="s">
        <v>521</v>
      </c>
      <c r="D65" s="22" t="n">
        <f aca="false">D63/D64</f>
        <v>23.3995380420639</v>
      </c>
      <c r="E65" s="22" t="n">
        <f aca="false">E63/E64</f>
        <v>41.6467658260637</v>
      </c>
      <c r="F65" s="22" t="n">
        <f aca="false">F63/F64</f>
        <v>52.792138191248</v>
      </c>
      <c r="G65" s="22" t="n">
        <f aca="false">G63/G64</f>
        <v>60.1385917361116</v>
      </c>
    </row>
    <row r="66" customFormat="false" ht="17.15" hidden="false" customHeight="false" outlineLevel="0" collapsed="false">
      <c r="A66" s="4" t="s">
        <v>577</v>
      </c>
      <c r="B66" s="0" t="s">
        <v>578</v>
      </c>
      <c r="D66" s="18" t="n">
        <f aca="false">(racks_gb*odm_gb*(1-vr26)+racks_vr*odm_vr*vr26)/1000</f>
        <v>27.1209</v>
      </c>
      <c r="E66" s="18" t="n">
        <f aca="false">racks_vr*odm_vr/1000</f>
        <v>27.351</v>
      </c>
      <c r="F66" s="18" t="n">
        <f aca="false">$E66*vpg_28</f>
        <v>27.351</v>
      </c>
      <c r="G66" s="18" t="n">
        <f aca="false">$E66*vpg_29</f>
        <v>27.351</v>
      </c>
      <c r="K66" s="4" t="s">
        <v>579</v>
      </c>
    </row>
    <row r="67" customFormat="false" ht="17.15" hidden="false" customHeight="false" outlineLevel="0" collapsed="false">
      <c r="A67" s="0" t="s">
        <v>580</v>
      </c>
      <c r="B67" s="0" t="s">
        <v>32</v>
      </c>
      <c r="D67" s="21" t="n">
        <f aca="false">D65*D66</f>
        <v>634.61653128501</v>
      </c>
      <c r="E67" s="21" t="n">
        <f aca="false">E65*E66</f>
        <v>1139.08069210867</v>
      </c>
      <c r="F67" s="21" t="n">
        <f aca="false">F65*F66</f>
        <v>1443.91777166882</v>
      </c>
      <c r="G67" s="21" t="n">
        <f aca="false">G65*G66</f>
        <v>1644.85062257439</v>
      </c>
    </row>
    <row r="68" customFormat="false" ht="17.15" hidden="false" customHeight="false" outlineLevel="0" collapsed="false">
      <c r="A68" s="0" t="s">
        <v>581</v>
      </c>
      <c r="B68" s="0" t="s">
        <v>151</v>
      </c>
      <c r="D68" s="21" t="n">
        <f aca="false">D67*fx</f>
        <v>20307.7290011203</v>
      </c>
      <c r="E68" s="21" t="n">
        <f aca="false">E67*fx</f>
        <v>36450.5821474774</v>
      </c>
      <c r="F68" s="21" t="n">
        <f aca="false">F67*fx</f>
        <v>46205.3686934024</v>
      </c>
      <c r="G68" s="21" t="n">
        <f aca="false">G67*fx</f>
        <v>52635.2199223804</v>
      </c>
    </row>
    <row r="69" customFormat="false" ht="17.15" hidden="false" customHeight="false" outlineLevel="0" collapsed="false">
      <c r="A69" s="6" t="s">
        <v>582</v>
      </c>
    </row>
    <row r="70" customFormat="false" ht="17.15" hidden="false" customHeight="false" outlineLevel="0" collapsed="false">
      <c r="A70" s="4" t="s">
        <v>583</v>
      </c>
      <c r="B70" s="0" t="s">
        <v>52</v>
      </c>
      <c r="D70" s="20" t="n">
        <f aca="false">a26_ais/D68</f>
        <v>0.0875096501918447</v>
      </c>
      <c r="K70" s="8" t="s">
        <v>584</v>
      </c>
    </row>
    <row r="71" customFormat="false" ht="17.15" hidden="false" customHeight="false" outlineLevel="0" collapsed="false">
      <c r="A71" s="4" t="s">
        <v>585</v>
      </c>
      <c r="B71" s="0" t="s">
        <v>64</v>
      </c>
      <c r="D71" s="18" t="n">
        <f aca="false">1</f>
        <v>1</v>
      </c>
      <c r="E71" s="18" t="n">
        <f aca="false">rel_27</f>
        <v>1</v>
      </c>
      <c r="F71" s="18" t="n">
        <f aca="false">rel_28</f>
        <v>0.95</v>
      </c>
      <c r="G71" s="18" t="n">
        <f aca="false">rel_29</f>
        <v>0.9</v>
      </c>
    </row>
    <row r="72" customFormat="false" ht="17.15" hidden="false" customHeight="false" outlineLevel="0" collapsed="false">
      <c r="A72" s="4" t="s">
        <v>586</v>
      </c>
      <c r="B72" s="0" t="s">
        <v>52</v>
      </c>
      <c r="D72" s="20" t="n">
        <f aca="false">$D$70*D71</f>
        <v>0.0875096501918447</v>
      </c>
      <c r="E72" s="20" t="n">
        <f aca="false">$D$70*E71</f>
        <v>0.0875096501918447</v>
      </c>
      <c r="F72" s="20" t="n">
        <f aca="false">$D$70*F71</f>
        <v>0.0831341676822525</v>
      </c>
      <c r="G72" s="20" t="n">
        <f aca="false">$D$70*G71</f>
        <v>0.0787586851726602</v>
      </c>
    </row>
    <row r="73" customFormat="false" ht="17.15" hidden="false" customHeight="false" outlineLevel="0" collapsed="false">
      <c r="A73" s="4" t="s">
        <v>587</v>
      </c>
      <c r="B73" s="0" t="s">
        <v>151</v>
      </c>
      <c r="D73" s="21" t="n">
        <f aca="false">D68*D72</f>
        <v>1777.12226107882</v>
      </c>
      <c r="E73" s="21" t="n">
        <f aca="false">E68*E72</f>
        <v>3189.77769301484</v>
      </c>
      <c r="F73" s="21" t="n">
        <f aca="false">F68*F72</f>
        <v>3841.24486877761</v>
      </c>
      <c r="G73" s="21" t="n">
        <f aca="false">G68*G72</f>
        <v>4145.48071486049</v>
      </c>
    </row>
    <row r="74" customFormat="false" ht="17.15" hidden="false" customHeight="false" outlineLevel="0" collapsed="false">
      <c r="A74" s="4" t="s">
        <v>588</v>
      </c>
      <c r="B74" s="0" t="s">
        <v>52</v>
      </c>
      <c r="D74" s="20" t="n">
        <f aca="false">0</f>
        <v>0</v>
      </c>
      <c r="E74" s="20" t="n">
        <f aca="false">cs_27</f>
        <v>0.1</v>
      </c>
      <c r="F74" s="20" t="n">
        <f aca="false">cs_28</f>
        <v>0.2</v>
      </c>
      <c r="G74" s="20" t="n">
        <f aca="false">cs_29</f>
        <v>0.25</v>
      </c>
      <c r="K74" s="8" t="s">
        <v>589</v>
      </c>
    </row>
    <row r="75" customFormat="false" ht="17.15" hidden="false" customHeight="false" outlineLevel="0" collapsed="false">
      <c r="A75" s="4" t="s">
        <v>590</v>
      </c>
      <c r="B75" s="0" t="s">
        <v>151</v>
      </c>
      <c r="D75" s="21" t="n">
        <f aca="false">D73*(1-D74)</f>
        <v>1777.12226107882</v>
      </c>
      <c r="E75" s="21" t="n">
        <f aca="false">E73*(1-E74)</f>
        <v>2870.79992371336</v>
      </c>
      <c r="F75" s="21" t="n">
        <f aca="false">F73*(1-F74)</f>
        <v>3072.99589502209</v>
      </c>
      <c r="G75" s="21" t="n">
        <f aca="false">G73*(1-G74)</f>
        <v>3109.11053614537</v>
      </c>
    </row>
    <row r="76" customFormat="false" ht="17.15" hidden="false" customHeight="false" outlineLevel="0" collapsed="false">
      <c r="A76" s="6" t="s">
        <v>591</v>
      </c>
    </row>
    <row r="77" customFormat="false" ht="17.15" hidden="false" customHeight="false" outlineLevel="0" collapsed="false">
      <c r="A77" s="0" t="s">
        <v>592</v>
      </c>
      <c r="B77" s="4" t="s">
        <v>85</v>
      </c>
      <c r="D77" s="18" t="n">
        <f aca="false">gu_26*1</f>
        <v>8.35</v>
      </c>
      <c r="E77" s="18" t="n">
        <f aca="false">gu_27*1*1</f>
        <v>11.2</v>
      </c>
      <c r="F77" s="18" t="n">
        <f aca="false">gu_28*um28_A*1</f>
        <v>11.5</v>
      </c>
      <c r="G77" s="18" t="n">
        <f aca="false">gu_29*um29_A*1</f>
        <v>12.9</v>
      </c>
    </row>
    <row r="78" customFormat="false" ht="15" hidden="false" customHeight="false" outlineLevel="0" collapsed="false">
      <c r="A78" s="4" t="s">
        <v>593</v>
      </c>
      <c r="B78" s="0" t="s">
        <v>52</v>
      </c>
      <c r="D78" s="20" t="n">
        <f aca="false">bsh_26</f>
        <v>0.5</v>
      </c>
      <c r="E78" s="20" t="n">
        <f aca="false">bsh_26*brel_27</f>
        <v>0.5</v>
      </c>
      <c r="F78" s="20" t="n">
        <f aca="false">bsh_26*brel_28</f>
        <v>0.475</v>
      </c>
      <c r="G78" s="20" t="n">
        <f aca="false">bsh_26*brel_29</f>
        <v>0.45</v>
      </c>
    </row>
    <row r="79" customFormat="false" ht="17.15" hidden="false" customHeight="false" outlineLevel="0" collapsed="false">
      <c r="A79" s="4" t="s">
        <v>594</v>
      </c>
      <c r="B79" s="0" t="s">
        <v>543</v>
      </c>
      <c r="D79" s="24" t="n">
        <f aca="false">a26_brd/fx/D77/D78*1000</f>
        <v>823.353293413174</v>
      </c>
      <c r="E79" s="24" t="n">
        <f aca="false">$D79*bv_27</f>
        <v>946.85628742515</v>
      </c>
      <c r="F79" s="24" t="n">
        <f aca="false">$D79*bv_28</f>
        <v>988.023952095808</v>
      </c>
      <c r="G79" s="24" t="n">
        <f aca="false">$D79*bv_29</f>
        <v>988.023952095808</v>
      </c>
      <c r="K79" s="8" t="s">
        <v>595</v>
      </c>
    </row>
    <row r="80" customFormat="false" ht="17.15" hidden="false" customHeight="false" outlineLevel="0" collapsed="false">
      <c r="A80" s="0" t="s">
        <v>545</v>
      </c>
      <c r="B80" s="0" t="s">
        <v>151</v>
      </c>
      <c r="D80" s="21" t="n">
        <f aca="false">D77*D78*D79*fx/1000</f>
        <v>110</v>
      </c>
      <c r="E80" s="21" t="n">
        <f aca="false">E77*E78*E79*fx/1000</f>
        <v>169.676646706587</v>
      </c>
      <c r="F80" s="21" t="n">
        <f aca="false">F77*F78*F79*fx/1000</f>
        <v>172.706586826347</v>
      </c>
      <c r="G80" s="21" t="n">
        <f aca="false">G77*G78*G79*fx/1000</f>
        <v>183.535329341317</v>
      </c>
    </row>
    <row r="81" customFormat="false" ht="17.15" hidden="false" customHeight="false" outlineLevel="0" collapsed="false">
      <c r="A81" s="6" t="s">
        <v>596</v>
      </c>
    </row>
    <row r="82" customFormat="false" ht="15" hidden="false" customHeight="false" outlineLevel="0" collapsed="false">
      <c r="A82" s="4" t="s">
        <v>597</v>
      </c>
      <c r="B82" s="0" t="s">
        <v>151</v>
      </c>
      <c r="D82" s="21" t="n">
        <f aca="false">a26_gen</f>
        <v>150</v>
      </c>
      <c r="E82" s="21" t="n">
        <f aca="false">D82*(1+g_gen27)</f>
        <v>180</v>
      </c>
      <c r="F82" s="21" t="n">
        <f aca="false">E82*(1+g_gen28)</f>
        <v>198</v>
      </c>
      <c r="G82" s="21" t="n">
        <f aca="false">F82*(1+g_gen29)</f>
        <v>213.84</v>
      </c>
    </row>
    <row r="83" customFormat="false" ht="15" hidden="false" customHeight="false" outlineLevel="0" collapsed="false">
      <c r="A83" s="4" t="s">
        <v>598</v>
      </c>
      <c r="B83" s="0" t="s">
        <v>151</v>
      </c>
      <c r="D83" s="21" t="n">
        <f aca="false">a26_pc</f>
        <v>614.602793131557</v>
      </c>
      <c r="E83" s="21" t="n">
        <f aca="false">D83*(1+g_pc27)</f>
        <v>596.16470933761</v>
      </c>
      <c r="F83" s="21" t="n">
        <f aca="false">E83*(1+g_pc28)</f>
        <v>596.16470933761</v>
      </c>
      <c r="G83" s="21" t="n">
        <f aca="false">F83*(1+g_pc29)</f>
        <v>596.16470933761</v>
      </c>
    </row>
    <row r="84" customFormat="false" ht="15" hidden="false" customHeight="false" outlineLevel="0" collapsed="false">
      <c r="A84" s="4" t="s">
        <v>599</v>
      </c>
      <c r="B84" s="0" t="s">
        <v>151</v>
      </c>
      <c r="C84" s="21" t="n">
        <f aca="false">a25_srev</f>
        <v>1235.86</v>
      </c>
      <c r="D84" s="21" t="n">
        <f aca="false">D75+D80+D82+D83</f>
        <v>2651.72505421038</v>
      </c>
      <c r="E84" s="21" t="n">
        <f aca="false">E75+E80+E82+E83</f>
        <v>3816.64127975756</v>
      </c>
      <c r="F84" s="21" t="n">
        <f aca="false">F75+F80+F82+F83</f>
        <v>4039.86719118605</v>
      </c>
      <c r="G84" s="21" t="n">
        <f aca="false">G75+G80+G82+G83</f>
        <v>4102.6505748243</v>
      </c>
    </row>
    <row r="85" customFormat="false" ht="17.15" hidden="false" customHeight="false" outlineLevel="0" collapsed="false">
      <c r="A85" s="4" t="s">
        <v>600</v>
      </c>
      <c r="B85" s="0" t="s">
        <v>52</v>
      </c>
      <c r="D85" s="20" t="n">
        <f aca="false">a26_wai/D68</f>
        <v>0.0341693013513091</v>
      </c>
      <c r="K85" s="8" t="s">
        <v>601</v>
      </c>
    </row>
    <row r="86" customFormat="false" ht="17.15" hidden="false" customHeight="false" outlineLevel="0" collapsed="false">
      <c r="A86" s="4" t="s">
        <v>527</v>
      </c>
      <c r="B86" s="0" t="s">
        <v>52</v>
      </c>
      <c r="D86" s="20" t="n">
        <f aca="false">D85</f>
        <v>0.0341693013513091</v>
      </c>
      <c r="E86" s="20" t="n">
        <f aca="false">$D$85*wrel_27</f>
        <v>0.0341693013513091</v>
      </c>
      <c r="F86" s="20" t="n">
        <f aca="false">$D$85*wrel_28</f>
        <v>0.0341693013513091</v>
      </c>
      <c r="G86" s="20" t="n">
        <f aca="false">$D$85*wrel_29</f>
        <v>0.0324608362837436</v>
      </c>
    </row>
    <row r="87" customFormat="false" ht="17.15" hidden="false" customHeight="false" outlineLevel="0" collapsed="false">
      <c r="A87" s="4" t="s">
        <v>547</v>
      </c>
      <c r="B87" s="0" t="s">
        <v>151</v>
      </c>
      <c r="D87" s="21" t="n">
        <f aca="false">D68*D86</f>
        <v>693.900912</v>
      </c>
      <c r="E87" s="21" t="n">
        <f aca="false">E68*E86</f>
        <v>1245.4909258278</v>
      </c>
      <c r="F87" s="21" t="n">
        <f aca="false">F68*F86</f>
        <v>1578.80516693321</v>
      </c>
      <c r="G87" s="21" t="n">
        <f aca="false">G68*G86</f>
        <v>1708.58325665923</v>
      </c>
    </row>
    <row r="88" customFormat="false" ht="17.15" hidden="false" customHeight="false" outlineLevel="0" collapsed="false">
      <c r="A88" s="4" t="s">
        <v>602</v>
      </c>
      <c r="B88" s="0" t="s">
        <v>151</v>
      </c>
      <c r="D88" s="21" t="n">
        <f aca="false">a26_wna</f>
        <v>751.725988</v>
      </c>
      <c r="E88" s="21" t="n">
        <f aca="false">D88*(1+g_wn27)</f>
        <v>826.8985868</v>
      </c>
      <c r="F88" s="21" t="n">
        <f aca="false">E88*(1+g_wn28)</f>
        <v>876.512502008</v>
      </c>
      <c r="G88" s="21" t="n">
        <f aca="false">F88*(1+g_wn29)</f>
        <v>920.3381271084</v>
      </c>
    </row>
    <row r="89" customFormat="false" ht="15" hidden="false" customHeight="false" outlineLevel="0" collapsed="false">
      <c r="A89" s="4" t="s">
        <v>458</v>
      </c>
      <c r="B89" s="0" t="s">
        <v>151</v>
      </c>
      <c r="C89" s="21" t="n">
        <f aca="false">a25_wrev</f>
        <v>950.663</v>
      </c>
      <c r="D89" s="21" t="n">
        <f aca="false">D87+D88</f>
        <v>1445.6269</v>
      </c>
      <c r="E89" s="21" t="n">
        <f aca="false">E87+E88</f>
        <v>2072.3895126278</v>
      </c>
      <c r="F89" s="21" t="n">
        <f aca="false">F87+F88</f>
        <v>2455.31766894121</v>
      </c>
      <c r="G89" s="21" t="n">
        <f aca="false">G87+G88</f>
        <v>2628.92138376763</v>
      </c>
    </row>
    <row r="90" customFormat="false" ht="17.15" hidden="false" customHeight="false" outlineLevel="0" collapsed="false">
      <c r="A90" s="4" t="s">
        <v>444</v>
      </c>
      <c r="B90" s="0" t="s">
        <v>151</v>
      </c>
      <c r="C90" s="21" t="n">
        <f aca="false">C84+C89</f>
        <v>2186.523</v>
      </c>
      <c r="D90" s="21" t="n">
        <f aca="false">D84+D89</f>
        <v>4097.35195421038</v>
      </c>
      <c r="E90" s="21" t="n">
        <f aca="false">E84+E89</f>
        <v>5889.03079238536</v>
      </c>
      <c r="F90" s="21" t="n">
        <f aca="false">F84+F89</f>
        <v>6495.18486012725</v>
      </c>
      <c r="G90" s="21" t="n">
        <f aca="false">G84+G89</f>
        <v>6731.57195859193</v>
      </c>
      <c r="H90" s="26" t="n">
        <f aca="false">G90*(1+H95)</f>
        <v>7029.53021064286</v>
      </c>
      <c r="I90" s="26" t="n">
        <f aca="false">H90*(1+I95)</f>
        <v>7395.9894768836</v>
      </c>
      <c r="J90" s="26" t="n">
        <f aca="false">I90*(1+J95)</f>
        <v>7839.74884549662</v>
      </c>
      <c r="K90" s="8" t="s">
        <v>603</v>
      </c>
    </row>
    <row r="91" customFormat="false" ht="17.15" hidden="false" customHeight="false" outlineLevel="0" collapsed="false">
      <c r="A91" s="4" t="s">
        <v>604</v>
      </c>
      <c r="B91" s="0" t="s">
        <v>151</v>
      </c>
      <c r="D91" s="21" t="n">
        <f aca="false">D75+D80+D82+D89</f>
        <v>3482.74916107882</v>
      </c>
      <c r="E91" s="21" t="n">
        <f aca="false">E75+E80+E82+E89</f>
        <v>5292.86608304775</v>
      </c>
      <c r="F91" s="21" t="n">
        <f aca="false">F75+F80+F82+F89</f>
        <v>5899.02015078964</v>
      </c>
      <c r="G91" s="21" t="n">
        <f aca="false">G75+G80+G82+G89</f>
        <v>6135.40724925432</v>
      </c>
      <c r="K91" s="4" t="s">
        <v>605</v>
      </c>
    </row>
    <row r="92" customFormat="false" ht="15" hidden="false" customHeight="false" outlineLevel="0" collapsed="false">
      <c r="A92" s="4" t="s">
        <v>606</v>
      </c>
      <c r="B92" s="0" t="s">
        <v>151</v>
      </c>
      <c r="D92" s="21" t="n">
        <f aca="false">D83</f>
        <v>614.602793131557</v>
      </c>
      <c r="E92" s="21" t="n">
        <f aca="false">E83</f>
        <v>596.16470933761</v>
      </c>
      <c r="F92" s="21" t="n">
        <f aca="false">F83</f>
        <v>596.16470933761</v>
      </c>
      <c r="G92" s="21" t="n">
        <f aca="false">G83</f>
        <v>596.16470933761</v>
      </c>
      <c r="K92" s="4" t="s">
        <v>607</v>
      </c>
    </row>
    <row r="93" customFormat="false" ht="17.15" hidden="false" customHeight="false" outlineLevel="0" collapsed="false">
      <c r="A93" s="4" t="s">
        <v>608</v>
      </c>
      <c r="B93" s="0" t="s">
        <v>151</v>
      </c>
      <c r="D93" s="31" t="n">
        <f aca="false">D91+D92-D90</f>
        <v>0</v>
      </c>
      <c r="E93" s="31" t="n">
        <f aca="false">E91+E92-E90</f>
        <v>0</v>
      </c>
      <c r="F93" s="31" t="n">
        <f aca="false">F91+F92-F90</f>
        <v>0</v>
      </c>
      <c r="G93" s="31" t="n">
        <f aca="false">G91+G92-G90</f>
        <v>0</v>
      </c>
    </row>
    <row r="94" customFormat="false" ht="17.15" hidden="false" customHeight="false" outlineLevel="0" collapsed="false">
      <c r="A94" s="4" t="s">
        <v>609</v>
      </c>
      <c r="B94" s="0" t="s">
        <v>52</v>
      </c>
      <c r="D94" s="20" t="n">
        <f aca="false">D91/D90</f>
        <v>0.85</v>
      </c>
      <c r="E94" s="20" t="n">
        <f aca="false">E91/E90</f>
        <v>0.898766922715286</v>
      </c>
      <c r="F94" s="20" t="n">
        <f aca="false">F91/F90</f>
        <v>0.908214358455391</v>
      </c>
      <c r="G94" s="20" t="n">
        <f aca="false">G91/G90</f>
        <v>0.911437519645514</v>
      </c>
    </row>
    <row r="95" customFormat="false" ht="15" hidden="false" customHeight="false" outlineLevel="0" collapsed="false">
      <c r="A95" s="4" t="s">
        <v>610</v>
      </c>
      <c r="B95" s="0" t="s">
        <v>52</v>
      </c>
      <c r="D95" s="20" t="n">
        <f aca="false">D90/C90-1</f>
        <v>0.873912121761526</v>
      </c>
      <c r="E95" s="20" t="n">
        <f aca="false">E90/D90-1</f>
        <v>0.437277260581405</v>
      </c>
      <c r="F95" s="20" t="n">
        <f aca="false">F90/E90-1</f>
        <v>0.102929342554239</v>
      </c>
      <c r="G95" s="20" t="n">
        <f aca="false">G90/F90-1</f>
        <v>0.0363942064090907</v>
      </c>
      <c r="H95" s="27" t="n">
        <f aca="false">$G95+(fade_gA-$G95)*1/3</f>
        <v>0.0442628042727272</v>
      </c>
      <c r="I95" s="27" t="n">
        <f aca="false">$G95+(fade_gA-$G95)*2/3</f>
        <v>0.0521314021363636</v>
      </c>
      <c r="J95" s="27" t="n">
        <f aca="false">$G95+(fade_gA-$G95)*3/3</f>
        <v>0.06</v>
      </c>
    </row>
    <row r="96" customFormat="false" ht="17.15" hidden="false" customHeight="false" outlineLevel="0" collapsed="false">
      <c r="A96" s="0" t="s">
        <v>611</v>
      </c>
      <c r="B96" s="0" t="s">
        <v>52</v>
      </c>
      <c r="D96" s="20" t="n">
        <f aca="false">(D75+D80+D87)/D90</f>
        <v>0.629924693295288</v>
      </c>
      <c r="E96" s="20" t="n">
        <f aca="false">(E75+E80+E87)/E90</f>
        <v>0.727788263866712</v>
      </c>
      <c r="F96" s="20" t="n">
        <f aca="false">(F75+F80+F87)/F90</f>
        <v>0.742782192143354</v>
      </c>
      <c r="G96" s="20" t="n">
        <f aca="false">(G75+G80+G87)/G90</f>
        <v>0.742951149138729</v>
      </c>
    </row>
    <row r="97" customFormat="false" ht="17.15" hidden="false" customHeight="false" outlineLevel="0" collapsed="false">
      <c r="A97" s="4" t="s">
        <v>612</v>
      </c>
      <c r="B97" s="0" t="s">
        <v>52</v>
      </c>
      <c r="C97" s="20" t="n">
        <f aca="false">C89/C90</f>
        <v>0.434782986504144</v>
      </c>
      <c r="D97" s="20" t="n">
        <f aca="false">D89/D90</f>
        <v>0.352819800728736</v>
      </c>
      <c r="E97" s="20" t="n">
        <f aca="false">E89/E90</f>
        <v>0.351906720424598</v>
      </c>
      <c r="F97" s="20" t="n">
        <f aca="false">F89/F90</f>
        <v>0.378021214455951</v>
      </c>
      <c r="G97" s="20" t="n">
        <f aca="false">G89/G90</f>
        <v>0.390536029316626</v>
      </c>
    </row>
    <row r="98" customFormat="false" ht="17.15" hidden="false" customHeight="false" outlineLevel="0" collapsed="false">
      <c r="A98" s="4" t="s">
        <v>613</v>
      </c>
      <c r="B98" s="4" t="s">
        <v>335</v>
      </c>
      <c r="D98" s="21" t="n">
        <f aca="false">D73/fx/(odm_gb*(1-vr26)+odm_vr*vr26)</f>
        <v>12.0597330420658</v>
      </c>
      <c r="E98" s="21" t="n">
        <f aca="false">E73/fx/odm_vr</f>
        <v>14.7674893195132</v>
      </c>
      <c r="F98" s="21" t="n">
        <f aca="false">F73/fx/odm_vr</f>
        <v>17.7835410591556</v>
      </c>
      <c r="G98" s="21" t="n">
        <f aca="false">G73/fx/odm_vr</f>
        <v>19.1920403465763</v>
      </c>
      <c r="K98" s="4" t="s">
        <v>614</v>
      </c>
    </row>
    <row r="99" customFormat="false" ht="17.15" hidden="false" customHeight="false" outlineLevel="0" collapsed="false">
      <c r="A99" s="6" t="s">
        <v>615</v>
      </c>
    </row>
    <row r="100" customFormat="false" ht="17.15" hidden="false" customHeight="false" outlineLevel="0" collapsed="false">
      <c r="A100" s="4" t="s">
        <v>616</v>
      </c>
      <c r="B100" s="0" t="s">
        <v>52</v>
      </c>
      <c r="D100" s="14" t="n">
        <f aca="false">(a26_sgp-d_ai*D75-d_brd*D80-d_gen*D82)/D84</f>
        <v>0.0436423860147897</v>
      </c>
      <c r="K100" s="8" t="s">
        <v>617</v>
      </c>
    </row>
    <row r="101" customFormat="false" ht="17.15" hidden="false" customHeight="false" outlineLevel="0" collapsed="false">
      <c r="A101" s="4" t="s">
        <v>618</v>
      </c>
      <c r="B101" s="0" t="s">
        <v>151</v>
      </c>
      <c r="D101" s="25" t="n">
        <f aca="false">($D$100+d_ai)*D73*(1-D74*(1-keep))</f>
        <v>59.7866331026896</v>
      </c>
      <c r="E101" s="25" t="n">
        <f aca="false">($D$100+d_ai+vrd)*E73*(1-E74*(1-keep))</f>
        <v>99.9228552931037</v>
      </c>
      <c r="F101" s="25" t="n">
        <f aca="false">($D$100+d_ai+vrd)*F73*(1-F74*(1-keep))</f>
        <v>119.115229856888</v>
      </c>
      <c r="G101" s="25" t="n">
        <f aca="false">($D$100+d_ai+vrd)*G73*(1-G74*(1-keep))</f>
        <v>127.89357847157</v>
      </c>
    </row>
    <row r="102" customFormat="false" ht="15" hidden="false" customHeight="false" outlineLevel="0" collapsed="false">
      <c r="A102" s="4" t="s">
        <v>619</v>
      </c>
      <c r="B102" s="0" t="s">
        <v>151</v>
      </c>
      <c r="C102" s="21" t="n">
        <f aca="false">a25_sgp</f>
        <v>55.529</v>
      </c>
      <c r="D102" s="21" t="n">
        <f aca="false">a26_sgp</f>
        <v>103.50638581015</v>
      </c>
      <c r="E102" s="21" t="n">
        <f aca="false">$D$100*E83+($D$100+d_brd)*E80+($D$100+d_gen)*E82+E101</f>
        <v>148.991928263534</v>
      </c>
      <c r="F102" s="21" t="n">
        <f aca="false">$D$100*F83+($D$100+d_brd)*F80+($D$100+d_gen)*F82+F101</f>
        <v>169.462997795485</v>
      </c>
      <c r="G102" s="21" t="n">
        <f aca="false">$D$100*G83+($D$100+d_brd)*G80+($D$100+d_gen)*G82+G101</f>
        <v>179.967696240984</v>
      </c>
    </row>
    <row r="103" customFormat="false" ht="15" hidden="false" customHeight="false" outlineLevel="0" collapsed="false">
      <c r="A103" s="4" t="s">
        <v>620</v>
      </c>
      <c r="B103" s="0" t="s">
        <v>52</v>
      </c>
      <c r="C103" s="14" t="n">
        <f aca="false">C102/C84</f>
        <v>0.0449314647290146</v>
      </c>
      <c r="D103" s="14" t="n">
        <f aca="false">D102/D84</f>
        <v>0.0390336040479778</v>
      </c>
      <c r="E103" s="14" t="n">
        <f aca="false">E102/E84</f>
        <v>0.0390374461057547</v>
      </c>
      <c r="F103" s="14" t="n">
        <f aca="false">F102/F84</f>
        <v>0.0419476655483156</v>
      </c>
      <c r="G103" s="14" t="n">
        <f aca="false">G102/G84</f>
        <v>0.0438662013639053</v>
      </c>
    </row>
    <row r="104" customFormat="false" ht="15" hidden="false" customHeight="false" outlineLevel="0" collapsed="false">
      <c r="A104" s="4" t="s">
        <v>621</v>
      </c>
      <c r="B104" s="0" t="s">
        <v>52</v>
      </c>
      <c r="E104" s="20" t="n">
        <f aca="false">MAX(0,phi*(E84/D84-1))</f>
        <v>0.13179151703879</v>
      </c>
      <c r="F104" s="20" t="n">
        <f aca="false">MAX(0,phi*(F84/E84-1))</f>
        <v>0.0175462582202121</v>
      </c>
      <c r="G104" s="20" t="n">
        <f aca="false">MAX(0,phi*(G84/F84-1))</f>
        <v>0.00466228571388885</v>
      </c>
    </row>
    <row r="105" customFormat="false" ht="15" hidden="false" customHeight="false" outlineLevel="0" collapsed="false">
      <c r="A105" s="4" t="s">
        <v>622</v>
      </c>
      <c r="B105" s="0" t="s">
        <v>151</v>
      </c>
      <c r="C105" s="21" t="n">
        <f aca="false">a25_sopx</f>
        <v>40.894</v>
      </c>
      <c r="D105" s="21" t="n">
        <f aca="false">a26_sopx</f>
        <v>46.9914095398923</v>
      </c>
      <c r="E105" s="21" t="n">
        <f aca="false">D105*(1+E104)+0*E84</f>
        <v>53.1844786909457</v>
      </c>
      <c r="F105" s="21" t="n">
        <f aca="false">E105*(1+F104)+0*F84</f>
        <v>54.1176672873644</v>
      </c>
      <c r="G105" s="21" t="n">
        <f aca="false">F105*(1+G104)+0*G84</f>
        <v>54.3699793144273</v>
      </c>
    </row>
    <row r="106" customFormat="false" ht="15" hidden="false" customHeight="false" outlineLevel="0" collapsed="false">
      <c r="A106" s="4" t="s">
        <v>623</v>
      </c>
      <c r="B106" s="0" t="s">
        <v>151</v>
      </c>
      <c r="C106" s="21" t="n">
        <f aca="false">C102-C105</f>
        <v>14.635</v>
      </c>
      <c r="D106" s="21" t="n">
        <f aca="false">D102-D105</f>
        <v>56.514976270258</v>
      </c>
      <c r="E106" s="21" t="n">
        <f aca="false">E102-E105</f>
        <v>95.8074495725885</v>
      </c>
      <c r="F106" s="21" t="n">
        <f aca="false">F102-F105</f>
        <v>115.345330508121</v>
      </c>
      <c r="G106" s="21" t="n">
        <f aca="false">G102-G105</f>
        <v>125.597716926557</v>
      </c>
    </row>
    <row r="107" customFormat="false" ht="15" hidden="false" customHeight="false" outlineLevel="0" collapsed="false">
      <c r="A107" s="4" t="s">
        <v>624</v>
      </c>
      <c r="B107" s="0" t="s">
        <v>52</v>
      </c>
      <c r="C107" s="14" t="n">
        <f aca="false">C106/C84</f>
        <v>0.011841956208632</v>
      </c>
      <c r="D107" s="14" t="n">
        <f aca="false">D106/D84</f>
        <v>0.0213125324514788</v>
      </c>
      <c r="E107" s="14" t="n">
        <f aca="false">E106/E84</f>
        <v>0.0251025555062577</v>
      </c>
      <c r="F107" s="14" t="n">
        <f aca="false">F106/F84</f>
        <v>0.0285517629786878</v>
      </c>
      <c r="G107" s="14" t="n">
        <f aca="false">G106/G84</f>
        <v>0.0306137982350437</v>
      </c>
    </row>
    <row r="108" customFormat="false" ht="15" hidden="false" customHeight="false" outlineLevel="0" collapsed="false">
      <c r="A108" s="4" t="s">
        <v>625</v>
      </c>
      <c r="B108" s="0" t="s">
        <v>151</v>
      </c>
      <c r="C108" s="21" t="n">
        <f aca="false">a25_sni</f>
        <v>6.9608</v>
      </c>
      <c r="D108" s="21" t="n">
        <f aca="false">a26_sni</f>
        <v>31.133746704</v>
      </c>
      <c r="E108" s="21" t="n">
        <f aca="false">E106*snio</f>
        <v>53.6521717606496</v>
      </c>
      <c r="F108" s="21" t="n">
        <f aca="false">F106*snio</f>
        <v>64.5933850845478</v>
      </c>
      <c r="G108" s="21" t="n">
        <f aca="false">G106*snio</f>
        <v>70.334721478872</v>
      </c>
    </row>
    <row r="109" customFormat="false" ht="17.15" hidden="false" customHeight="false" outlineLevel="0" collapsed="false">
      <c r="A109" s="6" t="s">
        <v>626</v>
      </c>
    </row>
    <row r="110" customFormat="false" ht="15" hidden="false" customHeight="false" outlineLevel="0" collapsed="false">
      <c r="A110" s="4" t="s">
        <v>462</v>
      </c>
      <c r="B110" s="0" t="s">
        <v>151</v>
      </c>
      <c r="C110" s="21" t="n">
        <f aca="false">a25_wgp</f>
        <v>78.454</v>
      </c>
      <c r="D110" s="21" t="n">
        <f aca="false">a26_wgp</f>
        <v>125.0519932</v>
      </c>
      <c r="E110" s="21" t="n">
        <f aca="false">E89*wgm</f>
        <v>176.153108573363</v>
      </c>
      <c r="F110" s="21" t="n">
        <f aca="false">F89*wgm</f>
        <v>208.702001860003</v>
      </c>
      <c r="G110" s="21" t="n">
        <f aca="false">G89*wgm</f>
        <v>223.458317620249</v>
      </c>
    </row>
    <row r="111" customFormat="false" ht="15" hidden="false" customHeight="false" outlineLevel="0" collapsed="false">
      <c r="A111" s="4" t="s">
        <v>464</v>
      </c>
      <c r="B111" s="0" t="s">
        <v>151</v>
      </c>
      <c r="C111" s="21" t="n">
        <f aca="false">a25_woi</f>
        <v>63.918</v>
      </c>
      <c r="D111" s="21" t="n">
        <f aca="false">a26_woi</f>
        <v>98.2471632</v>
      </c>
      <c r="E111" s="21" t="n">
        <f aca="false">E89*wopm</f>
        <v>134.705318320807</v>
      </c>
      <c r="F111" s="21" t="n">
        <f aca="false">F89*wopm</f>
        <v>159.595648481179</v>
      </c>
      <c r="G111" s="21" t="n">
        <f aca="false">G89*wopm</f>
        <v>170.879889944896</v>
      </c>
    </row>
    <row r="112" customFormat="false" ht="15" hidden="false" customHeight="false" outlineLevel="0" collapsed="false">
      <c r="A112" s="4" t="s">
        <v>472</v>
      </c>
      <c r="B112" s="0" t="s">
        <v>151</v>
      </c>
      <c r="C112" s="21" t="n">
        <f aca="false">a25_wni</f>
        <v>51.118</v>
      </c>
      <c r="D112" s="21" t="n">
        <f aca="false">a26_wni</f>
        <v>75.735026884</v>
      </c>
      <c r="E112" s="21" t="n">
        <f aca="false">E111*wnio</f>
        <v>105.07014829023</v>
      </c>
      <c r="F112" s="21" t="n">
        <f aca="false">F111*wnio</f>
        <v>124.484605815319</v>
      </c>
      <c r="G112" s="21" t="n">
        <f aca="false">G111*wnio</f>
        <v>133.286314157019</v>
      </c>
    </row>
    <row r="113" customFormat="false" ht="15" hidden="false" customHeight="false" outlineLevel="0" collapsed="false">
      <c r="A113" s="4" t="s">
        <v>474</v>
      </c>
      <c r="B113" s="0" t="s">
        <v>52</v>
      </c>
      <c r="C113" s="14" t="n">
        <f aca="false">stake25</f>
        <v>0.4</v>
      </c>
      <c r="D113" s="14" t="n">
        <f aca="false">stake</f>
        <v>0.3768</v>
      </c>
      <c r="E113" s="14" t="n">
        <f aca="false">stake</f>
        <v>0.3768</v>
      </c>
      <c r="F113" s="14" t="n">
        <f aca="false">stake</f>
        <v>0.3768</v>
      </c>
      <c r="G113" s="14" t="n">
        <f aca="false">stake</f>
        <v>0.3768</v>
      </c>
    </row>
    <row r="114" customFormat="false" ht="17.15" hidden="false" customHeight="false" outlineLevel="0" collapsed="false">
      <c r="A114" s="6" t="s">
        <v>627</v>
      </c>
    </row>
    <row r="115" customFormat="false" ht="15" hidden="false" customHeight="false" outlineLevel="0" collapsed="false">
      <c r="A115" s="4" t="s">
        <v>448</v>
      </c>
      <c r="B115" s="0" t="s">
        <v>151</v>
      </c>
      <c r="C115" s="21" t="n">
        <f aca="false">C102+C110</f>
        <v>133.983</v>
      </c>
      <c r="D115" s="21" t="n">
        <f aca="false">D102+D110</f>
        <v>228.55837901015</v>
      </c>
      <c r="E115" s="21" t="n">
        <f aca="false">E102+E110</f>
        <v>325.145036836897</v>
      </c>
      <c r="F115" s="21" t="n">
        <f aca="false">F102+F110</f>
        <v>378.164999655488</v>
      </c>
      <c r="G115" s="21" t="n">
        <f aca="false">G102+G110</f>
        <v>403.426013861233</v>
      </c>
    </row>
    <row r="116" customFormat="false" ht="15" hidden="false" customHeight="false" outlineLevel="0" collapsed="false">
      <c r="A116" s="4" t="s">
        <v>451</v>
      </c>
      <c r="B116" s="0" t="s">
        <v>52</v>
      </c>
      <c r="C116" s="14" t="n">
        <f aca="false">C115/C90</f>
        <v>0.0612767393711386</v>
      </c>
      <c r="D116" s="14" t="n">
        <f aca="false">D115/D90</f>
        <v>0.055781973714825</v>
      </c>
      <c r="E116" s="14" t="n">
        <f aca="false">E115/E90</f>
        <v>0.0552119777090174</v>
      </c>
      <c r="F116" s="14" t="n">
        <f aca="false">F115/F90</f>
        <v>0.0582223613029051</v>
      </c>
      <c r="G116" s="14" t="n">
        <f aca="false">G115/G90</f>
        <v>0.0599304317539554</v>
      </c>
    </row>
    <row r="117" customFormat="false" ht="15" hidden="false" customHeight="false" outlineLevel="0" collapsed="false">
      <c r="A117" s="4" t="s">
        <v>452</v>
      </c>
      <c r="B117" s="0" t="s">
        <v>151</v>
      </c>
      <c r="C117" s="21" t="n">
        <f aca="false">C106+C111</f>
        <v>78.553</v>
      </c>
      <c r="D117" s="21" t="n">
        <f aca="false">D106+D111</f>
        <v>154.762139470258</v>
      </c>
      <c r="E117" s="21" t="n">
        <f aca="false">E106+E111</f>
        <v>230.512767893396</v>
      </c>
      <c r="F117" s="21" t="n">
        <f aca="false">F106+F111</f>
        <v>274.9409789893</v>
      </c>
      <c r="G117" s="21" t="n">
        <f aca="false">G106+G111</f>
        <v>296.477606871453</v>
      </c>
    </row>
    <row r="118" customFormat="false" ht="15" hidden="false" customHeight="false" outlineLevel="0" collapsed="false">
      <c r="A118" s="4" t="s">
        <v>455</v>
      </c>
      <c r="B118" s="0" t="s">
        <v>52</v>
      </c>
      <c r="C118" s="14" t="n">
        <f aca="false">C117/C90</f>
        <v>0.0359259884300325</v>
      </c>
      <c r="D118" s="14" t="n">
        <f aca="false">D117/D90</f>
        <v>0.0377712584126992</v>
      </c>
      <c r="E118" s="14" t="n">
        <f aca="false">E117/E90</f>
        <v>0.039142734351373</v>
      </c>
      <c r="F118" s="14" t="n">
        <f aca="false">F117/F90</f>
        <v>0.0423299698022626</v>
      </c>
      <c r="G118" s="14" t="n">
        <f aca="false">G117/G90</f>
        <v>0.0440428489356101</v>
      </c>
    </row>
    <row r="119" customFormat="false" ht="15" hidden="false" customHeight="false" outlineLevel="0" collapsed="false">
      <c r="A119" s="4" t="s">
        <v>485</v>
      </c>
      <c r="B119" s="0" t="s">
        <v>151</v>
      </c>
      <c r="C119" s="21" t="n">
        <f aca="false">C108+C112</f>
        <v>58.0788</v>
      </c>
      <c r="D119" s="21" t="n">
        <f aca="false">D108+D112</f>
        <v>106.868773588</v>
      </c>
      <c r="E119" s="21" t="n">
        <f aca="false">E108+E112</f>
        <v>158.722320050879</v>
      </c>
      <c r="F119" s="21" t="n">
        <f aca="false">F108+F112</f>
        <v>189.077990899867</v>
      </c>
      <c r="G119" s="21" t="n">
        <f aca="false">G108+G112</f>
        <v>203.621035635891</v>
      </c>
    </row>
    <row r="120" customFormat="false" ht="17.15" hidden="false" customHeight="false" outlineLevel="0" collapsed="false">
      <c r="A120" s="4" t="s">
        <v>628</v>
      </c>
      <c r="B120" s="0" t="s">
        <v>151</v>
      </c>
      <c r="C120" s="21" t="n">
        <f aca="false">(1-C113)*C112</f>
        <v>30.6708</v>
      </c>
      <c r="D120" s="21" t="n">
        <f aca="false">(1-D113)*D112</f>
        <v>47.1980687541088</v>
      </c>
      <c r="E120" s="21" t="n">
        <f aca="false">(1-E113)*E112</f>
        <v>65.4797164144711</v>
      </c>
      <c r="F120" s="21" t="n">
        <f aca="false">(1-F113)*F112</f>
        <v>77.578806344107</v>
      </c>
      <c r="G120" s="21" t="n">
        <f aca="false">(1-G113)*G112</f>
        <v>83.0640309826542</v>
      </c>
    </row>
    <row r="121" customFormat="false" ht="15" hidden="false" customHeight="false" outlineLevel="0" collapsed="false">
      <c r="A121" s="4" t="s">
        <v>481</v>
      </c>
      <c r="B121" s="0" t="s">
        <v>151</v>
      </c>
      <c r="C121" s="21" t="n">
        <f aca="false">C119-C120</f>
        <v>27.408</v>
      </c>
      <c r="D121" s="21" t="n">
        <f aca="false">D119-D120</f>
        <v>59.6707048338912</v>
      </c>
      <c r="E121" s="21" t="n">
        <f aca="false">E119-E120</f>
        <v>93.2426036364081</v>
      </c>
      <c r="F121" s="21" t="n">
        <f aca="false">F119-F120</f>
        <v>111.49918455576</v>
      </c>
      <c r="G121" s="21" t="n">
        <f aca="false">G119-G120</f>
        <v>120.557004653237</v>
      </c>
      <c r="H121" s="26" t="n">
        <f aca="false">H90*H126</f>
        <v>125.893195753909</v>
      </c>
      <c r="I121" s="26" t="n">
        <f aca="false">I90*I126</f>
        <v>132.456184567988</v>
      </c>
      <c r="J121" s="26" t="n">
        <f aca="false">J90*J126</f>
        <v>140.403555642067</v>
      </c>
    </row>
    <row r="122" customFormat="false" ht="17.15" hidden="false" customHeight="false" outlineLevel="0" collapsed="false">
      <c r="A122" s="4" t="s">
        <v>629</v>
      </c>
      <c r="B122" s="0" t="s">
        <v>52</v>
      </c>
      <c r="C122" s="20" t="n">
        <f aca="false">C113*C112/C121</f>
        <v>0.746030356100409</v>
      </c>
      <c r="D122" s="20" t="n">
        <f aca="false">D113*D112/D121</f>
        <v>0.478240674537551</v>
      </c>
      <c r="E122" s="20" t="n">
        <f aca="false">E113*E112/E121</f>
        <v>0.424595950045949</v>
      </c>
      <c r="F122" s="20" t="n">
        <f aca="false">F113*F112/F121</f>
        <v>0.420682892508106</v>
      </c>
      <c r="G122" s="20" t="n">
        <f aca="false">G113*G112/G121</f>
        <v>0.416585359920158</v>
      </c>
    </row>
    <row r="123" customFormat="false" ht="17.15" hidden="false" customHeight="false" outlineLevel="0" collapsed="false">
      <c r="A123" s="4" t="s">
        <v>630</v>
      </c>
      <c r="B123" s="4" t="s">
        <v>286</v>
      </c>
      <c r="C123" s="31" t="n">
        <f aca="false">a25_sh</f>
        <v>3.03185840707965</v>
      </c>
      <c r="D123" s="31" t="n">
        <f aca="false">a26_sh</f>
        <v>3.23861720409076</v>
      </c>
      <c r="E123" s="31" t="n">
        <f aca="false">q_sh4*(1+sh_g)</f>
        <v>3.43</v>
      </c>
      <c r="F123" s="31" t="n">
        <f aca="false">E123*(1+sh_g)</f>
        <v>3.43</v>
      </c>
      <c r="G123" s="31" t="n">
        <f aca="false">F123*(1+sh_g)</f>
        <v>3.43</v>
      </c>
      <c r="H123" s="32" t="n">
        <f aca="false">G123*(1+sh_g)</f>
        <v>3.43</v>
      </c>
      <c r="I123" s="32" t="n">
        <f aca="false">H123*(1+sh_g)</f>
        <v>3.43</v>
      </c>
      <c r="J123" s="32" t="n">
        <f aca="false">I123*(1+sh_g)</f>
        <v>3.43</v>
      </c>
      <c r="K123" s="8" t="s">
        <v>631</v>
      </c>
    </row>
    <row r="124" customFormat="false" ht="15" hidden="false" customHeight="false" outlineLevel="0" collapsed="false">
      <c r="A124" s="0" t="s">
        <v>488</v>
      </c>
      <c r="B124" s="0" t="s">
        <v>316</v>
      </c>
      <c r="C124" s="18" t="n">
        <f aca="false">C121/C123</f>
        <v>9.04</v>
      </c>
      <c r="D124" s="18" t="n">
        <f aca="false">D121/D123</f>
        <v>18.4247476850676</v>
      </c>
      <c r="E124" s="18" t="n">
        <f aca="false">E121/E123</f>
        <v>27.1844325470577</v>
      </c>
      <c r="F124" s="18" t="n">
        <f aca="false">F121/F123</f>
        <v>32.5070508908922</v>
      </c>
      <c r="G124" s="18" t="n">
        <f aca="false">G121/G123</f>
        <v>35.1478147677075</v>
      </c>
      <c r="H124" s="29" t="n">
        <f aca="false">H121/H123</f>
        <v>36.7035556133846</v>
      </c>
      <c r="I124" s="29" t="n">
        <f aca="false">I121/I123</f>
        <v>38.6169634309003</v>
      </c>
      <c r="J124" s="29" t="n">
        <f aca="false">J121/J123</f>
        <v>40.9339812367544</v>
      </c>
    </row>
    <row r="125" customFormat="false" ht="17.15" hidden="false" customHeight="false" outlineLevel="0" collapsed="false">
      <c r="A125" s="0" t="s">
        <v>632</v>
      </c>
      <c r="B125" s="0" t="s">
        <v>52</v>
      </c>
      <c r="D125" s="20" t="n">
        <f aca="false">D124/C124-1</f>
        <v>1.03813580587031</v>
      </c>
      <c r="E125" s="20" t="n">
        <f aca="false">E124/D124-1</f>
        <v>0.475430383727289</v>
      </c>
      <c r="F125" s="20" t="n">
        <f aca="false">F124/E124-1</f>
        <v>0.19579655873341</v>
      </c>
      <c r="G125" s="20" t="n">
        <f aca="false">G124/F124-1</f>
        <v>0.0812366488020984</v>
      </c>
      <c r="H125" s="27" t="n">
        <f aca="false">H124/G124-1</f>
        <v>0.0442628042727271</v>
      </c>
      <c r="I125" s="27" t="n">
        <f aca="false">I124/H124-1</f>
        <v>0.0521314021363635</v>
      </c>
      <c r="J125" s="27" t="n">
        <f aca="false">J124/I124-1</f>
        <v>0.0600000000000003</v>
      </c>
    </row>
    <row r="126" customFormat="false" ht="17.15" hidden="false" customHeight="false" outlineLevel="0" collapsed="false">
      <c r="A126" s="4" t="s">
        <v>633</v>
      </c>
      <c r="B126" s="0" t="s">
        <v>52</v>
      </c>
      <c r="C126" s="14" t="n">
        <f aca="false">C121/C90</f>
        <v>0.0125349699042727</v>
      </c>
      <c r="D126" s="14" t="n">
        <f aca="false">D121/D90</f>
        <v>0.0145632363293992</v>
      </c>
      <c r="E126" s="14" t="n">
        <f aca="false">E121/E90</f>
        <v>0.0158332681426921</v>
      </c>
      <c r="F126" s="14" t="n">
        <f aca="false">F121/F90</f>
        <v>0.0171664374389454</v>
      </c>
      <c r="G126" s="14" t="n">
        <f aca="false">G121/G90</f>
        <v>0.0179091905122343</v>
      </c>
      <c r="H126" s="28" t="n">
        <f aca="false">$G126+(fade_mA-$G126)*1/3</f>
        <v>0.0179091905122343</v>
      </c>
      <c r="I126" s="28" t="n">
        <f aca="false">$G126+(fade_mA-$G126)*2/3</f>
        <v>0.0179091905122343</v>
      </c>
      <c r="J126" s="28" t="n">
        <f aca="false">$G126+(fade_mA-$G126)*3/3</f>
        <v>0.0179091905122343</v>
      </c>
    </row>
    <row r="129" customFormat="false" ht="17.15" hidden="false" customHeight="false" outlineLevel="0" collapsed="false">
      <c r="A129" s="1" t="s">
        <v>634</v>
      </c>
    </row>
    <row r="130" customFormat="false" ht="17.15" hidden="false" customHeight="false" outlineLevel="0" collapsed="false">
      <c r="A130" s="5" t="s">
        <v>21</v>
      </c>
      <c r="B130" s="5" t="s">
        <v>22</v>
      </c>
      <c r="C130" s="15" t="s">
        <v>438</v>
      </c>
      <c r="D130" s="15" t="s">
        <v>552</v>
      </c>
      <c r="E130" s="15" t="s">
        <v>553</v>
      </c>
      <c r="F130" s="15" t="s">
        <v>554</v>
      </c>
      <c r="G130" s="15" t="s">
        <v>555</v>
      </c>
      <c r="H130" s="15" t="s">
        <v>556</v>
      </c>
      <c r="I130" s="15" t="s">
        <v>557</v>
      </c>
      <c r="J130" s="15" t="s">
        <v>558</v>
      </c>
      <c r="K130" s="5" t="s">
        <v>420</v>
      </c>
    </row>
    <row r="131" customFormat="false" ht="17.15" hidden="false" customHeight="false" outlineLevel="0" collapsed="false">
      <c r="A131" s="6" t="s">
        <v>573</v>
      </c>
    </row>
    <row r="132" customFormat="false" ht="17.15" hidden="false" customHeight="false" outlineLevel="0" collapsed="false">
      <c r="A132" s="0" t="s">
        <v>574</v>
      </c>
      <c r="B132" s="0" t="s">
        <v>32</v>
      </c>
      <c r="D132" s="21" t="n">
        <f aca="false">itc_26*1</f>
        <v>781.872916666666</v>
      </c>
      <c r="E132" s="21" t="n">
        <f aca="false">itc_27*1*1</f>
        <v>1565.35</v>
      </c>
      <c r="F132" s="21" t="n">
        <f aca="false">itc_28*um28_B*1</f>
        <v>1587.41111111111</v>
      </c>
      <c r="G132" s="21" t="n">
        <f aca="false">itc_29*um29_B*1</f>
        <v>1921.33173611111</v>
      </c>
    </row>
    <row r="133" customFormat="false" ht="17.15" hidden="false" customHeight="false" outlineLevel="0" collapsed="false">
      <c r="A133" s="4" t="s">
        <v>575</v>
      </c>
      <c r="B133" s="0" t="s">
        <v>32</v>
      </c>
      <c r="D133" s="21" t="n">
        <f aca="false">itpg_gb*(1-vr26)+itpg_vr*vr26</f>
        <v>33.41403216</v>
      </c>
      <c r="E133" s="21" t="n">
        <f aca="false">itpg_vr</f>
        <v>37.586352</v>
      </c>
      <c r="F133" s="21" t="n">
        <f aca="false">itpg_vr</f>
        <v>37.586352</v>
      </c>
      <c r="G133" s="21" t="n">
        <f aca="false">itpg_vr</f>
        <v>37.586352</v>
      </c>
    </row>
    <row r="134" customFormat="false" ht="17.15" hidden="false" customHeight="false" outlineLevel="0" collapsed="false">
      <c r="A134" s="4" t="s">
        <v>576</v>
      </c>
      <c r="B134" s="0" t="s">
        <v>521</v>
      </c>
      <c r="D134" s="22" t="n">
        <f aca="false">D132/D133</f>
        <v>23.3995380420639</v>
      </c>
      <c r="E134" s="22" t="n">
        <f aca="false">E132/E133</f>
        <v>41.6467658260637</v>
      </c>
      <c r="F134" s="22" t="n">
        <f aca="false">F132/F133</f>
        <v>42.2337105529984</v>
      </c>
      <c r="G134" s="22" t="n">
        <f aca="false">G132/G133</f>
        <v>51.1178029756948</v>
      </c>
    </row>
    <row r="135" customFormat="false" ht="17.15" hidden="false" customHeight="false" outlineLevel="0" collapsed="false">
      <c r="A135" s="4" t="s">
        <v>577</v>
      </c>
      <c r="B135" s="0" t="s">
        <v>578</v>
      </c>
      <c r="D135" s="18" t="n">
        <f aca="false">(racks_gb*odm_gb*(1-vr26)+racks_vr*odm_vr*vr26)/1000</f>
        <v>27.1209</v>
      </c>
      <c r="E135" s="18" t="n">
        <f aca="false">racks_vr*odm_vr/1000</f>
        <v>27.351</v>
      </c>
      <c r="F135" s="18" t="n">
        <f aca="false">$E135*vpg_28</f>
        <v>27.351</v>
      </c>
      <c r="G135" s="18" t="n">
        <f aca="false">$E135*vpg_29</f>
        <v>27.351</v>
      </c>
      <c r="K135" s="4" t="s">
        <v>579</v>
      </c>
    </row>
    <row r="136" customFormat="false" ht="17.15" hidden="false" customHeight="false" outlineLevel="0" collapsed="false">
      <c r="A136" s="0" t="s">
        <v>580</v>
      </c>
      <c r="B136" s="0" t="s">
        <v>32</v>
      </c>
      <c r="D136" s="21" t="n">
        <f aca="false">D134*D135</f>
        <v>634.61653128501</v>
      </c>
      <c r="E136" s="21" t="n">
        <f aca="false">E134*E135</f>
        <v>1139.08069210867</v>
      </c>
      <c r="F136" s="21" t="n">
        <f aca="false">F134*F135</f>
        <v>1155.13421733506</v>
      </c>
      <c r="G136" s="21" t="n">
        <f aca="false">G134*G135</f>
        <v>1398.12302918823</v>
      </c>
    </row>
    <row r="137" customFormat="false" ht="17.15" hidden="false" customHeight="false" outlineLevel="0" collapsed="false">
      <c r="A137" s="0" t="s">
        <v>581</v>
      </c>
      <c r="B137" s="0" t="s">
        <v>151</v>
      </c>
      <c r="D137" s="21" t="n">
        <f aca="false">D136*fx</f>
        <v>20307.7290011203</v>
      </c>
      <c r="E137" s="21" t="n">
        <f aca="false">E136*fx</f>
        <v>36450.5821474774</v>
      </c>
      <c r="F137" s="21" t="n">
        <f aca="false">F136*fx</f>
        <v>36964.2949547219</v>
      </c>
      <c r="G137" s="21" t="n">
        <f aca="false">G136*fx</f>
        <v>44739.9369340233</v>
      </c>
    </row>
    <row r="138" customFormat="false" ht="17.15" hidden="false" customHeight="false" outlineLevel="0" collapsed="false">
      <c r="A138" s="6" t="s">
        <v>582</v>
      </c>
    </row>
    <row r="139" customFormat="false" ht="17.15" hidden="false" customHeight="false" outlineLevel="0" collapsed="false">
      <c r="A139" s="4" t="s">
        <v>583</v>
      </c>
      <c r="B139" s="0" t="s">
        <v>52</v>
      </c>
      <c r="D139" s="20" t="n">
        <f aca="false">a26_ais/D137</f>
        <v>0.0875096501918447</v>
      </c>
      <c r="K139" s="8" t="s">
        <v>584</v>
      </c>
    </row>
    <row r="140" customFormat="false" ht="17.15" hidden="false" customHeight="false" outlineLevel="0" collapsed="false">
      <c r="A140" s="4" t="s">
        <v>585</v>
      </c>
      <c r="B140" s="0" t="s">
        <v>64</v>
      </c>
      <c r="D140" s="18" t="n">
        <f aca="false">1</f>
        <v>1</v>
      </c>
      <c r="E140" s="18" t="n">
        <f aca="false">rel_27</f>
        <v>1</v>
      </c>
      <c r="F140" s="18" t="n">
        <f aca="false">rel_28</f>
        <v>0.95</v>
      </c>
      <c r="G140" s="18" t="n">
        <f aca="false">rel_29</f>
        <v>0.9</v>
      </c>
    </row>
    <row r="141" customFormat="false" ht="17.15" hidden="false" customHeight="false" outlineLevel="0" collapsed="false">
      <c r="A141" s="4" t="s">
        <v>586</v>
      </c>
      <c r="B141" s="0" t="s">
        <v>52</v>
      </c>
      <c r="D141" s="20" t="n">
        <f aca="false">$D$139*D140</f>
        <v>0.0875096501918447</v>
      </c>
      <c r="E141" s="20" t="n">
        <f aca="false">$D$139*E140</f>
        <v>0.0875096501918447</v>
      </c>
      <c r="F141" s="20" t="n">
        <f aca="false">$D$139*F140</f>
        <v>0.0831341676822525</v>
      </c>
      <c r="G141" s="20" t="n">
        <f aca="false">$D$139*G140</f>
        <v>0.0787586851726602</v>
      </c>
    </row>
    <row r="142" customFormat="false" ht="17.15" hidden="false" customHeight="false" outlineLevel="0" collapsed="false">
      <c r="A142" s="4" t="s">
        <v>587</v>
      </c>
      <c r="B142" s="0" t="s">
        <v>151</v>
      </c>
      <c r="D142" s="21" t="n">
        <f aca="false">D137*D141</f>
        <v>1777.12226107882</v>
      </c>
      <c r="E142" s="21" t="n">
        <f aca="false">E137*E141</f>
        <v>3189.77769301484</v>
      </c>
      <c r="F142" s="21" t="n">
        <f aca="false">F137*F141</f>
        <v>3072.99589502209</v>
      </c>
      <c r="G142" s="21" t="n">
        <f aca="false">G137*G141</f>
        <v>3523.65860763142</v>
      </c>
    </row>
    <row r="143" customFormat="false" ht="17.15" hidden="false" customHeight="false" outlineLevel="0" collapsed="false">
      <c r="A143" s="4" t="s">
        <v>588</v>
      </c>
      <c r="B143" s="0" t="s">
        <v>52</v>
      </c>
      <c r="D143" s="20" t="n">
        <f aca="false">0</f>
        <v>0</v>
      </c>
      <c r="E143" s="20" t="n">
        <f aca="false">cs_27</f>
        <v>0.1</v>
      </c>
      <c r="F143" s="20" t="n">
        <f aca="false">cs_28</f>
        <v>0.2</v>
      </c>
      <c r="G143" s="20" t="n">
        <f aca="false">cs_29</f>
        <v>0.25</v>
      </c>
      <c r="K143" s="8" t="s">
        <v>589</v>
      </c>
    </row>
    <row r="144" customFormat="false" ht="17.15" hidden="false" customHeight="false" outlineLevel="0" collapsed="false">
      <c r="A144" s="4" t="s">
        <v>590</v>
      </c>
      <c r="B144" s="0" t="s">
        <v>151</v>
      </c>
      <c r="D144" s="21" t="n">
        <f aca="false">D142*(1-D143)</f>
        <v>1777.12226107882</v>
      </c>
      <c r="E144" s="21" t="n">
        <f aca="false">E142*(1-E143)</f>
        <v>2870.79992371336</v>
      </c>
      <c r="F144" s="21" t="n">
        <f aca="false">F142*(1-F143)</f>
        <v>2458.39671601767</v>
      </c>
      <c r="G144" s="21" t="n">
        <f aca="false">G142*(1-G143)</f>
        <v>2642.74395572356</v>
      </c>
    </row>
    <row r="145" customFormat="false" ht="17.15" hidden="false" customHeight="false" outlineLevel="0" collapsed="false">
      <c r="A145" s="6" t="s">
        <v>591</v>
      </c>
    </row>
    <row r="146" customFormat="false" ht="17.15" hidden="false" customHeight="false" outlineLevel="0" collapsed="false">
      <c r="A146" s="0" t="s">
        <v>592</v>
      </c>
      <c r="B146" s="4" t="s">
        <v>85</v>
      </c>
      <c r="D146" s="18" t="n">
        <f aca="false">gu_26*1</f>
        <v>8.35</v>
      </c>
      <c r="E146" s="18" t="n">
        <f aca="false">gu_27*1*1</f>
        <v>11.2</v>
      </c>
      <c r="F146" s="18" t="n">
        <f aca="false">gu_28*um28_B*1</f>
        <v>9.2</v>
      </c>
      <c r="G146" s="18" t="n">
        <f aca="false">gu_29*um29_B*1</f>
        <v>10.965</v>
      </c>
    </row>
    <row r="147" customFormat="false" ht="15" hidden="false" customHeight="false" outlineLevel="0" collapsed="false">
      <c r="A147" s="4" t="s">
        <v>593</v>
      </c>
      <c r="B147" s="0" t="s">
        <v>52</v>
      </c>
      <c r="D147" s="20" t="n">
        <f aca="false">bsh_26</f>
        <v>0.5</v>
      </c>
      <c r="E147" s="20" t="n">
        <f aca="false">bsh_26*brel_27</f>
        <v>0.5</v>
      </c>
      <c r="F147" s="20" t="n">
        <f aca="false">bsh_26*brel_28</f>
        <v>0.475</v>
      </c>
      <c r="G147" s="20" t="n">
        <f aca="false">bsh_26*brel_29</f>
        <v>0.45</v>
      </c>
    </row>
    <row r="148" customFormat="false" ht="17.15" hidden="false" customHeight="false" outlineLevel="0" collapsed="false">
      <c r="A148" s="4" t="s">
        <v>594</v>
      </c>
      <c r="B148" s="0" t="s">
        <v>543</v>
      </c>
      <c r="D148" s="24" t="n">
        <f aca="false">a26_brd/fx/D146/D147*1000</f>
        <v>823.353293413174</v>
      </c>
      <c r="E148" s="24" t="n">
        <f aca="false">$D148*bv_27</f>
        <v>946.85628742515</v>
      </c>
      <c r="F148" s="24" t="n">
        <f aca="false">$D148*bv_28</f>
        <v>988.023952095808</v>
      </c>
      <c r="G148" s="24" t="n">
        <f aca="false">$D148*bv_29</f>
        <v>988.023952095808</v>
      </c>
      <c r="K148" s="8" t="s">
        <v>595</v>
      </c>
    </row>
    <row r="149" customFormat="false" ht="17.15" hidden="false" customHeight="false" outlineLevel="0" collapsed="false">
      <c r="A149" s="0" t="s">
        <v>545</v>
      </c>
      <c r="B149" s="0" t="s">
        <v>151</v>
      </c>
      <c r="D149" s="21" t="n">
        <f aca="false">D146*D147*D148*fx/1000</f>
        <v>110</v>
      </c>
      <c r="E149" s="21" t="n">
        <f aca="false">E146*E147*E148*fx/1000</f>
        <v>169.676646706587</v>
      </c>
      <c r="F149" s="21" t="n">
        <f aca="false">F146*F147*F148*fx/1000</f>
        <v>138.165269461078</v>
      </c>
      <c r="G149" s="21" t="n">
        <f aca="false">G146*G147*G148*fx/1000</f>
        <v>156.00502994012</v>
      </c>
    </row>
    <row r="150" customFormat="false" ht="17.15" hidden="false" customHeight="false" outlineLevel="0" collapsed="false">
      <c r="A150" s="6" t="s">
        <v>596</v>
      </c>
    </row>
    <row r="151" customFormat="false" ht="15" hidden="false" customHeight="false" outlineLevel="0" collapsed="false">
      <c r="A151" s="4" t="s">
        <v>597</v>
      </c>
      <c r="B151" s="0" t="s">
        <v>151</v>
      </c>
      <c r="D151" s="21" t="n">
        <f aca="false">a26_gen</f>
        <v>150</v>
      </c>
      <c r="E151" s="21" t="n">
        <f aca="false">D151*(1+g_gen27)</f>
        <v>180</v>
      </c>
      <c r="F151" s="21" t="n">
        <f aca="false">E151*(1+g_gen28)</f>
        <v>198</v>
      </c>
      <c r="G151" s="21" t="n">
        <f aca="false">F151*(1+g_gen29)</f>
        <v>213.84</v>
      </c>
    </row>
    <row r="152" customFormat="false" ht="15" hidden="false" customHeight="false" outlineLevel="0" collapsed="false">
      <c r="A152" s="4" t="s">
        <v>598</v>
      </c>
      <c r="B152" s="0" t="s">
        <v>151</v>
      </c>
      <c r="D152" s="21" t="n">
        <f aca="false">a26_pc</f>
        <v>614.602793131557</v>
      </c>
      <c r="E152" s="21" t="n">
        <f aca="false">D152*(1+g_pc27)</f>
        <v>596.16470933761</v>
      </c>
      <c r="F152" s="21" t="n">
        <f aca="false">E152*(1+g_pc28)</f>
        <v>596.16470933761</v>
      </c>
      <c r="G152" s="21" t="n">
        <f aca="false">F152*(1+g_pc29)</f>
        <v>596.16470933761</v>
      </c>
    </row>
    <row r="153" customFormat="false" ht="15" hidden="false" customHeight="false" outlineLevel="0" collapsed="false">
      <c r="A153" s="4" t="s">
        <v>599</v>
      </c>
      <c r="B153" s="0" t="s">
        <v>151</v>
      </c>
      <c r="C153" s="21" t="n">
        <f aca="false">a25_srev</f>
        <v>1235.86</v>
      </c>
      <c r="D153" s="21" t="n">
        <f aca="false">D144+D149+D151+D152</f>
        <v>2651.72505421038</v>
      </c>
      <c r="E153" s="21" t="n">
        <f aca="false">E144+E149+E151+E152</f>
        <v>3816.64127975756</v>
      </c>
      <c r="F153" s="21" t="n">
        <f aca="false">F144+F149+F151+F152</f>
        <v>3390.72669481636</v>
      </c>
      <c r="G153" s="21" t="n">
        <f aca="false">G144+G149+G151+G152</f>
        <v>3608.75369500129</v>
      </c>
    </row>
    <row r="154" customFormat="false" ht="17.15" hidden="false" customHeight="false" outlineLevel="0" collapsed="false">
      <c r="A154" s="4" t="s">
        <v>600</v>
      </c>
      <c r="B154" s="0" t="s">
        <v>52</v>
      </c>
      <c r="D154" s="20" t="n">
        <f aca="false">a26_wai/D137</f>
        <v>0.0341693013513091</v>
      </c>
      <c r="K154" s="8" t="s">
        <v>601</v>
      </c>
    </row>
    <row r="155" customFormat="false" ht="17.15" hidden="false" customHeight="false" outlineLevel="0" collapsed="false">
      <c r="A155" s="4" t="s">
        <v>527</v>
      </c>
      <c r="B155" s="0" t="s">
        <v>52</v>
      </c>
      <c r="D155" s="20" t="n">
        <f aca="false">D154</f>
        <v>0.0341693013513091</v>
      </c>
      <c r="E155" s="20" t="n">
        <f aca="false">$D$154*wrel_27</f>
        <v>0.0341693013513091</v>
      </c>
      <c r="F155" s="20" t="n">
        <f aca="false">$D$154*wrel_28</f>
        <v>0.0341693013513091</v>
      </c>
      <c r="G155" s="20" t="n">
        <f aca="false">$D$154*wrel_29</f>
        <v>0.0324608362837436</v>
      </c>
    </row>
    <row r="156" customFormat="false" ht="17.15" hidden="false" customHeight="false" outlineLevel="0" collapsed="false">
      <c r="A156" s="4" t="s">
        <v>547</v>
      </c>
      <c r="B156" s="0" t="s">
        <v>151</v>
      </c>
      <c r="D156" s="21" t="n">
        <f aca="false">D137*D155</f>
        <v>693.900912</v>
      </c>
      <c r="E156" s="21" t="n">
        <f aca="false">E137*E155</f>
        <v>1245.4909258278</v>
      </c>
      <c r="F156" s="21" t="n">
        <f aca="false">F137*F155</f>
        <v>1263.04413354657</v>
      </c>
      <c r="G156" s="21" t="n">
        <f aca="false">G137*G155</f>
        <v>1452.29576816035</v>
      </c>
    </row>
    <row r="157" customFormat="false" ht="17.15" hidden="false" customHeight="false" outlineLevel="0" collapsed="false">
      <c r="A157" s="4" t="s">
        <v>602</v>
      </c>
      <c r="B157" s="0" t="s">
        <v>151</v>
      </c>
      <c r="D157" s="21" t="n">
        <f aca="false">a26_wna</f>
        <v>751.725988</v>
      </c>
      <c r="E157" s="21" t="n">
        <f aca="false">D157*(1+g_wn27)</f>
        <v>826.8985868</v>
      </c>
      <c r="F157" s="21" t="n">
        <f aca="false">E157*(1+g_wn28)</f>
        <v>876.512502008</v>
      </c>
      <c r="G157" s="21" t="n">
        <f aca="false">F157*(1+g_wn29)</f>
        <v>920.3381271084</v>
      </c>
    </row>
    <row r="158" customFormat="false" ht="15" hidden="false" customHeight="false" outlineLevel="0" collapsed="false">
      <c r="A158" s="4" t="s">
        <v>458</v>
      </c>
      <c r="B158" s="0" t="s">
        <v>151</v>
      </c>
      <c r="C158" s="21" t="n">
        <f aca="false">a25_wrev</f>
        <v>950.663</v>
      </c>
      <c r="D158" s="21" t="n">
        <f aca="false">D156+D157</f>
        <v>1445.6269</v>
      </c>
      <c r="E158" s="21" t="n">
        <f aca="false">E156+E157</f>
        <v>2072.3895126278</v>
      </c>
      <c r="F158" s="21" t="n">
        <f aca="false">F156+F157</f>
        <v>2139.55663555457</v>
      </c>
      <c r="G158" s="21" t="n">
        <f aca="false">G156+G157</f>
        <v>2372.63389526875</v>
      </c>
    </row>
    <row r="159" customFormat="false" ht="17.15" hidden="false" customHeight="false" outlineLevel="0" collapsed="false">
      <c r="A159" s="4" t="s">
        <v>444</v>
      </c>
      <c r="B159" s="0" t="s">
        <v>151</v>
      </c>
      <c r="C159" s="21" t="n">
        <f aca="false">C153+C158</f>
        <v>2186.523</v>
      </c>
      <c r="D159" s="21" t="n">
        <f aca="false">D153+D158</f>
        <v>4097.35195421038</v>
      </c>
      <c r="E159" s="21" t="n">
        <f aca="false">E153+E158</f>
        <v>5889.03079238536</v>
      </c>
      <c r="F159" s="21" t="n">
        <f aca="false">F153+F158</f>
        <v>5530.28333037093</v>
      </c>
      <c r="G159" s="21" t="n">
        <f aca="false">G153+G158</f>
        <v>5981.38759027004</v>
      </c>
      <c r="H159" s="26" t="n">
        <f aca="false">G159*(1+H164)</f>
        <v>6386.40659599156</v>
      </c>
      <c r="I159" s="26" t="n">
        <f aca="false">H159*(1+I164)</f>
        <v>6730.35680101776</v>
      </c>
      <c r="J159" s="26" t="n">
        <f aca="false">I159*(1+J164)</f>
        <v>6999.57107305847</v>
      </c>
      <c r="K159" s="8" t="s">
        <v>603</v>
      </c>
    </row>
    <row r="160" customFormat="false" ht="17.15" hidden="false" customHeight="false" outlineLevel="0" collapsed="false">
      <c r="A160" s="4" t="s">
        <v>604</v>
      </c>
      <c r="B160" s="0" t="s">
        <v>151</v>
      </c>
      <c r="D160" s="21" t="n">
        <f aca="false">D144+D149+D151+D158</f>
        <v>3482.74916107882</v>
      </c>
      <c r="E160" s="21" t="n">
        <f aca="false">E144+E149+E151+E158</f>
        <v>5292.86608304775</v>
      </c>
      <c r="F160" s="21" t="n">
        <f aca="false">F144+F149+F151+F158</f>
        <v>4934.11862103332</v>
      </c>
      <c r="G160" s="21" t="n">
        <f aca="false">G144+G149+G151+G158</f>
        <v>5385.22288093243</v>
      </c>
      <c r="K160" s="4" t="s">
        <v>605</v>
      </c>
    </row>
    <row r="161" customFormat="false" ht="15" hidden="false" customHeight="false" outlineLevel="0" collapsed="false">
      <c r="A161" s="4" t="s">
        <v>606</v>
      </c>
      <c r="B161" s="0" t="s">
        <v>151</v>
      </c>
      <c r="D161" s="21" t="n">
        <f aca="false">D152</f>
        <v>614.602793131557</v>
      </c>
      <c r="E161" s="21" t="n">
        <f aca="false">E152</f>
        <v>596.16470933761</v>
      </c>
      <c r="F161" s="21" t="n">
        <f aca="false">F152</f>
        <v>596.16470933761</v>
      </c>
      <c r="G161" s="21" t="n">
        <f aca="false">G152</f>
        <v>596.16470933761</v>
      </c>
      <c r="K161" s="4" t="s">
        <v>607</v>
      </c>
    </row>
    <row r="162" customFormat="false" ht="17.15" hidden="false" customHeight="false" outlineLevel="0" collapsed="false">
      <c r="A162" s="4" t="s">
        <v>608</v>
      </c>
      <c r="B162" s="0" t="s">
        <v>151</v>
      </c>
      <c r="D162" s="31" t="n">
        <f aca="false">D160+D161-D159</f>
        <v>0</v>
      </c>
      <c r="E162" s="31" t="n">
        <f aca="false">E160+E161-E159</f>
        <v>0</v>
      </c>
      <c r="F162" s="31" t="n">
        <f aca="false">F160+F161-F159</f>
        <v>0</v>
      </c>
      <c r="G162" s="31" t="n">
        <f aca="false">G160+G161-G159</f>
        <v>0</v>
      </c>
    </row>
    <row r="163" customFormat="false" ht="17.15" hidden="false" customHeight="false" outlineLevel="0" collapsed="false">
      <c r="A163" s="4" t="s">
        <v>609</v>
      </c>
      <c r="B163" s="0" t="s">
        <v>52</v>
      </c>
      <c r="D163" s="20" t="n">
        <f aca="false">D160/D159</f>
        <v>0.85</v>
      </c>
      <c r="E163" s="20" t="n">
        <f aca="false">E160/E159</f>
        <v>0.898766922715286</v>
      </c>
      <c r="F163" s="20" t="n">
        <f aca="false">F160/F159</f>
        <v>0.892199969924936</v>
      </c>
      <c r="G163" s="20" t="n">
        <f aca="false">G160/G159</f>
        <v>0.900330032063564</v>
      </c>
    </row>
    <row r="164" customFormat="false" ht="15" hidden="false" customHeight="false" outlineLevel="0" collapsed="false">
      <c r="A164" s="4" t="s">
        <v>610</v>
      </c>
      <c r="B164" s="0" t="s">
        <v>52</v>
      </c>
      <c r="D164" s="20" t="n">
        <f aca="false">D159/C159-1</f>
        <v>0.873912121761526</v>
      </c>
      <c r="E164" s="20" t="n">
        <f aca="false">E159/D159-1</f>
        <v>0.437277260581405</v>
      </c>
      <c r="F164" s="20" t="n">
        <f aca="false">F159/E159-1</f>
        <v>-0.0609179124140936</v>
      </c>
      <c r="G164" s="20" t="n">
        <f aca="false">G159/F159-1</f>
        <v>0.0815698279727843</v>
      </c>
      <c r="H164" s="27" t="n">
        <f aca="false">$G164+(fade_gB-$G164)*1/3</f>
        <v>0.0677132186485229</v>
      </c>
      <c r="I164" s="27" t="n">
        <f aca="false">$G164+(fade_gB-$G164)*2/3</f>
        <v>0.0538566093242615</v>
      </c>
      <c r="J164" s="27" t="n">
        <f aca="false">$G164+(fade_gB-$G164)*3/3</f>
        <v>0.04</v>
      </c>
    </row>
    <row r="165" customFormat="false" ht="17.15" hidden="false" customHeight="false" outlineLevel="0" collapsed="false">
      <c r="A165" s="0" t="s">
        <v>611</v>
      </c>
      <c r="B165" s="0" t="s">
        <v>52</v>
      </c>
      <c r="D165" s="20" t="n">
        <f aca="false">(D144+D149+D156)/D159</f>
        <v>0.629924693295288</v>
      </c>
      <c r="E165" s="20" t="n">
        <f aca="false">(E144+E149+E156)/E159</f>
        <v>0.727788263866712</v>
      </c>
      <c r="F165" s="20" t="n">
        <f aca="false">(F144+F149+F156)/F159</f>
        <v>0.697903866485344</v>
      </c>
      <c r="G165" s="20" t="n">
        <f aca="false">(G144+G149+G156)/G159</f>
        <v>0.710712136551597</v>
      </c>
    </row>
    <row r="166" customFormat="false" ht="17.15" hidden="false" customHeight="false" outlineLevel="0" collapsed="false">
      <c r="A166" s="4" t="s">
        <v>612</v>
      </c>
      <c r="B166" s="0" t="s">
        <v>52</v>
      </c>
      <c r="C166" s="20" t="n">
        <f aca="false">C158/C159</f>
        <v>0.434782986504144</v>
      </c>
      <c r="D166" s="20" t="n">
        <f aca="false">D158/D159</f>
        <v>0.352819800728736</v>
      </c>
      <c r="E166" s="20" t="n">
        <f aca="false">E158/E159</f>
        <v>0.351906720424598</v>
      </c>
      <c r="F166" s="20" t="n">
        <f aca="false">F158/F159</f>
        <v>0.386880112236684</v>
      </c>
      <c r="G166" s="20" t="n">
        <f aca="false">G158/G159</f>
        <v>0.396669478354542</v>
      </c>
    </row>
    <row r="167" customFormat="false" ht="17.15" hidden="false" customHeight="false" outlineLevel="0" collapsed="false">
      <c r="A167" s="4" t="s">
        <v>613</v>
      </c>
      <c r="B167" s="4" t="s">
        <v>335</v>
      </c>
      <c r="D167" s="21" t="n">
        <f aca="false">D142/fx/(odm_gb*(1-vr26)+odm_vr*vr26)</f>
        <v>12.0597330420658</v>
      </c>
      <c r="E167" s="21" t="n">
        <f aca="false">E142/fx/odm_vr</f>
        <v>14.7674893195132</v>
      </c>
      <c r="F167" s="21" t="n">
        <f aca="false">F142/fx/odm_vr</f>
        <v>14.2268328473245</v>
      </c>
      <c r="G167" s="21" t="n">
        <f aca="false">G142/fx/odm_vr</f>
        <v>16.3132342945899</v>
      </c>
      <c r="K167" s="4" t="s">
        <v>614</v>
      </c>
    </row>
    <row r="168" customFormat="false" ht="17.15" hidden="false" customHeight="false" outlineLevel="0" collapsed="false">
      <c r="A168" s="6" t="s">
        <v>615</v>
      </c>
    </row>
    <row r="169" customFormat="false" ht="17.15" hidden="false" customHeight="false" outlineLevel="0" collapsed="false">
      <c r="A169" s="4" t="s">
        <v>616</v>
      </c>
      <c r="B169" s="0" t="s">
        <v>52</v>
      </c>
      <c r="D169" s="14" t="n">
        <f aca="false">(a26_sgp-d_ai*D144-d_brd*D149-d_gen*D151)/D153</f>
        <v>0.0436423860147897</v>
      </c>
      <c r="K169" s="8" t="s">
        <v>617</v>
      </c>
    </row>
    <row r="170" customFormat="false" ht="17.15" hidden="false" customHeight="false" outlineLevel="0" collapsed="false">
      <c r="A170" s="4" t="s">
        <v>618</v>
      </c>
      <c r="B170" s="0" t="s">
        <v>151</v>
      </c>
      <c r="D170" s="25" t="n">
        <f aca="false">($D$169+d_ai)*D142*(1-D143*(1-keep))</f>
        <v>59.7866331026896</v>
      </c>
      <c r="E170" s="25" t="n">
        <f aca="false">($D$169+d_ai+vrd)*E142*(1-E143*(1-keep))</f>
        <v>99.9228552931037</v>
      </c>
      <c r="F170" s="25" t="n">
        <f aca="false">($D$169+d_ai+vrd)*F142*(1-F143*(1-keep))</f>
        <v>95.2921838855101</v>
      </c>
      <c r="G170" s="25" t="n">
        <f aca="false">($D$169+d_ai+vrd)*G142*(1-G143*(1-keep))</f>
        <v>108.709541700835</v>
      </c>
    </row>
    <row r="171" customFormat="false" ht="15" hidden="false" customHeight="false" outlineLevel="0" collapsed="false">
      <c r="A171" s="4" t="s">
        <v>619</v>
      </c>
      <c r="B171" s="0" t="s">
        <v>151</v>
      </c>
      <c r="C171" s="21" t="n">
        <f aca="false">a25_sgp</f>
        <v>55.529</v>
      </c>
      <c r="D171" s="21" t="n">
        <f aca="false">a26_sgp</f>
        <v>103.50638581015</v>
      </c>
      <c r="E171" s="21" t="n">
        <f aca="false">$D$169*E152+($D$169+d_brd)*E149+($D$169+d_gen)*E151+E170</f>
        <v>148.991928263534</v>
      </c>
      <c r="F171" s="21" t="n">
        <f aca="false">$D$169*F152+($D$169+d_brd)*F149+($D$169+d_gen)*F151+F170</f>
        <v>143.096246797235</v>
      </c>
      <c r="G171" s="21" t="n">
        <f aca="false">$D$169*G152+($D$169+d_brd)*G149+($D$169+d_gen)*G151+G170</f>
        <v>158.756262534643</v>
      </c>
    </row>
    <row r="172" customFormat="false" ht="15" hidden="false" customHeight="false" outlineLevel="0" collapsed="false">
      <c r="A172" s="4" t="s">
        <v>620</v>
      </c>
      <c r="B172" s="0" t="s">
        <v>52</v>
      </c>
      <c r="C172" s="14" t="n">
        <f aca="false">C171/C153</f>
        <v>0.0449314647290146</v>
      </c>
      <c r="D172" s="14" t="n">
        <f aca="false">D171/D153</f>
        <v>0.0390336040479778</v>
      </c>
      <c r="E172" s="14" t="n">
        <f aca="false">E171/E153</f>
        <v>0.0390374461057547</v>
      </c>
      <c r="F172" s="14" t="n">
        <f aca="false">F171/F153</f>
        <v>0.0422022355903815</v>
      </c>
      <c r="G172" s="14" t="n">
        <f aca="false">G171/G153</f>
        <v>0.0439919916824876</v>
      </c>
    </row>
    <row r="173" customFormat="false" ht="15" hidden="false" customHeight="false" outlineLevel="0" collapsed="false">
      <c r="A173" s="4" t="s">
        <v>621</v>
      </c>
      <c r="B173" s="0" t="s">
        <v>52</v>
      </c>
      <c r="E173" s="20" t="n">
        <f aca="false">MAX(0,phi*(E153/D153-1))</f>
        <v>0.13179151703879</v>
      </c>
      <c r="F173" s="20" t="n">
        <f aca="false">MAX(0,phi*(F153/E153-1))</f>
        <v>0</v>
      </c>
      <c r="G173" s="20" t="n">
        <f aca="false">MAX(0,phi*(G153/F153-1))</f>
        <v>0.0192902896466041</v>
      </c>
    </row>
    <row r="174" customFormat="false" ht="15" hidden="false" customHeight="false" outlineLevel="0" collapsed="false">
      <c r="A174" s="4" t="s">
        <v>622</v>
      </c>
      <c r="B174" s="0" t="s">
        <v>151</v>
      </c>
      <c r="C174" s="21" t="n">
        <f aca="false">a25_sopx</f>
        <v>40.894</v>
      </c>
      <c r="D174" s="21" t="n">
        <f aca="false">a26_sopx</f>
        <v>46.9914095398923</v>
      </c>
      <c r="E174" s="21" t="n">
        <f aca="false">D174*(1+E173)+0*E153</f>
        <v>53.1844786909457</v>
      </c>
      <c r="F174" s="21" t="n">
        <f aca="false">E174*(1+F173)+0*F153</f>
        <v>53.1844786909457</v>
      </c>
      <c r="G174" s="21" t="n">
        <f aca="false">F174*(1+G173)+0*G153</f>
        <v>54.2104226895977</v>
      </c>
    </row>
    <row r="175" customFormat="false" ht="15" hidden="false" customHeight="false" outlineLevel="0" collapsed="false">
      <c r="A175" s="4" t="s">
        <v>623</v>
      </c>
      <c r="B175" s="0" t="s">
        <v>151</v>
      </c>
      <c r="C175" s="21" t="n">
        <f aca="false">C171-C174</f>
        <v>14.635</v>
      </c>
      <c r="D175" s="21" t="n">
        <f aca="false">D171-D174</f>
        <v>56.514976270258</v>
      </c>
      <c r="E175" s="21" t="n">
        <f aca="false">E171-E174</f>
        <v>95.8074495725885</v>
      </c>
      <c r="F175" s="21" t="n">
        <f aca="false">F171-F174</f>
        <v>89.9117681062897</v>
      </c>
      <c r="G175" s="21" t="n">
        <f aca="false">G171-G174</f>
        <v>104.545839845045</v>
      </c>
    </row>
    <row r="176" customFormat="false" ht="15" hidden="false" customHeight="false" outlineLevel="0" collapsed="false">
      <c r="A176" s="4" t="s">
        <v>624</v>
      </c>
      <c r="B176" s="0" t="s">
        <v>52</v>
      </c>
      <c r="C176" s="14" t="n">
        <f aca="false">C175/C153</f>
        <v>0.011841956208632</v>
      </c>
      <c r="D176" s="14" t="n">
        <f aca="false">D175/D153</f>
        <v>0.0213125324514788</v>
      </c>
      <c r="E176" s="14" t="n">
        <f aca="false">E175/E153</f>
        <v>0.0251025555062577</v>
      </c>
      <c r="F176" s="14" t="n">
        <f aca="false">F175/F153</f>
        <v>0.0265169611705196</v>
      </c>
      <c r="G176" s="14" t="n">
        <f aca="false">G175/G153</f>
        <v>0.0289700679738433</v>
      </c>
    </row>
    <row r="177" customFormat="false" ht="15" hidden="false" customHeight="false" outlineLevel="0" collapsed="false">
      <c r="A177" s="4" t="s">
        <v>625</v>
      </c>
      <c r="B177" s="0" t="s">
        <v>151</v>
      </c>
      <c r="C177" s="21" t="n">
        <f aca="false">a25_sni</f>
        <v>6.9608</v>
      </c>
      <c r="D177" s="21" t="n">
        <f aca="false">a26_sni</f>
        <v>31.133746704</v>
      </c>
      <c r="E177" s="21" t="n">
        <f aca="false">E175*snio</f>
        <v>53.6521717606496</v>
      </c>
      <c r="F177" s="21" t="n">
        <f aca="false">F175*snio</f>
        <v>50.3505901395222</v>
      </c>
      <c r="G177" s="21" t="n">
        <f aca="false">G175*snio</f>
        <v>58.5456703132255</v>
      </c>
    </row>
    <row r="178" customFormat="false" ht="17.15" hidden="false" customHeight="false" outlineLevel="0" collapsed="false">
      <c r="A178" s="6" t="s">
        <v>626</v>
      </c>
    </row>
    <row r="179" customFormat="false" ht="15" hidden="false" customHeight="false" outlineLevel="0" collapsed="false">
      <c r="A179" s="4" t="s">
        <v>462</v>
      </c>
      <c r="B179" s="0" t="s">
        <v>151</v>
      </c>
      <c r="C179" s="21" t="n">
        <f aca="false">a25_wgp</f>
        <v>78.454</v>
      </c>
      <c r="D179" s="21" t="n">
        <f aca="false">a26_wgp</f>
        <v>125.0519932</v>
      </c>
      <c r="E179" s="21" t="n">
        <f aca="false">E158*wgm</f>
        <v>176.153108573363</v>
      </c>
      <c r="F179" s="21" t="n">
        <f aca="false">F158*wgm</f>
        <v>181.862314022138</v>
      </c>
      <c r="G179" s="21" t="n">
        <f aca="false">G158*wgm</f>
        <v>201.673881097844</v>
      </c>
    </row>
    <row r="180" customFormat="false" ht="15" hidden="false" customHeight="false" outlineLevel="0" collapsed="false">
      <c r="A180" s="4" t="s">
        <v>464</v>
      </c>
      <c r="B180" s="0" t="s">
        <v>151</v>
      </c>
      <c r="C180" s="21" t="n">
        <f aca="false">a25_woi</f>
        <v>63.918</v>
      </c>
      <c r="D180" s="21" t="n">
        <f aca="false">a26_woi</f>
        <v>98.2471632</v>
      </c>
      <c r="E180" s="21" t="n">
        <f aca="false">E158*wopm</f>
        <v>134.705318320807</v>
      </c>
      <c r="F180" s="21" t="n">
        <f aca="false">F158*wopm</f>
        <v>139.071181311047</v>
      </c>
      <c r="G180" s="21" t="n">
        <f aca="false">G158*wopm</f>
        <v>154.221203192469</v>
      </c>
    </row>
    <row r="181" customFormat="false" ht="15" hidden="false" customHeight="false" outlineLevel="0" collapsed="false">
      <c r="A181" s="4" t="s">
        <v>472</v>
      </c>
      <c r="B181" s="0" t="s">
        <v>151</v>
      </c>
      <c r="C181" s="21" t="n">
        <f aca="false">a25_wni</f>
        <v>51.118</v>
      </c>
      <c r="D181" s="21" t="n">
        <f aca="false">a26_wni</f>
        <v>75.735026884</v>
      </c>
      <c r="E181" s="21" t="n">
        <f aca="false">E180*wnio</f>
        <v>105.07014829023</v>
      </c>
      <c r="F181" s="21" t="n">
        <f aca="false">F180*wnio</f>
        <v>108.475521422617</v>
      </c>
      <c r="G181" s="21" t="n">
        <f aca="false">G180*wnio</f>
        <v>120.292538490126</v>
      </c>
    </row>
    <row r="182" customFormat="false" ht="15" hidden="false" customHeight="false" outlineLevel="0" collapsed="false">
      <c r="A182" s="4" t="s">
        <v>474</v>
      </c>
      <c r="B182" s="0" t="s">
        <v>52</v>
      </c>
      <c r="C182" s="14" t="n">
        <f aca="false">stake25</f>
        <v>0.4</v>
      </c>
      <c r="D182" s="14" t="n">
        <f aca="false">stake</f>
        <v>0.3768</v>
      </c>
      <c r="E182" s="14" t="n">
        <f aca="false">stake</f>
        <v>0.3768</v>
      </c>
      <c r="F182" s="14" t="n">
        <f aca="false">stake</f>
        <v>0.3768</v>
      </c>
      <c r="G182" s="14" t="n">
        <f aca="false">stake</f>
        <v>0.3768</v>
      </c>
    </row>
    <row r="183" customFormat="false" ht="17.15" hidden="false" customHeight="false" outlineLevel="0" collapsed="false">
      <c r="A183" s="6" t="s">
        <v>627</v>
      </c>
    </row>
    <row r="184" customFormat="false" ht="15" hidden="false" customHeight="false" outlineLevel="0" collapsed="false">
      <c r="A184" s="4" t="s">
        <v>448</v>
      </c>
      <c r="B184" s="0" t="s">
        <v>151</v>
      </c>
      <c r="C184" s="21" t="n">
        <f aca="false">C171+C179</f>
        <v>133.983</v>
      </c>
      <c r="D184" s="21" t="n">
        <f aca="false">D171+D179</f>
        <v>228.55837901015</v>
      </c>
      <c r="E184" s="21" t="n">
        <f aca="false">E171+E179</f>
        <v>325.145036836897</v>
      </c>
      <c r="F184" s="21" t="n">
        <f aca="false">F171+F179</f>
        <v>324.958560819374</v>
      </c>
      <c r="G184" s="21" t="n">
        <f aca="false">G171+G179</f>
        <v>360.430143632487</v>
      </c>
    </row>
    <row r="185" customFormat="false" ht="15" hidden="false" customHeight="false" outlineLevel="0" collapsed="false">
      <c r="A185" s="4" t="s">
        <v>451</v>
      </c>
      <c r="B185" s="0" t="s">
        <v>52</v>
      </c>
      <c r="C185" s="14" t="n">
        <f aca="false">C184/C159</f>
        <v>0.0612767393711386</v>
      </c>
      <c r="D185" s="14" t="n">
        <f aca="false">D184/D159</f>
        <v>0.055781973714825</v>
      </c>
      <c r="E185" s="14" t="n">
        <f aca="false">E184/E159</f>
        <v>0.0552119777090174</v>
      </c>
      <c r="F185" s="14" t="n">
        <f aca="false">F184/F159</f>
        <v>0.0587598394886539</v>
      </c>
      <c r="G185" s="14" t="n">
        <f aca="false">G184/G159</f>
        <v>0.060258616950154</v>
      </c>
    </row>
    <row r="186" customFormat="false" ht="15" hidden="false" customHeight="false" outlineLevel="0" collapsed="false">
      <c r="A186" s="4" t="s">
        <v>452</v>
      </c>
      <c r="B186" s="0" t="s">
        <v>151</v>
      </c>
      <c r="C186" s="21" t="n">
        <f aca="false">C175+C180</f>
        <v>78.553</v>
      </c>
      <c r="D186" s="21" t="n">
        <f aca="false">D175+D180</f>
        <v>154.762139470258</v>
      </c>
      <c r="E186" s="21" t="n">
        <f aca="false">E175+E180</f>
        <v>230.512767893396</v>
      </c>
      <c r="F186" s="21" t="n">
        <f aca="false">F175+F180</f>
        <v>228.982949417337</v>
      </c>
      <c r="G186" s="21" t="n">
        <f aca="false">G175+G180</f>
        <v>258.767043037514</v>
      </c>
    </row>
    <row r="187" customFormat="false" ht="15" hidden="false" customHeight="false" outlineLevel="0" collapsed="false">
      <c r="A187" s="4" t="s">
        <v>455</v>
      </c>
      <c r="B187" s="0" t="s">
        <v>52</v>
      </c>
      <c r="C187" s="14" t="n">
        <f aca="false">C186/C159</f>
        <v>0.0359259884300325</v>
      </c>
      <c r="D187" s="14" t="n">
        <f aca="false">D186/D159</f>
        <v>0.0377712584126992</v>
      </c>
      <c r="E187" s="14" t="n">
        <f aca="false">E186/E159</f>
        <v>0.039142734351373</v>
      </c>
      <c r="F187" s="14" t="n">
        <f aca="false">F186/F159</f>
        <v>0.0414052835520777</v>
      </c>
      <c r="G187" s="14" t="n">
        <f aca="false">G186/G159</f>
        <v>0.0432620423158085</v>
      </c>
    </row>
    <row r="188" customFormat="false" ht="15" hidden="false" customHeight="false" outlineLevel="0" collapsed="false">
      <c r="A188" s="4" t="s">
        <v>485</v>
      </c>
      <c r="B188" s="0" t="s">
        <v>151</v>
      </c>
      <c r="C188" s="21" t="n">
        <f aca="false">C177+C181</f>
        <v>58.0788</v>
      </c>
      <c r="D188" s="21" t="n">
        <f aca="false">D177+D181</f>
        <v>106.868773588</v>
      </c>
      <c r="E188" s="21" t="n">
        <f aca="false">E177+E181</f>
        <v>158.722320050879</v>
      </c>
      <c r="F188" s="21" t="n">
        <f aca="false">F177+F181</f>
        <v>158.826111562139</v>
      </c>
      <c r="G188" s="21" t="n">
        <f aca="false">G177+G181</f>
        <v>178.838208803351</v>
      </c>
    </row>
    <row r="189" customFormat="false" ht="17.15" hidden="false" customHeight="false" outlineLevel="0" collapsed="false">
      <c r="A189" s="4" t="s">
        <v>628</v>
      </c>
      <c r="B189" s="0" t="s">
        <v>151</v>
      </c>
      <c r="C189" s="21" t="n">
        <f aca="false">(1-C182)*C181</f>
        <v>30.6708</v>
      </c>
      <c r="D189" s="21" t="n">
        <f aca="false">(1-D182)*D181</f>
        <v>47.1980687541088</v>
      </c>
      <c r="E189" s="21" t="n">
        <f aca="false">(1-E182)*E181</f>
        <v>65.4797164144711</v>
      </c>
      <c r="F189" s="21" t="n">
        <f aca="false">(1-F182)*F181</f>
        <v>67.6019449505747</v>
      </c>
      <c r="G189" s="21" t="n">
        <f aca="false">(1-G182)*G181</f>
        <v>74.9663099870462</v>
      </c>
    </row>
    <row r="190" customFormat="false" ht="15" hidden="false" customHeight="false" outlineLevel="0" collapsed="false">
      <c r="A190" s="4" t="s">
        <v>481</v>
      </c>
      <c r="B190" s="0" t="s">
        <v>151</v>
      </c>
      <c r="C190" s="21" t="n">
        <f aca="false">C188-C189</f>
        <v>27.408</v>
      </c>
      <c r="D190" s="21" t="n">
        <f aca="false">D188-D189</f>
        <v>59.6707048338912</v>
      </c>
      <c r="E190" s="21" t="n">
        <f aca="false">E188-E189</f>
        <v>93.2426036364081</v>
      </c>
      <c r="F190" s="21" t="n">
        <f aca="false">F188-F189</f>
        <v>91.2241666115642</v>
      </c>
      <c r="G190" s="21" t="n">
        <f aca="false">G188-G189</f>
        <v>103.871898816305</v>
      </c>
      <c r="H190" s="26" t="n">
        <f aca="false">H159*H195</f>
        <v>107.208552765214</v>
      </c>
      <c r="I190" s="26" t="n">
        <f aca="false">I159*I195</f>
        <v>109.08649563503</v>
      </c>
      <c r="J190" s="26" t="n">
        <f aca="false">J159*J195</f>
        <v>109.398171336844</v>
      </c>
    </row>
    <row r="191" customFormat="false" ht="17.15" hidden="false" customHeight="false" outlineLevel="0" collapsed="false">
      <c r="A191" s="4" t="s">
        <v>629</v>
      </c>
      <c r="B191" s="0" t="s">
        <v>52</v>
      </c>
      <c r="C191" s="20" t="n">
        <f aca="false">C182*C181/C190</f>
        <v>0.746030356100409</v>
      </c>
      <c r="D191" s="20" t="n">
        <f aca="false">D182*D181/D190</f>
        <v>0.478240674537551</v>
      </c>
      <c r="E191" s="20" t="n">
        <f aca="false">E182*E181/E190</f>
        <v>0.424595950045949</v>
      </c>
      <c r="F191" s="20" t="n">
        <f aca="false">F182*F181/F190</f>
        <v>0.448056452475835</v>
      </c>
      <c r="G191" s="20" t="n">
        <f aca="false">G182*G181/G190</f>
        <v>0.436366611370393</v>
      </c>
    </row>
    <row r="192" customFormat="false" ht="17.15" hidden="false" customHeight="false" outlineLevel="0" collapsed="false">
      <c r="A192" s="4" t="s">
        <v>630</v>
      </c>
      <c r="B192" s="4" t="s">
        <v>286</v>
      </c>
      <c r="C192" s="31" t="n">
        <f aca="false">a25_sh</f>
        <v>3.03185840707965</v>
      </c>
      <c r="D192" s="31" t="n">
        <f aca="false">a26_sh</f>
        <v>3.23861720409076</v>
      </c>
      <c r="E192" s="31" t="n">
        <f aca="false">q_sh4*(1+sh_g)</f>
        <v>3.43</v>
      </c>
      <c r="F192" s="31" t="n">
        <f aca="false">E192*(1+sh_g)</f>
        <v>3.43</v>
      </c>
      <c r="G192" s="31" t="n">
        <f aca="false">F192*(1+sh_g)</f>
        <v>3.43</v>
      </c>
      <c r="H192" s="32" t="n">
        <f aca="false">G192*(1+sh_g)</f>
        <v>3.43</v>
      </c>
      <c r="I192" s="32" t="n">
        <f aca="false">H192*(1+sh_g)</f>
        <v>3.43</v>
      </c>
      <c r="J192" s="32" t="n">
        <f aca="false">I192*(1+sh_g)</f>
        <v>3.43</v>
      </c>
      <c r="K192" s="8" t="s">
        <v>631</v>
      </c>
    </row>
    <row r="193" customFormat="false" ht="15" hidden="false" customHeight="false" outlineLevel="0" collapsed="false">
      <c r="A193" s="0" t="s">
        <v>488</v>
      </c>
      <c r="B193" s="0" t="s">
        <v>316</v>
      </c>
      <c r="C193" s="18" t="n">
        <f aca="false">C190/C192</f>
        <v>9.04</v>
      </c>
      <c r="D193" s="18" t="n">
        <f aca="false">D190/D192</f>
        <v>18.4247476850676</v>
      </c>
      <c r="E193" s="18" t="n">
        <f aca="false">E190/E192</f>
        <v>27.1844325470577</v>
      </c>
      <c r="F193" s="18" t="n">
        <f aca="false">F190/F192</f>
        <v>26.595966942147</v>
      </c>
      <c r="G193" s="18" t="n">
        <f aca="false">G190/G192</f>
        <v>30.2833524245787</v>
      </c>
      <c r="H193" s="29" t="n">
        <f aca="false">H190/H192</f>
        <v>31.2561378324239</v>
      </c>
      <c r="I193" s="29" t="n">
        <f aca="false">I190/I192</f>
        <v>31.8036430422828</v>
      </c>
      <c r="J193" s="29" t="n">
        <f aca="false">J190/J192</f>
        <v>31.8945105938322</v>
      </c>
    </row>
    <row r="194" customFormat="false" ht="17.15" hidden="false" customHeight="false" outlineLevel="0" collapsed="false">
      <c r="A194" s="0" t="s">
        <v>632</v>
      </c>
      <c r="B194" s="0" t="s">
        <v>52</v>
      </c>
      <c r="D194" s="20" t="n">
        <f aca="false">D193/C193-1</f>
        <v>1.03813580587031</v>
      </c>
      <c r="E194" s="20" t="n">
        <f aca="false">E193/D193-1</f>
        <v>0.475430383727289</v>
      </c>
      <c r="F194" s="20" t="n">
        <f aca="false">F193/E193-1</f>
        <v>-0.0216471542634592</v>
      </c>
      <c r="G194" s="20" t="n">
        <f aca="false">G193/F193-1</f>
        <v>0.138644535483619</v>
      </c>
      <c r="H194" s="27" t="n">
        <f aca="false">H193/G193-1</f>
        <v>0.0321227780269056</v>
      </c>
      <c r="I194" s="27" t="n">
        <f aca="false">I193/H193-1</f>
        <v>0.0175167262441143</v>
      </c>
      <c r="J194" s="27" t="n">
        <f aca="false">J193/I193-1</f>
        <v>0.00285714285714311</v>
      </c>
    </row>
    <row r="195" customFormat="false" ht="17.15" hidden="false" customHeight="false" outlineLevel="0" collapsed="false">
      <c r="A195" s="4" t="s">
        <v>633</v>
      </c>
      <c r="B195" s="0" t="s">
        <v>52</v>
      </c>
      <c r="C195" s="14" t="n">
        <f aca="false">C190/C159</f>
        <v>0.0125349699042727</v>
      </c>
      <c r="D195" s="14" t="n">
        <f aca="false">D190/D159</f>
        <v>0.0145632363293992</v>
      </c>
      <c r="E195" s="14" t="n">
        <f aca="false">E190/E159</f>
        <v>0.0158332681426921</v>
      </c>
      <c r="F195" s="14" t="n">
        <f aca="false">F190/F159</f>
        <v>0.0164953875166909</v>
      </c>
      <c r="G195" s="14" t="n">
        <f aca="false">G190/G159</f>
        <v>0.0173658531985578</v>
      </c>
      <c r="H195" s="28" t="n">
        <f aca="false">$G195+(fade_mB-$G195)*1/3</f>
        <v>0.0167869914252725</v>
      </c>
      <c r="I195" s="28" t="n">
        <f aca="false">$G195+(fade_mB-$G195)*2/3</f>
        <v>0.0162081296519873</v>
      </c>
      <c r="J195" s="28" t="n">
        <f aca="false">$G195+(fade_mB-$G195)*3/3</f>
        <v>0.015629267878702</v>
      </c>
    </row>
    <row r="198" customFormat="false" ht="17.15" hidden="false" customHeight="false" outlineLevel="0" collapsed="false">
      <c r="A198" s="1" t="s">
        <v>635</v>
      </c>
    </row>
    <row r="199" customFormat="false" ht="17.15" hidden="false" customHeight="false" outlineLevel="0" collapsed="false">
      <c r="A199" s="5" t="s">
        <v>21</v>
      </c>
      <c r="B199" s="5" t="s">
        <v>22</v>
      </c>
      <c r="C199" s="15" t="s">
        <v>438</v>
      </c>
      <c r="D199" s="15" t="s">
        <v>552</v>
      </c>
      <c r="E199" s="15" t="s">
        <v>553</v>
      </c>
      <c r="F199" s="15" t="s">
        <v>554</v>
      </c>
      <c r="G199" s="15" t="s">
        <v>555</v>
      </c>
      <c r="H199" s="15" t="s">
        <v>556</v>
      </c>
      <c r="I199" s="15" t="s">
        <v>557</v>
      </c>
      <c r="J199" s="15" t="s">
        <v>558</v>
      </c>
      <c r="K199" s="5" t="s">
        <v>420</v>
      </c>
    </row>
    <row r="200" customFormat="false" ht="17.15" hidden="false" customHeight="false" outlineLevel="0" collapsed="false">
      <c r="A200" s="6" t="s">
        <v>573</v>
      </c>
    </row>
    <row r="201" customFormat="false" ht="17.15" hidden="false" customHeight="false" outlineLevel="0" collapsed="false">
      <c r="A201" s="0" t="s">
        <v>574</v>
      </c>
      <c r="B201" s="0" t="s">
        <v>32</v>
      </c>
      <c r="D201" s="21" t="n">
        <f aca="false">itc_26*1</f>
        <v>781.872916666666</v>
      </c>
      <c r="E201" s="21" t="n">
        <f aca="false">itc_27*1*1</f>
        <v>1565.35</v>
      </c>
      <c r="F201" s="21" t="n">
        <f aca="false">itc_28*um28_C*1</f>
        <v>1190.55833333333</v>
      </c>
      <c r="G201" s="21" t="n">
        <f aca="false">itc_29*um29_C*1</f>
        <v>1356.23416666667</v>
      </c>
    </row>
    <row r="202" customFormat="false" ht="17.15" hidden="false" customHeight="false" outlineLevel="0" collapsed="false">
      <c r="A202" s="4" t="s">
        <v>575</v>
      </c>
      <c r="B202" s="0" t="s">
        <v>32</v>
      </c>
      <c r="D202" s="21" t="n">
        <f aca="false">itpg_gb*(1-vr26)+itpg_vr*vr26</f>
        <v>33.41403216</v>
      </c>
      <c r="E202" s="21" t="n">
        <f aca="false">itpg_vr</f>
        <v>37.586352</v>
      </c>
      <c r="F202" s="21" t="n">
        <f aca="false">itpg_vr</f>
        <v>37.586352</v>
      </c>
      <c r="G202" s="21" t="n">
        <f aca="false">itpg_vr</f>
        <v>37.586352</v>
      </c>
    </row>
    <row r="203" customFormat="false" ht="17.15" hidden="false" customHeight="false" outlineLevel="0" collapsed="false">
      <c r="A203" s="4" t="s">
        <v>576</v>
      </c>
      <c r="B203" s="0" t="s">
        <v>521</v>
      </c>
      <c r="D203" s="22" t="n">
        <f aca="false">D201/D202</f>
        <v>23.3995380420639</v>
      </c>
      <c r="E203" s="22" t="n">
        <f aca="false">E201/E202</f>
        <v>41.6467658260637</v>
      </c>
      <c r="F203" s="22" t="n">
        <f aca="false">F201/F202</f>
        <v>31.6752829147488</v>
      </c>
      <c r="G203" s="22" t="n">
        <f aca="false">G201/G202</f>
        <v>36.0831550416669</v>
      </c>
    </row>
    <row r="204" customFormat="false" ht="17.15" hidden="false" customHeight="false" outlineLevel="0" collapsed="false">
      <c r="A204" s="4" t="s">
        <v>577</v>
      </c>
      <c r="B204" s="0" t="s">
        <v>578</v>
      </c>
      <c r="D204" s="18" t="n">
        <f aca="false">(racks_gb*odm_gb*(1-vr26)+racks_vr*odm_vr*vr26)/1000</f>
        <v>27.1209</v>
      </c>
      <c r="E204" s="18" t="n">
        <f aca="false">racks_vr*odm_vr/1000</f>
        <v>27.351</v>
      </c>
      <c r="F204" s="18" t="n">
        <f aca="false">$E204*vpg_28</f>
        <v>27.351</v>
      </c>
      <c r="G204" s="18" t="n">
        <f aca="false">$E204*vpg_29</f>
        <v>27.351</v>
      </c>
      <c r="K204" s="4" t="s">
        <v>579</v>
      </c>
    </row>
    <row r="205" customFormat="false" ht="17.15" hidden="false" customHeight="false" outlineLevel="0" collapsed="false">
      <c r="A205" s="0" t="s">
        <v>580</v>
      </c>
      <c r="B205" s="0" t="s">
        <v>32</v>
      </c>
      <c r="D205" s="21" t="n">
        <f aca="false">D203*D204</f>
        <v>634.61653128501</v>
      </c>
      <c r="E205" s="21" t="n">
        <f aca="false">E203*E204</f>
        <v>1139.08069210867</v>
      </c>
      <c r="F205" s="21" t="n">
        <f aca="false">F203*F204</f>
        <v>866.350663001294</v>
      </c>
      <c r="G205" s="21" t="n">
        <f aca="false">G203*G204</f>
        <v>986.910373544632</v>
      </c>
    </row>
    <row r="206" customFormat="false" ht="17.15" hidden="false" customHeight="false" outlineLevel="0" collapsed="false">
      <c r="A206" s="0" t="s">
        <v>581</v>
      </c>
      <c r="B206" s="0" t="s">
        <v>151</v>
      </c>
      <c r="D206" s="21" t="n">
        <f aca="false">D205*fx</f>
        <v>20307.7290011203</v>
      </c>
      <c r="E206" s="21" t="n">
        <f aca="false">E205*fx</f>
        <v>36450.5821474774</v>
      </c>
      <c r="F206" s="21" t="n">
        <f aca="false">F205*fx</f>
        <v>27723.2212160414</v>
      </c>
      <c r="G206" s="21" t="n">
        <f aca="false">G205*fx</f>
        <v>31581.1319534282</v>
      </c>
    </row>
    <row r="207" customFormat="false" ht="17.15" hidden="false" customHeight="false" outlineLevel="0" collapsed="false">
      <c r="A207" s="6" t="s">
        <v>582</v>
      </c>
    </row>
    <row r="208" customFormat="false" ht="17.15" hidden="false" customHeight="false" outlineLevel="0" collapsed="false">
      <c r="A208" s="4" t="s">
        <v>583</v>
      </c>
      <c r="B208" s="0" t="s">
        <v>52</v>
      </c>
      <c r="D208" s="20" t="n">
        <f aca="false">a26_ais/D206</f>
        <v>0.0875096501918447</v>
      </c>
      <c r="K208" s="8" t="s">
        <v>584</v>
      </c>
    </row>
    <row r="209" customFormat="false" ht="17.15" hidden="false" customHeight="false" outlineLevel="0" collapsed="false">
      <c r="A209" s="4" t="s">
        <v>585</v>
      </c>
      <c r="B209" s="0" t="s">
        <v>64</v>
      </c>
      <c r="D209" s="18" t="n">
        <f aca="false">1</f>
        <v>1</v>
      </c>
      <c r="E209" s="18" t="n">
        <f aca="false">rel_27</f>
        <v>1</v>
      </c>
      <c r="F209" s="18" t="n">
        <f aca="false">rel_28</f>
        <v>0.95</v>
      </c>
      <c r="G209" s="18" t="n">
        <f aca="false">rel_29</f>
        <v>0.9</v>
      </c>
    </row>
    <row r="210" customFormat="false" ht="17.15" hidden="false" customHeight="false" outlineLevel="0" collapsed="false">
      <c r="A210" s="4" t="s">
        <v>586</v>
      </c>
      <c r="B210" s="0" t="s">
        <v>52</v>
      </c>
      <c r="D210" s="20" t="n">
        <f aca="false">$D$208*D209</f>
        <v>0.0875096501918447</v>
      </c>
      <c r="E210" s="20" t="n">
        <f aca="false">$D$208*E209</f>
        <v>0.0875096501918447</v>
      </c>
      <c r="F210" s="20" t="n">
        <f aca="false">$D$208*F209</f>
        <v>0.0831341676822525</v>
      </c>
      <c r="G210" s="20" t="n">
        <f aca="false">$D$208*G209</f>
        <v>0.0787586851726602</v>
      </c>
    </row>
    <row r="211" customFormat="false" ht="17.15" hidden="false" customHeight="false" outlineLevel="0" collapsed="false">
      <c r="A211" s="4" t="s">
        <v>587</v>
      </c>
      <c r="B211" s="0" t="s">
        <v>151</v>
      </c>
      <c r="D211" s="21" t="n">
        <f aca="false">D206*D210</f>
        <v>1777.12226107882</v>
      </c>
      <c r="E211" s="21" t="n">
        <f aca="false">E206*E210</f>
        <v>3189.77769301484</v>
      </c>
      <c r="F211" s="21" t="n">
        <f aca="false">F206*F210</f>
        <v>2304.74692126657</v>
      </c>
      <c r="G211" s="21" t="n">
        <f aca="false">G206*G210</f>
        <v>2487.28842891629</v>
      </c>
    </row>
    <row r="212" customFormat="false" ht="17.15" hidden="false" customHeight="false" outlineLevel="0" collapsed="false">
      <c r="A212" s="4" t="s">
        <v>588</v>
      </c>
      <c r="B212" s="0" t="s">
        <v>52</v>
      </c>
      <c r="D212" s="20" t="n">
        <f aca="false">0</f>
        <v>0</v>
      </c>
      <c r="E212" s="20" t="n">
        <f aca="false">cs_27</f>
        <v>0.1</v>
      </c>
      <c r="F212" s="20" t="n">
        <f aca="false">cs_28</f>
        <v>0.2</v>
      </c>
      <c r="G212" s="20" t="n">
        <f aca="false">cs_29</f>
        <v>0.25</v>
      </c>
      <c r="K212" s="8" t="s">
        <v>589</v>
      </c>
    </row>
    <row r="213" customFormat="false" ht="17.15" hidden="false" customHeight="false" outlineLevel="0" collapsed="false">
      <c r="A213" s="4" t="s">
        <v>590</v>
      </c>
      <c r="B213" s="0" t="s">
        <v>151</v>
      </c>
      <c r="D213" s="21" t="n">
        <f aca="false">D211*(1-D212)</f>
        <v>1777.12226107882</v>
      </c>
      <c r="E213" s="21" t="n">
        <f aca="false">E211*(1-E212)</f>
        <v>2870.79992371336</v>
      </c>
      <c r="F213" s="21" t="n">
        <f aca="false">F211*(1-F212)</f>
        <v>1843.79753701325</v>
      </c>
      <c r="G213" s="21" t="n">
        <f aca="false">G211*(1-G212)</f>
        <v>1865.46632168722</v>
      </c>
    </row>
    <row r="214" customFormat="false" ht="17.15" hidden="false" customHeight="false" outlineLevel="0" collapsed="false">
      <c r="A214" s="6" t="s">
        <v>591</v>
      </c>
    </row>
    <row r="215" customFormat="false" ht="17.15" hidden="false" customHeight="false" outlineLevel="0" collapsed="false">
      <c r="A215" s="0" t="s">
        <v>592</v>
      </c>
      <c r="B215" s="4" t="s">
        <v>85</v>
      </c>
      <c r="D215" s="18" t="n">
        <f aca="false">gu_26*1</f>
        <v>8.35</v>
      </c>
      <c r="E215" s="18" t="n">
        <f aca="false">gu_27*1*1</f>
        <v>11.2</v>
      </c>
      <c r="F215" s="18" t="n">
        <f aca="false">gu_28*um28_C*1</f>
        <v>6.9</v>
      </c>
      <c r="G215" s="18" t="n">
        <f aca="false">gu_29*um29_C*1</f>
        <v>7.74</v>
      </c>
    </row>
    <row r="216" customFormat="false" ht="15" hidden="false" customHeight="false" outlineLevel="0" collapsed="false">
      <c r="A216" s="4" t="s">
        <v>593</v>
      </c>
      <c r="B216" s="0" t="s">
        <v>52</v>
      </c>
      <c r="D216" s="20" t="n">
        <f aca="false">bsh_26</f>
        <v>0.5</v>
      </c>
      <c r="E216" s="20" t="n">
        <f aca="false">bsh_26*brel_27</f>
        <v>0.5</v>
      </c>
      <c r="F216" s="20" t="n">
        <f aca="false">bsh_26*brel_28</f>
        <v>0.475</v>
      </c>
      <c r="G216" s="20" t="n">
        <f aca="false">bsh_26*brel_29</f>
        <v>0.45</v>
      </c>
    </row>
    <row r="217" customFormat="false" ht="17.15" hidden="false" customHeight="false" outlineLevel="0" collapsed="false">
      <c r="A217" s="4" t="s">
        <v>594</v>
      </c>
      <c r="B217" s="0" t="s">
        <v>543</v>
      </c>
      <c r="D217" s="24" t="n">
        <f aca="false">a26_brd/fx/D215/D216*1000</f>
        <v>823.353293413174</v>
      </c>
      <c r="E217" s="24" t="n">
        <f aca="false">$D217*bv_27</f>
        <v>946.85628742515</v>
      </c>
      <c r="F217" s="24" t="n">
        <f aca="false">$D217*bv_28</f>
        <v>988.023952095808</v>
      </c>
      <c r="G217" s="24" t="n">
        <f aca="false">$D217*bv_29</f>
        <v>988.023952095808</v>
      </c>
      <c r="K217" s="8" t="s">
        <v>595</v>
      </c>
    </row>
    <row r="218" customFormat="false" ht="17.15" hidden="false" customHeight="false" outlineLevel="0" collapsed="false">
      <c r="A218" s="0" t="s">
        <v>545</v>
      </c>
      <c r="B218" s="0" t="s">
        <v>151</v>
      </c>
      <c r="D218" s="21" t="n">
        <f aca="false">D215*D216*D217*fx/1000</f>
        <v>110</v>
      </c>
      <c r="E218" s="21" t="n">
        <f aca="false">E215*E216*E217*fx/1000</f>
        <v>169.676646706587</v>
      </c>
      <c r="F218" s="21" t="n">
        <f aca="false">F215*F216*F217*fx/1000</f>
        <v>103.623952095808</v>
      </c>
      <c r="G218" s="21" t="n">
        <f aca="false">G215*G216*G217*fx/1000</f>
        <v>110.12119760479</v>
      </c>
    </row>
    <row r="219" customFormat="false" ht="17.15" hidden="false" customHeight="false" outlineLevel="0" collapsed="false">
      <c r="A219" s="6" t="s">
        <v>596</v>
      </c>
    </row>
    <row r="220" customFormat="false" ht="15" hidden="false" customHeight="false" outlineLevel="0" collapsed="false">
      <c r="A220" s="4" t="s">
        <v>597</v>
      </c>
      <c r="B220" s="0" t="s">
        <v>151</v>
      </c>
      <c r="D220" s="21" t="n">
        <f aca="false">a26_gen</f>
        <v>150</v>
      </c>
      <c r="E220" s="21" t="n">
        <f aca="false">D220*(1+g_gen27)</f>
        <v>180</v>
      </c>
      <c r="F220" s="21" t="n">
        <f aca="false">E220*(1+g_gen28)</f>
        <v>198</v>
      </c>
      <c r="G220" s="21" t="n">
        <f aca="false">F220*(1+g_gen29)</f>
        <v>213.84</v>
      </c>
    </row>
    <row r="221" customFormat="false" ht="15" hidden="false" customHeight="false" outlineLevel="0" collapsed="false">
      <c r="A221" s="4" t="s">
        <v>598</v>
      </c>
      <c r="B221" s="0" t="s">
        <v>151</v>
      </c>
      <c r="D221" s="21" t="n">
        <f aca="false">a26_pc</f>
        <v>614.602793131557</v>
      </c>
      <c r="E221" s="21" t="n">
        <f aca="false">D221*(1+g_pc27)</f>
        <v>596.16470933761</v>
      </c>
      <c r="F221" s="21" t="n">
        <f aca="false">E221*(1+g_pc28)</f>
        <v>596.16470933761</v>
      </c>
      <c r="G221" s="21" t="n">
        <f aca="false">F221*(1+g_pc29)</f>
        <v>596.16470933761</v>
      </c>
    </row>
    <row r="222" customFormat="false" ht="15" hidden="false" customHeight="false" outlineLevel="0" collapsed="false">
      <c r="A222" s="4" t="s">
        <v>599</v>
      </c>
      <c r="B222" s="0" t="s">
        <v>151</v>
      </c>
      <c r="C222" s="21" t="n">
        <f aca="false">a25_srev</f>
        <v>1235.86</v>
      </c>
      <c r="D222" s="21" t="n">
        <f aca="false">D213+D218+D220+D221</f>
        <v>2651.72505421038</v>
      </c>
      <c r="E222" s="21" t="n">
        <f aca="false">E213+E218+E220+E221</f>
        <v>3816.64127975756</v>
      </c>
      <c r="F222" s="21" t="n">
        <f aca="false">F213+F218+F220+F221</f>
        <v>2741.58619844667</v>
      </c>
      <c r="G222" s="21" t="n">
        <f aca="false">G213+G218+G220+G221</f>
        <v>2785.59222862962</v>
      </c>
    </row>
    <row r="223" customFormat="false" ht="17.15" hidden="false" customHeight="false" outlineLevel="0" collapsed="false">
      <c r="A223" s="4" t="s">
        <v>600</v>
      </c>
      <c r="B223" s="0" t="s">
        <v>52</v>
      </c>
      <c r="D223" s="20" t="n">
        <f aca="false">a26_wai/D206</f>
        <v>0.0341693013513091</v>
      </c>
      <c r="K223" s="8" t="s">
        <v>601</v>
      </c>
    </row>
    <row r="224" customFormat="false" ht="17.15" hidden="false" customHeight="false" outlineLevel="0" collapsed="false">
      <c r="A224" s="4" t="s">
        <v>527</v>
      </c>
      <c r="B224" s="0" t="s">
        <v>52</v>
      </c>
      <c r="D224" s="20" t="n">
        <f aca="false">D223</f>
        <v>0.0341693013513091</v>
      </c>
      <c r="E224" s="20" t="n">
        <f aca="false">$D$223*wrel_27</f>
        <v>0.0341693013513091</v>
      </c>
      <c r="F224" s="20" t="n">
        <f aca="false">$D$223*wrel_28</f>
        <v>0.0341693013513091</v>
      </c>
      <c r="G224" s="20" t="n">
        <f aca="false">$D$223*wrel_29</f>
        <v>0.0324608362837436</v>
      </c>
    </row>
    <row r="225" customFormat="false" ht="17.15" hidden="false" customHeight="false" outlineLevel="0" collapsed="false">
      <c r="A225" s="4" t="s">
        <v>547</v>
      </c>
      <c r="B225" s="0" t="s">
        <v>151</v>
      </c>
      <c r="D225" s="21" t="n">
        <f aca="false">D206*D224</f>
        <v>693.900912</v>
      </c>
      <c r="E225" s="21" t="n">
        <f aca="false">E206*E224</f>
        <v>1245.4909258278</v>
      </c>
      <c r="F225" s="21" t="n">
        <f aca="false">F206*F224</f>
        <v>947.283100159925</v>
      </c>
      <c r="G225" s="21" t="n">
        <f aca="false">G206*G224</f>
        <v>1025.14995399554</v>
      </c>
    </row>
    <row r="226" customFormat="false" ht="17.15" hidden="false" customHeight="false" outlineLevel="0" collapsed="false">
      <c r="A226" s="4" t="s">
        <v>602</v>
      </c>
      <c r="B226" s="0" t="s">
        <v>151</v>
      </c>
      <c r="D226" s="21" t="n">
        <f aca="false">a26_wna</f>
        <v>751.725988</v>
      </c>
      <c r="E226" s="21" t="n">
        <f aca="false">D226*(1+g_wn27)</f>
        <v>826.8985868</v>
      </c>
      <c r="F226" s="21" t="n">
        <f aca="false">E226*(1+g_wn28)</f>
        <v>876.512502008</v>
      </c>
      <c r="G226" s="21" t="n">
        <f aca="false">F226*(1+g_wn29)</f>
        <v>920.3381271084</v>
      </c>
    </row>
    <row r="227" customFormat="false" ht="15" hidden="false" customHeight="false" outlineLevel="0" collapsed="false">
      <c r="A227" s="4" t="s">
        <v>458</v>
      </c>
      <c r="B227" s="0" t="s">
        <v>151</v>
      </c>
      <c r="C227" s="21" t="n">
        <f aca="false">a25_wrev</f>
        <v>950.663</v>
      </c>
      <c r="D227" s="21" t="n">
        <f aca="false">D225+D226</f>
        <v>1445.6269</v>
      </c>
      <c r="E227" s="21" t="n">
        <f aca="false">E225+E226</f>
        <v>2072.3895126278</v>
      </c>
      <c r="F227" s="21" t="n">
        <f aca="false">F225+F226</f>
        <v>1823.79560216793</v>
      </c>
      <c r="G227" s="21" t="n">
        <f aca="false">G225+G226</f>
        <v>1945.48808110394</v>
      </c>
    </row>
    <row r="228" customFormat="false" ht="17.15" hidden="false" customHeight="false" outlineLevel="0" collapsed="false">
      <c r="A228" s="4" t="s">
        <v>444</v>
      </c>
      <c r="B228" s="0" t="s">
        <v>151</v>
      </c>
      <c r="C228" s="21" t="n">
        <f aca="false">C222+C227</f>
        <v>2186.523</v>
      </c>
      <c r="D228" s="21" t="n">
        <f aca="false">D222+D227</f>
        <v>4097.35195421038</v>
      </c>
      <c r="E228" s="21" t="n">
        <f aca="false">E222+E227</f>
        <v>5889.03079238536</v>
      </c>
      <c r="F228" s="21" t="n">
        <f aca="false">F222+F227</f>
        <v>4565.3818006146</v>
      </c>
      <c r="G228" s="21" t="n">
        <f aca="false">G222+G227</f>
        <v>4731.08030973356</v>
      </c>
      <c r="H228" s="26" t="n">
        <f aca="false">G228*(1+H233)</f>
        <v>4877.09582051273</v>
      </c>
      <c r="I228" s="26" t="n">
        <f aca="false">H228*(1+I233)</f>
        <v>5001.12777522704</v>
      </c>
      <c r="J228" s="26" t="n">
        <f aca="false">I228*(1+J233)</f>
        <v>5101.15033073158</v>
      </c>
      <c r="K228" s="8" t="s">
        <v>603</v>
      </c>
    </row>
    <row r="229" customFormat="false" ht="17.15" hidden="false" customHeight="false" outlineLevel="0" collapsed="false">
      <c r="A229" s="4" t="s">
        <v>604</v>
      </c>
      <c r="B229" s="0" t="s">
        <v>151</v>
      </c>
      <c r="D229" s="21" t="n">
        <f aca="false">D213+D218+D220+D227</f>
        <v>3482.74916107882</v>
      </c>
      <c r="E229" s="21" t="n">
        <f aca="false">E213+E218+E220+E227</f>
        <v>5292.86608304775</v>
      </c>
      <c r="F229" s="21" t="n">
        <f aca="false">F213+F218+F220+F227</f>
        <v>3969.21709127699</v>
      </c>
      <c r="G229" s="21" t="n">
        <f aca="false">G213+G218+G220+G227</f>
        <v>4134.91560039595</v>
      </c>
      <c r="K229" s="4" t="s">
        <v>605</v>
      </c>
    </row>
    <row r="230" customFormat="false" ht="15" hidden="false" customHeight="false" outlineLevel="0" collapsed="false">
      <c r="A230" s="4" t="s">
        <v>606</v>
      </c>
      <c r="B230" s="0" t="s">
        <v>151</v>
      </c>
      <c r="D230" s="21" t="n">
        <f aca="false">D221</f>
        <v>614.602793131557</v>
      </c>
      <c r="E230" s="21" t="n">
        <f aca="false">E221</f>
        <v>596.16470933761</v>
      </c>
      <c r="F230" s="21" t="n">
        <f aca="false">F221</f>
        <v>596.16470933761</v>
      </c>
      <c r="G230" s="21" t="n">
        <f aca="false">G221</f>
        <v>596.16470933761</v>
      </c>
      <c r="K230" s="4" t="s">
        <v>607</v>
      </c>
    </row>
    <row r="231" customFormat="false" ht="17.15" hidden="false" customHeight="false" outlineLevel="0" collapsed="false">
      <c r="A231" s="4" t="s">
        <v>608</v>
      </c>
      <c r="B231" s="0" t="s">
        <v>151</v>
      </c>
      <c r="D231" s="31" t="n">
        <f aca="false">D229+D230-D228</f>
        <v>0</v>
      </c>
      <c r="E231" s="31" t="n">
        <f aca="false">E229+E230-E228</f>
        <v>0</v>
      </c>
      <c r="F231" s="31" t="n">
        <f aca="false">F229+F230-F228</f>
        <v>0</v>
      </c>
      <c r="G231" s="31" t="n">
        <f aca="false">G229+G230-G228</f>
        <v>0</v>
      </c>
    </row>
    <row r="232" customFormat="false" ht="17.15" hidden="false" customHeight="false" outlineLevel="0" collapsed="false">
      <c r="A232" s="4" t="s">
        <v>609</v>
      </c>
      <c r="B232" s="0" t="s">
        <v>52</v>
      </c>
      <c r="D232" s="20" t="n">
        <f aca="false">D229/D228</f>
        <v>0.85</v>
      </c>
      <c r="E232" s="20" t="n">
        <f aca="false">E229/E228</f>
        <v>0.898766922715286</v>
      </c>
      <c r="F232" s="20" t="n">
        <f aca="false">F229/F228</f>
        <v>0.869416242633343</v>
      </c>
      <c r="G232" s="20" t="n">
        <f aca="false">G229/G228</f>
        <v>0.87398972955266</v>
      </c>
    </row>
    <row r="233" customFormat="false" ht="15" hidden="false" customHeight="false" outlineLevel="0" collapsed="false">
      <c r="A233" s="4" t="s">
        <v>610</v>
      </c>
      <c r="B233" s="0" t="s">
        <v>52</v>
      </c>
      <c r="D233" s="20" t="n">
        <f aca="false">D228/C228-1</f>
        <v>0.873912121761526</v>
      </c>
      <c r="E233" s="20" t="n">
        <f aca="false">E228/D228-1</f>
        <v>0.437277260581405</v>
      </c>
      <c r="F233" s="20" t="n">
        <f aca="false">F228/E228-1</f>
        <v>-0.224765167382427</v>
      </c>
      <c r="G233" s="20" t="n">
        <f aca="false">G228/F228-1</f>
        <v>0.0362945568093902</v>
      </c>
      <c r="H233" s="27" t="n">
        <f aca="false">$G233+(fade_gC-$G233)*1/3</f>
        <v>0.0308630378729268</v>
      </c>
      <c r="I233" s="27" t="n">
        <f aca="false">$G233+(fade_gC-$G233)*2/3</f>
        <v>0.0254315189364634</v>
      </c>
      <c r="J233" s="27" t="n">
        <f aca="false">$G233+(fade_gC-$G233)*3/3</f>
        <v>0.02</v>
      </c>
    </row>
    <row r="234" customFormat="false" ht="17.15" hidden="false" customHeight="false" outlineLevel="0" collapsed="false">
      <c r="A234" s="0" t="s">
        <v>611</v>
      </c>
      <c r="B234" s="0" t="s">
        <v>52</v>
      </c>
      <c r="D234" s="20" t="n">
        <f aca="false">(D213+D218+D225)/D228</f>
        <v>0.629924693295288</v>
      </c>
      <c r="E234" s="20" t="n">
        <f aca="false">(E213+E218+E225)/E228</f>
        <v>0.727788263866712</v>
      </c>
      <c r="F234" s="20" t="n">
        <f aca="false">(F213+F218+F225)/F228</f>
        <v>0.634055313594867</v>
      </c>
      <c r="G234" s="20" t="n">
        <f aca="false">(G213+G218+G225)/G228</f>
        <v>0.634260523355298</v>
      </c>
    </row>
    <row r="235" customFormat="false" ht="17.15" hidden="false" customHeight="false" outlineLevel="0" collapsed="false">
      <c r="A235" s="4" t="s">
        <v>612</v>
      </c>
      <c r="B235" s="0" t="s">
        <v>52</v>
      </c>
      <c r="C235" s="20" t="n">
        <f aca="false">C227/C228</f>
        <v>0.434782986504144</v>
      </c>
      <c r="D235" s="20" t="n">
        <f aca="false">D227/D228</f>
        <v>0.352819800728736</v>
      </c>
      <c r="E235" s="20" t="n">
        <f aca="false">E227/E228</f>
        <v>0.351906720424598</v>
      </c>
      <c r="F235" s="20" t="n">
        <f aca="false">F227/F228</f>
        <v>0.399483697491063</v>
      </c>
      <c r="G235" s="20" t="n">
        <f aca="false">G227/G228</f>
        <v>0.411214342969693</v>
      </c>
    </row>
    <row r="236" customFormat="false" ht="17.15" hidden="false" customHeight="false" outlineLevel="0" collapsed="false">
      <c r="A236" s="4" t="s">
        <v>613</v>
      </c>
      <c r="B236" s="4" t="s">
        <v>335</v>
      </c>
      <c r="D236" s="21" t="n">
        <f aca="false">D211/fx/(odm_gb*(1-vr26)+odm_vr*vr26)</f>
        <v>12.0597330420658</v>
      </c>
      <c r="E236" s="21" t="n">
        <f aca="false">E211/fx/odm_vr</f>
        <v>14.7674893195132</v>
      </c>
      <c r="F236" s="21" t="n">
        <f aca="false">F211/fx/odm_vr</f>
        <v>10.6701246354934</v>
      </c>
      <c r="G236" s="21" t="n">
        <f aca="false">G211/fx/odm_vr</f>
        <v>11.5152242079458</v>
      </c>
      <c r="K236" s="4" t="s">
        <v>614</v>
      </c>
    </row>
    <row r="237" customFormat="false" ht="17.15" hidden="false" customHeight="false" outlineLevel="0" collapsed="false">
      <c r="A237" s="6" t="s">
        <v>615</v>
      </c>
    </row>
    <row r="238" customFormat="false" ht="17.15" hidden="false" customHeight="false" outlineLevel="0" collapsed="false">
      <c r="A238" s="4" t="s">
        <v>616</v>
      </c>
      <c r="B238" s="0" t="s">
        <v>52</v>
      </c>
      <c r="D238" s="14" t="n">
        <f aca="false">(a26_sgp-d_ai*D213-d_brd*D218-d_gen*D220)/D222</f>
        <v>0.0436423860147897</v>
      </c>
      <c r="K238" s="8" t="s">
        <v>617</v>
      </c>
    </row>
    <row r="239" customFormat="false" ht="17.15" hidden="false" customHeight="false" outlineLevel="0" collapsed="false">
      <c r="A239" s="4" t="s">
        <v>618</v>
      </c>
      <c r="B239" s="0" t="s">
        <v>151</v>
      </c>
      <c r="D239" s="25" t="n">
        <f aca="false">($D$238+d_ai)*D211*(1-D212*(1-keep))</f>
        <v>59.7866331026896</v>
      </c>
      <c r="E239" s="25" t="n">
        <f aca="false">($D$238+d_ai+vrd)*E211*(1-E212*(1-keep))</f>
        <v>99.9228552931037</v>
      </c>
      <c r="F239" s="25" t="n">
        <f aca="false">($D$238+d_ai+vrd)*F211*(1-F212*(1-keep))</f>
        <v>71.4691379141326</v>
      </c>
      <c r="G239" s="25" t="n">
        <f aca="false">($D$238+d_ai+vrd)*G211*(1-G212*(1-keep))</f>
        <v>76.736147082942</v>
      </c>
    </row>
    <row r="240" customFormat="false" ht="15" hidden="false" customHeight="false" outlineLevel="0" collapsed="false">
      <c r="A240" s="4" t="s">
        <v>619</v>
      </c>
      <c r="B240" s="0" t="s">
        <v>151</v>
      </c>
      <c r="C240" s="21" t="n">
        <f aca="false">a25_sgp</f>
        <v>55.529</v>
      </c>
      <c r="D240" s="21" t="n">
        <f aca="false">a26_sgp</f>
        <v>103.50638581015</v>
      </c>
      <c r="E240" s="21" t="n">
        <f aca="false">$D$238*E221+($D$238+d_brd)*E218+($D$238+d_gen)*E220+E239</f>
        <v>148.991928263534</v>
      </c>
      <c r="F240" s="21" t="n">
        <f aca="false">$D$238*F221+($D$238+d_brd)*F218+($D$238+d_gen)*F220+F239</f>
        <v>116.729495798985</v>
      </c>
      <c r="G240" s="21" t="n">
        <f aca="false">$D$238*G221+($D$238+d_brd)*G218+($D$238+d_gen)*G220+G239</f>
        <v>123.403873024074</v>
      </c>
    </row>
    <row r="241" customFormat="false" ht="15" hidden="false" customHeight="false" outlineLevel="0" collapsed="false">
      <c r="A241" s="4" t="s">
        <v>620</v>
      </c>
      <c r="B241" s="0" t="s">
        <v>52</v>
      </c>
      <c r="C241" s="14" t="n">
        <f aca="false">C240/C222</f>
        <v>0.0449314647290146</v>
      </c>
      <c r="D241" s="14" t="n">
        <f aca="false">D240/D222</f>
        <v>0.0390336040479778</v>
      </c>
      <c r="E241" s="14" t="n">
        <f aca="false">E240/E222</f>
        <v>0.0390374461057547</v>
      </c>
      <c r="F241" s="14" t="n">
        <f aca="false">F240/F222</f>
        <v>0.0425773575403619</v>
      </c>
      <c r="G241" s="14" t="n">
        <f aca="false">G240/G222</f>
        <v>0.0443007672680015</v>
      </c>
    </row>
    <row r="242" customFormat="false" ht="15" hidden="false" customHeight="false" outlineLevel="0" collapsed="false">
      <c r="A242" s="4" t="s">
        <v>621</v>
      </c>
      <c r="B242" s="0" t="s">
        <v>52</v>
      </c>
      <c r="E242" s="20" t="n">
        <f aca="false">MAX(0,phi*(E222/D222-1))</f>
        <v>0.13179151703879</v>
      </c>
      <c r="F242" s="20" t="n">
        <f aca="false">MAX(0,phi*(F222/E222-1))</f>
        <v>0</v>
      </c>
      <c r="G242" s="20" t="n">
        <f aca="false">MAX(0,phi*(G222/F222-1))</f>
        <v>0.00481539083555516</v>
      </c>
    </row>
    <row r="243" customFormat="false" ht="15" hidden="false" customHeight="false" outlineLevel="0" collapsed="false">
      <c r="A243" s="4" t="s">
        <v>622</v>
      </c>
      <c r="B243" s="0" t="s">
        <v>151</v>
      </c>
      <c r="C243" s="21" t="n">
        <f aca="false">a25_sopx</f>
        <v>40.894</v>
      </c>
      <c r="D243" s="21" t="n">
        <f aca="false">a26_sopx</f>
        <v>46.9914095398923</v>
      </c>
      <c r="E243" s="21" t="n">
        <f aca="false">D243*(1+E242)+0*E222</f>
        <v>53.1844786909457</v>
      </c>
      <c r="F243" s="21" t="n">
        <f aca="false">E243*(1+F242)+0*F222</f>
        <v>53.1844786909457</v>
      </c>
      <c r="G243" s="21" t="n">
        <f aca="false">F243*(1+G242)+0*G222</f>
        <v>53.4405827422279</v>
      </c>
    </row>
    <row r="244" customFormat="false" ht="15" hidden="false" customHeight="false" outlineLevel="0" collapsed="false">
      <c r="A244" s="4" t="s">
        <v>623</v>
      </c>
      <c r="B244" s="0" t="s">
        <v>151</v>
      </c>
      <c r="C244" s="21" t="n">
        <f aca="false">C240-C243</f>
        <v>14.635</v>
      </c>
      <c r="D244" s="21" t="n">
        <f aca="false">D240-D243</f>
        <v>56.514976270258</v>
      </c>
      <c r="E244" s="21" t="n">
        <f aca="false">E240-E243</f>
        <v>95.8074495725885</v>
      </c>
      <c r="F244" s="21" t="n">
        <f aca="false">F240-F243</f>
        <v>63.5450171080396</v>
      </c>
      <c r="G244" s="21" t="n">
        <f aca="false">G240-G243</f>
        <v>69.9632902818465</v>
      </c>
    </row>
    <row r="245" customFormat="false" ht="15" hidden="false" customHeight="false" outlineLevel="0" collapsed="false">
      <c r="A245" s="4" t="s">
        <v>624</v>
      </c>
      <c r="B245" s="0" t="s">
        <v>52</v>
      </c>
      <c r="C245" s="14" t="n">
        <f aca="false">C244/C222</f>
        <v>0.011841956208632</v>
      </c>
      <c r="D245" s="14" t="n">
        <f aca="false">D244/D222</f>
        <v>0.0213125324514788</v>
      </c>
      <c r="E245" s="14" t="n">
        <f aca="false">E244/E222</f>
        <v>0.0251025555062577</v>
      </c>
      <c r="F245" s="14" t="n">
        <f aca="false">F244/F222</f>
        <v>0.0231781941213605</v>
      </c>
      <c r="G245" s="14" t="n">
        <f aca="false">G244/G222</f>
        <v>0.0251161277529357</v>
      </c>
    </row>
    <row r="246" customFormat="false" ht="15" hidden="false" customHeight="false" outlineLevel="0" collapsed="false">
      <c r="A246" s="4" t="s">
        <v>625</v>
      </c>
      <c r="B246" s="0" t="s">
        <v>151</v>
      </c>
      <c r="C246" s="21" t="n">
        <f aca="false">a25_sni</f>
        <v>6.9608</v>
      </c>
      <c r="D246" s="21" t="n">
        <f aca="false">a26_sni</f>
        <v>31.133746704</v>
      </c>
      <c r="E246" s="21" t="n">
        <f aca="false">E244*snio</f>
        <v>53.6521717606496</v>
      </c>
      <c r="F246" s="21" t="n">
        <f aca="false">F244*snio</f>
        <v>35.5852095805022</v>
      </c>
      <c r="G246" s="21" t="n">
        <f aca="false">G244*snio</f>
        <v>39.1794425578341</v>
      </c>
    </row>
    <row r="247" customFormat="false" ht="17.15" hidden="false" customHeight="false" outlineLevel="0" collapsed="false">
      <c r="A247" s="6" t="s">
        <v>626</v>
      </c>
    </row>
    <row r="248" customFormat="false" ht="15" hidden="false" customHeight="false" outlineLevel="0" collapsed="false">
      <c r="A248" s="4" t="s">
        <v>462</v>
      </c>
      <c r="B248" s="0" t="s">
        <v>151</v>
      </c>
      <c r="C248" s="21" t="n">
        <f aca="false">a25_wgp</f>
        <v>78.454</v>
      </c>
      <c r="D248" s="21" t="n">
        <f aca="false">a26_wgp</f>
        <v>125.0519932</v>
      </c>
      <c r="E248" s="21" t="n">
        <f aca="false">E227*wgm</f>
        <v>176.153108573363</v>
      </c>
      <c r="F248" s="21" t="n">
        <f aca="false">F227*wgm</f>
        <v>155.022626184274</v>
      </c>
      <c r="G248" s="21" t="n">
        <f aca="false">G227*wgm</f>
        <v>165.366486893835</v>
      </c>
    </row>
    <row r="249" customFormat="false" ht="15" hidden="false" customHeight="false" outlineLevel="0" collapsed="false">
      <c r="A249" s="4" t="s">
        <v>464</v>
      </c>
      <c r="B249" s="0" t="s">
        <v>151</v>
      </c>
      <c r="C249" s="21" t="n">
        <f aca="false">a25_woi</f>
        <v>63.918</v>
      </c>
      <c r="D249" s="21" t="n">
        <f aca="false">a26_woi</f>
        <v>98.2471632</v>
      </c>
      <c r="E249" s="21" t="n">
        <f aca="false">E227*wopm</f>
        <v>134.705318320807</v>
      </c>
      <c r="F249" s="21" t="n">
        <f aca="false">F227*wopm</f>
        <v>118.546714140915</v>
      </c>
      <c r="G249" s="21" t="n">
        <f aca="false">G227*wopm</f>
        <v>126.456725271756</v>
      </c>
    </row>
    <row r="250" customFormat="false" ht="15" hidden="false" customHeight="false" outlineLevel="0" collapsed="false">
      <c r="A250" s="4" t="s">
        <v>472</v>
      </c>
      <c r="B250" s="0" t="s">
        <v>151</v>
      </c>
      <c r="C250" s="21" t="n">
        <f aca="false">a25_wni</f>
        <v>51.118</v>
      </c>
      <c r="D250" s="21" t="n">
        <f aca="false">a26_wni</f>
        <v>75.735026884</v>
      </c>
      <c r="E250" s="21" t="n">
        <f aca="false">E249*wnio</f>
        <v>105.07014829023</v>
      </c>
      <c r="F250" s="21" t="n">
        <f aca="false">F249*wnio</f>
        <v>92.4664370299138</v>
      </c>
      <c r="G250" s="21" t="n">
        <f aca="false">G249*wnio</f>
        <v>98.6362457119697</v>
      </c>
    </row>
    <row r="251" customFormat="false" ht="15" hidden="false" customHeight="false" outlineLevel="0" collapsed="false">
      <c r="A251" s="4" t="s">
        <v>474</v>
      </c>
      <c r="B251" s="0" t="s">
        <v>52</v>
      </c>
      <c r="C251" s="14" t="n">
        <f aca="false">stake25</f>
        <v>0.4</v>
      </c>
      <c r="D251" s="14" t="n">
        <f aca="false">stake</f>
        <v>0.3768</v>
      </c>
      <c r="E251" s="14" t="n">
        <f aca="false">stake</f>
        <v>0.3768</v>
      </c>
      <c r="F251" s="14" t="n">
        <f aca="false">stake</f>
        <v>0.3768</v>
      </c>
      <c r="G251" s="14" t="n">
        <f aca="false">stake</f>
        <v>0.3768</v>
      </c>
    </row>
    <row r="252" customFormat="false" ht="17.15" hidden="false" customHeight="false" outlineLevel="0" collapsed="false">
      <c r="A252" s="6" t="s">
        <v>627</v>
      </c>
    </row>
    <row r="253" customFormat="false" ht="15" hidden="false" customHeight="false" outlineLevel="0" collapsed="false">
      <c r="A253" s="4" t="s">
        <v>448</v>
      </c>
      <c r="B253" s="0" t="s">
        <v>151</v>
      </c>
      <c r="C253" s="21" t="n">
        <f aca="false">C240+C248</f>
        <v>133.983</v>
      </c>
      <c r="D253" s="21" t="n">
        <f aca="false">D240+D248</f>
        <v>228.55837901015</v>
      </c>
      <c r="E253" s="21" t="n">
        <f aca="false">E240+E248</f>
        <v>325.145036836897</v>
      </c>
      <c r="F253" s="21" t="n">
        <f aca="false">F240+F248</f>
        <v>271.752121983259</v>
      </c>
      <c r="G253" s="21" t="n">
        <f aca="false">G240+G248</f>
        <v>288.770359917909</v>
      </c>
    </row>
    <row r="254" customFormat="false" ht="15" hidden="false" customHeight="false" outlineLevel="0" collapsed="false">
      <c r="A254" s="4" t="s">
        <v>451</v>
      </c>
      <c r="B254" s="0" t="s">
        <v>52</v>
      </c>
      <c r="C254" s="14" t="n">
        <f aca="false">C253/C228</f>
        <v>0.0612767393711386</v>
      </c>
      <c r="D254" s="14" t="n">
        <f aca="false">D253/D228</f>
        <v>0.055781973714825</v>
      </c>
      <c r="E254" s="14" t="n">
        <f aca="false">E253/E228</f>
        <v>0.0552119777090174</v>
      </c>
      <c r="F254" s="14" t="n">
        <f aca="false">F253/F228</f>
        <v>0.0595245116074795</v>
      </c>
      <c r="G254" s="14" t="n">
        <f aca="false">G253/G228</f>
        <v>0.0610368755152609</v>
      </c>
    </row>
    <row r="255" customFormat="false" ht="15" hidden="false" customHeight="false" outlineLevel="0" collapsed="false">
      <c r="A255" s="4" t="s">
        <v>452</v>
      </c>
      <c r="B255" s="0" t="s">
        <v>151</v>
      </c>
      <c r="C255" s="21" t="n">
        <f aca="false">C244+C249</f>
        <v>78.553</v>
      </c>
      <c r="D255" s="21" t="n">
        <f aca="false">D244+D249</f>
        <v>154.762139470258</v>
      </c>
      <c r="E255" s="21" t="n">
        <f aca="false">E244+E249</f>
        <v>230.512767893396</v>
      </c>
      <c r="F255" s="21" t="n">
        <f aca="false">F244+F249</f>
        <v>182.091731248955</v>
      </c>
      <c r="G255" s="21" t="n">
        <f aca="false">G244+G249</f>
        <v>196.420015553603</v>
      </c>
    </row>
    <row r="256" customFormat="false" ht="15" hidden="false" customHeight="false" outlineLevel="0" collapsed="false">
      <c r="A256" s="4" t="s">
        <v>455</v>
      </c>
      <c r="B256" s="0" t="s">
        <v>52</v>
      </c>
      <c r="C256" s="14" t="n">
        <f aca="false">C255/C228</f>
        <v>0.0359259884300325</v>
      </c>
      <c r="D256" s="14" t="n">
        <f aca="false">D255/D228</f>
        <v>0.0377712584126992</v>
      </c>
      <c r="E256" s="14" t="n">
        <f aca="false">E255/E228</f>
        <v>0.039142734351373</v>
      </c>
      <c r="F256" s="14" t="n">
        <f aca="false">F255/F228</f>
        <v>0.0398853237695129</v>
      </c>
      <c r="G256" s="14" t="n">
        <f aca="false">G255/G228</f>
        <v>0.0415169480740995</v>
      </c>
    </row>
    <row r="257" customFormat="false" ht="15" hidden="false" customHeight="false" outlineLevel="0" collapsed="false">
      <c r="A257" s="4" t="s">
        <v>485</v>
      </c>
      <c r="B257" s="0" t="s">
        <v>151</v>
      </c>
      <c r="C257" s="21" t="n">
        <f aca="false">C246+C250</f>
        <v>58.0788</v>
      </c>
      <c r="D257" s="21" t="n">
        <f aca="false">D246+D250</f>
        <v>106.868773588</v>
      </c>
      <c r="E257" s="21" t="n">
        <f aca="false">E246+E250</f>
        <v>158.722320050879</v>
      </c>
      <c r="F257" s="21" t="n">
        <f aca="false">F246+F250</f>
        <v>128.051646610416</v>
      </c>
      <c r="G257" s="21" t="n">
        <f aca="false">G246+G250</f>
        <v>137.815688269804</v>
      </c>
    </row>
    <row r="258" customFormat="false" ht="17.15" hidden="false" customHeight="false" outlineLevel="0" collapsed="false">
      <c r="A258" s="4" t="s">
        <v>628</v>
      </c>
      <c r="B258" s="0" t="s">
        <v>151</v>
      </c>
      <c r="C258" s="21" t="n">
        <f aca="false">(1-C251)*C250</f>
        <v>30.6708</v>
      </c>
      <c r="D258" s="21" t="n">
        <f aca="false">(1-D251)*D250</f>
        <v>47.1980687541088</v>
      </c>
      <c r="E258" s="21" t="n">
        <f aca="false">(1-E251)*E250</f>
        <v>65.4797164144711</v>
      </c>
      <c r="F258" s="21" t="n">
        <f aca="false">(1-F251)*F250</f>
        <v>57.6250835570423</v>
      </c>
      <c r="G258" s="21" t="n">
        <f aca="false">(1-G251)*G250</f>
        <v>61.4701083276995</v>
      </c>
    </row>
    <row r="259" customFormat="false" ht="15" hidden="false" customHeight="false" outlineLevel="0" collapsed="false">
      <c r="A259" s="4" t="s">
        <v>481</v>
      </c>
      <c r="B259" s="0" t="s">
        <v>151</v>
      </c>
      <c r="C259" s="21" t="n">
        <f aca="false">C257-C258</f>
        <v>27.408</v>
      </c>
      <c r="D259" s="21" t="n">
        <f aca="false">D257-D258</f>
        <v>59.6707048338912</v>
      </c>
      <c r="E259" s="21" t="n">
        <f aca="false">E257-E258</f>
        <v>93.2426036364081</v>
      </c>
      <c r="F259" s="21" t="n">
        <f aca="false">F257-F258</f>
        <v>70.4265630533737</v>
      </c>
      <c r="G259" s="21" t="n">
        <f aca="false">G257-G258</f>
        <v>76.3455799421043</v>
      </c>
      <c r="H259" s="26" t="n">
        <f aca="false">H228*H264</f>
        <v>73.4550473694688</v>
      </c>
      <c r="I259" s="26" t="n">
        <f aca="false">I228*I264</f>
        <v>69.9428978835082</v>
      </c>
      <c r="J259" s="26" t="n">
        <f aca="false">J228*J264</f>
        <v>65.85392846878</v>
      </c>
    </row>
    <row r="260" customFormat="false" ht="17.15" hidden="false" customHeight="false" outlineLevel="0" collapsed="false">
      <c r="A260" s="4" t="s">
        <v>629</v>
      </c>
      <c r="B260" s="0" t="s">
        <v>52</v>
      </c>
      <c r="C260" s="20" t="n">
        <f aca="false">C251*C250/C259</f>
        <v>0.746030356100409</v>
      </c>
      <c r="D260" s="20" t="n">
        <f aca="false">D251*D250/D259</f>
        <v>0.478240674537551</v>
      </c>
      <c r="E260" s="20" t="n">
        <f aca="false">E251*E250/E259</f>
        <v>0.424595950045949</v>
      </c>
      <c r="F260" s="20" t="n">
        <f aca="false">F251*F250/F259</f>
        <v>0.494718923688872</v>
      </c>
      <c r="G260" s="20" t="n">
        <f aca="false">G251*G250/G259</f>
        <v>0.48681452695041</v>
      </c>
    </row>
    <row r="261" customFormat="false" ht="17.15" hidden="false" customHeight="false" outlineLevel="0" collapsed="false">
      <c r="A261" s="4" t="s">
        <v>630</v>
      </c>
      <c r="B261" s="4" t="s">
        <v>286</v>
      </c>
      <c r="C261" s="31" t="n">
        <f aca="false">a25_sh</f>
        <v>3.03185840707965</v>
      </c>
      <c r="D261" s="31" t="n">
        <f aca="false">a26_sh</f>
        <v>3.23861720409076</v>
      </c>
      <c r="E261" s="31" t="n">
        <f aca="false">q_sh4*(1+sh_g)</f>
        <v>3.43</v>
      </c>
      <c r="F261" s="31" t="n">
        <f aca="false">E261*(1+sh_g)</f>
        <v>3.43</v>
      </c>
      <c r="G261" s="31" t="n">
        <f aca="false">F261*(1+sh_g)</f>
        <v>3.43</v>
      </c>
      <c r="H261" s="32" t="n">
        <f aca="false">G261*(1+sh_g)</f>
        <v>3.43</v>
      </c>
      <c r="I261" s="32" t="n">
        <f aca="false">H261*(1+sh_g)</f>
        <v>3.43</v>
      </c>
      <c r="J261" s="32" t="n">
        <f aca="false">I261*(1+sh_g)</f>
        <v>3.43</v>
      </c>
      <c r="K261" s="8" t="s">
        <v>631</v>
      </c>
    </row>
    <row r="262" customFormat="false" ht="15" hidden="false" customHeight="false" outlineLevel="0" collapsed="false">
      <c r="A262" s="0" t="s">
        <v>488</v>
      </c>
      <c r="B262" s="0" t="s">
        <v>316</v>
      </c>
      <c r="C262" s="18" t="n">
        <f aca="false">C259/C261</f>
        <v>9.04</v>
      </c>
      <c r="D262" s="18" t="n">
        <f aca="false">D259/D261</f>
        <v>18.4247476850676</v>
      </c>
      <c r="E262" s="18" t="n">
        <f aca="false">E259/E261</f>
        <v>27.1844325470577</v>
      </c>
      <c r="F262" s="18" t="n">
        <f aca="false">F259/F261</f>
        <v>20.5325256715375</v>
      </c>
      <c r="G262" s="18" t="n">
        <f aca="false">G259/G261</f>
        <v>22.2581865720421</v>
      </c>
      <c r="H262" s="29" t="n">
        <f aca="false">H259/H261</f>
        <v>21.4154657053845</v>
      </c>
      <c r="I262" s="29" t="n">
        <f aca="false">I259/I261</f>
        <v>20.3915154179324</v>
      </c>
      <c r="J262" s="29" t="n">
        <f aca="false">J259/J261</f>
        <v>19.1993960550379</v>
      </c>
    </row>
    <row r="263" customFormat="false" ht="17.15" hidden="false" customHeight="false" outlineLevel="0" collapsed="false">
      <c r="A263" s="0" t="s">
        <v>632</v>
      </c>
      <c r="B263" s="0" t="s">
        <v>52</v>
      </c>
      <c r="D263" s="20" t="n">
        <f aca="false">D262/C262-1</f>
        <v>1.03813580587031</v>
      </c>
      <c r="E263" s="20" t="n">
        <f aca="false">E262/D262-1</f>
        <v>0.475430383727289</v>
      </c>
      <c r="F263" s="20" t="n">
        <f aca="false">F262/E262-1</f>
        <v>-0.24469544707271</v>
      </c>
      <c r="G263" s="20" t="n">
        <f aca="false">G262/F262-1</f>
        <v>0.0840452328228016</v>
      </c>
      <c r="H263" s="27" t="n">
        <f aca="false">H262/G262-1</f>
        <v>-0.037861164651935</v>
      </c>
      <c r="I263" s="27" t="n">
        <f aca="false">I262/H262-1</f>
        <v>-0.0478135895589983</v>
      </c>
      <c r="J263" s="27" t="n">
        <f aca="false">J262/I262-1</f>
        <v>-0.0584615384615386</v>
      </c>
    </row>
    <row r="264" customFormat="false" ht="17.15" hidden="false" customHeight="false" outlineLevel="0" collapsed="false">
      <c r="A264" s="4" t="s">
        <v>633</v>
      </c>
      <c r="B264" s="0" t="s">
        <v>52</v>
      </c>
      <c r="C264" s="14" t="n">
        <f aca="false">C259/C228</f>
        <v>0.0125349699042727</v>
      </c>
      <c r="D264" s="14" t="n">
        <f aca="false">D259/D228</f>
        <v>0.0145632363293992</v>
      </c>
      <c r="E264" s="14" t="n">
        <f aca="false">E259/E228</f>
        <v>0.0158332681426921</v>
      </c>
      <c r="F264" s="14" t="n">
        <f aca="false">F259/F228</f>
        <v>0.0154262154030344</v>
      </c>
      <c r="G264" s="14" t="n">
        <f aca="false">G259/G228</f>
        <v>0.0161370289540496</v>
      </c>
      <c r="H264" s="28" t="n">
        <f aca="false">$G264+(fade_mC-$G264)*1/3</f>
        <v>0.0150612270237796</v>
      </c>
      <c r="I264" s="28" t="n">
        <f aca="false">$G264+(fade_mC-$G264)*2/3</f>
        <v>0.0139854250935096</v>
      </c>
      <c r="J264" s="28" t="n">
        <f aca="false">$G264+(fade_mC-$G264)*3/3</f>
        <v>0.0129096231632397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636</v>
      </c>
    </row>
    <row r="2" customFormat="false" ht="17.15" hidden="false" customHeight="false" outlineLevel="0" collapsed="false">
      <c r="A2" s="4" t="s">
        <v>637</v>
      </c>
    </row>
    <row r="4" customFormat="false" ht="17.15" hidden="false" customHeight="false" outlineLevel="0" collapsed="false">
      <c r="A4" s="6" t="s">
        <v>638</v>
      </c>
    </row>
    <row r="5" customFormat="false" ht="17.15" hidden="false" customHeight="false" outlineLevel="0" collapsed="false">
      <c r="A5" s="6" t="s">
        <v>639</v>
      </c>
    </row>
    <row r="6" customFormat="false" ht="17.15" hidden="false" customHeight="false" outlineLevel="0" collapsed="false">
      <c r="A6" s="5" t="s">
        <v>21</v>
      </c>
      <c r="B6" s="15" t="s">
        <v>640</v>
      </c>
      <c r="C6" s="15" t="s">
        <v>641</v>
      </c>
      <c r="D6" s="15" t="s">
        <v>642</v>
      </c>
      <c r="E6" s="5" t="s">
        <v>420</v>
      </c>
    </row>
    <row r="7" customFormat="false" ht="17.15" hidden="false" customHeight="false" outlineLevel="0" collapsed="false">
      <c r="A7" s="4" t="s">
        <v>643</v>
      </c>
      <c r="E7" s="0" t="s">
        <v>644</v>
      </c>
    </row>
    <row r="8" customFormat="false" ht="15" hidden="false" customHeight="false" outlineLevel="0" collapsed="false">
      <c r="A8" s="0" t="s">
        <v>645</v>
      </c>
      <c r="B8" s="18" t="n">
        <f aca="false">PL!E15</f>
        <v>27.1844325470577</v>
      </c>
      <c r="C8" s="18" t="n">
        <f aca="false">PL!E29</f>
        <v>27.1844325470577</v>
      </c>
      <c r="D8" s="18" t="n">
        <f aca="false">PL!E43</f>
        <v>27.1844325470577</v>
      </c>
    </row>
    <row r="9" customFormat="false" ht="15" hidden="false" customHeight="false" outlineLevel="0" collapsed="false">
      <c r="A9" s="0" t="s">
        <v>646</v>
      </c>
      <c r="B9" s="18" t="n">
        <f aca="false">PL!F15</f>
        <v>32.5070508908922</v>
      </c>
      <c r="C9" s="18" t="n">
        <f aca="false">PL!F29</f>
        <v>26.595966942147</v>
      </c>
      <c r="D9" s="18" t="n">
        <f aca="false">PL!F43</f>
        <v>20.5325256715375</v>
      </c>
    </row>
    <row r="10" customFormat="false" ht="15" hidden="false" customHeight="false" outlineLevel="0" collapsed="false">
      <c r="A10" s="0" t="s">
        <v>647</v>
      </c>
      <c r="B10" s="18" t="n">
        <f aca="false">PL!G15</f>
        <v>35.1478147677075</v>
      </c>
      <c r="C10" s="18" t="n">
        <f aca="false">PL!G29</f>
        <v>30.2833524245787</v>
      </c>
      <c r="D10" s="18" t="n">
        <f aca="false">PL!G43</f>
        <v>22.2581865720421</v>
      </c>
    </row>
    <row r="11" customFormat="false" ht="15" hidden="false" customHeight="false" outlineLevel="0" collapsed="false">
      <c r="A11" s="0" t="s">
        <v>648</v>
      </c>
      <c r="B11" s="18" t="n">
        <f aca="false">PL!H15</f>
        <v>36.7035556133846</v>
      </c>
      <c r="C11" s="18" t="n">
        <f aca="false">PL!H29</f>
        <v>31.2561378324239</v>
      </c>
      <c r="D11" s="18" t="n">
        <f aca="false">PL!H43</f>
        <v>21.4154657053845</v>
      </c>
    </row>
    <row r="12" customFormat="false" ht="15" hidden="false" customHeight="false" outlineLevel="0" collapsed="false">
      <c r="A12" s="0" t="s">
        <v>649</v>
      </c>
      <c r="B12" s="18" t="n">
        <f aca="false">PL!I15</f>
        <v>38.6169634309003</v>
      </c>
      <c r="C12" s="18" t="n">
        <f aca="false">PL!I29</f>
        <v>31.8036430422828</v>
      </c>
      <c r="D12" s="18" t="n">
        <f aca="false">PL!I43</f>
        <v>20.3915154179324</v>
      </c>
    </row>
    <row r="13" customFormat="false" ht="15" hidden="false" customHeight="false" outlineLevel="0" collapsed="false">
      <c r="A13" s="0" t="s">
        <v>650</v>
      </c>
      <c r="B13" s="18" t="n">
        <f aca="false">PL!J15</f>
        <v>40.9339812367544</v>
      </c>
      <c r="C13" s="18" t="n">
        <f aca="false">PL!J29</f>
        <v>31.8945105938322</v>
      </c>
      <c r="D13" s="18" t="n">
        <f aca="false">PL!J43</f>
        <v>19.1993960550379</v>
      </c>
    </row>
    <row r="14" customFormat="false" ht="17.15" hidden="false" customHeight="false" outlineLevel="0" collapsed="false">
      <c r="A14" s="4" t="s">
        <v>651</v>
      </c>
    </row>
    <row r="15" customFormat="false" ht="17.15" hidden="false" customHeight="false" outlineLevel="0" collapsed="false">
      <c r="A15" s="4" t="s">
        <v>652</v>
      </c>
      <c r="B15" s="20" t="n">
        <f aca="false">MIN(tp_g/tp_roe,0.8)</f>
        <v>0.198511166253102</v>
      </c>
      <c r="E15" s="8" t="s">
        <v>653</v>
      </c>
    </row>
    <row r="16" customFormat="false" ht="15" hidden="false" customHeight="false" outlineLevel="0" collapsed="false">
      <c r="A16" s="0" t="s">
        <v>645</v>
      </c>
      <c r="B16" s="18" t="n">
        <f aca="false">B8*(1-$B$15)</f>
        <v>21.7880191382125</v>
      </c>
      <c r="C16" s="18" t="n">
        <f aca="false">C8*(1-$B$15)</f>
        <v>21.7880191382125</v>
      </c>
      <c r="D16" s="18" t="n">
        <f aca="false">D8*(1-$B$15)</f>
        <v>21.7880191382125</v>
      </c>
    </row>
    <row r="17" customFormat="false" ht="15" hidden="false" customHeight="false" outlineLevel="0" collapsed="false">
      <c r="A17" s="0" t="s">
        <v>646</v>
      </c>
      <c r="B17" s="18" t="n">
        <f aca="false">B9*(1-$B$15)</f>
        <v>26.0540383070922</v>
      </c>
      <c r="C17" s="18" t="n">
        <f aca="false">C9*(1-$B$15)</f>
        <v>21.3163705268324</v>
      </c>
      <c r="D17" s="18" t="n">
        <f aca="false">D9*(1-$B$15)</f>
        <v>16.4565900543589</v>
      </c>
    </row>
    <row r="18" customFormat="false" ht="15" hidden="false" customHeight="false" outlineLevel="0" collapsed="false">
      <c r="A18" s="0" t="s">
        <v>647</v>
      </c>
      <c r="B18" s="18" t="n">
        <f aca="false">B10*(1-$B$15)</f>
        <v>28.1705810669219</v>
      </c>
      <c r="C18" s="18" t="n">
        <f aca="false">C10*(1-$B$15)</f>
        <v>24.2717688167218</v>
      </c>
      <c r="D18" s="18" t="n">
        <f aca="false">D10*(1-$B$15)</f>
        <v>17.8396879969469</v>
      </c>
    </row>
    <row r="19" customFormat="false" ht="15" hidden="false" customHeight="false" outlineLevel="0" collapsed="false">
      <c r="A19" s="0" t="s">
        <v>648</v>
      </c>
      <c r="B19" s="18" t="n">
        <f aca="false">B11*(1-$B$15)</f>
        <v>29.417489982936</v>
      </c>
      <c r="C19" s="18" t="n">
        <f aca="false">C11*(1-$B$15)</f>
        <v>25.0514454587418</v>
      </c>
      <c r="D19" s="18" t="n">
        <f aca="false">D11*(1-$B$15)</f>
        <v>17.1642566323553</v>
      </c>
    </row>
    <row r="20" customFormat="false" ht="15" hidden="false" customHeight="false" outlineLevel="0" collapsed="false">
      <c r="A20" s="0" t="s">
        <v>649</v>
      </c>
      <c r="B20" s="18" t="n">
        <f aca="false">B12*(1-$B$15)</f>
        <v>30.9510649830789</v>
      </c>
      <c r="C20" s="18" t="n">
        <f aca="false">C12*(1-$B$15)</f>
        <v>25.4902647708619</v>
      </c>
      <c r="D20" s="18" t="n">
        <f aca="false">D12*(1-$B$15)</f>
        <v>16.3435719106506</v>
      </c>
    </row>
    <row r="21" customFormat="false" ht="15" hidden="false" customHeight="false" outlineLevel="0" collapsed="false">
      <c r="A21" s="0" t="s">
        <v>650</v>
      </c>
      <c r="B21" s="18" t="n">
        <f aca="false">B13*(1-$B$15)</f>
        <v>32.8081288820637</v>
      </c>
      <c r="C21" s="18" t="n">
        <f aca="false">C13*(1-$B$15)</f>
        <v>25.5630940987787</v>
      </c>
      <c r="D21" s="18" t="n">
        <f aca="false">D13*(1-$B$15)</f>
        <v>15.3881015527971</v>
      </c>
    </row>
    <row r="22" customFormat="false" ht="17.15" hidden="false" customHeight="false" outlineLevel="0" collapsed="false">
      <c r="A22" s="0" t="s">
        <v>654</v>
      </c>
      <c r="B22" s="18" t="n">
        <f aca="false">SUMPRODUCT(B16:B21,1/(1+tp_r)^{1;2;3;4;5;6})+B21*(1+tp_g)/(tp_r-tp_g)/(1+tp_r)^6</f>
        <v>441.336358604836</v>
      </c>
      <c r="C22" s="18" t="n">
        <f aca="false">SUMPRODUCT(C16:C21,1/(1+tp_r)^{1;2;3;4;5;6})+C21*(1+tp_g)/(tp_r-tp_g)/(1+tp_r)^6</f>
        <v>353.142291167493</v>
      </c>
      <c r="D22" s="18" t="n">
        <f aca="false">SUMPRODUCT(D16:D21,1/(1+tp_r)^{1;2;3;4;5;6})+D21*(1+tp_g)/(tp_r-tp_g)/(1+tp_r)^6</f>
        <v>227.929162860486</v>
      </c>
      <c r="E22" s="8" t="s">
        <v>655</v>
      </c>
    </row>
    <row r="23" customFormat="false" ht="17.15" hidden="false" customHeight="false" outlineLevel="0" collapsed="false">
      <c r="A23" s="0" t="s">
        <v>656</v>
      </c>
      <c r="B23" s="18" t="n">
        <f aca="false">B22*(1+tp_r)</f>
        <v>485.46999446532</v>
      </c>
      <c r="C23" s="18" t="n">
        <f aca="false">C22*(1+tp_r)</f>
        <v>388.456520284243</v>
      </c>
      <c r="D23" s="18" t="n">
        <f aca="false">D22*(1+tp_r)</f>
        <v>250.722079146534</v>
      </c>
    </row>
    <row r="24" customFormat="false" ht="17.15" hidden="false" customHeight="false" outlineLevel="0" collapsed="false">
      <c r="A24" s="0" t="s">
        <v>657</v>
      </c>
      <c r="B24" s="33" t="n">
        <f aca="false">tp_wA*B23+tp_wB*C23+tp_wC*D23</f>
        <v>390.013674311024</v>
      </c>
      <c r="E24" s="8" t="s">
        <v>658</v>
      </c>
    </row>
    <row r="26" customFormat="false" ht="17.15" hidden="false" customHeight="false" outlineLevel="0" collapsed="false">
      <c r="A26" s="6" t="s">
        <v>659</v>
      </c>
    </row>
    <row r="27" customFormat="false" ht="17.15" hidden="false" customHeight="false" outlineLevel="0" collapsed="false">
      <c r="A27" s="5" t="s">
        <v>660</v>
      </c>
      <c r="B27" s="5" t="s">
        <v>661</v>
      </c>
      <c r="C27" s="5" t="s">
        <v>662</v>
      </c>
      <c r="D27" s="5" t="s">
        <v>663</v>
      </c>
      <c r="E27" s="5" t="s">
        <v>664</v>
      </c>
      <c r="F27" s="5" t="s">
        <v>26</v>
      </c>
    </row>
    <row r="28" customFormat="false" ht="17.15" hidden="false" customHeight="false" outlineLevel="0" collapsed="false">
      <c r="A28" s="4" t="s">
        <v>665</v>
      </c>
      <c r="B28" s="0" t="s">
        <v>666</v>
      </c>
      <c r="C28" s="34" t="n">
        <v>11.31</v>
      </c>
      <c r="D28" s="8" t="s">
        <v>667</v>
      </c>
      <c r="E28" s="8" t="s">
        <v>668</v>
      </c>
      <c r="F28" s="8" t="s">
        <v>152</v>
      </c>
    </row>
    <row r="29" customFormat="false" ht="17.15" hidden="false" customHeight="false" outlineLevel="0" collapsed="false">
      <c r="A29" s="4" t="s">
        <v>669</v>
      </c>
      <c r="B29" s="0" t="s">
        <v>670</v>
      </c>
      <c r="C29" s="34" t="n">
        <v>11.37</v>
      </c>
      <c r="D29" s="8" t="s">
        <v>671</v>
      </c>
      <c r="E29" s="8" t="s">
        <v>668</v>
      </c>
      <c r="F29" s="8" t="s">
        <v>152</v>
      </c>
    </row>
    <row r="30" customFormat="false" ht="17.15" hidden="false" customHeight="false" outlineLevel="0" collapsed="false">
      <c r="A30" s="4" t="s">
        <v>672</v>
      </c>
      <c r="B30" s="0" t="s">
        <v>673</v>
      </c>
      <c r="C30" s="34" t="n">
        <v>18</v>
      </c>
      <c r="D30" s="8" t="s">
        <v>674</v>
      </c>
      <c r="E30" s="8" t="s">
        <v>668</v>
      </c>
      <c r="F30" s="8" t="s">
        <v>152</v>
      </c>
    </row>
    <row r="31" customFormat="false" ht="17.15" hidden="false" customHeight="false" outlineLevel="0" collapsed="false">
      <c r="A31" s="4" t="s">
        <v>675</v>
      </c>
      <c r="B31" s="0" t="s">
        <v>676</v>
      </c>
      <c r="C31" s="34" t="n">
        <v>13.87</v>
      </c>
      <c r="D31" s="8" t="s">
        <v>677</v>
      </c>
      <c r="E31" s="8" t="s">
        <v>668</v>
      </c>
      <c r="F31" s="8" t="s">
        <v>152</v>
      </c>
    </row>
    <row r="32" customFormat="false" ht="17.15" hidden="false" customHeight="false" outlineLevel="0" collapsed="false">
      <c r="A32" s="4" t="s">
        <v>678</v>
      </c>
      <c r="B32" s="0" t="s">
        <v>679</v>
      </c>
      <c r="C32" s="34" t="n">
        <v>7.06</v>
      </c>
      <c r="D32" s="8" t="s">
        <v>680</v>
      </c>
      <c r="E32" s="8" t="s">
        <v>668</v>
      </c>
      <c r="F32" s="8" t="s">
        <v>152</v>
      </c>
    </row>
    <row r="33" customFormat="false" ht="17.15" hidden="false" customHeight="false" outlineLevel="0" collapsed="false">
      <c r="A33" s="4" t="s">
        <v>681</v>
      </c>
      <c r="B33" s="22" t="n">
        <f aca="false">MEDIAN(C28:C32)</f>
        <v>11.37</v>
      </c>
      <c r="E33" s="4" t="s">
        <v>682</v>
      </c>
    </row>
    <row r="34" customFormat="false" ht="17.15" hidden="false" customHeight="false" outlineLevel="0" collapsed="false">
      <c r="A34" s="0" t="s">
        <v>683</v>
      </c>
      <c r="B34" s="18" t="n">
        <f aca="false">tp_wA*(2/12*B8+10/12*B9)+tp_wB*(2/12*C8+10/12*C9)+tp_wC*(2/12*D8+10/12*D9)</f>
        <v>27.1612419850502</v>
      </c>
      <c r="E34" s="4" t="s">
        <v>684</v>
      </c>
    </row>
    <row r="35" customFormat="false" ht="17.15" hidden="false" customHeight="false" outlineLevel="0" collapsed="false">
      <c r="A35" s="0" t="s">
        <v>685</v>
      </c>
      <c r="B35" s="33" t="n">
        <f aca="false">B33*B34</f>
        <v>308.82332137002</v>
      </c>
      <c r="E35" s="4" t="s">
        <v>686</v>
      </c>
    </row>
    <row r="37" customFormat="false" ht="17.15" hidden="false" customHeight="false" outlineLevel="0" collapsed="false">
      <c r="A37" s="6" t="s">
        <v>687</v>
      </c>
    </row>
    <row r="38" customFormat="false" ht="15" hidden="false" customHeight="false" outlineLevel="0" collapsed="false">
      <c r="A38" s="5" t="s">
        <v>21</v>
      </c>
      <c r="B38" s="5" t="s">
        <v>688</v>
      </c>
      <c r="C38" s="5"/>
      <c r="D38" s="5"/>
      <c r="E38" s="5" t="s">
        <v>420</v>
      </c>
    </row>
    <row r="39" customFormat="false" ht="17.15" hidden="false" customHeight="false" outlineLevel="0" collapsed="false">
      <c r="A39" s="4" t="s">
        <v>689</v>
      </c>
      <c r="B39" s="33" t="n">
        <f aca="false">tp_w_dcf*B24+(1-tp_w_dcf)*tp_comp_adj</f>
        <v>332.773387914471</v>
      </c>
      <c r="E39" s="8" t="s">
        <v>690</v>
      </c>
    </row>
    <row r="40" customFormat="false" ht="17.15" hidden="false" customHeight="false" outlineLevel="0" collapsed="false">
      <c r="A40" s="0" t="s">
        <v>691</v>
      </c>
      <c r="B40" s="18" t="n">
        <f aca="false">B35</f>
        <v>308.82332137002</v>
      </c>
    </row>
    <row r="41" customFormat="false" ht="17.15" hidden="false" customHeight="false" outlineLevel="0" collapsed="false">
      <c r="A41" s="4" t="s">
        <v>692</v>
      </c>
      <c r="B41" s="18" t="n">
        <f aca="false">cons_tp</f>
        <v>268.71</v>
      </c>
      <c r="E41" s="8" t="s">
        <v>693</v>
      </c>
    </row>
    <row r="42" customFormat="false" ht="17.15" hidden="false" customHeight="false" outlineLevel="0" collapsed="false">
      <c r="A42" s="4" t="s">
        <v>694</v>
      </c>
      <c r="B42" s="20" t="n">
        <f aca="false">B39/px-1</f>
        <v>0.751438883760374</v>
      </c>
      <c r="E42" s="4" t="s">
        <v>695</v>
      </c>
    </row>
    <row r="43" customFormat="false" ht="17.15" hidden="false" customHeight="false" outlineLevel="0" collapsed="false">
      <c r="A43" s="4" t="s">
        <v>696</v>
      </c>
      <c r="B43" s="20" t="n">
        <f aca="false">B40/px-1</f>
        <v>0.625385901947476</v>
      </c>
    </row>
    <row r="44" customFormat="false" ht="17.15" hidden="false" customHeight="false" outlineLevel="0" collapsed="false">
      <c r="A44" s="4" t="s">
        <v>697</v>
      </c>
      <c r="B44" s="20" t="n">
        <f aca="false">B34/cons_feps-1</f>
        <v>0.453968371490825</v>
      </c>
      <c r="E44" s="4" t="s">
        <v>698</v>
      </c>
    </row>
    <row r="45" customFormat="false" ht="17.15" hidden="false" customHeight="false" outlineLevel="0" collapsed="false">
      <c r="A45" s="4" t="s">
        <v>699</v>
      </c>
      <c r="B45" s="20" t="n">
        <f aca="false">(cons_tp/cons_feps)/B33-1</f>
        <v>0.265111194873728</v>
      </c>
      <c r="E45" s="0" t="str">
        <f aca="false">"共識目標價隱含 "&amp;TEXT(cons_tp/cons_feps,"0.0")&amp;"x，同業中位數 "&amp;TEXT(B33,"0.0")&amp;"x"</f>
        <v>共識目標價隱含 14.4x，同業中位數 11.4x</v>
      </c>
    </row>
    <row r="46" customFormat="false" ht="17.15" hidden="false" customHeight="false" outlineLevel="0" collapsed="false">
      <c r="A46" s="4" t="s">
        <v>700</v>
      </c>
      <c r="B46" s="35" t="str">
        <f aca="false">TEXT(D23,"0.0")&amp;"～"&amp;TEXT(B23,"0.0")</f>
        <v>250.7～485.5</v>
      </c>
      <c r="E46" s="8" t="s">
        <v>701</v>
      </c>
    </row>
    <row r="47" customFormat="false" ht="17.15" hidden="false" customHeight="false" outlineLevel="0" collapsed="false">
      <c r="A47" s="4" t="s">
        <v>702</v>
      </c>
      <c r="B47" s="36" t="n">
        <f aca="false">IF(px/B9&lt;MIN($B$86:$B$95),0,IF(px/B9&gt;MAX($B$86:$B$95),1,PERCENTRANK($B$86:$B$95,px/B9)))</f>
        <v>0</v>
      </c>
      <c r="C47" s="36" t="n">
        <f aca="false">IF(px/C9&lt;MIN($B$86:$B$95),0,IF(px/C9&gt;MAX($B$86:$B$95),1,PERCENTRANK($B$86:$B$95,px/C9)))</f>
        <v>0</v>
      </c>
      <c r="D47" s="36" t="n">
        <f aca="false">IF(px/D9&lt;MIN($B$86:$B$95),0,IF(px/D9&gt;MAX($B$86:$B$95),1,PERCENTRANK($B$86:$B$95,px/D9)))</f>
        <v>0.207</v>
      </c>
      <c r="E47" s="4" t="s">
        <v>703</v>
      </c>
    </row>
    <row r="48" customFormat="false" ht="17.15" hidden="false" customHeight="false" outlineLevel="0" collapsed="false">
      <c r="A48" s="4" t="s">
        <v>704</v>
      </c>
      <c r="B48" s="0" t="s">
        <v>705</v>
      </c>
    </row>
    <row r="51" customFormat="false" ht="17.15" hidden="false" customHeight="false" outlineLevel="0" collapsed="false">
      <c r="A51" s="6" t="s">
        <v>706</v>
      </c>
    </row>
    <row r="52" customFormat="false" ht="15" hidden="false" customHeight="false" outlineLevel="0" collapsed="false">
      <c r="A52" s="5" t="s">
        <v>21</v>
      </c>
      <c r="B52" s="15" t="s">
        <v>707</v>
      </c>
      <c r="C52" s="15" t="s">
        <v>708</v>
      </c>
      <c r="D52" s="15" t="s">
        <v>709</v>
      </c>
      <c r="E52" s="5" t="s">
        <v>420</v>
      </c>
    </row>
    <row r="53" customFormat="false" ht="17.15" hidden="false" customHeight="false" outlineLevel="0" collapsed="false">
      <c r="A53" s="4" t="s">
        <v>710</v>
      </c>
      <c r="B53" s="21" t="n">
        <f aca="false">px</f>
        <v>190</v>
      </c>
    </row>
    <row r="54" customFormat="false" ht="17.15" hidden="false" customHeight="false" outlineLevel="0" collapsed="false">
      <c r="A54" s="4" t="s">
        <v>711</v>
      </c>
      <c r="B54" s="22" t="n">
        <f aca="false">px/PL!D15</f>
        <v>10.3122172008893</v>
      </c>
      <c r="C54" s="22" t="n">
        <f aca="false">px/PL!D29</f>
        <v>10.3122172008893</v>
      </c>
      <c r="D54" s="22" t="n">
        <f aca="false">px/PL!D43</f>
        <v>10.3122172008893</v>
      </c>
      <c r="E54" s="8" t="s">
        <v>712</v>
      </c>
    </row>
    <row r="55" customFormat="false" ht="17.15" hidden="false" customHeight="false" outlineLevel="0" collapsed="false">
      <c r="A55" s="4" t="s">
        <v>713</v>
      </c>
      <c r="B55" s="22" t="n">
        <f aca="false">px/PL!E15</f>
        <v>6.98929432023639</v>
      </c>
      <c r="C55" s="22" t="n">
        <f aca="false">px/PL!E29</f>
        <v>6.98929432023639</v>
      </c>
      <c r="D55" s="22" t="n">
        <f aca="false">px/PL!E43</f>
        <v>6.98929432023639</v>
      </c>
      <c r="E55" s="8" t="s">
        <v>714</v>
      </c>
    </row>
    <row r="56" customFormat="false" ht="17.15" hidden="false" customHeight="false" outlineLevel="0" collapsed="false">
      <c r="A56" s="4" t="s">
        <v>715</v>
      </c>
      <c r="B56" s="22" t="n">
        <f aca="false">px/PL!F15</f>
        <v>5.84488579532246</v>
      </c>
      <c r="C56" s="22" t="n">
        <f aca="false">px/PL!F29</f>
        <v>7.14394029791429</v>
      </c>
      <c r="D56" s="22" t="n">
        <f aca="false">px/PL!F43</f>
        <v>9.253610736422</v>
      </c>
    </row>
    <row r="57" customFormat="false" ht="17.15" hidden="false" customHeight="false" outlineLevel="0" collapsed="false">
      <c r="A57" s="4" t="s">
        <v>716</v>
      </c>
      <c r="B57" s="22" t="n">
        <f aca="false">px/PL!G15</f>
        <v>5.40574147370792</v>
      </c>
      <c r="C57" s="22" t="n">
        <f aca="false">px/PL!G29</f>
        <v>6.27407419549071</v>
      </c>
      <c r="D57" s="22" t="n">
        <f aca="false">px/PL!G43</f>
        <v>8.53618507442355</v>
      </c>
    </row>
    <row r="58" customFormat="false" ht="17.15" hidden="false" customHeight="false" outlineLevel="0" collapsed="false">
      <c r="A58" s="4" t="s">
        <v>717</v>
      </c>
      <c r="B58" s="18" t="n">
        <f aca="false">0.2*PL!D29+0.8*PL!E29</f>
        <v>25.4324955746597</v>
      </c>
    </row>
    <row r="59" customFormat="false" ht="17.15" hidden="false" customHeight="false" outlineLevel="0" collapsed="false">
      <c r="A59" s="4" t="s">
        <v>718</v>
      </c>
      <c r="B59" s="22" t="n">
        <f aca="false">px/B58</f>
        <v>7.47075722247687</v>
      </c>
    </row>
    <row r="60" customFormat="false" ht="17.15" hidden="false" customHeight="false" outlineLevel="0" collapsed="false">
      <c r="A60" s="4" t="s">
        <v>355</v>
      </c>
      <c r="B60" s="22" t="n">
        <f aca="false">pe_ttm</f>
        <v>15.09</v>
      </c>
    </row>
    <row r="61" customFormat="false" ht="17.15" hidden="false" customHeight="false" outlineLevel="0" collapsed="false">
      <c r="A61" s="4" t="s">
        <v>359</v>
      </c>
      <c r="B61" s="22" t="n">
        <f aca="false">fpe</f>
        <v>9.93</v>
      </c>
    </row>
    <row r="63" customFormat="false" ht="17.15" hidden="false" customHeight="false" outlineLevel="0" collapsed="false">
      <c r="A63" s="6" t="s">
        <v>719</v>
      </c>
    </row>
    <row r="64" customFormat="false" ht="17.15" hidden="false" customHeight="false" outlineLevel="0" collapsed="false">
      <c r="A64" s="5" t="s">
        <v>720</v>
      </c>
      <c r="B64" s="5" t="s">
        <v>721</v>
      </c>
      <c r="C64" s="15" t="s">
        <v>722</v>
      </c>
      <c r="D64" s="5" t="s">
        <v>723</v>
      </c>
      <c r="E64" s="5" t="s">
        <v>724</v>
      </c>
      <c r="F64" s="5" t="s">
        <v>420</v>
      </c>
    </row>
    <row r="65" customFormat="false" ht="17.15" hidden="false" customHeight="false" outlineLevel="0" collapsed="false">
      <c r="A65" s="0" t="s">
        <v>707</v>
      </c>
      <c r="B65" s="0" t="n">
        <f aca="false">INDEX({2026,2027,2028,2029},MATCH(MAX(PL!D90:G90),PL!D90:G90,0))</f>
        <v>2029</v>
      </c>
      <c r="C65" s="0" t="str">
        <f aca="false">IF(B65=2029,"中段",IF(2027&lt;B65,"中段",IF(2027=B65,"見頂","谷底")))</f>
        <v>中段</v>
      </c>
      <c r="D65" s="22" t="n">
        <f aca="false">IF(C65="見頂",pe_peak,IF(C65="谷底",pe_trough,pe_mid))</f>
        <v>14.52</v>
      </c>
      <c r="E65" s="0" t="str">
        <f aca="false">IF(B65=2029,"是：營收到觀測期末仍在增加","否")</f>
        <v>是：營收到觀測期末仍在增加</v>
      </c>
      <c r="F65" s="8" t="s">
        <v>725</v>
      </c>
    </row>
    <row r="66" customFormat="false" ht="15" hidden="false" customHeight="false" outlineLevel="0" collapsed="false">
      <c r="A66" s="0" t="s">
        <v>708</v>
      </c>
      <c r="B66" s="0" t="n">
        <f aca="false">INDEX({2026,2027,2028,2029},MATCH(MAX(PL!D159:G159),PL!D159:G159,0))</f>
        <v>2029</v>
      </c>
      <c r="C66" s="0" t="str">
        <f aca="false">IF(B66=2029,"中段",IF(2027&lt;B66,"中段",IF(2027=B66,"見頂","谷底")))</f>
        <v>中段</v>
      </c>
      <c r="D66" s="22" t="n">
        <f aca="false">IF(C66="見頂",pe_peak,IF(C66="谷底",pe_trough,pe_mid))</f>
        <v>14.52</v>
      </c>
      <c r="E66" s="0" t="str">
        <f aca="false">IF(B66=2029,"是：營收到觀測期末仍在增加","否")</f>
        <v>是：營收到觀測期末仍在增加</v>
      </c>
      <c r="F66" s="4" t="s">
        <v>38</v>
      </c>
    </row>
    <row r="67" customFormat="false" ht="15" hidden="false" customHeight="false" outlineLevel="0" collapsed="false">
      <c r="A67" s="0" t="s">
        <v>709</v>
      </c>
      <c r="B67" s="0" t="n">
        <f aca="false">INDEX({2026,2027,2028,2029},MATCH(MAX(PL!D228:G228),PL!D228:G228,0))</f>
        <v>2027</v>
      </c>
      <c r="C67" s="0" t="str">
        <f aca="false">IF(B67=2029,"中段",IF(2027&lt;B67,"中段",IF(2027=B67,"見頂","谷底")))</f>
        <v>見頂</v>
      </c>
      <c r="D67" s="22" t="n">
        <f aca="false">IF(C67="見頂",pe_peak,IF(C67="谷底",pe_trough,pe_mid))</f>
        <v>8.96</v>
      </c>
      <c r="E67" s="0" t="str">
        <f aca="false">IF(B67=2029,"是：營收到觀測期末仍在增加","否")</f>
        <v>否</v>
      </c>
      <c r="F67" s="4" t="s">
        <v>38</v>
      </c>
    </row>
    <row r="69" customFormat="false" ht="17.15" hidden="false" customHeight="false" outlineLevel="0" collapsed="false">
      <c r="A69" s="6" t="s">
        <v>726</v>
      </c>
    </row>
    <row r="70" customFormat="false" ht="17.15" hidden="false" customHeight="false" outlineLevel="0" collapsed="false">
      <c r="A70" s="5" t="s">
        <v>720</v>
      </c>
      <c r="B70" s="15" t="s">
        <v>727</v>
      </c>
      <c r="C70" s="5" t="s">
        <v>728</v>
      </c>
      <c r="D70" s="5" t="s">
        <v>729</v>
      </c>
      <c r="E70" s="5" t="s">
        <v>730</v>
      </c>
      <c r="F70" s="5" t="s">
        <v>731</v>
      </c>
      <c r="G70" s="5" t="s">
        <v>732</v>
      </c>
    </row>
    <row r="71" customFormat="false" ht="15" hidden="false" customHeight="false" outlineLevel="0" collapsed="false">
      <c r="A71" s="9" t="s">
        <v>707</v>
      </c>
      <c r="B71" s="33" t="n">
        <f aca="false">PL!E15</f>
        <v>27.1844325470577</v>
      </c>
      <c r="C71" s="33" t="n">
        <f aca="false">B71</f>
        <v>27.1844325470577</v>
      </c>
      <c r="D71" s="37" t="n">
        <f aca="false">D65</f>
        <v>14.52</v>
      </c>
      <c r="E71" s="38" t="n">
        <f aca="false">C71*D71</f>
        <v>394.717960583278</v>
      </c>
      <c r="F71" s="39" t="n">
        <f aca="false">E71/px-1</f>
        <v>1.07746295043831</v>
      </c>
      <c r="G71" s="37" t="n">
        <f aca="false">px/C71</f>
        <v>6.98929432023639</v>
      </c>
    </row>
    <row r="72" customFormat="false" ht="15" hidden="false" customHeight="false" outlineLevel="0" collapsed="false">
      <c r="A72" s="9" t="s">
        <v>708</v>
      </c>
      <c r="B72" s="33" t="n">
        <f aca="false">PL!E29</f>
        <v>27.1844325470577</v>
      </c>
      <c r="C72" s="33" t="n">
        <f aca="false">B72</f>
        <v>27.1844325470577</v>
      </c>
      <c r="D72" s="37" t="n">
        <f aca="false">D66</f>
        <v>14.52</v>
      </c>
      <c r="E72" s="38" t="n">
        <f aca="false">C72*D72</f>
        <v>394.717960583278</v>
      </c>
      <c r="F72" s="39" t="n">
        <f aca="false">E72/px-1</f>
        <v>1.07746295043831</v>
      </c>
      <c r="G72" s="37" t="n">
        <f aca="false">px/C72</f>
        <v>6.98929432023639</v>
      </c>
    </row>
    <row r="73" customFormat="false" ht="15" hidden="false" customHeight="false" outlineLevel="0" collapsed="false">
      <c r="A73" s="9" t="s">
        <v>709</v>
      </c>
      <c r="B73" s="33" t="n">
        <f aca="false">PL!E43</f>
        <v>27.1844325470577</v>
      </c>
      <c r="C73" s="33" t="n">
        <f aca="false">B73</f>
        <v>27.1844325470577</v>
      </c>
      <c r="D73" s="37" t="n">
        <f aca="false">D67</f>
        <v>8.96</v>
      </c>
      <c r="E73" s="38" t="n">
        <f aca="false">C73*D73</f>
        <v>243.572515621637</v>
      </c>
      <c r="F73" s="39" t="n">
        <f aca="false">E73/px-1</f>
        <v>0.281960608534934</v>
      </c>
      <c r="G73" s="37" t="n">
        <f aca="false">px/C73</f>
        <v>6.98929432023639</v>
      </c>
    </row>
    <row r="75" customFormat="false" ht="17.15" hidden="false" customHeight="false" outlineLevel="0" collapsed="false">
      <c r="A75" s="6" t="s">
        <v>733</v>
      </c>
    </row>
    <row r="76" customFormat="false" ht="17.15" hidden="false" customHeight="false" outlineLevel="0" collapsed="false">
      <c r="A76" s="15" t="s">
        <v>734</v>
      </c>
      <c r="B76" s="5" t="s">
        <v>735</v>
      </c>
      <c r="C76" s="5" t="s">
        <v>736</v>
      </c>
      <c r="D76" s="5" t="s">
        <v>737</v>
      </c>
      <c r="E76" s="5" t="s">
        <v>738</v>
      </c>
    </row>
    <row r="77" customFormat="false" ht="15" hidden="false" customHeight="false" outlineLevel="0" collapsed="false">
      <c r="A77" s="19" t="n">
        <v>1</v>
      </c>
      <c r="B77" s="22" t="n">
        <f aca="false">px*A77/PL!F15</f>
        <v>5.84488579532246</v>
      </c>
      <c r="C77" s="22" t="n">
        <f aca="false">px*A77/PL!F29</f>
        <v>7.14394029791429</v>
      </c>
      <c r="D77" s="22" t="n">
        <f aca="false">px*A77/PL!F43</f>
        <v>9.253610736422</v>
      </c>
      <c r="E77" s="22" t="n">
        <f aca="false">pe_mid</f>
        <v>14.52</v>
      </c>
    </row>
    <row r="78" customFormat="false" ht="15" hidden="false" customHeight="false" outlineLevel="0" collapsed="false">
      <c r="A78" s="19" t="n">
        <v>1.1</v>
      </c>
      <c r="B78" s="22" t="n">
        <f aca="false">px*A78/PL!F15</f>
        <v>6.42937437485471</v>
      </c>
      <c r="C78" s="22" t="n">
        <f aca="false">px*A78/PL!F29</f>
        <v>7.85833432770572</v>
      </c>
      <c r="D78" s="22" t="n">
        <f aca="false">px*A78/PL!F43</f>
        <v>10.1789718100642</v>
      </c>
      <c r="E78" s="22" t="n">
        <f aca="false">pe_mid</f>
        <v>14.52</v>
      </c>
    </row>
    <row r="79" customFormat="false" ht="15" hidden="false" customHeight="false" outlineLevel="0" collapsed="false">
      <c r="A79" s="19" t="n">
        <v>1.21</v>
      </c>
      <c r="B79" s="22" t="n">
        <f aca="false">px*A79/PL!F15</f>
        <v>7.07231181234018</v>
      </c>
      <c r="C79" s="22" t="n">
        <f aca="false">px*A79/PL!F29</f>
        <v>8.64416776047629</v>
      </c>
      <c r="D79" s="22" t="n">
        <f aca="false">px*A79/PL!F43</f>
        <v>11.1968689910706</v>
      </c>
      <c r="E79" s="22" t="n">
        <f aca="false">pe_mid</f>
        <v>14.52</v>
      </c>
    </row>
    <row r="80" customFormat="false" ht="15" hidden="false" customHeight="false" outlineLevel="0" collapsed="false">
      <c r="A80" s="19" t="n">
        <v>1.5</v>
      </c>
      <c r="B80" s="22" t="n">
        <f aca="false">px*A80/PL!F15</f>
        <v>8.7673286929837</v>
      </c>
      <c r="C80" s="22" t="n">
        <f aca="false">px*A80/PL!F29</f>
        <v>10.7159104468714</v>
      </c>
      <c r="D80" s="22" t="n">
        <f aca="false">px*A80/PL!F43</f>
        <v>13.880416104633</v>
      </c>
      <c r="E80" s="22" t="n">
        <f aca="false">pe_mid</f>
        <v>14.52</v>
      </c>
    </row>
    <row r="81" customFormat="false" ht="15" hidden="false" customHeight="false" outlineLevel="0" collapsed="false">
      <c r="A81" s="19" t="n">
        <v>2</v>
      </c>
      <c r="B81" s="22" t="n">
        <f aca="false">px*A81/PL!F15</f>
        <v>11.6897715906449</v>
      </c>
      <c r="C81" s="22" t="n">
        <f aca="false">px*A81/PL!F29</f>
        <v>14.2878805958286</v>
      </c>
      <c r="D81" s="22" t="n">
        <f aca="false">px*A81/PL!F43</f>
        <v>18.507221472844</v>
      </c>
      <c r="E81" s="22" t="n">
        <f aca="false">pe_mid</f>
        <v>14.52</v>
      </c>
    </row>
    <row r="82" customFormat="false" ht="17.15" hidden="false" customHeight="false" outlineLevel="0" collapsed="false">
      <c r="A82" s="4" t="s">
        <v>739</v>
      </c>
    </row>
    <row r="84" customFormat="false" ht="17.15" hidden="false" customHeight="false" outlineLevel="0" collapsed="false">
      <c r="A84" s="6" t="s">
        <v>740</v>
      </c>
    </row>
    <row r="85" customFormat="false" ht="17.15" hidden="false" customHeight="false" outlineLevel="0" collapsed="false">
      <c r="A85" s="5" t="s">
        <v>741</v>
      </c>
      <c r="B85" s="5" t="s">
        <v>742</v>
      </c>
      <c r="C85" s="15" t="s">
        <v>743</v>
      </c>
      <c r="D85" s="15" t="s">
        <v>744</v>
      </c>
    </row>
    <row r="86" customFormat="false" ht="15" hidden="false" customHeight="false" outlineLevel="0" collapsed="false">
      <c r="A86" s="0" t="s">
        <v>745</v>
      </c>
    </row>
    <row r="87" customFormat="false" ht="15" hidden="false" customHeight="false" outlineLevel="0" collapsed="false">
      <c r="A87" s="0" t="s">
        <v>746</v>
      </c>
      <c r="B87" s="18" t="n">
        <f aca="false">AVERAGE(C87:D87)</f>
        <v>16.1824324324324</v>
      </c>
      <c r="C87" s="18" t="n">
        <f aca="false">B106</f>
        <v>16.1824324324324</v>
      </c>
    </row>
    <row r="88" customFormat="false" ht="15" hidden="false" customHeight="false" outlineLevel="0" collapsed="false">
      <c r="A88" s="0" t="s">
        <v>747</v>
      </c>
      <c r="B88" s="18" t="n">
        <f aca="false">AVERAGE(C88:D88)</f>
        <v>10.8522727272727</v>
      </c>
      <c r="C88" s="18" t="n">
        <f aca="false">B107</f>
        <v>10.8522727272727</v>
      </c>
    </row>
    <row r="89" customFormat="false" ht="15" hidden="false" customHeight="false" outlineLevel="0" collapsed="false">
      <c r="A89" s="0" t="s">
        <v>748</v>
      </c>
      <c r="B89" s="18" t="n">
        <f aca="false">AVERAGE(C89:D89)</f>
        <v>11.8125</v>
      </c>
      <c r="C89" s="18" t="n">
        <f aca="false">B108</f>
        <v>11.8125</v>
      </c>
    </row>
    <row r="90" customFormat="false" ht="15" hidden="false" customHeight="false" outlineLevel="0" collapsed="false">
      <c r="A90" s="0" t="s">
        <v>749</v>
      </c>
      <c r="B90" s="18" t="n">
        <f aca="false">AVERAGE(C90:D90)</f>
        <v>10</v>
      </c>
      <c r="C90" s="18" t="n">
        <f aca="false">B109</f>
        <v>10</v>
      </c>
    </row>
    <row r="91" customFormat="false" ht="15" hidden="false" customHeight="false" outlineLevel="0" collapsed="false">
      <c r="A91" s="0" t="s">
        <v>750</v>
      </c>
      <c r="B91" s="18" t="n">
        <f aca="false">AVERAGE(C91:D91)</f>
        <v>7.83632978723404</v>
      </c>
      <c r="C91" s="18" t="n">
        <f aca="false">B110</f>
        <v>7.75265957446809</v>
      </c>
      <c r="D91" s="18" t="n">
        <f aca="false">C110</f>
        <v>7.92</v>
      </c>
    </row>
    <row r="92" customFormat="false" ht="15" hidden="false" customHeight="false" outlineLevel="0" collapsed="false">
      <c r="A92" s="0" t="s">
        <v>751</v>
      </c>
      <c r="B92" s="18" t="n">
        <f aca="false">AVERAGE(C92:D92)</f>
        <v>7.41583541147132</v>
      </c>
      <c r="C92" s="18" t="n">
        <f aca="false">B111</f>
        <v>7.33167082294264</v>
      </c>
      <c r="D92" s="18" t="n">
        <f aca="false">C111</f>
        <v>7.5</v>
      </c>
    </row>
    <row r="93" customFormat="false" ht="15" hidden="false" customHeight="false" outlineLevel="0" collapsed="false">
      <c r="A93" s="0" t="s">
        <v>752</v>
      </c>
      <c r="B93" s="18" t="n">
        <f aca="false">AVERAGE(C93:D93)</f>
        <v>24.2933333333333</v>
      </c>
      <c r="C93" s="18" t="n">
        <f aca="false">B112</f>
        <v>24.1666666666667</v>
      </c>
      <c r="D93" s="18" t="n">
        <f aca="false">C112</f>
        <v>24.42</v>
      </c>
    </row>
    <row r="94" customFormat="false" ht="15" hidden="false" customHeight="false" outlineLevel="0" collapsed="false">
      <c r="A94" s="0" t="s">
        <v>753</v>
      </c>
      <c r="B94" s="18" t="n">
        <f aca="false">AVERAGE(C94:D94)</f>
        <v>17.1206382978723</v>
      </c>
      <c r="C94" s="18" t="n">
        <f aca="false">B113</f>
        <v>17.0212765957447</v>
      </c>
      <c r="D94" s="18" t="n">
        <f aca="false">C113</f>
        <v>17.22</v>
      </c>
    </row>
    <row r="95" customFormat="false" ht="15" hidden="false" customHeight="false" outlineLevel="0" collapsed="false">
      <c r="A95" s="0" t="s">
        <v>754</v>
      </c>
      <c r="B95" s="18" t="n">
        <f aca="false">AVERAGE(C95:D95)</f>
        <v>17.0541150442478</v>
      </c>
      <c r="C95" s="18" t="n">
        <f aca="false">B114</f>
        <v>16.6482300884956</v>
      </c>
      <c r="D95" s="18" t="n">
        <f aca="false">C114</f>
        <v>17.46</v>
      </c>
    </row>
    <row r="96" customFormat="false" ht="15" hidden="false" customHeight="false" outlineLevel="0" collapsed="false">
      <c r="A96" s="4" t="s">
        <v>755</v>
      </c>
      <c r="B96" s="0" t="n">
        <f aca="false">COUNT($B$86:$B$95)</f>
        <v>9</v>
      </c>
    </row>
    <row r="100" customFormat="false" ht="17.15" hidden="false" customHeight="false" outlineLevel="0" collapsed="false">
      <c r="A100" s="6" t="s">
        <v>756</v>
      </c>
    </row>
    <row r="101" customFormat="false" ht="17.15" hidden="false" customHeight="false" outlineLevel="0" collapsed="false">
      <c r="A101" s="4" t="s">
        <v>757</v>
      </c>
    </row>
    <row r="103" customFormat="false" ht="17.15" hidden="false" customHeight="false" outlineLevel="0" collapsed="false">
      <c r="A103" s="6" t="s">
        <v>758</v>
      </c>
    </row>
    <row r="104" customFormat="false" ht="17.15" hidden="false" customHeight="false" outlineLevel="0" collapsed="false">
      <c r="A104" s="5" t="s">
        <v>741</v>
      </c>
      <c r="B104" s="15" t="s">
        <v>743</v>
      </c>
      <c r="C104" s="15" t="s">
        <v>744</v>
      </c>
      <c r="D104" s="5" t="s">
        <v>759</v>
      </c>
    </row>
    <row r="105" customFormat="false" ht="17.15" hidden="false" customHeight="false" outlineLevel="0" collapsed="false">
      <c r="A105" s="0" t="s">
        <v>745</v>
      </c>
      <c r="D105" s="0" t="s">
        <v>760</v>
      </c>
    </row>
    <row r="106" customFormat="false" ht="15" hidden="false" customHeight="false" outlineLevel="0" collapsed="false">
      <c r="A106" s="0" t="s">
        <v>746</v>
      </c>
      <c r="B106" s="18" t="n">
        <f aca="false">23.95/1.48</f>
        <v>16.1824324324324</v>
      </c>
    </row>
    <row r="107" customFormat="false" ht="15" hidden="false" customHeight="false" outlineLevel="0" collapsed="false">
      <c r="A107" s="0" t="s">
        <v>747</v>
      </c>
      <c r="B107" s="18" t="n">
        <f aca="false">19.1/1.76</f>
        <v>10.8522727272727</v>
      </c>
    </row>
    <row r="108" customFormat="false" ht="15" hidden="false" customHeight="false" outlineLevel="0" collapsed="false">
      <c r="A108" s="0" t="s">
        <v>748</v>
      </c>
      <c r="B108" s="18" t="n">
        <f aca="false">28.35/2.4</f>
        <v>11.8125</v>
      </c>
    </row>
    <row r="109" customFormat="false" ht="15" hidden="false" customHeight="false" outlineLevel="0" collapsed="false">
      <c r="A109" s="0" t="s">
        <v>749</v>
      </c>
      <c r="B109" s="18" t="n">
        <f aca="false">31/3.1</f>
        <v>10</v>
      </c>
    </row>
    <row r="110" customFormat="false" ht="15" hidden="false" customHeight="false" outlineLevel="0" collapsed="false">
      <c r="A110" s="0" t="s">
        <v>750</v>
      </c>
      <c r="B110" s="18" t="n">
        <f aca="false">29.15/3.76</f>
        <v>7.75265957446809</v>
      </c>
      <c r="C110" s="19" t="n">
        <v>7.92</v>
      </c>
    </row>
    <row r="111" customFormat="false" ht="15" hidden="false" customHeight="false" outlineLevel="0" collapsed="false">
      <c r="A111" s="0" t="s">
        <v>751</v>
      </c>
      <c r="B111" s="18" t="n">
        <f aca="false">29.4/4.01</f>
        <v>7.33167082294264</v>
      </c>
      <c r="C111" s="19" t="n">
        <v>7.5</v>
      </c>
    </row>
    <row r="112" customFormat="false" ht="15" hidden="false" customHeight="false" outlineLevel="0" collapsed="false">
      <c r="A112" s="0" t="s">
        <v>752</v>
      </c>
      <c r="B112" s="18" t="n">
        <f aca="false">98.6/4.08</f>
        <v>24.1666666666667</v>
      </c>
      <c r="C112" s="19" t="n">
        <v>24.42</v>
      </c>
    </row>
    <row r="113" customFormat="false" ht="15" hidden="false" customHeight="false" outlineLevel="0" collapsed="false">
      <c r="A113" s="0" t="s">
        <v>753</v>
      </c>
      <c r="B113" s="18" t="n">
        <f aca="false">104/6.11</f>
        <v>17.0212765957447</v>
      </c>
      <c r="C113" s="19" t="n">
        <v>17.22</v>
      </c>
    </row>
    <row r="114" customFormat="false" ht="15" hidden="false" customHeight="false" outlineLevel="0" collapsed="false">
      <c r="A114" s="0" t="s">
        <v>754</v>
      </c>
      <c r="B114" s="18" t="n">
        <f aca="false">150.5/9.04</f>
        <v>16.6482300884956</v>
      </c>
      <c r="C114" s="19" t="n">
        <v>17.46</v>
      </c>
    </row>
    <row r="115" customFormat="false" ht="17.15" hidden="false" customHeight="false" outlineLevel="0" collapsed="false">
      <c r="A115" s="0" t="s">
        <v>761</v>
      </c>
      <c r="B115" s="18" t="n">
        <f aca="false">PERCENTILE(B105:B114,0.25)</f>
        <v>10</v>
      </c>
      <c r="C115" s="18" t="n">
        <f aca="false">PERCENTILE(C105:C114,0.25)</f>
        <v>7.92</v>
      </c>
    </row>
    <row r="116" customFormat="false" ht="15" hidden="false" customHeight="false" outlineLevel="0" collapsed="false">
      <c r="A116" s="4" t="s">
        <v>762</v>
      </c>
      <c r="B116" s="18" t="n">
        <f aca="false">MEDIAN(B105:B114)</f>
        <v>11.8125</v>
      </c>
      <c r="C116" s="18" t="n">
        <f aca="false">MEDIAN(C105:C114)</f>
        <v>17.22</v>
      </c>
    </row>
    <row r="117" customFormat="false" ht="17.15" hidden="false" customHeight="false" outlineLevel="0" collapsed="false">
      <c r="A117" s="0" t="s">
        <v>763</v>
      </c>
      <c r="B117" s="18" t="n">
        <f aca="false">PERCENTILE(B105:B114,0.75)</f>
        <v>16.6482300884956</v>
      </c>
      <c r="C117" s="18" t="n">
        <f aca="false">PERCENTILE(C105:C114,0.75)</f>
        <v>17.46</v>
      </c>
    </row>
    <row r="118" customFormat="false" ht="15" hidden="false" customHeight="false" outlineLevel="0" collapsed="false">
      <c r="A118" s="4" t="s">
        <v>764</v>
      </c>
      <c r="B118" s="18" t="n">
        <f aca="false">MIN(B105:B114)</f>
        <v>7.33167082294264</v>
      </c>
      <c r="C118" s="18" t="n">
        <f aca="false">MIN(C105:C114)</f>
        <v>7.5</v>
      </c>
    </row>
    <row r="119" customFormat="false" ht="15" hidden="false" customHeight="false" outlineLevel="0" collapsed="false">
      <c r="A119" s="4" t="s">
        <v>765</v>
      </c>
      <c r="B119" s="18" t="n">
        <f aca="false">MAX(B105:B114)</f>
        <v>24.1666666666667</v>
      </c>
      <c r="C119" s="18" t="n">
        <f aca="false">MAX(C105:C114)</f>
        <v>24.42</v>
      </c>
    </row>
    <row r="120" customFormat="false" ht="17.15" hidden="false" customHeight="false" outlineLevel="0" collapsed="false">
      <c r="A120" s="1" t="s">
        <v>766</v>
      </c>
      <c r="B120" s="18" t="n">
        <f aca="false">ROUND(AVERAGE(B115,C115),2)</f>
        <v>8.96</v>
      </c>
    </row>
    <row r="121" customFormat="false" ht="17.15" hidden="false" customHeight="false" outlineLevel="0" collapsed="false">
      <c r="A121" s="1" t="s">
        <v>767</v>
      </c>
      <c r="B121" s="18" t="n">
        <f aca="false">ROUND(AVERAGE(B116,C116),2)</f>
        <v>14.52</v>
      </c>
    </row>
    <row r="122" customFormat="false" ht="17.15" hidden="false" customHeight="false" outlineLevel="0" collapsed="false">
      <c r="A122" s="1" t="s">
        <v>768</v>
      </c>
      <c r="B122" s="18" t="n">
        <f aca="false">ROUND(AVERAGE(B117,C117),2)</f>
        <v>17.05</v>
      </c>
    </row>
    <row r="123" customFormat="false" ht="17.15" hidden="false" customHeight="false" outlineLevel="0" collapsed="false">
      <c r="A123" s="1" t="s">
        <v>769</v>
      </c>
      <c r="B123" s="18" t="n">
        <f aca="false">ROUND(MIN(B118,C118),2)</f>
        <v>7.33</v>
      </c>
    </row>
    <row r="124" customFormat="false" ht="17.15" hidden="false" customHeight="false" outlineLevel="0" collapsed="false">
      <c r="A124" s="1" t="s">
        <v>770</v>
      </c>
      <c r="B124" s="18" t="n">
        <f aca="false">ROUND(MAX(B119,C119),2)</f>
        <v>24.42</v>
      </c>
    </row>
    <row r="126" customFormat="false" ht="17.15" hidden="false" customHeight="false" outlineLevel="0" collapsed="false">
      <c r="A126" s="6" t="s">
        <v>771</v>
      </c>
    </row>
    <row r="127" customFormat="false" ht="17.15" hidden="false" customHeight="false" outlineLevel="0" collapsed="false">
      <c r="A127" s="5" t="s">
        <v>772</v>
      </c>
      <c r="B127" s="5" t="s">
        <v>773</v>
      </c>
      <c r="C127" s="5" t="s">
        <v>774</v>
      </c>
      <c r="D127" s="5" t="s">
        <v>24</v>
      </c>
      <c r="E127" s="5" t="s">
        <v>775</v>
      </c>
      <c r="F127" s="5" t="s">
        <v>730</v>
      </c>
      <c r="G127" s="5" t="s">
        <v>776</v>
      </c>
      <c r="H127" s="5" t="s">
        <v>777</v>
      </c>
    </row>
    <row r="128" customFormat="false" ht="17.15" hidden="false" customHeight="false" outlineLevel="0" collapsed="false">
      <c r="A128" s="4" t="s">
        <v>778</v>
      </c>
      <c r="B128" s="0" t="s">
        <v>779</v>
      </c>
      <c r="C128" s="18" t="n">
        <f aca="false">B120</f>
        <v>8.96</v>
      </c>
      <c r="D128" s="8" t="s">
        <v>780</v>
      </c>
      <c r="E128" s="25" t="n">
        <f aca="false">C72</f>
        <v>27.1844325470577</v>
      </c>
      <c r="F128" s="21" t="n">
        <f aca="false">C128*E128</f>
        <v>243.572515621637</v>
      </c>
      <c r="G128" s="20" t="n">
        <f aca="false">F128/px-1</f>
        <v>0.281960608534934</v>
      </c>
      <c r="H128" s="18" t="n">
        <f aca="false">px/E128</f>
        <v>6.98929432023639</v>
      </c>
    </row>
    <row r="129" customFormat="false" ht="17.15" hidden="false" customHeight="false" outlineLevel="0" collapsed="false">
      <c r="A129" s="4" t="s">
        <v>781</v>
      </c>
      <c r="B129" s="4" t="s">
        <v>782</v>
      </c>
      <c r="C129" s="18" t="n">
        <f aca="false">B121</f>
        <v>14.52</v>
      </c>
      <c r="D129" s="8" t="s">
        <v>780</v>
      </c>
      <c r="E129" s="25" t="n">
        <f aca="false">C72</f>
        <v>27.1844325470577</v>
      </c>
      <c r="F129" s="21" t="n">
        <f aca="false">C129*E129</f>
        <v>394.717960583278</v>
      </c>
      <c r="G129" s="20" t="n">
        <f aca="false">F129/px-1</f>
        <v>1.07746295043831</v>
      </c>
      <c r="H129" s="18" t="n">
        <f aca="false">px/E129</f>
        <v>6.98929432023639</v>
      </c>
    </row>
    <row r="130" customFormat="false" ht="17.15" hidden="false" customHeight="false" outlineLevel="0" collapsed="false">
      <c r="A130" s="4" t="s">
        <v>783</v>
      </c>
      <c r="B130" s="0" t="s">
        <v>784</v>
      </c>
      <c r="C130" s="18" t="n">
        <f aca="false">B122</f>
        <v>17.05</v>
      </c>
      <c r="D130" s="8" t="s">
        <v>780</v>
      </c>
      <c r="E130" s="25" t="n">
        <f aca="false">C72</f>
        <v>27.1844325470577</v>
      </c>
      <c r="F130" s="21" t="n">
        <f aca="false">C130*E130</f>
        <v>463.494574927335</v>
      </c>
      <c r="G130" s="20" t="n">
        <f aca="false">F130/px-1</f>
        <v>1.4394451311965</v>
      </c>
      <c r="H130" s="18" t="n">
        <f aca="false">px/E130</f>
        <v>6.98929432023639</v>
      </c>
    </row>
    <row r="134" customFormat="false" ht="17.15" hidden="false" customHeight="false" outlineLevel="0" collapsed="false">
      <c r="A134" s="6" t="s">
        <v>785</v>
      </c>
    </row>
    <row r="135" customFormat="false" ht="17.15" hidden="false" customHeight="false" outlineLevel="0" collapsed="false">
      <c r="A135" s="4" t="s">
        <v>786</v>
      </c>
      <c r="B135" s="0" t="str">
        <f aca="false">IF(B42&gt;0.5,"大於 50%",IF(B42&gt;0.25,"25%–50%",IF(B42&gt;=0,"0%–25%",IF(B42&gt;=-0.25,"0%～−25%",IF(B42&gt;=-0.5,"−25%～−50%","小於 −50%")))))</f>
        <v>大於 50%</v>
      </c>
      <c r="E135" s="4" t="s">
        <v>787</v>
      </c>
    </row>
    <row r="136" customFormat="false" ht="17.15" hidden="false" customHeight="false" outlineLevel="0" collapsed="false">
      <c r="A136" s="4" t="s">
        <v>788</v>
      </c>
      <c r="B136" s="0" t="str">
        <f aca="false">IF(B42&gt;0.5,"強力買進",IF(B42&gt;0.25,"買進",IF(B42&gt;=-0.25,"中立",IF(B42&gt;=-0.5,"放空","強力放空"))))</f>
        <v>強力買進</v>
      </c>
      <c r="E136" s="4" t="s">
        <v>789</v>
      </c>
    </row>
    <row r="139" customFormat="false" ht="17.15" hidden="false" customHeight="false" outlineLevel="0" collapsed="false">
      <c r="A139" s="6" t="s">
        <v>790</v>
      </c>
    </row>
    <row r="140" customFormat="false" ht="17.15" hidden="false" customHeight="false" outlineLevel="0" collapsed="false">
      <c r="A140" s="4" t="s">
        <v>791</v>
      </c>
    </row>
    <row r="141" customFormat="false" ht="17.15" hidden="false" customHeight="false" outlineLevel="0" collapsed="false">
      <c r="A141" s="5" t="s">
        <v>792</v>
      </c>
      <c r="B141" s="5" t="s">
        <v>661</v>
      </c>
      <c r="C141" s="5" t="s">
        <v>793</v>
      </c>
      <c r="D141" s="15" t="s">
        <v>794</v>
      </c>
      <c r="E141" s="15" t="s">
        <v>795</v>
      </c>
      <c r="F141" s="15" t="s">
        <v>796</v>
      </c>
      <c r="G141" s="15" t="s">
        <v>797</v>
      </c>
      <c r="H141" s="15" t="s">
        <v>798</v>
      </c>
      <c r="I141" s="15" t="s">
        <v>799</v>
      </c>
      <c r="J141" s="15" t="s">
        <v>800</v>
      </c>
      <c r="K141" s="15" t="s">
        <v>801</v>
      </c>
      <c r="L141" s="15" t="s">
        <v>802</v>
      </c>
      <c r="M141" s="15" t="s">
        <v>803</v>
      </c>
      <c r="N141" s="5" t="s">
        <v>804</v>
      </c>
      <c r="O141" s="15" t="s">
        <v>805</v>
      </c>
      <c r="P141" s="5" t="s">
        <v>806</v>
      </c>
      <c r="Q141" s="5" t="s">
        <v>664</v>
      </c>
    </row>
    <row r="142" customFormat="false" ht="17.15" hidden="false" customHeight="false" outlineLevel="0" collapsed="false">
      <c r="A142" s="4" t="s">
        <v>807</v>
      </c>
      <c r="B142" s="0" t="s">
        <v>808</v>
      </c>
      <c r="C142" s="4" t="s">
        <v>809</v>
      </c>
      <c r="D142" s="19" t="n">
        <v>12.7785</v>
      </c>
      <c r="E142" s="19" t="n">
        <v>10.006</v>
      </c>
      <c r="F142" s="19" t="n">
        <v>11.2365</v>
      </c>
      <c r="G142" s="19" t="n">
        <v>11.9755</v>
      </c>
      <c r="H142" s="19" t="n">
        <v>9.5475</v>
      </c>
      <c r="I142" s="19" t="n">
        <v>8.593</v>
      </c>
      <c r="J142" s="19" t="n">
        <v>13.692</v>
      </c>
      <c r="K142" s="19" t="n">
        <v>15.2985</v>
      </c>
      <c r="L142" s="19" t="n">
        <v>12.5875</v>
      </c>
      <c r="M142" s="19" t="n">
        <v>9.8065</v>
      </c>
      <c r="N142" s="8" t="n">
        <f aca="false">COUNT(D142:M142)</f>
        <v>10</v>
      </c>
      <c r="O142" s="18" t="n">
        <f aca="false">IF(N142&gt;0,MEDIAN(D142:M142),"")</f>
        <v>11.606</v>
      </c>
      <c r="P142" s="18" t="n">
        <f aca="false">IF(N142&gt;=7,O142,"")</f>
        <v>11.606</v>
      </c>
      <c r="Q142" s="8" t="s">
        <v>810</v>
      </c>
    </row>
    <row r="143" customFormat="false" ht="17.15" hidden="false" customHeight="false" outlineLevel="0" collapsed="false">
      <c r="A143" s="4" t="s">
        <v>665</v>
      </c>
      <c r="B143" s="0" t="s">
        <v>666</v>
      </c>
      <c r="C143" s="4" t="s">
        <v>811</v>
      </c>
      <c r="D143" s="19" t="n">
        <v>12.7245</v>
      </c>
      <c r="E143" s="19" t="n">
        <v>11.81</v>
      </c>
      <c r="F143" s="19" t="n">
        <v>13.5865</v>
      </c>
      <c r="G143" s="19" t="n">
        <v>13.292</v>
      </c>
      <c r="H143" s="19" t="n">
        <v>11.727</v>
      </c>
      <c r="I143" s="19" t="n">
        <v>10.8985</v>
      </c>
      <c r="J143" s="19" t="n">
        <v>13.589</v>
      </c>
      <c r="K143" s="19" t="n">
        <v>17.484</v>
      </c>
      <c r="L143" s="19" t="n">
        <v>13.758</v>
      </c>
      <c r="M143" s="19" t="n">
        <v>12.6305</v>
      </c>
      <c r="N143" s="8" t="n">
        <f aca="false">COUNT(D143:M143)</f>
        <v>10</v>
      </c>
      <c r="O143" s="18" t="n">
        <f aca="false">IF(N143&gt;0,MEDIAN(D143:M143),"")</f>
        <v>13.00825</v>
      </c>
      <c r="P143" s="18" t="n">
        <f aca="false">IF(N143&gt;=7,O143,"")</f>
        <v>13.00825</v>
      </c>
      <c r="Q143" s="8" t="s">
        <v>812</v>
      </c>
    </row>
    <row r="144" customFormat="false" ht="17.15" hidden="false" customHeight="false" outlineLevel="0" collapsed="false">
      <c r="A144" s="4" t="s">
        <v>669</v>
      </c>
      <c r="B144" s="0" t="s">
        <v>670</v>
      </c>
      <c r="C144" s="4" t="s">
        <v>811</v>
      </c>
      <c r="D144" s="19" t="n">
        <v>10.848</v>
      </c>
      <c r="E144" s="19" t="n">
        <v>9.9185</v>
      </c>
      <c r="F144" s="19" t="n">
        <v>9.3295</v>
      </c>
      <c r="G144" s="19" t="n">
        <v>9.257</v>
      </c>
      <c r="H144" s="19" t="n">
        <v>10.6005</v>
      </c>
      <c r="I144" s="19" t="n">
        <v>9.4585</v>
      </c>
      <c r="J144" s="19" t="n">
        <v>9.4125</v>
      </c>
      <c r="K144" s="19" t="n">
        <v>13.1225</v>
      </c>
      <c r="L144" s="19" t="n">
        <v>12.1295</v>
      </c>
      <c r="M144" s="19" t="n">
        <v>12.3225</v>
      </c>
      <c r="N144" s="8" t="n">
        <f aca="false">COUNT(D144:M144)</f>
        <v>10</v>
      </c>
      <c r="O144" s="18" t="n">
        <f aca="false">IF(N144&gt;0,MEDIAN(D144:M144),"")</f>
        <v>10.2595</v>
      </c>
      <c r="P144" s="18" t="n">
        <f aca="false">IF(N144&gt;=7,O144,"")</f>
        <v>10.2595</v>
      </c>
      <c r="Q144" s="8" t="s">
        <v>813</v>
      </c>
    </row>
    <row r="145" customFormat="false" ht="17.15" hidden="false" customHeight="false" outlineLevel="0" collapsed="false">
      <c r="A145" s="4" t="s">
        <v>672</v>
      </c>
      <c r="B145" s="0" t="s">
        <v>673</v>
      </c>
      <c r="C145" s="4" t="s">
        <v>811</v>
      </c>
      <c r="D145" s="19" t="n">
        <v>11.056</v>
      </c>
      <c r="E145" s="19" t="n">
        <v>10.9935</v>
      </c>
      <c r="F145" s="19" t="n">
        <v>11.582</v>
      </c>
      <c r="G145" s="19" t="n">
        <v>11.5245</v>
      </c>
      <c r="H145" s="19" t="n">
        <v>14.1035</v>
      </c>
      <c r="I145" s="19" t="n">
        <v>13.412</v>
      </c>
      <c r="J145" s="19" t="n">
        <v>17.745</v>
      </c>
      <c r="K145" s="19" t="n">
        <v>20.2385</v>
      </c>
      <c r="L145" s="19" t="n">
        <v>16.409</v>
      </c>
      <c r="M145" s="19" t="n">
        <v>15.56</v>
      </c>
      <c r="N145" s="8" t="n">
        <f aca="false">COUNT(D145:M145)</f>
        <v>10</v>
      </c>
      <c r="O145" s="18" t="n">
        <f aca="false">IF(N145&gt;0,MEDIAN(D145:M145),"")</f>
        <v>13.75775</v>
      </c>
      <c r="P145" s="18" t="n">
        <f aca="false">IF(N145&gt;=7,O145,"")</f>
        <v>13.75775</v>
      </c>
      <c r="Q145" s="8" t="s">
        <v>814</v>
      </c>
    </row>
    <row r="146" customFormat="false" ht="17.15" hidden="false" customHeight="false" outlineLevel="0" collapsed="false">
      <c r="A146" s="4" t="s">
        <v>675</v>
      </c>
      <c r="B146" s="0" t="s">
        <v>676</v>
      </c>
      <c r="C146" s="4" t="s">
        <v>811</v>
      </c>
      <c r="E146" s="19" t="n">
        <v>10.253</v>
      </c>
      <c r="F146" s="19" t="n">
        <v>11.045</v>
      </c>
      <c r="G146" s="19" t="n">
        <v>15.2965</v>
      </c>
      <c r="H146" s="19" t="n">
        <v>14.1175</v>
      </c>
      <c r="I146" s="19" t="n">
        <v>14.322</v>
      </c>
      <c r="J146" s="19" t="n">
        <v>13.9525</v>
      </c>
      <c r="K146" s="19" t="n">
        <v>19.15</v>
      </c>
      <c r="L146" s="19" t="n">
        <v>13.572</v>
      </c>
      <c r="M146" s="19" t="n">
        <v>12.474</v>
      </c>
      <c r="N146" s="8" t="n">
        <f aca="false">COUNT(D146:M146)</f>
        <v>9</v>
      </c>
      <c r="O146" s="18" t="n">
        <f aca="false">IF(N146&gt;0,MEDIAN(D146:M146),"")</f>
        <v>13.9525</v>
      </c>
      <c r="P146" s="18" t="n">
        <f aca="false">IF(N146&gt;=7,O146,"")</f>
        <v>13.9525</v>
      </c>
      <c r="Q146" s="8" t="s">
        <v>815</v>
      </c>
    </row>
    <row r="147" customFormat="false" ht="17.15" hidden="false" customHeight="false" outlineLevel="0" collapsed="false">
      <c r="A147" s="4" t="s">
        <v>678</v>
      </c>
      <c r="B147" s="0" t="s">
        <v>679</v>
      </c>
      <c r="C147" s="4" t="s">
        <v>811</v>
      </c>
      <c r="D147" s="19" t="n">
        <v>12.9915</v>
      </c>
      <c r="E147" s="19" t="n">
        <v>8.744</v>
      </c>
      <c r="F147" s="19" t="n">
        <v>6.977</v>
      </c>
      <c r="G147" s="19" t="n">
        <v>10.273</v>
      </c>
      <c r="H147" s="19" t="n">
        <v>11.344</v>
      </c>
      <c r="I147" s="19" t="n">
        <v>9.2745</v>
      </c>
      <c r="J147" s="19" t="n">
        <v>12.0355</v>
      </c>
      <c r="K147" s="19" t="n">
        <v>20.3055</v>
      </c>
      <c r="L147" s="19" t="n">
        <v>13.3895</v>
      </c>
      <c r="M147" s="19" t="n">
        <v>9.288</v>
      </c>
      <c r="N147" s="8" t="n">
        <f aca="false">COUNT(D147:M147)</f>
        <v>10</v>
      </c>
      <c r="O147" s="18" t="n">
        <f aca="false">IF(N147&gt;0,MEDIAN(D147:M147),"")</f>
        <v>10.8085</v>
      </c>
      <c r="P147" s="18" t="n">
        <f aca="false">IF(N147&gt;=7,O147,"")</f>
        <v>10.8085</v>
      </c>
      <c r="Q147" s="8" t="s">
        <v>816</v>
      </c>
    </row>
    <row r="149" customFormat="false" ht="17.15" hidden="false" customHeight="false" outlineLevel="0" collapsed="false">
      <c r="A149" s="4" t="s">
        <v>817</v>
      </c>
      <c r="B149" s="18" t="n">
        <f aca="false">P142</f>
        <v>11.606</v>
      </c>
      <c r="E149" s="4" t="s">
        <v>818</v>
      </c>
    </row>
    <row r="150" customFormat="false" ht="15" hidden="false" customHeight="false" outlineLevel="0" collapsed="false">
      <c r="A150" s="4" t="s">
        <v>819</v>
      </c>
      <c r="B150" s="40" t="n">
        <f aca="false">COUNT(P143:P147)</f>
        <v>5</v>
      </c>
    </row>
    <row r="151" customFormat="false" ht="17.15" hidden="false" customHeight="false" outlineLevel="0" collapsed="false">
      <c r="A151" s="4" t="s">
        <v>820</v>
      </c>
      <c r="B151" s="18" t="n">
        <f aca="false">IF(B150&gt;0,MEDIAN(P143:P147),"")</f>
        <v>13.00825</v>
      </c>
    </row>
    <row r="152" customFormat="false" ht="17.15" hidden="false" customHeight="false" outlineLevel="0" collapsed="false">
      <c r="A152" s="4" t="s">
        <v>821</v>
      </c>
      <c r="B152" s="18" t="n">
        <f aca="false">IF(AND(ISNUMBER(B149),B150&gt;=2),B149/B151,"")</f>
        <v>0.892203025003363</v>
      </c>
      <c r="E152" s="4" t="s">
        <v>822</v>
      </c>
    </row>
    <row r="153" customFormat="false" ht="17.15" hidden="false" customHeight="false" outlineLevel="0" collapsed="false">
      <c r="A153" s="4" t="s">
        <v>823</v>
      </c>
      <c r="B153" s="19" t="n">
        <v>0.5</v>
      </c>
      <c r="E153" s="8" t="s">
        <v>824</v>
      </c>
    </row>
    <row r="154" customFormat="false" ht="17.15" hidden="false" customHeight="false" outlineLevel="0" collapsed="false">
      <c r="A154" s="4" t="s">
        <v>825</v>
      </c>
      <c r="B154" s="19" t="n">
        <v>2</v>
      </c>
      <c r="E154" s="8" t="s">
        <v>826</v>
      </c>
    </row>
    <row r="155" customFormat="false" ht="17.15" hidden="false" customHeight="false" outlineLevel="0" collapsed="false">
      <c r="A155" s="1" t="s">
        <v>827</v>
      </c>
      <c r="B155" s="33" t="n">
        <f aca="false">IF(ISNUMBER(B152),MIN(MAX(B152,B153),B154),1)</f>
        <v>0.892203025003363</v>
      </c>
      <c r="E155" s="4" t="s">
        <v>828</v>
      </c>
    </row>
    <row r="156" customFormat="false" ht="17.15" hidden="false" customHeight="false" outlineLevel="0" collapsed="false">
      <c r="A156" s="6" t="s">
        <v>829</v>
      </c>
      <c r="B156" s="33" t="n">
        <f aca="false">Val!$B$35*B155</f>
        <v>275.533101517918</v>
      </c>
      <c r="E156" s="4" t="s">
        <v>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831</v>
      </c>
    </row>
    <row r="3" customFormat="false" ht="17.15" hidden="false" customHeight="false" outlineLevel="0" collapsed="false">
      <c r="A3" s="5" t="s">
        <v>21</v>
      </c>
      <c r="B3" s="5" t="s">
        <v>832</v>
      </c>
      <c r="C3" s="5" t="s">
        <v>833</v>
      </c>
      <c r="D3" s="5" t="s">
        <v>834</v>
      </c>
      <c r="E3" s="5" t="s">
        <v>835</v>
      </c>
      <c r="F3" s="5" t="s">
        <v>836</v>
      </c>
      <c r="G3" s="5" t="s">
        <v>837</v>
      </c>
      <c r="H3" s="5" t="s">
        <v>838</v>
      </c>
      <c r="I3" s="5" t="s">
        <v>839</v>
      </c>
      <c r="J3" s="5" t="s">
        <v>420</v>
      </c>
    </row>
    <row r="4" customFormat="false" ht="17.15" hidden="false" customHeight="false" outlineLevel="0" collapsed="false">
      <c r="A4" s="6" t="s">
        <v>840</v>
      </c>
    </row>
    <row r="5" customFormat="false" ht="17.15" hidden="false" customHeight="false" outlineLevel="0" collapsed="false">
      <c r="A5" s="0" t="s">
        <v>841</v>
      </c>
      <c r="B5" s="21" t="n">
        <f aca="false">cons_rev26</f>
        <v>4100</v>
      </c>
      <c r="C5" s="21" t="n">
        <f aca="false">PL!D90</f>
        <v>4097.35195421038</v>
      </c>
      <c r="D5" s="20" t="n">
        <f aca="false">C5/B5-1</f>
        <v>-0.000645864826737341</v>
      </c>
      <c r="E5" s="21" t="n">
        <f aca="false">PL!D159</f>
        <v>4097.35195421038</v>
      </c>
      <c r="F5" s="20" t="n">
        <f aca="false">E5/B5-1</f>
        <v>-0.000645864826737341</v>
      </c>
      <c r="G5" s="21" t="n">
        <f aca="false">PL!D228</f>
        <v>4097.35195421038</v>
      </c>
      <c r="H5" s="20" t="n">
        <f aca="false">G5/B5-1</f>
        <v>-0.000645864826737341</v>
      </c>
      <c r="I5" s="8" t="s">
        <v>842</v>
      </c>
    </row>
    <row r="6" customFormat="false" ht="17.15" hidden="false" customHeight="false" outlineLevel="0" collapsed="false">
      <c r="A6" s="0" t="s">
        <v>843</v>
      </c>
      <c r="B6" s="25" t="n">
        <f aca="false">cons_eps26</f>
        <v>17.09</v>
      </c>
      <c r="C6" s="25" t="n">
        <f aca="false">PL!D124</f>
        <v>18.4247476850676</v>
      </c>
      <c r="D6" s="20" t="n">
        <f aca="false">C6/B6-1</f>
        <v>0.078101093333387</v>
      </c>
      <c r="E6" s="25" t="n">
        <f aca="false">PL!D193</f>
        <v>18.4247476850676</v>
      </c>
      <c r="F6" s="20" t="n">
        <f aca="false">E6/B6-1</f>
        <v>0.078101093333387</v>
      </c>
      <c r="G6" s="25" t="n">
        <f aca="false">PL!D262</f>
        <v>18.4247476850676</v>
      </c>
      <c r="H6" s="20" t="n">
        <f aca="false">G6/B6-1</f>
        <v>0.078101093333387</v>
      </c>
      <c r="I6" s="8" t="s">
        <v>842</v>
      </c>
      <c r="J6" s="8" t="s">
        <v>844</v>
      </c>
    </row>
    <row r="7" customFormat="false" ht="17.15" hidden="false" customHeight="false" outlineLevel="0" collapsed="false">
      <c r="A7" s="0" t="s">
        <v>845</v>
      </c>
      <c r="B7" s="25" t="n">
        <f aca="false">k_eps26</f>
        <v>13.96</v>
      </c>
      <c r="C7" s="25" t="n">
        <f aca="false">PL!D124</f>
        <v>18.4247476850676</v>
      </c>
      <c r="D7" s="20" t="n">
        <f aca="false">C7/B7-1</f>
        <v>0.319824332741231</v>
      </c>
      <c r="E7" s="25" t="n">
        <f aca="false">PL!D193</f>
        <v>18.4247476850676</v>
      </c>
      <c r="F7" s="20" t="n">
        <f aca="false">E7/B7-1</f>
        <v>0.319824332741231</v>
      </c>
      <c r="G7" s="25" t="n">
        <f aca="false">PL!D262</f>
        <v>18.4247476850676</v>
      </c>
      <c r="H7" s="20" t="n">
        <f aca="false">G7/B7-1</f>
        <v>0.319824332741231</v>
      </c>
      <c r="I7" s="4" t="s">
        <v>846</v>
      </c>
    </row>
    <row r="8" customFormat="false" ht="17.15" hidden="false" customHeight="false" outlineLevel="0" collapsed="false">
      <c r="A8" s="0" t="s">
        <v>847</v>
      </c>
      <c r="B8" s="25" t="n">
        <f aca="false">b_eps27</f>
        <v>20</v>
      </c>
      <c r="C8" s="25" t="n">
        <f aca="false">PL!E124</f>
        <v>27.1844325470577</v>
      </c>
      <c r="D8" s="20" t="n">
        <f aca="false">C8/B8-1</f>
        <v>0.359221627352887</v>
      </c>
      <c r="E8" s="25" t="n">
        <f aca="false">PL!E193</f>
        <v>27.1844325470577</v>
      </c>
      <c r="F8" s="20" t="n">
        <f aca="false">E8/B8-1</f>
        <v>0.359221627352887</v>
      </c>
      <c r="G8" s="25" t="n">
        <f aca="false">PL!E262</f>
        <v>27.1844325470577</v>
      </c>
      <c r="H8" s="20" t="n">
        <f aca="false">G8/B8-1</f>
        <v>0.359221627352887</v>
      </c>
      <c r="I8" s="4" t="s">
        <v>325</v>
      </c>
    </row>
    <row r="9" customFormat="false" ht="17.15" hidden="false" customHeight="false" outlineLevel="0" collapsed="false">
      <c r="A9" s="0" t="s">
        <v>848</v>
      </c>
      <c r="B9" s="25" t="n">
        <f aca="false">b_eps27h</f>
        <v>24.85</v>
      </c>
      <c r="C9" s="25" t="n">
        <f aca="false">PL!E124</f>
        <v>27.1844325470577</v>
      </c>
      <c r="D9" s="20" t="n">
        <f aca="false">C9/B9-1</f>
        <v>0.093940947567716</v>
      </c>
      <c r="E9" s="25" t="n">
        <f aca="false">PL!E193</f>
        <v>27.1844325470577</v>
      </c>
      <c r="F9" s="20" t="n">
        <f aca="false">E9/B9-1</f>
        <v>0.093940947567716</v>
      </c>
      <c r="G9" s="25" t="n">
        <f aca="false">PL!E262</f>
        <v>27.1844325470577</v>
      </c>
      <c r="H9" s="20" t="n">
        <f aca="false">G9/B9-1</f>
        <v>0.093940947567716</v>
      </c>
      <c r="I9" s="4" t="s">
        <v>325</v>
      </c>
    </row>
    <row r="10" customFormat="false" ht="17.15" hidden="false" customHeight="false" outlineLevel="0" collapsed="false">
      <c r="A10" s="0" t="s">
        <v>849</v>
      </c>
      <c r="B10" s="25" t="n">
        <f aca="false">k_eps27</f>
        <v>18.29</v>
      </c>
      <c r="C10" s="25" t="n">
        <f aca="false">PL!E124</f>
        <v>27.1844325470577</v>
      </c>
      <c r="D10" s="20" t="n">
        <f aca="false">C10/B10-1</f>
        <v>0.486300303283638</v>
      </c>
      <c r="E10" s="25" t="n">
        <f aca="false">PL!E193</f>
        <v>27.1844325470577</v>
      </c>
      <c r="F10" s="20" t="n">
        <f aca="false">E10/B10-1</f>
        <v>0.486300303283638</v>
      </c>
      <c r="G10" s="25" t="n">
        <f aca="false">PL!E262</f>
        <v>27.1844325470577</v>
      </c>
      <c r="H10" s="20" t="n">
        <f aca="false">G10/B10-1</f>
        <v>0.486300303283638</v>
      </c>
      <c r="I10" s="4" t="s">
        <v>846</v>
      </c>
      <c r="J10" s="8" t="s">
        <v>850</v>
      </c>
    </row>
    <row r="11" customFormat="false" ht="17.15" hidden="false" customHeight="false" outlineLevel="0" collapsed="false">
      <c r="A11" s="0" t="s">
        <v>851</v>
      </c>
      <c r="C11" s="20" t="n">
        <f aca="false">PL!E95</f>
        <v>0.437277260581405</v>
      </c>
      <c r="E11" s="20" t="n">
        <f aca="false">PL!E164</f>
        <v>0.437277260581405</v>
      </c>
      <c r="G11" s="20" t="n">
        <f aca="false">PL!E233</f>
        <v>0.437277260581405</v>
      </c>
      <c r="I11" s="8" t="s">
        <v>136</v>
      </c>
    </row>
    <row r="12" customFormat="false" ht="17.15" hidden="false" customHeight="false" outlineLevel="0" collapsed="false">
      <c r="A12" s="6" t="s">
        <v>852</v>
      </c>
    </row>
    <row r="13" customFormat="false" ht="17.15" hidden="false" customHeight="false" outlineLevel="0" collapsed="false">
      <c r="A13" s="0" t="s">
        <v>853</v>
      </c>
      <c r="B13" s="21" t="n">
        <f aca="false">kw_rev26</f>
        <v>1361.998</v>
      </c>
      <c r="C13" s="21" t="n">
        <f aca="false">PL!D89</f>
        <v>1445.6269</v>
      </c>
      <c r="D13" s="20" t="n">
        <f aca="false">C13/B13-1</f>
        <v>0.061401632014144</v>
      </c>
      <c r="E13" s="21" t="n">
        <f aca="false">PL!D158</f>
        <v>1445.6269</v>
      </c>
      <c r="F13" s="20" t="n">
        <f aca="false">E13/B13-1</f>
        <v>0.061401632014144</v>
      </c>
      <c r="G13" s="21" t="n">
        <f aca="false">PL!D227</f>
        <v>1445.6269</v>
      </c>
      <c r="H13" s="20" t="n">
        <f aca="false">G13/B13-1</f>
        <v>0.061401632014144</v>
      </c>
      <c r="I13" s="4" t="s">
        <v>854</v>
      </c>
      <c r="J13" s="8" t="s">
        <v>855</v>
      </c>
    </row>
    <row r="14" customFormat="false" ht="17.15" hidden="false" customHeight="false" outlineLevel="0" collapsed="false">
      <c r="A14" s="0" t="s">
        <v>856</v>
      </c>
      <c r="B14" s="21" t="n">
        <f aca="false">kw_rev27</f>
        <v>2368.079</v>
      </c>
      <c r="C14" s="21" t="n">
        <f aca="false">PL!E89</f>
        <v>2072.3895126278</v>
      </c>
      <c r="D14" s="20" t="n">
        <f aca="false">C14/B14-1</f>
        <v>-0.124864705684311</v>
      </c>
      <c r="E14" s="21" t="n">
        <f aca="false">PL!E158</f>
        <v>2072.3895126278</v>
      </c>
      <c r="F14" s="20" t="n">
        <f aca="false">E14/B14-1</f>
        <v>-0.124864705684311</v>
      </c>
      <c r="G14" s="21" t="n">
        <f aca="false">PL!E227</f>
        <v>2072.3895126278</v>
      </c>
      <c r="H14" s="20" t="n">
        <f aca="false">G14/B14-1</f>
        <v>-0.124864705684311</v>
      </c>
      <c r="I14" s="4" t="s">
        <v>854</v>
      </c>
    </row>
    <row r="15" customFormat="false" ht="17.15" hidden="false" customHeight="false" outlineLevel="0" collapsed="false">
      <c r="A15" s="0" t="s">
        <v>857</v>
      </c>
      <c r="B15" s="21" t="n">
        <f aca="false">kw_ni27</f>
        <v>105.263</v>
      </c>
      <c r="C15" s="21" t="n">
        <f aca="false">PL!E112</f>
        <v>105.07014829023</v>
      </c>
      <c r="D15" s="20" t="n">
        <f aca="false">C15/B15-1</f>
        <v>-0.00183209399096029</v>
      </c>
      <c r="E15" s="21" t="n">
        <f aca="false">PL!E181</f>
        <v>105.07014829023</v>
      </c>
      <c r="F15" s="20" t="n">
        <f aca="false">E15/B15-1</f>
        <v>-0.00183209399096029</v>
      </c>
      <c r="G15" s="21" t="n">
        <f aca="false">PL!E250</f>
        <v>105.07014829023</v>
      </c>
      <c r="H15" s="20" t="n">
        <f aca="false">G15/B15-1</f>
        <v>-0.00183209399096029</v>
      </c>
      <c r="I15" s="4" t="s">
        <v>854</v>
      </c>
    </row>
    <row r="16" customFormat="false" ht="17.15" hidden="false" customHeight="false" outlineLevel="0" collapsed="false">
      <c r="A16" s="0" t="s">
        <v>858</v>
      </c>
      <c r="C16" s="20" t="n">
        <f aca="false">PL!E122</f>
        <v>0.424595950045949</v>
      </c>
      <c r="E16" s="20" t="n">
        <f aca="false">PL!E191</f>
        <v>0.424595950045949</v>
      </c>
      <c r="G16" s="20" t="n">
        <f aca="false">PL!E260</f>
        <v>0.424595950045949</v>
      </c>
      <c r="I16" s="8" t="s">
        <v>136</v>
      </c>
      <c r="J16" s="4" t="s">
        <v>859</v>
      </c>
    </row>
    <row r="17" customFormat="false" ht="17.15" hidden="false" customHeight="false" outlineLevel="0" collapsed="false">
      <c r="A17" s="6" t="s">
        <v>860</v>
      </c>
    </row>
    <row r="18" customFormat="false" ht="17.15" hidden="false" customHeight="false" outlineLevel="0" collapsed="false">
      <c r="A18" s="0" t="s">
        <v>861</v>
      </c>
      <c r="B18" s="21" t="n">
        <f aca="false">k_racks</f>
        <v>15</v>
      </c>
      <c r="C18" s="21" t="n">
        <f aca="false">PL!D98</f>
        <v>12.0597330420658</v>
      </c>
      <c r="D18" s="20" t="n">
        <f aca="false">C18/B18-1</f>
        <v>-0.196017797195612</v>
      </c>
      <c r="E18" s="21" t="n">
        <f aca="false">PL!D167</f>
        <v>12.0597330420658</v>
      </c>
      <c r="F18" s="20" t="n">
        <f aca="false">E18/B18-1</f>
        <v>-0.196017797195612</v>
      </c>
      <c r="G18" s="21" t="n">
        <f aca="false">PL!D236</f>
        <v>12.0597330420658</v>
      </c>
      <c r="H18" s="20" t="n">
        <f aca="false">G18/B18-1</f>
        <v>-0.196017797195612</v>
      </c>
      <c r="I18" s="4" t="s">
        <v>846</v>
      </c>
      <c r="J18" s="4" t="s">
        <v>862</v>
      </c>
    </row>
    <row r="19" customFormat="false" ht="17.15" hidden="false" customHeight="false" outlineLevel="0" collapsed="false">
      <c r="A19" s="0" t="s">
        <v>863</v>
      </c>
      <c r="B19" s="20" t="n">
        <f aca="false">rk_sh</f>
        <v>0.31438127090301</v>
      </c>
      <c r="C19" s="20" t="n">
        <f aca="false">PL!D70</f>
        <v>0.0875096501918447</v>
      </c>
      <c r="D19" s="20" t="n">
        <f aca="false">C19-B19</f>
        <v>-0.226871620711165</v>
      </c>
      <c r="E19" s="20" t="n">
        <f aca="false">PL!D139</f>
        <v>0.0875096501918447</v>
      </c>
      <c r="F19" s="20" t="n">
        <f aca="false">E19-B19</f>
        <v>-0.226871620711165</v>
      </c>
      <c r="G19" s="20" t="n">
        <f aca="false">PL!D208</f>
        <v>0.0875096501918447</v>
      </c>
      <c r="H19" s="20" t="n">
        <f aca="false">G19-B19</f>
        <v>-0.226871620711165</v>
      </c>
      <c r="I19" s="4" t="s">
        <v>864</v>
      </c>
      <c r="J19" s="4" t="s">
        <v>865</v>
      </c>
    </row>
    <row r="20" customFormat="false" ht="17.15" hidden="false" customHeight="false" outlineLevel="0" collapsed="false">
      <c r="A20" s="0" t="s">
        <v>866</v>
      </c>
      <c r="B20" s="21" t="n">
        <f aca="false">2.35*12</f>
        <v>28.2</v>
      </c>
      <c r="C20" s="21" t="n">
        <f aca="false">PL!D98</f>
        <v>12.0597330420658</v>
      </c>
      <c r="D20" s="20" t="n">
        <f aca="false">C20/B20-1</f>
        <v>-0.572349892125325</v>
      </c>
      <c r="E20" s="21" t="n">
        <f aca="false">PL!D167</f>
        <v>12.0597330420658</v>
      </c>
      <c r="F20" s="20" t="n">
        <f aca="false">E20/B20-1</f>
        <v>-0.572349892125325</v>
      </c>
      <c r="G20" s="21" t="n">
        <f aca="false">PL!D236</f>
        <v>12.0597330420658</v>
      </c>
      <c r="H20" s="20" t="n">
        <f aca="false">G20/B20-1</f>
        <v>-0.572349892125325</v>
      </c>
      <c r="I20" s="4" t="s">
        <v>867</v>
      </c>
      <c r="J20" s="4" t="s">
        <v>868</v>
      </c>
    </row>
    <row r="21" customFormat="false" ht="17.15" hidden="false" customHeight="false" outlineLevel="0" collapsed="false">
      <c r="A21" s="0" t="s">
        <v>869</v>
      </c>
      <c r="B21" s="21" t="n">
        <v>100</v>
      </c>
      <c r="C21" s="21" t="n">
        <f aca="false">PL!D80</f>
        <v>110</v>
      </c>
      <c r="D21" s="20" t="n">
        <f aca="false">C21/B21-1</f>
        <v>0.1</v>
      </c>
      <c r="E21" s="21" t="n">
        <f aca="false">PL!D149</f>
        <v>110</v>
      </c>
      <c r="F21" s="20" t="n">
        <f aca="false">E21/B21-1</f>
        <v>0.1</v>
      </c>
      <c r="G21" s="21" t="n">
        <f aca="false">PL!D218</f>
        <v>110</v>
      </c>
      <c r="H21" s="20" t="n">
        <f aca="false">G21/B21-1</f>
        <v>0.1</v>
      </c>
      <c r="I21" s="4" t="s">
        <v>846</v>
      </c>
      <c r="J21" s="4" t="s">
        <v>870</v>
      </c>
    </row>
    <row r="22" customFormat="false" ht="17.15" hidden="false" customHeight="false" outlineLevel="0" collapsed="false">
      <c r="A22" s="0" t="s">
        <v>871</v>
      </c>
      <c r="B22" s="21" t="n">
        <v>17</v>
      </c>
      <c r="C22" s="21" t="n">
        <f aca="false">PL!D82</f>
        <v>150</v>
      </c>
      <c r="D22" s="20" t="n">
        <f aca="false">C22/B22-1</f>
        <v>7.82352941176471</v>
      </c>
      <c r="E22" s="21" t="n">
        <f aca="false">PL!D151</f>
        <v>150</v>
      </c>
      <c r="F22" s="20" t="n">
        <f aca="false">E22/B22-1</f>
        <v>7.82352941176471</v>
      </c>
      <c r="G22" s="21" t="n">
        <f aca="false">PL!D220</f>
        <v>150</v>
      </c>
      <c r="H22" s="20" t="n">
        <f aca="false">G22/B22-1</f>
        <v>7.82352941176471</v>
      </c>
      <c r="I22" s="4" t="s">
        <v>846</v>
      </c>
      <c r="J22" s="4" t="s">
        <v>872</v>
      </c>
    </row>
    <row r="23" customFormat="false" ht="17.15" hidden="false" customHeight="false" outlineLevel="0" collapsed="false">
      <c r="A23" s="6" t="s">
        <v>873</v>
      </c>
    </row>
    <row r="24" customFormat="false" ht="17.15" hidden="false" customHeight="false" outlineLevel="0" collapsed="false">
      <c r="A24" s="0" t="s">
        <v>874</v>
      </c>
      <c r="C24" s="20" t="n">
        <f aca="false">PL!D120/PL!D119</f>
        <v>0.44164508648772</v>
      </c>
      <c r="E24" s="20" t="n">
        <f aca="false">PL!D189/PL!D188</f>
        <v>0.44164508648772</v>
      </c>
      <c r="G24" s="20" t="n">
        <f aca="false">PL!D258/PL!D257</f>
        <v>0.44164508648772</v>
      </c>
      <c r="I24" s="8" t="s">
        <v>136</v>
      </c>
      <c r="J24" s="4" t="s">
        <v>875</v>
      </c>
    </row>
    <row r="25" customFormat="false" ht="17.15" hidden="false" customHeight="false" outlineLevel="0" collapsed="false">
      <c r="A25" s="0" t="s">
        <v>876</v>
      </c>
      <c r="C25" s="20" t="n">
        <f aca="false">PL!E97</f>
        <v>0.351906720424598</v>
      </c>
      <c r="E25" s="20" t="n">
        <f aca="false">PL!E166</f>
        <v>0.351906720424598</v>
      </c>
      <c r="G25" s="20" t="n">
        <f aca="false">PL!E235</f>
        <v>0.351906720424598</v>
      </c>
      <c r="I25" s="8" t="s">
        <v>136</v>
      </c>
    </row>
    <row r="26" customFormat="false" ht="17.15" hidden="false" customHeight="false" outlineLevel="0" collapsed="false">
      <c r="A26" s="0" t="s">
        <v>877</v>
      </c>
      <c r="C26" s="18" t="n">
        <f aca="false">Q!E24</f>
        <v>5.25824362875429</v>
      </c>
      <c r="E26" s="18" t="n">
        <f aca="false">Q!E24</f>
        <v>5.25824362875429</v>
      </c>
      <c r="G26" s="18" t="n">
        <f aca="false">Q!E24</f>
        <v>5.25824362875429</v>
      </c>
      <c r="I26" s="8" t="s">
        <v>136</v>
      </c>
    </row>
    <row r="27" customFormat="false" ht="17.15" hidden="false" customHeight="false" outlineLevel="0" collapsed="false">
      <c r="A27" s="6" t="s">
        <v>878</v>
      </c>
    </row>
    <row r="28" customFormat="false" ht="17.15" hidden="false" customHeight="false" outlineLevel="0" collapsed="false">
      <c r="A28" s="0" t="s">
        <v>879</v>
      </c>
      <c r="J28" s="4" t="s"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881</v>
      </c>
    </row>
    <row r="3" customFormat="false" ht="17.15" hidden="false" customHeight="false" outlineLevel="0" collapsed="false">
      <c r="A3" s="5" t="s">
        <v>882</v>
      </c>
      <c r="B3" s="5" t="s">
        <v>883</v>
      </c>
      <c r="C3" s="15" t="s">
        <v>884</v>
      </c>
      <c r="D3" s="15" t="s">
        <v>885</v>
      </c>
      <c r="E3" s="15" t="s">
        <v>727</v>
      </c>
      <c r="F3" s="15" t="s">
        <v>886</v>
      </c>
      <c r="G3" s="15" t="s">
        <v>887</v>
      </c>
      <c r="H3" s="15" t="s">
        <v>888</v>
      </c>
      <c r="I3" s="15" t="s">
        <v>889</v>
      </c>
      <c r="J3" s="15" t="s">
        <v>890</v>
      </c>
    </row>
    <row r="4" customFormat="false" ht="17.15" hidden="false" customHeight="false" outlineLevel="0" collapsed="false">
      <c r="A4" s="4" t="s">
        <v>891</v>
      </c>
      <c r="B4" s="0" t="s">
        <v>892</v>
      </c>
      <c r="C4" s="24" t="n">
        <f aca="false">PL!E90</f>
        <v>5889.03079238536</v>
      </c>
      <c r="D4" s="14" t="n">
        <f aca="false">PL!E116</f>
        <v>0.0552119777090174</v>
      </c>
      <c r="E4" s="18" t="n">
        <f aca="false">PL!E124</f>
        <v>27.1844325470577</v>
      </c>
      <c r="F4" s="20" t="n">
        <f aca="false">E4/E$4-1</f>
        <v>0</v>
      </c>
      <c r="G4" s="24" t="n">
        <f aca="false">PL!F90</f>
        <v>6495.18486012725</v>
      </c>
      <c r="H4" s="14" t="n">
        <f aca="false">PL!F116</f>
        <v>0.0582223613029051</v>
      </c>
      <c r="I4" s="18" t="n">
        <f aca="false">PL!F124</f>
        <v>32.5070508908922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893</v>
      </c>
      <c r="B5" s="0" t="s">
        <v>894</v>
      </c>
      <c r="C5" s="24" t="n">
        <f aca="false">E70</f>
        <v>5031.83729313581</v>
      </c>
      <c r="D5" s="14" t="n">
        <f aca="false">E96</f>
        <v>0.0559414037095961</v>
      </c>
      <c r="E5" s="18" t="n">
        <f aca="false">E104</f>
        <v>22.6540620319096</v>
      </c>
      <c r="F5" s="20" t="n">
        <f aca="false">E5/E$4-1</f>
        <v>-0.166653120579429</v>
      </c>
      <c r="G5" s="24" t="n">
        <f aca="false">F70</f>
        <v>5530.28333037093</v>
      </c>
      <c r="H5" s="14" t="n">
        <f aca="false">F96</f>
        <v>0.0587598394886539</v>
      </c>
      <c r="I5" s="18" t="n">
        <f aca="false">F104</f>
        <v>26.9848577477637</v>
      </c>
      <c r="J5" s="20" t="n">
        <f aca="false">I5/I$4-1</f>
        <v>-0.169876780322623</v>
      </c>
    </row>
    <row r="6" customFormat="false" ht="17.15" hidden="false" customHeight="false" outlineLevel="0" collapsed="false">
      <c r="A6" s="0" t="s">
        <v>895</v>
      </c>
      <c r="B6" s="0" t="s">
        <v>896</v>
      </c>
      <c r="C6" s="24" t="n">
        <f aca="false">E139</f>
        <v>6746.22429163491</v>
      </c>
      <c r="D6" s="14" t="n">
        <f aca="false">E165</f>
        <v>0.0546679173882175</v>
      </c>
      <c r="E6" s="18" t="n">
        <f aca="false">E173</f>
        <v>31.7148030622059</v>
      </c>
      <c r="F6" s="20" t="n">
        <f aca="false">E6/E$4-1</f>
        <v>0.16665312057943</v>
      </c>
      <c r="G6" s="24" t="n">
        <f aca="false">F139</f>
        <v>7460.08638988358</v>
      </c>
      <c r="H6" s="14" t="n">
        <f aca="false">F165</f>
        <v>0.0578239199852395</v>
      </c>
      <c r="I6" s="18" t="n">
        <f aca="false">F173</f>
        <v>38.0300002643201</v>
      </c>
      <c r="J6" s="20" t="n">
        <f aca="false">I6/I$4-1</f>
        <v>0.169900043900178</v>
      </c>
    </row>
    <row r="7" customFormat="false" ht="17.15" hidden="false" customHeight="false" outlineLevel="0" collapsed="false">
      <c r="A7" s="4" t="s">
        <v>897</v>
      </c>
      <c r="B7" s="4" t="s">
        <v>898</v>
      </c>
      <c r="C7" s="24" t="n">
        <f aca="false">E208</f>
        <v>5458.41080382835</v>
      </c>
      <c r="D7" s="14" t="n">
        <f aca="false">E234</f>
        <v>0.0568217782958729</v>
      </c>
      <c r="E7" s="18" t="n">
        <f aca="false">E242</f>
        <v>25.1111078124398</v>
      </c>
      <c r="F7" s="20" t="n">
        <f aca="false">E7/E$4-1</f>
        <v>-0.0762688252193199</v>
      </c>
      <c r="G7" s="24" t="n">
        <f aca="false">F208</f>
        <v>5848.23835591208</v>
      </c>
      <c r="H7" s="14" t="n">
        <f aca="false">F234</f>
        <v>0.06037512284402</v>
      </c>
      <c r="I7" s="18" t="n">
        <f aca="false">F242</f>
        <v>28.9339082008786</v>
      </c>
      <c r="J7" s="20" t="n">
        <f aca="false">I7/I$4-1</f>
        <v>-0.10991900501853</v>
      </c>
    </row>
    <row r="8" customFormat="false" ht="17.15" hidden="false" customHeight="false" outlineLevel="0" collapsed="false">
      <c r="A8" s="4" t="s">
        <v>899</v>
      </c>
      <c r="B8" s="4" t="s">
        <v>900</v>
      </c>
      <c r="C8" s="24" t="n">
        <f aca="false">E277</f>
        <v>6319.65078094236</v>
      </c>
      <c r="D8" s="14" t="n">
        <f aca="false">E303</f>
        <v>0.0538215602287036</v>
      </c>
      <c r="E8" s="18" t="n">
        <f aca="false">E311</f>
        <v>29.2577572816757</v>
      </c>
      <c r="F8" s="20" t="n">
        <f aca="false">E8/E$4-1</f>
        <v>0.0762688252193198</v>
      </c>
      <c r="G8" s="24" t="n">
        <f aca="false">F277</f>
        <v>7142.13136434243</v>
      </c>
      <c r="H8" s="14" t="n">
        <f aca="false">F303</f>
        <v>0.0564596014244273</v>
      </c>
      <c r="I8" s="18" t="n">
        <f aca="false">F311</f>
        <v>36.0986356725986</v>
      </c>
      <c r="J8" s="20" t="n">
        <f aca="false">I8/I$4-1</f>
        <v>0.110486330912065</v>
      </c>
    </row>
    <row r="9" customFormat="false" ht="17.15" hidden="false" customHeight="false" outlineLevel="0" collapsed="false">
      <c r="A9" s="4" t="s">
        <v>901</v>
      </c>
      <c r="B9" s="4" t="s">
        <v>898</v>
      </c>
      <c r="C9" s="24" t="n">
        <f aca="false">E346</f>
        <v>5702.20715351119</v>
      </c>
      <c r="D9" s="14" t="n">
        <f aca="false">E372</f>
        <v>0.0542360211066973</v>
      </c>
      <c r="E9" s="18" t="n">
        <f aca="false">E380</f>
        <v>26.1438978650231</v>
      </c>
      <c r="F9" s="20" t="n">
        <f aca="false">E9/E$4-1</f>
        <v>-0.0382768586481772</v>
      </c>
      <c r="G9" s="24" t="n">
        <f aca="false">F346</f>
        <v>6100.48356839395</v>
      </c>
      <c r="H9" s="14" t="n">
        <f aca="false">F372</f>
        <v>0.0564898480578783</v>
      </c>
      <c r="I9" s="18" t="n">
        <f aca="false">F380</f>
        <v>30.3087188941099</v>
      </c>
      <c r="J9" s="20" t="n">
        <f aca="false">I9/I$4-1</f>
        <v>-0.0676263129547117</v>
      </c>
    </row>
    <row r="10" customFormat="false" ht="17.15" hidden="false" customHeight="false" outlineLevel="0" collapsed="false">
      <c r="A10" s="4" t="s">
        <v>902</v>
      </c>
      <c r="B10" s="4" t="s">
        <v>903</v>
      </c>
      <c r="C10" s="24" t="n">
        <f aca="false">E415</f>
        <v>6138.12897755092</v>
      </c>
      <c r="D10" s="14" t="n">
        <f aca="false">E441</f>
        <v>0.0564208383112453</v>
      </c>
      <c r="E10" s="18" t="n">
        <f aca="false">E449</f>
        <v>28.5718121231039</v>
      </c>
      <c r="F10" s="20" t="n">
        <f aca="false">E10/E$4-1</f>
        <v>0.0510358115309031</v>
      </c>
      <c r="G10" s="24" t="n">
        <f aca="false">F415</f>
        <v>6810.9458935139</v>
      </c>
      <c r="H10" s="14" t="n">
        <f aca="false">F441</f>
        <v>0.0594637945779368</v>
      </c>
      <c r="I10" s="18" t="n">
        <f aca="false">F449</f>
        <v>34.2657164883179</v>
      </c>
      <c r="J10" s="20" t="n">
        <f aca="false">I10/I$4-1</f>
        <v>0.0541010503637693</v>
      </c>
    </row>
    <row r="11" customFormat="false" ht="17.15" hidden="false" customHeight="false" outlineLevel="0" collapsed="false">
      <c r="A11" s="4" t="s">
        <v>904</v>
      </c>
      <c r="B11" s="4" t="s">
        <v>905</v>
      </c>
      <c r="C11" s="24" t="n">
        <f aca="false">E484</f>
        <v>5410.56413843313</v>
      </c>
      <c r="D11" s="14" t="n">
        <f aca="false">E510</f>
        <v>0.0598146599690181</v>
      </c>
      <c r="E11" s="18" t="n">
        <f aca="false">E518</f>
        <v>27.3525468153698</v>
      </c>
      <c r="F11" s="20" t="n">
        <f aca="false">E11/E$4-1</f>
        <v>0.00618421105612699</v>
      </c>
      <c r="G11" s="24" t="n">
        <f aca="false">F484</f>
        <v>5726.93588637173</v>
      </c>
      <c r="H11" s="14" t="n">
        <f aca="false">F510</f>
        <v>0.0656082212289666</v>
      </c>
      <c r="I11" s="18" t="n">
        <f aca="false">F518</f>
        <v>32.6778179255831</v>
      </c>
      <c r="J11" s="20" t="n">
        <f aca="false">I11/I$4-1</f>
        <v>0.00525323060723504</v>
      </c>
    </row>
    <row r="12" customFormat="false" ht="17.15" hidden="false" customHeight="false" outlineLevel="0" collapsed="false">
      <c r="A12" s="4" t="s">
        <v>906</v>
      </c>
      <c r="B12" s="4" t="s">
        <v>907</v>
      </c>
      <c r="C12" s="24" t="n">
        <f aca="false">E553</f>
        <v>5889.03079238536</v>
      </c>
      <c r="D12" s="14" t="n">
        <f aca="false">E579</f>
        <v>0.054869197443055</v>
      </c>
      <c r="E12" s="18" t="n">
        <f aca="false">E587</f>
        <v>26.8548580913394</v>
      </c>
      <c r="F12" s="20" t="n">
        <f aca="false">E12/E$4-1</f>
        <v>-0.0121236466918272</v>
      </c>
      <c r="G12" s="24" t="n">
        <f aca="false">F553</f>
        <v>6495.18486012725</v>
      </c>
      <c r="H12" s="14" t="n">
        <f aca="false">F579</f>
        <v>0.0574738304725582</v>
      </c>
      <c r="I12" s="18" t="n">
        <f aca="false">F587</f>
        <v>31.713280096344</v>
      </c>
      <c r="J12" s="20" t="n">
        <f aca="false">I12/I$4-1</f>
        <v>-0.0244184191673498</v>
      </c>
    </row>
    <row r="13" customFormat="false" ht="17.15" hidden="false" customHeight="false" outlineLevel="0" collapsed="false">
      <c r="A13" s="4" t="s">
        <v>908</v>
      </c>
      <c r="B13" s="0" t="s">
        <v>909</v>
      </c>
      <c r="C13" s="24" t="n">
        <f aca="false">E622</f>
        <v>5889.03079238536</v>
      </c>
      <c r="D13" s="14" t="n">
        <f aca="false">E648</f>
        <v>0.0552119777090174</v>
      </c>
      <c r="E13" s="18" t="n">
        <f aca="false">E656</f>
        <v>27.1844325470577</v>
      </c>
      <c r="F13" s="20" t="n">
        <f aca="false">E13/E$4-1</f>
        <v>0</v>
      </c>
      <c r="G13" s="24" t="n">
        <f aca="false">F622</f>
        <v>5797.41470083396</v>
      </c>
      <c r="H13" s="14" t="n">
        <f aca="false">F648</f>
        <v>0.0586758006546648</v>
      </c>
      <c r="I13" s="18" t="n">
        <f aca="false">F656</f>
        <v>28.4233013447225</v>
      </c>
      <c r="J13" s="20" t="n">
        <f aca="false">I13/I$4-1</f>
        <v>-0.125626577442429</v>
      </c>
    </row>
    <row r="14" customFormat="false" ht="17.15" hidden="false" customHeight="false" outlineLevel="0" collapsed="false">
      <c r="A14" s="4" t="s">
        <v>910</v>
      </c>
      <c r="B14" s="0" t="s">
        <v>896</v>
      </c>
      <c r="C14" s="24" t="n">
        <f aca="false">E691</f>
        <v>5889.03079238536</v>
      </c>
      <c r="D14" s="14" t="n">
        <f aca="false">E717</f>
        <v>0.0552119777090174</v>
      </c>
      <c r="E14" s="18" t="n">
        <f aca="false">E725</f>
        <v>27.1844325470577</v>
      </c>
      <c r="F14" s="20" t="n">
        <f aca="false">E14/E$4-1</f>
        <v>0</v>
      </c>
      <c r="G14" s="24" t="n">
        <f aca="false">F691</f>
        <v>7425.54507251831</v>
      </c>
      <c r="H14" s="14" t="n">
        <f aca="false">F717</f>
        <v>0.0577503374199164</v>
      </c>
      <c r="I14" s="18" t="n">
        <f aca="false">F725</f>
        <v>37.7357139209363</v>
      </c>
      <c r="J14" s="20" t="n">
        <f aca="false">I14/I$4-1</f>
        <v>0.160847043541224</v>
      </c>
    </row>
    <row r="15" customFormat="false" ht="17.15" hidden="false" customHeight="false" outlineLevel="0" collapsed="false">
      <c r="A15" s="4" t="s">
        <v>911</v>
      </c>
      <c r="B15" s="0" t="s">
        <v>912</v>
      </c>
      <c r="C15" s="24" t="n">
        <f aca="false">E760</f>
        <v>5855.09546304404</v>
      </c>
      <c r="D15" s="14" t="n">
        <f aca="false">E786</f>
        <v>0.0551051575931544</v>
      </c>
      <c r="E15" s="18" t="n">
        <f aca="false">E794</f>
        <v>26.8058745874463</v>
      </c>
      <c r="F15" s="20" t="n">
        <f aca="false">E15/E$4-1</f>
        <v>-0.0139255420894328</v>
      </c>
      <c r="G15" s="24" t="n">
        <f aca="false">F760</f>
        <v>6449.73575833085</v>
      </c>
      <c r="H15" s="14" t="n">
        <f aca="false">F786</f>
        <v>0.0581137016152693</v>
      </c>
      <c r="I15" s="18" t="n">
        <f aca="false">F794</f>
        <v>31.9971166829173</v>
      </c>
      <c r="J15" s="20" t="n">
        <f aca="false">I15/I$4-1</f>
        <v>-0.0156868800460077</v>
      </c>
    </row>
    <row r="16" customFormat="false" ht="17.15" hidden="false" customHeight="false" outlineLevel="0" collapsed="false">
      <c r="A16" s="4" t="s">
        <v>913</v>
      </c>
      <c r="B16" s="0" t="s">
        <v>914</v>
      </c>
      <c r="C16" s="24" t="n">
        <f aca="false">E829</f>
        <v>5925.91701993027</v>
      </c>
      <c r="D16" s="14" t="n">
        <f aca="false">E855</f>
        <v>0.0553266988960043</v>
      </c>
      <c r="E16" s="18" t="n">
        <f aca="false">E863</f>
        <v>27.5959085901136</v>
      </c>
      <c r="F16" s="20" t="n">
        <f aca="false">E16/E$4-1</f>
        <v>0.015136458792862</v>
      </c>
      <c r="G16" s="24" t="n">
        <f aca="false">F829</f>
        <v>6538.36150683384</v>
      </c>
      <c r="H16" s="14" t="n">
        <f aca="false">F855</f>
        <v>0.0583241887956946</v>
      </c>
      <c r="I16" s="18" t="n">
        <f aca="false">F863</f>
        <v>32.9907922309875</v>
      </c>
      <c r="J16" s="20" t="n">
        <f aca="false">I16/I$4-1</f>
        <v>0.0148811204596493</v>
      </c>
    </row>
    <row r="17" customFormat="false" ht="17.15" hidden="false" customHeight="false" outlineLevel="0" collapsed="false">
      <c r="A17" s="4" t="s">
        <v>915</v>
      </c>
      <c r="B17" s="4" t="s">
        <v>916</v>
      </c>
      <c r="C17" s="24" t="n">
        <f aca="false">E898</f>
        <v>5889.03079238536</v>
      </c>
      <c r="D17" s="14" t="n">
        <f aca="false">E924</f>
        <v>0.0545197334716383</v>
      </c>
      <c r="E17" s="18" t="n">
        <f aca="false">E932</f>
        <v>26.5188574238289</v>
      </c>
      <c r="F17" s="20" t="n">
        <f aca="false">E17/E$4-1</f>
        <v>-0.0244836864656521</v>
      </c>
      <c r="G17" s="24" t="n">
        <f aca="false">F898</f>
        <v>6495.18486012725</v>
      </c>
      <c r="H17" s="14" t="n">
        <f aca="false">F924</f>
        <v>0.0573084188424861</v>
      </c>
      <c r="I17" s="18" t="n">
        <f aca="false">F932</f>
        <v>31.5378712611875</v>
      </c>
      <c r="J17" s="20" t="n">
        <f aca="false">I17/I$4-1</f>
        <v>-0.0298144434251395</v>
      </c>
    </row>
    <row r="18" customFormat="false" ht="17.15" hidden="false" customHeight="false" outlineLevel="0" collapsed="false">
      <c r="A18" s="4" t="s">
        <v>917</v>
      </c>
      <c r="B18" s="4" t="s">
        <v>918</v>
      </c>
      <c r="C18" s="24" t="n">
        <f aca="false">E967</f>
        <v>5889.03079238536</v>
      </c>
      <c r="D18" s="14" t="n">
        <f aca="false">E993</f>
        <v>0.0552119777090174</v>
      </c>
      <c r="E18" s="18" t="n">
        <f aca="false">E1001</f>
        <v>25.4086787064765</v>
      </c>
      <c r="F18" s="20" t="n">
        <f aca="false">E18/E$4-1</f>
        <v>-0.0653224538532227</v>
      </c>
      <c r="G18" s="24" t="n">
        <f aca="false">F967</f>
        <v>6495.18486012725</v>
      </c>
      <c r="H18" s="14" t="n">
        <f aca="false">F993</f>
        <v>0.0582223613029051</v>
      </c>
      <c r="I18" s="18" t="n">
        <f aca="false">F1001</f>
        <v>30.4031800915554</v>
      </c>
      <c r="J18" s="20" t="n">
        <f aca="false">I18/I$4-1</f>
        <v>-0.064720445001247</v>
      </c>
    </row>
    <row r="19" customFormat="false" ht="17.15" hidden="false" customHeight="false" outlineLevel="0" collapsed="false">
      <c r="A19" s="4" t="s">
        <v>919</v>
      </c>
      <c r="C19" s="24" t="n">
        <f aca="false">E1036</f>
        <v>5889.03079238536</v>
      </c>
      <c r="D19" s="14" t="n">
        <f aca="false">E1062</f>
        <v>0.0552119777090174</v>
      </c>
      <c r="E19" s="18" t="n">
        <f aca="false">E1070</f>
        <v>28.960186387639</v>
      </c>
      <c r="F19" s="20" t="n">
        <f aca="false">E19/E$4-1</f>
        <v>0.0653224538532229</v>
      </c>
      <c r="G19" s="24" t="n">
        <f aca="false">F1036</f>
        <v>6495.18486012725</v>
      </c>
      <c r="H19" s="14" t="n">
        <f aca="false">F1062</f>
        <v>0.0582223613029051</v>
      </c>
      <c r="I19" s="18" t="n">
        <f aca="false">F1070</f>
        <v>34.6109216902289</v>
      </c>
      <c r="J19" s="20" t="n">
        <f aca="false">I19/I$4-1</f>
        <v>0.0647204450012475</v>
      </c>
    </row>
    <row r="20" customFormat="false" ht="17.15" hidden="false" customHeight="false" outlineLevel="0" collapsed="false">
      <c r="A20" s="4" t="s">
        <v>920</v>
      </c>
      <c r="B20" s="4" t="s">
        <v>921</v>
      </c>
      <c r="C20" s="24" t="n">
        <f aca="false">E1105</f>
        <v>5889.03079238536</v>
      </c>
      <c r="D20" s="14" t="n">
        <f aca="false">E1131</f>
        <v>0.0552119777090174</v>
      </c>
      <c r="E20" s="18" t="n">
        <f aca="false">E1139</f>
        <v>24.1118904324849</v>
      </c>
      <c r="F20" s="20" t="n">
        <f aca="false">E20/E$4-1</f>
        <v>-0.113025795526689</v>
      </c>
      <c r="G20" s="24" t="n">
        <f aca="false">F1105</f>
        <v>6495.18486012725</v>
      </c>
      <c r="H20" s="14" t="n">
        <f aca="false">F1131</f>
        <v>0.0582223613029051</v>
      </c>
      <c r="I20" s="18" t="n">
        <f aca="false">F1139</f>
        <v>28.8079295043343</v>
      </c>
      <c r="J20" s="20" t="n">
        <f aca="false">I20/I$4-1</f>
        <v>-0.113794431828765</v>
      </c>
    </row>
    <row r="21" customFormat="false" ht="17.15" hidden="false" customHeight="false" outlineLevel="0" collapsed="false">
      <c r="A21" s="4" t="s">
        <v>922</v>
      </c>
      <c r="C21" s="24" t="n">
        <f aca="false">E1174</f>
        <v>5889.03079238536</v>
      </c>
      <c r="D21" s="14" t="n">
        <f aca="false">E1200</f>
        <v>0.0552119777090174</v>
      </c>
      <c r="E21" s="18" t="n">
        <f aca="false">E1208</f>
        <v>29.6983306407991</v>
      </c>
      <c r="F21" s="20" t="n">
        <f aca="false">E21/E$4-1</f>
        <v>0.0924756508854727</v>
      </c>
      <c r="G21" s="24" t="n">
        <f aca="false">F1174</f>
        <v>6495.18486012725</v>
      </c>
      <c r="H21" s="14" t="n">
        <f aca="false">F1200</f>
        <v>0.0582223613029051</v>
      </c>
      <c r="I21" s="18" t="n">
        <f aca="false">F1208</f>
        <v>35.5336047526213</v>
      </c>
      <c r="J21" s="20" t="n">
        <f aca="false">I21/I$4-1</f>
        <v>0.0931045351326261</v>
      </c>
    </row>
    <row r="22" customFormat="false" ht="17.15" hidden="false" customHeight="false" outlineLevel="0" collapsed="false">
      <c r="A22" s="4" t="s">
        <v>923</v>
      </c>
      <c r="B22" s="4" t="s">
        <v>924</v>
      </c>
      <c r="C22" s="24" t="n">
        <f aca="false">E1243</f>
        <v>5889.03079238536</v>
      </c>
      <c r="D22" s="14" t="n">
        <f aca="false">E1269</f>
        <v>0.0552119777090174</v>
      </c>
      <c r="E22" s="18" t="n">
        <f aca="false">E1277</f>
        <v>26.3634762863644</v>
      </c>
      <c r="F22" s="20" t="n">
        <f aca="false">E22/E$4-1</f>
        <v>-0.0301994996317182</v>
      </c>
      <c r="G22" s="24" t="n">
        <f aca="false">F1243</f>
        <v>6495.18486012725</v>
      </c>
      <c r="H22" s="14" t="n">
        <f aca="false">F1269</f>
        <v>0.0582223613029051</v>
      </c>
      <c r="I22" s="18" t="n">
        <f aca="false">F1277</f>
        <v>31.534401492685</v>
      </c>
      <c r="J22" s="20" t="n">
        <f aca="false">I22/I$4-1</f>
        <v>-0.029921182375842</v>
      </c>
    </row>
    <row r="23" customFormat="false" ht="17.15" hidden="false" customHeight="false" outlineLevel="0" collapsed="false">
      <c r="A23" s="4" t="s">
        <v>925</v>
      </c>
      <c r="B23" s="4" t="s">
        <v>926</v>
      </c>
      <c r="C23" s="24" t="n">
        <f aca="false">E1312</f>
        <v>5889.03079238536</v>
      </c>
      <c r="D23" s="14" t="n">
        <f aca="false">E1338</f>
        <v>0.0552119777090174</v>
      </c>
      <c r="E23" s="18" t="n">
        <f aca="false">E1346</f>
        <v>25.9381823332594</v>
      </c>
      <c r="F23" s="20" t="n">
        <f aca="false">E23/E$4-1</f>
        <v>-0.0458442607415497</v>
      </c>
      <c r="G23" s="24" t="n">
        <f aca="false">F1312</f>
        <v>6495.18486012725</v>
      </c>
      <c r="H23" s="14" t="n">
        <f aca="false">F1338</f>
        <v>0.0582223613029051</v>
      </c>
      <c r="I23" s="18" t="n">
        <f aca="false">F1346</f>
        <v>29.9197933417094</v>
      </c>
      <c r="J23" s="20" t="n">
        <f aca="false">I23/I$4-1</f>
        <v>-0.0795906573582053</v>
      </c>
    </row>
    <row r="24" customFormat="false" ht="17.15" hidden="false" customHeight="false" outlineLevel="0" collapsed="false">
      <c r="A24" s="4" t="s">
        <v>927</v>
      </c>
      <c r="B24" s="0" t="s">
        <v>928</v>
      </c>
      <c r="C24" s="24" t="n">
        <f aca="false">PL!E159</f>
        <v>5889.03079238536</v>
      </c>
      <c r="D24" s="14" t="n">
        <f aca="false">PL!E185</f>
        <v>0.0552119777090174</v>
      </c>
      <c r="E24" s="18" t="n">
        <f aca="false">PL!E193</f>
        <v>27.1844325470577</v>
      </c>
      <c r="F24" s="20" t="n">
        <f aca="false">E24/E$4-1</f>
        <v>0</v>
      </c>
      <c r="G24" s="24" t="n">
        <f aca="false">PL!F159</f>
        <v>5530.28333037093</v>
      </c>
      <c r="H24" s="14" t="n">
        <f aca="false">PL!F185</f>
        <v>0.0587598394886539</v>
      </c>
      <c r="I24" s="18" t="n">
        <f aca="false">PL!F193</f>
        <v>26.595966942147</v>
      </c>
      <c r="J24" s="20" t="n">
        <f aca="false">I24/I$4-1</f>
        <v>-0.181840055826207</v>
      </c>
    </row>
    <row r="25" customFormat="false" ht="17.15" hidden="false" customHeight="false" outlineLevel="0" collapsed="false">
      <c r="A25" s="4" t="s">
        <v>929</v>
      </c>
      <c r="B25" s="0" t="s">
        <v>930</v>
      </c>
      <c r="C25" s="24" t="n">
        <f aca="false">PL!E228</f>
        <v>5889.03079238536</v>
      </c>
      <c r="D25" s="14" t="n">
        <f aca="false">PL!E254</f>
        <v>0.0552119777090174</v>
      </c>
      <c r="E25" s="18" t="n">
        <f aca="false">PL!E262</f>
        <v>27.1844325470577</v>
      </c>
      <c r="F25" s="20" t="n">
        <f aca="false">E25/E$4-1</f>
        <v>0</v>
      </c>
      <c r="G25" s="24" t="n">
        <f aca="false">PL!F228</f>
        <v>4565.3818006146</v>
      </c>
      <c r="H25" s="14" t="n">
        <f aca="false">PL!F254</f>
        <v>0.0595245116074795</v>
      </c>
      <c r="I25" s="18" t="n">
        <f aca="false">PL!F262</f>
        <v>20.5325256715375</v>
      </c>
      <c r="J25" s="20" t="n">
        <f aca="false">I25/I$4-1</f>
        <v>-0.368367012422823</v>
      </c>
    </row>
    <row r="27" customFormat="false" ht="17.15" hidden="false" customHeight="false" outlineLevel="0" collapsed="false">
      <c r="A27" s="4" t="s">
        <v>931</v>
      </c>
    </row>
    <row r="29" customFormat="false" ht="17.15" hidden="false" customHeight="false" outlineLevel="0" collapsed="false">
      <c r="A29" s="1" t="s">
        <v>932</v>
      </c>
    </row>
    <row r="30" customFormat="false" ht="17.15" hidden="false" customHeight="false" outlineLevel="0" collapsed="false">
      <c r="A30" s="5" t="s">
        <v>882</v>
      </c>
      <c r="B30" s="5" t="s">
        <v>883</v>
      </c>
      <c r="C30" s="15" t="s">
        <v>933</v>
      </c>
      <c r="D30" s="15" t="s">
        <v>829</v>
      </c>
      <c r="E30" s="5" t="s">
        <v>934</v>
      </c>
      <c r="F30" s="5" t="s">
        <v>935</v>
      </c>
    </row>
    <row r="31" customFormat="false" ht="17.15" hidden="false" customHeight="false" outlineLevel="0" collapsed="false">
      <c r="A31" s="4" t="s">
        <v>24</v>
      </c>
      <c r="B31" s="0" t="s">
        <v>936</v>
      </c>
      <c r="C31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390.013674311024</v>
      </c>
      <c r="D31" s="18" t="n">
        <f aca="false">tp_comp_adj</f>
        <v>275.533101517918</v>
      </c>
      <c r="E31" s="18" t="n">
        <f aca="false">tp_w_dcf*C31+(1-tp_w_dcf)*D31</f>
        <v>332.773387914471</v>
      </c>
      <c r="F31" s="20" t="n">
        <f aca="false">E31/E$31-1</f>
        <v>0</v>
      </c>
    </row>
    <row r="32" customFormat="false" ht="17.15" hidden="false" customHeight="false" outlineLevel="0" collapsed="false">
      <c r="A32" s="4" t="s">
        <v>937</v>
      </c>
      <c r="B32" s="0" t="s">
        <v>938</v>
      </c>
      <c r="C32" s="18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337.65205419768</v>
      </c>
      <c r="D32" s="18" t="n">
        <f aca="false">tp_comp_adj</f>
        <v>275.533101517918</v>
      </c>
      <c r="E32" s="18" t="n">
        <f aca="false">tp_w_dcf*C32+(1-tp_w_dcf)*D32</f>
        <v>306.592577857799</v>
      </c>
      <c r="F32" s="20" t="n">
        <f aca="false">E32/E$31-1</f>
        <v>-0.0786745905997786</v>
      </c>
    </row>
    <row r="33" customFormat="false" ht="17.15" hidden="false" customHeight="false" outlineLevel="0" collapsed="false">
      <c r="A33" s="4" t="s">
        <v>939</v>
      </c>
      <c r="B33" s="0" t="s">
        <v>940</v>
      </c>
      <c r="C33" s="18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463.300879782846</v>
      </c>
      <c r="D33" s="18" t="n">
        <f aca="false">tp_comp_adj</f>
        <v>275.533101517918</v>
      </c>
      <c r="E33" s="18" t="n">
        <f aca="false">tp_w_dcf*C33+(1-tp_w_dcf)*D33</f>
        <v>369.416990650382</v>
      </c>
      <c r="F33" s="20" t="n">
        <f aca="false">E33/E$31-1</f>
        <v>0.110115784695286</v>
      </c>
    </row>
    <row r="34" customFormat="false" ht="17.15" hidden="false" customHeight="false" outlineLevel="0" collapsed="false">
      <c r="A34" s="4" t="s">
        <v>941</v>
      </c>
      <c r="B34" s="0" t="s">
        <v>942</v>
      </c>
      <c r="C34" s="18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420.756134621996</v>
      </c>
      <c r="D34" s="18" t="n">
        <f aca="false">tp_comp_adj</f>
        <v>275.533101517918</v>
      </c>
      <c r="E34" s="18" t="n">
        <f aca="false">tp_w_dcf*C34+(1-tp_w_dcf)*D34</f>
        <v>348.144618069957</v>
      </c>
      <c r="F34" s="20" t="n">
        <f aca="false">E34/E$31-1</f>
        <v>0.0461912842604975</v>
      </c>
    </row>
    <row r="35" customFormat="false" ht="17.15" hidden="false" customHeight="false" outlineLevel="0" collapsed="false">
      <c r="A35" s="4" t="s">
        <v>943</v>
      </c>
      <c r="B35" s="0" t="s">
        <v>944</v>
      </c>
      <c r="C35" s="18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369.778577043166</v>
      </c>
      <c r="D35" s="18" t="n">
        <f aca="false">tp_comp_adj</f>
        <v>275.533101517918</v>
      </c>
      <c r="E35" s="18" t="n">
        <f aca="false">tp_w_dcf*C35+(1-tp_w_dcf)*D35</f>
        <v>322.655839280542</v>
      </c>
      <c r="F35" s="20" t="n">
        <f aca="false">E35/E$31-1</f>
        <v>-0.0304037191715867</v>
      </c>
    </row>
    <row r="36" customFormat="false" ht="17.15" hidden="false" customHeight="false" outlineLevel="0" collapsed="false">
      <c r="A36" s="0" t="s">
        <v>945</v>
      </c>
      <c r="C36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390.013674311024</v>
      </c>
      <c r="D36" s="18" t="n">
        <f aca="false">tp_comp_adj</f>
        <v>275.533101517918</v>
      </c>
      <c r="E36" s="18" t="n">
        <f aca="false">0.3*C36+(1-0.3)*D36</f>
        <v>309.87727335585</v>
      </c>
      <c r="F36" s="20" t="n">
        <f aca="false">E36/E$31-1</f>
        <v>-0.0688039230003151</v>
      </c>
    </row>
    <row r="37" customFormat="false" ht="17.15" hidden="false" customHeight="false" outlineLevel="0" collapsed="false">
      <c r="A37" s="0" t="s">
        <v>946</v>
      </c>
      <c r="C37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390.013674311024</v>
      </c>
      <c r="D37" s="18" t="n">
        <f aca="false">tp_comp_adj</f>
        <v>275.533101517918</v>
      </c>
      <c r="E37" s="18" t="n">
        <f aca="false">0.7*C37+(1-0.7)*D37</f>
        <v>355.669502473092</v>
      </c>
      <c r="F37" s="20" t="n">
        <f aca="false">E37/E$31-1</f>
        <v>0.068803923000315</v>
      </c>
    </row>
    <row r="40" customFormat="false" ht="17.15" hidden="false" customHeight="false" outlineLevel="0" collapsed="false">
      <c r="A40" s="1" t="s">
        <v>947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5" t="s">
        <v>438</v>
      </c>
      <c r="D41" s="15" t="s">
        <v>552</v>
      </c>
      <c r="E41" s="15" t="s">
        <v>553</v>
      </c>
      <c r="F41" s="15" t="s">
        <v>554</v>
      </c>
      <c r="G41" s="15" t="s">
        <v>555</v>
      </c>
      <c r="H41" s="15" t="s">
        <v>556</v>
      </c>
      <c r="I41" s="15" t="s">
        <v>557</v>
      </c>
      <c r="J41" s="15" t="s">
        <v>558</v>
      </c>
      <c r="K41" s="5" t="s">
        <v>420</v>
      </c>
    </row>
    <row r="42" customFormat="false" ht="17.15" hidden="false" customHeight="false" outlineLevel="0" collapsed="false">
      <c r="A42" s="6" t="s">
        <v>573</v>
      </c>
    </row>
    <row r="43" customFormat="false" ht="17.15" hidden="false" customHeight="false" outlineLevel="0" collapsed="false">
      <c r="A43" s="0" t="s">
        <v>574</v>
      </c>
      <c r="B43" s="0" t="s">
        <v>32</v>
      </c>
      <c r="D43" s="21" t="n">
        <f aca="false">itc_26*1</f>
        <v>781.872916666666</v>
      </c>
      <c r="E43" s="21" t="n">
        <f aca="false">itc_27*1*0.8</f>
        <v>1252.28</v>
      </c>
      <c r="F43" s="21" t="n">
        <f aca="false">itc_28*um28_A*0.8</f>
        <v>1587.41111111111</v>
      </c>
      <c r="G43" s="21" t="n">
        <f aca="false">itc_29*um29_A*0.8</f>
        <v>1808.31222222222</v>
      </c>
    </row>
    <row r="44" customFormat="false" ht="17.15" hidden="false" customHeight="false" outlineLevel="0" collapsed="false">
      <c r="A44" s="4" t="s">
        <v>575</v>
      </c>
      <c r="B44" s="0" t="s">
        <v>32</v>
      </c>
      <c r="D44" s="21" t="n">
        <f aca="false">itpg_gb*(1-vr26)+itpg_vr*vr26</f>
        <v>33.41403216</v>
      </c>
      <c r="E44" s="21" t="n">
        <f aca="false">itpg_vr</f>
        <v>37.586352</v>
      </c>
      <c r="F44" s="21" t="n">
        <f aca="false">itpg_vr</f>
        <v>37.586352</v>
      </c>
      <c r="G44" s="21" t="n">
        <f aca="false">itpg_vr</f>
        <v>37.586352</v>
      </c>
    </row>
    <row r="45" customFormat="false" ht="17.15" hidden="false" customHeight="false" outlineLevel="0" collapsed="false">
      <c r="A45" s="4" t="s">
        <v>576</v>
      </c>
      <c r="B45" s="0" t="s">
        <v>521</v>
      </c>
      <c r="D45" s="22" t="n">
        <f aca="false">D43/D44</f>
        <v>23.3995380420639</v>
      </c>
      <c r="E45" s="22" t="n">
        <f aca="false">E43/E44</f>
        <v>33.3174126608509</v>
      </c>
      <c r="F45" s="22" t="n">
        <f aca="false">F43/F44</f>
        <v>42.2337105529984</v>
      </c>
      <c r="G45" s="22" t="n">
        <f aca="false">G43/G44</f>
        <v>48.1108733888892</v>
      </c>
    </row>
    <row r="46" customFormat="false" ht="17.15" hidden="false" customHeight="false" outlineLevel="0" collapsed="false">
      <c r="A46" s="4" t="s">
        <v>577</v>
      </c>
      <c r="B46" s="0" t="s">
        <v>578</v>
      </c>
      <c r="D46" s="18" t="n">
        <f aca="false">(racks_gb*odm_gb*(1-vr26)+racks_vr*odm_vr*vr26)/1000</f>
        <v>27.1209</v>
      </c>
      <c r="E46" s="18" t="n">
        <f aca="false">racks_vr*odm_vr/1000</f>
        <v>27.351</v>
      </c>
      <c r="F46" s="18" t="n">
        <f aca="false">$E46*vpg_28</f>
        <v>27.351</v>
      </c>
      <c r="G46" s="18" t="n">
        <f aca="false">$E46*vpg_29</f>
        <v>27.351</v>
      </c>
      <c r="K46" s="4" t="s">
        <v>579</v>
      </c>
    </row>
    <row r="47" customFormat="false" ht="17.15" hidden="false" customHeight="false" outlineLevel="0" collapsed="false">
      <c r="A47" s="0" t="s">
        <v>580</v>
      </c>
      <c r="B47" s="0" t="s">
        <v>32</v>
      </c>
      <c r="D47" s="21" t="n">
        <f aca="false">D45*D46</f>
        <v>634.61653128501</v>
      </c>
      <c r="E47" s="21" t="n">
        <f aca="false">E45*E46</f>
        <v>911.264553686934</v>
      </c>
      <c r="F47" s="21" t="n">
        <f aca="false">F45*F46</f>
        <v>1155.13421733506</v>
      </c>
      <c r="G47" s="21" t="n">
        <f aca="false">G45*G46</f>
        <v>1315.88049805951</v>
      </c>
    </row>
    <row r="48" customFormat="false" ht="17.15" hidden="false" customHeight="false" outlineLevel="0" collapsed="false">
      <c r="A48" s="0" t="s">
        <v>581</v>
      </c>
      <c r="B48" s="0" t="s">
        <v>151</v>
      </c>
      <c r="D48" s="21" t="n">
        <f aca="false">D47*fx</f>
        <v>20307.7290011203</v>
      </c>
      <c r="E48" s="21" t="n">
        <f aca="false">E47*fx</f>
        <v>29160.4657179819</v>
      </c>
      <c r="F48" s="21" t="n">
        <f aca="false">F47*fx</f>
        <v>36964.2949547219</v>
      </c>
      <c r="G48" s="21" t="n">
        <f aca="false">G47*fx</f>
        <v>42108.1759379043</v>
      </c>
    </row>
    <row r="49" customFormat="false" ht="17.15" hidden="false" customHeight="false" outlineLevel="0" collapsed="false">
      <c r="A49" s="6" t="s">
        <v>582</v>
      </c>
    </row>
    <row r="50" customFormat="false" ht="17.15" hidden="false" customHeight="false" outlineLevel="0" collapsed="false">
      <c r="A50" s="4" t="s">
        <v>583</v>
      </c>
      <c r="B50" s="0" t="s">
        <v>52</v>
      </c>
      <c r="D50" s="20" t="n">
        <f aca="false">a26_ais/D48</f>
        <v>0.0875096501918447</v>
      </c>
      <c r="K50" s="8" t="s">
        <v>584</v>
      </c>
    </row>
    <row r="51" customFormat="false" ht="17.15" hidden="false" customHeight="false" outlineLevel="0" collapsed="false">
      <c r="A51" s="4" t="s">
        <v>585</v>
      </c>
      <c r="B51" s="0" t="s">
        <v>64</v>
      </c>
      <c r="D51" s="18" t="n">
        <f aca="false">1</f>
        <v>1</v>
      </c>
      <c r="E51" s="18" t="n">
        <f aca="false">rel_27</f>
        <v>1</v>
      </c>
      <c r="F51" s="18" t="n">
        <f aca="false">rel_28</f>
        <v>0.95</v>
      </c>
      <c r="G51" s="18" t="n">
        <f aca="false">rel_29</f>
        <v>0.9</v>
      </c>
    </row>
    <row r="52" customFormat="false" ht="17.15" hidden="false" customHeight="false" outlineLevel="0" collapsed="false">
      <c r="A52" s="4" t="s">
        <v>586</v>
      </c>
      <c r="B52" s="0" t="s">
        <v>52</v>
      </c>
      <c r="D52" s="20" t="n">
        <f aca="false">$D$50*D51</f>
        <v>0.0875096501918447</v>
      </c>
      <c r="E52" s="20" t="n">
        <f aca="false">$D$50*E51</f>
        <v>0.0875096501918447</v>
      </c>
      <c r="F52" s="20" t="n">
        <f aca="false">$D$50*F51</f>
        <v>0.0831341676822525</v>
      </c>
      <c r="G52" s="20" t="n">
        <f aca="false">$D$50*G51</f>
        <v>0.0787586851726602</v>
      </c>
    </row>
    <row r="53" customFormat="false" ht="17.15" hidden="false" customHeight="false" outlineLevel="0" collapsed="false">
      <c r="A53" s="4" t="s">
        <v>587</v>
      </c>
      <c r="B53" s="0" t="s">
        <v>151</v>
      </c>
      <c r="D53" s="21" t="n">
        <f aca="false">D48*D52</f>
        <v>1777.12226107882</v>
      </c>
      <c r="E53" s="21" t="n">
        <f aca="false">E48*E52</f>
        <v>2551.82215441188</v>
      </c>
      <c r="F53" s="21" t="n">
        <f aca="false">F48*F52</f>
        <v>3072.99589502209</v>
      </c>
      <c r="G53" s="21" t="n">
        <f aca="false">G48*G52</f>
        <v>3316.38457188839</v>
      </c>
    </row>
    <row r="54" customFormat="false" ht="17.15" hidden="false" customHeight="false" outlineLevel="0" collapsed="false">
      <c r="A54" s="4" t="s">
        <v>588</v>
      </c>
      <c r="B54" s="0" t="s">
        <v>52</v>
      </c>
      <c r="D54" s="20" t="n">
        <f aca="false">0</f>
        <v>0</v>
      </c>
      <c r="E54" s="20" t="n">
        <f aca="false">cs_27</f>
        <v>0.1</v>
      </c>
      <c r="F54" s="20" t="n">
        <f aca="false">cs_28</f>
        <v>0.2</v>
      </c>
      <c r="G54" s="20" t="n">
        <f aca="false">cs_29</f>
        <v>0.25</v>
      </c>
      <c r="K54" s="8" t="s">
        <v>589</v>
      </c>
    </row>
    <row r="55" customFormat="false" ht="17.15" hidden="false" customHeight="false" outlineLevel="0" collapsed="false">
      <c r="A55" s="4" t="s">
        <v>590</v>
      </c>
      <c r="B55" s="0" t="s">
        <v>151</v>
      </c>
      <c r="D55" s="21" t="n">
        <f aca="false">D53*(1-D54)</f>
        <v>1777.12226107882</v>
      </c>
      <c r="E55" s="21" t="n">
        <f aca="false">E53*(1-E54)</f>
        <v>2296.63993897069</v>
      </c>
      <c r="F55" s="21" t="n">
        <f aca="false">F53*(1-F54)</f>
        <v>2458.39671601767</v>
      </c>
      <c r="G55" s="21" t="n">
        <f aca="false">G53*(1-G54)</f>
        <v>2487.2884289163</v>
      </c>
    </row>
    <row r="56" customFormat="false" ht="17.15" hidden="false" customHeight="false" outlineLevel="0" collapsed="false">
      <c r="A56" s="6" t="s">
        <v>591</v>
      </c>
    </row>
    <row r="57" customFormat="false" ht="17.15" hidden="false" customHeight="false" outlineLevel="0" collapsed="false">
      <c r="A57" s="0" t="s">
        <v>592</v>
      </c>
      <c r="B57" s="4" t="s">
        <v>85</v>
      </c>
      <c r="D57" s="18" t="n">
        <f aca="false">gu_26*1</f>
        <v>8.35</v>
      </c>
      <c r="E57" s="18" t="n">
        <f aca="false">gu_27*1*0.8</f>
        <v>8.96</v>
      </c>
      <c r="F57" s="18" t="n">
        <f aca="false">gu_28*um28_A*0.8</f>
        <v>9.2</v>
      </c>
      <c r="G57" s="18" t="n">
        <f aca="false">gu_29*um29_A*0.8</f>
        <v>10.32</v>
      </c>
    </row>
    <row r="58" customFormat="false" ht="15" hidden="false" customHeight="false" outlineLevel="0" collapsed="false">
      <c r="A58" s="4" t="s">
        <v>593</v>
      </c>
      <c r="B58" s="0" t="s">
        <v>52</v>
      </c>
      <c r="D58" s="20" t="n">
        <f aca="false">bsh_26</f>
        <v>0.5</v>
      </c>
      <c r="E58" s="20" t="n">
        <f aca="false">bsh_26*brel_27</f>
        <v>0.5</v>
      </c>
      <c r="F58" s="20" t="n">
        <f aca="false">bsh_26*brel_28</f>
        <v>0.475</v>
      </c>
      <c r="G58" s="20" t="n">
        <f aca="false">bsh_26*brel_29</f>
        <v>0.45</v>
      </c>
    </row>
    <row r="59" customFormat="false" ht="17.15" hidden="false" customHeight="false" outlineLevel="0" collapsed="false">
      <c r="A59" s="4" t="s">
        <v>594</v>
      </c>
      <c r="B59" s="0" t="s">
        <v>543</v>
      </c>
      <c r="D59" s="24" t="n">
        <f aca="false">a26_brd/fx/D57/D58*1000</f>
        <v>823.353293413174</v>
      </c>
      <c r="E59" s="24" t="n">
        <f aca="false">$D59*bv_27</f>
        <v>946.85628742515</v>
      </c>
      <c r="F59" s="24" t="n">
        <f aca="false">$D59*bv_28</f>
        <v>988.023952095808</v>
      </c>
      <c r="G59" s="24" t="n">
        <f aca="false">$D59*bv_29</f>
        <v>988.023952095808</v>
      </c>
      <c r="K59" s="8" t="s">
        <v>595</v>
      </c>
    </row>
    <row r="60" customFormat="false" ht="17.15" hidden="false" customHeight="false" outlineLevel="0" collapsed="false">
      <c r="A60" s="0" t="s">
        <v>545</v>
      </c>
      <c r="B60" s="0" t="s">
        <v>151</v>
      </c>
      <c r="D60" s="21" t="n">
        <f aca="false">D57*D58*D59*fx/1000</f>
        <v>110</v>
      </c>
      <c r="E60" s="21" t="n">
        <f aca="false">E57*E58*E59*fx/1000</f>
        <v>135.741317365269</v>
      </c>
      <c r="F60" s="21" t="n">
        <f aca="false">F57*F58*F59*fx/1000</f>
        <v>138.165269461078</v>
      </c>
      <c r="G60" s="21" t="n">
        <f aca="false">G57*G58*G59*fx/1000</f>
        <v>146.828263473054</v>
      </c>
    </row>
    <row r="61" customFormat="false" ht="17.15" hidden="false" customHeight="false" outlineLevel="0" collapsed="false">
      <c r="A61" s="6" t="s">
        <v>596</v>
      </c>
    </row>
    <row r="62" customFormat="false" ht="15" hidden="false" customHeight="false" outlineLevel="0" collapsed="false">
      <c r="A62" s="4" t="s">
        <v>597</v>
      </c>
      <c r="B62" s="0" t="s">
        <v>151</v>
      </c>
      <c r="D62" s="21" t="n">
        <f aca="false">a26_gen</f>
        <v>150</v>
      </c>
      <c r="E62" s="21" t="n">
        <f aca="false">D62*(1+g_gen27)</f>
        <v>180</v>
      </c>
      <c r="F62" s="21" t="n">
        <f aca="false">E62*(1+g_gen28)</f>
        <v>198</v>
      </c>
      <c r="G62" s="21" t="n">
        <f aca="false">F62*(1+g_gen29)</f>
        <v>213.84</v>
      </c>
    </row>
    <row r="63" customFormat="false" ht="15" hidden="false" customHeight="false" outlineLevel="0" collapsed="false">
      <c r="A63" s="4" t="s">
        <v>598</v>
      </c>
      <c r="B63" s="0" t="s">
        <v>151</v>
      </c>
      <c r="D63" s="21" t="n">
        <f aca="false">a26_pc</f>
        <v>614.602793131557</v>
      </c>
      <c r="E63" s="21" t="n">
        <f aca="false">D63*(1+g_pc27)</f>
        <v>596.16470933761</v>
      </c>
      <c r="F63" s="21" t="n">
        <f aca="false">E63*(1+g_pc28)</f>
        <v>596.16470933761</v>
      </c>
      <c r="G63" s="21" t="n">
        <f aca="false">F63*(1+g_pc29)</f>
        <v>596.16470933761</v>
      </c>
    </row>
    <row r="64" customFormat="false" ht="15" hidden="false" customHeight="false" outlineLevel="0" collapsed="false">
      <c r="A64" s="4" t="s">
        <v>599</v>
      </c>
      <c r="B64" s="0" t="s">
        <v>151</v>
      </c>
      <c r="C64" s="21" t="n">
        <f aca="false">a25_srev</f>
        <v>1235.86</v>
      </c>
      <c r="D64" s="21" t="n">
        <f aca="false">D55+D60+D62+D63</f>
        <v>2651.72505421038</v>
      </c>
      <c r="E64" s="21" t="n">
        <f aca="false">E55+E60+E62+E63</f>
        <v>3208.54596567357</v>
      </c>
      <c r="F64" s="21" t="n">
        <f aca="false">F55+F60+F62+F63</f>
        <v>3390.72669481636</v>
      </c>
      <c r="G64" s="21" t="n">
        <f aca="false">G55+G60+G62+G63</f>
        <v>3444.12140172696</v>
      </c>
    </row>
    <row r="65" customFormat="false" ht="17.15" hidden="false" customHeight="false" outlineLevel="0" collapsed="false">
      <c r="A65" s="4" t="s">
        <v>600</v>
      </c>
      <c r="B65" s="0" t="s">
        <v>52</v>
      </c>
      <c r="D65" s="20" t="n">
        <f aca="false">a26_wai/D48</f>
        <v>0.0341693013513091</v>
      </c>
      <c r="K65" s="8" t="s">
        <v>601</v>
      </c>
    </row>
    <row r="66" customFormat="false" ht="17.15" hidden="false" customHeight="false" outlineLevel="0" collapsed="false">
      <c r="A66" s="4" t="s">
        <v>527</v>
      </c>
      <c r="B66" s="0" t="s">
        <v>52</v>
      </c>
      <c r="D66" s="20" t="n">
        <f aca="false">D65</f>
        <v>0.0341693013513091</v>
      </c>
      <c r="E66" s="20" t="n">
        <f aca="false">$D$65*wrel_27</f>
        <v>0.0341693013513091</v>
      </c>
      <c r="F66" s="20" t="n">
        <f aca="false">$D$65*wrel_28</f>
        <v>0.0341693013513091</v>
      </c>
      <c r="G66" s="20" t="n">
        <f aca="false">$D$65*wrel_29</f>
        <v>0.0324608362837436</v>
      </c>
    </row>
    <row r="67" customFormat="false" ht="17.15" hidden="false" customHeight="false" outlineLevel="0" collapsed="false">
      <c r="A67" s="4" t="s">
        <v>547</v>
      </c>
      <c r="B67" s="0" t="s">
        <v>151</v>
      </c>
      <c r="D67" s="21" t="n">
        <f aca="false">D48*D66</f>
        <v>693.900912</v>
      </c>
      <c r="E67" s="21" t="n">
        <f aca="false">E48*E66</f>
        <v>996.392740662241</v>
      </c>
      <c r="F67" s="21" t="n">
        <f aca="false">F48*F66</f>
        <v>1263.04413354657</v>
      </c>
      <c r="G67" s="21" t="n">
        <f aca="false">G48*G66</f>
        <v>1366.86660532739</v>
      </c>
    </row>
    <row r="68" customFormat="false" ht="17.15" hidden="false" customHeight="false" outlineLevel="0" collapsed="false">
      <c r="A68" s="4" t="s">
        <v>602</v>
      </c>
      <c r="B68" s="0" t="s">
        <v>151</v>
      </c>
      <c r="D68" s="21" t="n">
        <f aca="false">a26_wna</f>
        <v>751.725988</v>
      </c>
      <c r="E68" s="21" t="n">
        <f aca="false">D68*(1+g_wn27)</f>
        <v>826.8985868</v>
      </c>
      <c r="F68" s="21" t="n">
        <f aca="false">E68*(1+g_wn28)</f>
        <v>876.512502008</v>
      </c>
      <c r="G68" s="21" t="n">
        <f aca="false">F68*(1+g_wn29)</f>
        <v>920.3381271084</v>
      </c>
    </row>
    <row r="69" customFormat="false" ht="15" hidden="false" customHeight="false" outlineLevel="0" collapsed="false">
      <c r="A69" s="4" t="s">
        <v>458</v>
      </c>
      <c r="B69" s="0" t="s">
        <v>151</v>
      </c>
      <c r="C69" s="21" t="n">
        <f aca="false">a25_wrev</f>
        <v>950.663</v>
      </c>
      <c r="D69" s="21" t="n">
        <f aca="false">D67+D68</f>
        <v>1445.6269</v>
      </c>
      <c r="E69" s="21" t="n">
        <f aca="false">E67+E68</f>
        <v>1823.29132746224</v>
      </c>
      <c r="F69" s="21" t="n">
        <f aca="false">F67+F68</f>
        <v>2139.55663555457</v>
      </c>
      <c r="G69" s="21" t="n">
        <f aca="false">G67+G68</f>
        <v>2287.20473243579</v>
      </c>
    </row>
    <row r="70" customFormat="false" ht="17.15" hidden="false" customHeight="false" outlineLevel="0" collapsed="false">
      <c r="A70" s="4" t="s">
        <v>444</v>
      </c>
      <c r="B70" s="0" t="s">
        <v>151</v>
      </c>
      <c r="C70" s="21" t="n">
        <f aca="false">C64+C69</f>
        <v>2186.523</v>
      </c>
      <c r="D70" s="21" t="n">
        <f aca="false">D64+D69</f>
        <v>4097.35195421038</v>
      </c>
      <c r="E70" s="21" t="n">
        <f aca="false">E64+E69</f>
        <v>5031.83729313581</v>
      </c>
      <c r="F70" s="21" t="n">
        <f aca="false">F64+F69</f>
        <v>5530.28333037093</v>
      </c>
      <c r="G70" s="21" t="n">
        <f aca="false">G64+G69</f>
        <v>5731.32613416274</v>
      </c>
      <c r="H70" s="26" t="n">
        <f aca="false">G70*(1+H75)</f>
        <v>5984.85354210198</v>
      </c>
      <c r="I70" s="26" t="n">
        <f aca="false">H70*(1+I75)</f>
        <v>6296.77029335893</v>
      </c>
      <c r="J70" s="26" t="n">
        <f aca="false">I70*(1+J75)</f>
        <v>6674.57651096047</v>
      </c>
      <c r="K70" s="8" t="s">
        <v>603</v>
      </c>
    </row>
    <row r="71" customFormat="false" ht="17.15" hidden="false" customHeight="false" outlineLevel="0" collapsed="false">
      <c r="A71" s="4" t="s">
        <v>604</v>
      </c>
      <c r="B71" s="0" t="s">
        <v>151</v>
      </c>
      <c r="D71" s="21" t="n">
        <f aca="false">D55+D60+D62+D69</f>
        <v>3482.74916107882</v>
      </c>
      <c r="E71" s="21" t="n">
        <f aca="false">E55+E60+E62+E69</f>
        <v>4435.6725837982</v>
      </c>
      <c r="F71" s="21" t="n">
        <f aca="false">F55+F60+F62+F69</f>
        <v>4934.11862103332</v>
      </c>
      <c r="G71" s="21" t="n">
        <f aca="false">G55+G60+G62+G69</f>
        <v>5135.16142482514</v>
      </c>
      <c r="K71" s="4" t="s">
        <v>605</v>
      </c>
    </row>
    <row r="72" customFormat="false" ht="15" hidden="false" customHeight="false" outlineLevel="0" collapsed="false">
      <c r="A72" s="4" t="s">
        <v>606</v>
      </c>
      <c r="B72" s="0" t="s">
        <v>151</v>
      </c>
      <c r="D72" s="21" t="n">
        <f aca="false">D63</f>
        <v>614.602793131557</v>
      </c>
      <c r="E72" s="21" t="n">
        <f aca="false">E63</f>
        <v>596.16470933761</v>
      </c>
      <c r="F72" s="21" t="n">
        <f aca="false">F63</f>
        <v>596.16470933761</v>
      </c>
      <c r="G72" s="21" t="n">
        <f aca="false">G63</f>
        <v>596.16470933761</v>
      </c>
      <c r="K72" s="4" t="s">
        <v>607</v>
      </c>
    </row>
    <row r="73" customFormat="false" ht="17.15" hidden="false" customHeight="false" outlineLevel="0" collapsed="false">
      <c r="A73" s="4" t="s">
        <v>608</v>
      </c>
      <c r="B73" s="0" t="s">
        <v>151</v>
      </c>
      <c r="D73" s="31" t="n">
        <f aca="false">D71+D72-D70</f>
        <v>0</v>
      </c>
      <c r="E73" s="31" t="n">
        <f aca="false">E71+E72-E70</f>
        <v>0</v>
      </c>
      <c r="F73" s="31" t="n">
        <f aca="false">F71+F72-F70</f>
        <v>0</v>
      </c>
      <c r="G73" s="31" t="n">
        <f aca="false">G71+G72-G70</f>
        <v>0</v>
      </c>
    </row>
    <row r="74" customFormat="false" ht="17.15" hidden="false" customHeight="false" outlineLevel="0" collapsed="false">
      <c r="A74" s="4" t="s">
        <v>609</v>
      </c>
      <c r="B74" s="0" t="s">
        <v>52</v>
      </c>
      <c r="D74" s="20" t="n">
        <f aca="false">D71/D70</f>
        <v>0.85</v>
      </c>
      <c r="E74" s="20" t="n">
        <f aca="false">E71/E70</f>
        <v>0.881521465300385</v>
      </c>
      <c r="F74" s="20" t="n">
        <f aca="false">F71/F70</f>
        <v>0.892199969924936</v>
      </c>
      <c r="G74" s="20" t="n">
        <f aca="false">G71/G70</f>
        <v>0.89598136707244</v>
      </c>
    </row>
    <row r="75" customFormat="false" ht="15" hidden="false" customHeight="false" outlineLevel="0" collapsed="false">
      <c r="A75" s="4" t="s">
        <v>610</v>
      </c>
      <c r="B75" s="0" t="s">
        <v>52</v>
      </c>
      <c r="D75" s="20" t="n">
        <f aca="false">D70/C70-1</f>
        <v>0.873912121761526</v>
      </c>
      <c r="E75" s="20" t="n">
        <f aca="false">E70/D70-1</f>
        <v>0.228070556146676</v>
      </c>
      <c r="F75" s="20" t="n">
        <f aca="false">F70/E70-1</f>
        <v>0.099058456821542</v>
      </c>
      <c r="G75" s="20" t="n">
        <f aca="false">G70/F70-1</f>
        <v>0.0363530748393559</v>
      </c>
      <c r="H75" s="27" t="n">
        <f aca="false">$G75+(fade_gA-$G75)*1/3</f>
        <v>0.0442353832262373</v>
      </c>
      <c r="I75" s="27" t="n">
        <f aca="false">$G75+(fade_gA-$G75)*2/3</f>
        <v>0.0521176916131186</v>
      </c>
      <c r="J75" s="27" t="n">
        <f aca="false">$G75+(fade_gA-$G75)*3/3</f>
        <v>0.06</v>
      </c>
    </row>
    <row r="76" customFormat="false" ht="17.15" hidden="false" customHeight="false" outlineLevel="0" collapsed="false">
      <c r="A76" s="0" t="s">
        <v>611</v>
      </c>
      <c r="B76" s="0" t="s">
        <v>52</v>
      </c>
      <c r="D76" s="20" t="n">
        <f aca="false">(D55+D60+D67)/D70</f>
        <v>0.629924693295288</v>
      </c>
      <c r="E76" s="20" t="n">
        <f aca="false">(E55+E60+E67)/E70</f>
        <v>0.681415911773532</v>
      </c>
      <c r="F76" s="20" t="n">
        <f aca="false">(F55+F60+F67)/F70</f>
        <v>0.697903866485344</v>
      </c>
      <c r="G76" s="20" t="n">
        <f aca="false">(G55+G60+G67)/G70</f>
        <v>0.698090320470171</v>
      </c>
    </row>
    <row r="77" customFormat="false" ht="17.15" hidden="false" customHeight="false" outlineLevel="0" collapsed="false">
      <c r="A77" s="4" t="s">
        <v>612</v>
      </c>
      <c r="B77" s="0" t="s">
        <v>52</v>
      </c>
      <c r="C77" s="20" t="n">
        <f aca="false">C69/C70</f>
        <v>0.434782986504144</v>
      </c>
      <c r="D77" s="20" t="n">
        <f aca="false">D69/D70</f>
        <v>0.352819800728736</v>
      </c>
      <c r="E77" s="20" t="n">
        <f aca="false">E69/E70</f>
        <v>0.362351010425057</v>
      </c>
      <c r="F77" s="20" t="n">
        <f aca="false">F69/F70</f>
        <v>0.386880112236684</v>
      </c>
      <c r="G77" s="20" t="n">
        <f aca="false">G69/G70</f>
        <v>0.399070769817553</v>
      </c>
    </row>
    <row r="78" customFormat="false" ht="17.15" hidden="false" customHeight="false" outlineLevel="0" collapsed="false">
      <c r="A78" s="4" t="s">
        <v>613</v>
      </c>
      <c r="B78" s="4" t="s">
        <v>335</v>
      </c>
      <c r="D78" s="21" t="n">
        <f aca="false">D53/fx/(odm_gb*(1-vr26)+odm_vr*vr26)</f>
        <v>12.0597330420658</v>
      </c>
      <c r="E78" s="21" t="n">
        <f aca="false">E53/fx/odm_vr</f>
        <v>11.8139914556105</v>
      </c>
      <c r="F78" s="21" t="n">
        <f aca="false">F53/fx/odm_vr</f>
        <v>14.2268328473245</v>
      </c>
      <c r="G78" s="21" t="n">
        <f aca="false">G53/fx/odm_vr</f>
        <v>15.3536322772611</v>
      </c>
      <c r="K78" s="4" t="s">
        <v>614</v>
      </c>
    </row>
    <row r="79" customFormat="false" ht="17.15" hidden="false" customHeight="false" outlineLevel="0" collapsed="false">
      <c r="A79" s="6" t="s">
        <v>615</v>
      </c>
    </row>
    <row r="80" customFormat="false" ht="17.15" hidden="false" customHeight="false" outlineLevel="0" collapsed="false">
      <c r="A80" s="4" t="s">
        <v>616</v>
      </c>
      <c r="B80" s="0" t="s">
        <v>52</v>
      </c>
      <c r="D80" s="14" t="n">
        <f aca="false">(a26_sgp-d_ai*D55-d_brd*D60-d_gen*D62)/D64</f>
        <v>0.0436423860147897</v>
      </c>
      <c r="K80" s="8" t="s">
        <v>617</v>
      </c>
    </row>
    <row r="81" customFormat="false" ht="17.15" hidden="false" customHeight="false" outlineLevel="0" collapsed="false">
      <c r="A81" s="4" t="s">
        <v>618</v>
      </c>
      <c r="B81" s="0" t="s">
        <v>151</v>
      </c>
      <c r="D81" s="25" t="n">
        <f aca="false">($D$80+d_ai)*D53*(1-D54*(1-keep))</f>
        <v>59.7866331026896</v>
      </c>
      <c r="E81" s="25" t="n">
        <f aca="false">($D$80+d_ai+vrd)*E53*(1-E54*(1-keep))</f>
        <v>79.9382842344829</v>
      </c>
      <c r="F81" s="25" t="n">
        <f aca="false">($D$80+d_ai+vrd)*F53*(1-F54*(1-keep))</f>
        <v>95.2921838855101</v>
      </c>
      <c r="G81" s="25" t="n">
        <f aca="false">($D$80+d_ai+vrd)*G53*(1-G54*(1-keep))</f>
        <v>102.314862777256</v>
      </c>
    </row>
    <row r="82" customFormat="false" ht="15" hidden="false" customHeight="false" outlineLevel="0" collapsed="false">
      <c r="A82" s="4" t="s">
        <v>619</v>
      </c>
      <c r="B82" s="0" t="s">
        <v>151</v>
      </c>
      <c r="C82" s="21" t="n">
        <f aca="false">a25_sgp</f>
        <v>55.529</v>
      </c>
      <c r="D82" s="21" t="n">
        <f aca="false">a26_sgp</f>
        <v>103.50638581015</v>
      </c>
      <c r="E82" s="21" t="n">
        <f aca="false">$D$80*E63+($D$80+d_brd)*E60+($D$80+d_gen)*E62+E81</f>
        <v>126.508278582021</v>
      </c>
      <c r="F82" s="21" t="n">
        <f aca="false">$D$80*F63+($D$80+d_brd)*F60+($D$80+d_gen)*F62+F81</f>
        <v>143.096246797235</v>
      </c>
      <c r="G82" s="21" t="n">
        <f aca="false">$D$80*G63+($D$80+d_brd)*G60+($D$80+d_gen)*G62+G81</f>
        <v>151.685784632529</v>
      </c>
    </row>
    <row r="83" customFormat="false" ht="15" hidden="false" customHeight="false" outlineLevel="0" collapsed="false">
      <c r="A83" s="4" t="s">
        <v>620</v>
      </c>
      <c r="B83" s="0" t="s">
        <v>52</v>
      </c>
      <c r="C83" s="14" t="n">
        <f aca="false">C82/C64</f>
        <v>0.0449314647290146</v>
      </c>
      <c r="D83" s="14" t="n">
        <f aca="false">D82/D64</f>
        <v>0.0390336040479778</v>
      </c>
      <c r="E83" s="14" t="n">
        <f aca="false">E82/E64</f>
        <v>0.0394285386388297</v>
      </c>
      <c r="F83" s="14" t="n">
        <f aca="false">F82/F64</f>
        <v>0.0422022355903815</v>
      </c>
      <c r="G83" s="14" t="n">
        <f aca="false">G82/G64</f>
        <v>0.0440419389852143</v>
      </c>
    </row>
    <row r="84" customFormat="false" ht="15" hidden="false" customHeight="false" outlineLevel="0" collapsed="false">
      <c r="A84" s="4" t="s">
        <v>621</v>
      </c>
      <c r="B84" s="0" t="s">
        <v>52</v>
      </c>
      <c r="E84" s="20" t="n">
        <f aca="false">MAX(0,phi*(E64/D64-1))</f>
        <v>0.0629953219221287</v>
      </c>
      <c r="F84" s="20" t="n">
        <f aca="false">MAX(0,phi*(F64/E64-1))</f>
        <v>0.0170339522411561</v>
      </c>
      <c r="G84" s="20" t="n">
        <f aca="false">MAX(0,phi*(G64/F64-1))</f>
        <v>0.00472418260594947</v>
      </c>
    </row>
    <row r="85" customFormat="false" ht="15" hidden="false" customHeight="false" outlineLevel="0" collapsed="false">
      <c r="A85" s="4" t="s">
        <v>622</v>
      </c>
      <c r="B85" s="0" t="s">
        <v>151</v>
      </c>
      <c r="C85" s="21" t="n">
        <f aca="false">a25_sopx</f>
        <v>40.894</v>
      </c>
      <c r="D85" s="21" t="n">
        <f aca="false">a26_sopx</f>
        <v>46.9914095398923</v>
      </c>
      <c r="E85" s="21" t="n">
        <f aca="false">D85*(1+E84)+0*E64</f>
        <v>49.9516485114324</v>
      </c>
      <c r="F85" s="21" t="n">
        <f aca="false">E85*(1+F84)+0*F64</f>
        <v>50.8025225065431</v>
      </c>
      <c r="G85" s="21" t="n">
        <f aca="false">F85*(1+G84)+0*G64</f>
        <v>51.0425228997069</v>
      </c>
    </row>
    <row r="86" customFormat="false" ht="15" hidden="false" customHeight="false" outlineLevel="0" collapsed="false">
      <c r="A86" s="4" t="s">
        <v>623</v>
      </c>
      <c r="B86" s="0" t="s">
        <v>151</v>
      </c>
      <c r="C86" s="21" t="n">
        <f aca="false">C82-C85</f>
        <v>14.635</v>
      </c>
      <c r="D86" s="21" t="n">
        <f aca="false">D82-D85</f>
        <v>56.514976270258</v>
      </c>
      <c r="E86" s="21" t="n">
        <f aca="false">E82-E85</f>
        <v>76.5566300705889</v>
      </c>
      <c r="F86" s="21" t="n">
        <f aca="false">F82-F85</f>
        <v>92.2937242906923</v>
      </c>
      <c r="G86" s="21" t="n">
        <f aca="false">G82-G85</f>
        <v>100.643261732823</v>
      </c>
    </row>
    <row r="87" customFormat="false" ht="15" hidden="false" customHeight="false" outlineLevel="0" collapsed="false">
      <c r="A87" s="4" t="s">
        <v>624</v>
      </c>
      <c r="B87" s="0" t="s">
        <v>52</v>
      </c>
      <c r="C87" s="14" t="n">
        <f aca="false">C86/C64</f>
        <v>0.011841956208632</v>
      </c>
      <c r="D87" s="14" t="n">
        <f aca="false">D86/D64</f>
        <v>0.0213125324514788</v>
      </c>
      <c r="E87" s="14" t="n">
        <f aca="false">E86/E64</f>
        <v>0.0238602254384464</v>
      </c>
      <c r="F87" s="14" t="n">
        <f aca="false">F86/F64</f>
        <v>0.0272194525237874</v>
      </c>
      <c r="G87" s="14" t="n">
        <f aca="false">G86/G64</f>
        <v>0.0292217520794586</v>
      </c>
    </row>
    <row r="88" customFormat="false" ht="15" hidden="false" customHeight="false" outlineLevel="0" collapsed="false">
      <c r="A88" s="4" t="s">
        <v>625</v>
      </c>
      <c r="B88" s="0" t="s">
        <v>151</v>
      </c>
      <c r="C88" s="21" t="n">
        <f aca="false">a25_sni</f>
        <v>6.9608</v>
      </c>
      <c r="D88" s="21" t="n">
        <f aca="false">a26_sni</f>
        <v>31.133746704</v>
      </c>
      <c r="E88" s="21" t="n">
        <f aca="false">E86*snio</f>
        <v>42.8717128395298</v>
      </c>
      <c r="F88" s="21" t="n">
        <f aca="false">F86*snio</f>
        <v>51.6844856027877</v>
      </c>
      <c r="G88" s="21" t="n">
        <f aca="false">G86*snio</f>
        <v>56.3602265703806</v>
      </c>
    </row>
    <row r="89" customFormat="false" ht="17.15" hidden="false" customHeight="false" outlineLevel="0" collapsed="false">
      <c r="A89" s="6" t="s">
        <v>626</v>
      </c>
    </row>
    <row r="90" customFormat="false" ht="15" hidden="false" customHeight="false" outlineLevel="0" collapsed="false">
      <c r="A90" s="4" t="s">
        <v>462</v>
      </c>
      <c r="B90" s="0" t="s">
        <v>151</v>
      </c>
      <c r="C90" s="21" t="n">
        <f aca="false">a25_wgp</f>
        <v>78.454</v>
      </c>
      <c r="D90" s="21" t="n">
        <f aca="false">a26_wgp</f>
        <v>125.0519932</v>
      </c>
      <c r="E90" s="21" t="n">
        <f aca="false">E69*wgm</f>
        <v>154.979762834291</v>
      </c>
      <c r="F90" s="21" t="n">
        <f aca="false">F69*wgm</f>
        <v>181.862314022138</v>
      </c>
      <c r="G90" s="21" t="n">
        <f aca="false">G69*wgm</f>
        <v>194.412402257042</v>
      </c>
    </row>
    <row r="91" customFormat="false" ht="15" hidden="false" customHeight="false" outlineLevel="0" collapsed="false">
      <c r="A91" s="4" t="s">
        <v>464</v>
      </c>
      <c r="B91" s="0" t="s">
        <v>151</v>
      </c>
      <c r="C91" s="21" t="n">
        <f aca="false">a25_woi</f>
        <v>63.918</v>
      </c>
      <c r="D91" s="21" t="n">
        <f aca="false">a26_woi</f>
        <v>98.2471632</v>
      </c>
      <c r="E91" s="21" t="n">
        <f aca="false">E69*wopm</f>
        <v>118.513936285046</v>
      </c>
      <c r="F91" s="21" t="n">
        <f aca="false">F69*wopm</f>
        <v>139.071181311047</v>
      </c>
      <c r="G91" s="21" t="n">
        <f aca="false">G69*wopm</f>
        <v>148.668307608326</v>
      </c>
    </row>
    <row r="92" customFormat="false" ht="15" hidden="false" customHeight="false" outlineLevel="0" collapsed="false">
      <c r="A92" s="4" t="s">
        <v>472</v>
      </c>
      <c r="B92" s="0" t="s">
        <v>151</v>
      </c>
      <c r="C92" s="21" t="n">
        <f aca="false">a25_wni</f>
        <v>51.118</v>
      </c>
      <c r="D92" s="21" t="n">
        <f aca="false">a26_wni</f>
        <v>75.735026884</v>
      </c>
      <c r="E92" s="21" t="n">
        <f aca="false">E91*wnio</f>
        <v>92.4408703023357</v>
      </c>
      <c r="F92" s="21" t="n">
        <f aca="false">F91*wnio</f>
        <v>108.475521422617</v>
      </c>
      <c r="G92" s="21" t="n">
        <f aca="false">G91*wnio</f>
        <v>115.961279934494</v>
      </c>
    </row>
    <row r="93" customFormat="false" ht="15" hidden="false" customHeight="false" outlineLevel="0" collapsed="false">
      <c r="A93" s="4" t="s">
        <v>474</v>
      </c>
      <c r="B93" s="0" t="s">
        <v>52</v>
      </c>
      <c r="C93" s="14" t="n">
        <f aca="false">stake25</f>
        <v>0.4</v>
      </c>
      <c r="D93" s="14" t="n">
        <f aca="false">stake</f>
        <v>0.3768</v>
      </c>
      <c r="E93" s="14" t="n">
        <f aca="false">stake</f>
        <v>0.3768</v>
      </c>
      <c r="F93" s="14" t="n">
        <f aca="false">stake</f>
        <v>0.3768</v>
      </c>
      <c r="G93" s="14" t="n">
        <f aca="false">stake</f>
        <v>0.3768</v>
      </c>
    </row>
    <row r="94" customFormat="false" ht="17.15" hidden="false" customHeight="false" outlineLevel="0" collapsed="false">
      <c r="A94" s="6" t="s">
        <v>627</v>
      </c>
    </row>
    <row r="95" customFormat="false" ht="15" hidden="false" customHeight="false" outlineLevel="0" collapsed="false">
      <c r="A95" s="4" t="s">
        <v>448</v>
      </c>
      <c r="B95" s="0" t="s">
        <v>151</v>
      </c>
      <c r="C95" s="21" t="n">
        <f aca="false">C82+C90</f>
        <v>133.983</v>
      </c>
      <c r="D95" s="21" t="n">
        <f aca="false">D82+D90</f>
        <v>228.55837901015</v>
      </c>
      <c r="E95" s="21" t="n">
        <f aca="false">E82+E90</f>
        <v>281.488041416312</v>
      </c>
      <c r="F95" s="21" t="n">
        <f aca="false">F82+F90</f>
        <v>324.958560819374</v>
      </c>
      <c r="G95" s="21" t="n">
        <f aca="false">G82+G90</f>
        <v>346.098186889571</v>
      </c>
    </row>
    <row r="96" customFormat="false" ht="15" hidden="false" customHeight="false" outlineLevel="0" collapsed="false">
      <c r="A96" s="4" t="s">
        <v>451</v>
      </c>
      <c r="B96" s="0" t="s">
        <v>52</v>
      </c>
      <c r="C96" s="14" t="n">
        <f aca="false">C95/C70</f>
        <v>0.0612767393711386</v>
      </c>
      <c r="D96" s="14" t="n">
        <f aca="false">D95/D70</f>
        <v>0.055781973714825</v>
      </c>
      <c r="E96" s="14" t="n">
        <f aca="false">E95/E70</f>
        <v>0.0559414037095961</v>
      </c>
      <c r="F96" s="14" t="n">
        <f aca="false">F95/F70</f>
        <v>0.0587598394886539</v>
      </c>
      <c r="G96" s="14" t="n">
        <f aca="false">G95/G70</f>
        <v>0.0603871039246191</v>
      </c>
    </row>
    <row r="97" customFormat="false" ht="15" hidden="false" customHeight="false" outlineLevel="0" collapsed="false">
      <c r="A97" s="4" t="s">
        <v>452</v>
      </c>
      <c r="B97" s="0" t="s">
        <v>151</v>
      </c>
      <c r="C97" s="21" t="n">
        <f aca="false">C86+C91</f>
        <v>78.553</v>
      </c>
      <c r="D97" s="21" t="n">
        <f aca="false">D86+D91</f>
        <v>154.762139470258</v>
      </c>
      <c r="E97" s="21" t="n">
        <f aca="false">E86+E91</f>
        <v>195.070566355635</v>
      </c>
      <c r="F97" s="21" t="n">
        <f aca="false">F86+F91</f>
        <v>231.364905601739</v>
      </c>
      <c r="G97" s="21" t="n">
        <f aca="false">G86+G91</f>
        <v>249.311569341149</v>
      </c>
    </row>
    <row r="98" customFormat="false" ht="15" hidden="false" customHeight="false" outlineLevel="0" collapsed="false">
      <c r="A98" s="4" t="s">
        <v>455</v>
      </c>
      <c r="B98" s="0" t="s">
        <v>52</v>
      </c>
      <c r="C98" s="14" t="n">
        <f aca="false">C97/C70</f>
        <v>0.0359259884300325</v>
      </c>
      <c r="D98" s="14" t="n">
        <f aca="false">D97/D70</f>
        <v>0.0377712584126992</v>
      </c>
      <c r="E98" s="14" t="n">
        <f aca="false">E97/E70</f>
        <v>0.0387672643194844</v>
      </c>
      <c r="F98" s="14" t="n">
        <f aca="false">F97/F70</f>
        <v>0.0418359949717479</v>
      </c>
      <c r="G98" s="14" t="n">
        <f aca="false">G97/G70</f>
        <v>0.0434998050198323</v>
      </c>
    </row>
    <row r="99" customFormat="false" ht="15" hidden="false" customHeight="false" outlineLevel="0" collapsed="false">
      <c r="A99" s="4" t="s">
        <v>485</v>
      </c>
      <c r="B99" s="0" t="s">
        <v>151</v>
      </c>
      <c r="C99" s="21" t="n">
        <f aca="false">C88+C92</f>
        <v>58.0788</v>
      </c>
      <c r="D99" s="21" t="n">
        <f aca="false">D88+D92</f>
        <v>106.868773588</v>
      </c>
      <c r="E99" s="21" t="n">
        <f aca="false">E88+E92</f>
        <v>135.312583141865</v>
      </c>
      <c r="F99" s="21" t="n">
        <f aca="false">F88+F92</f>
        <v>160.160007025404</v>
      </c>
      <c r="G99" s="21" t="n">
        <f aca="false">G88+G92</f>
        <v>172.321506504875</v>
      </c>
    </row>
    <row r="100" customFormat="false" ht="17.15" hidden="false" customHeight="false" outlineLevel="0" collapsed="false">
      <c r="A100" s="4" t="s">
        <v>628</v>
      </c>
      <c r="B100" s="0" t="s">
        <v>151</v>
      </c>
      <c r="C100" s="21" t="n">
        <f aca="false">(1-C93)*C92</f>
        <v>30.6708</v>
      </c>
      <c r="D100" s="21" t="n">
        <f aca="false">(1-D93)*D92</f>
        <v>47.1980687541088</v>
      </c>
      <c r="E100" s="21" t="n">
        <f aca="false">(1-E93)*E92</f>
        <v>57.6091503724156</v>
      </c>
      <c r="F100" s="21" t="n">
        <f aca="false">(1-F93)*F92</f>
        <v>67.6019449505747</v>
      </c>
      <c r="G100" s="21" t="n">
        <f aca="false">(1-G93)*G92</f>
        <v>72.2670696551769</v>
      </c>
    </row>
    <row r="101" customFormat="false" ht="15" hidden="false" customHeight="false" outlineLevel="0" collapsed="false">
      <c r="A101" s="4" t="s">
        <v>481</v>
      </c>
      <c r="B101" s="0" t="s">
        <v>151</v>
      </c>
      <c r="C101" s="21" t="n">
        <f aca="false">C99-C100</f>
        <v>27.408</v>
      </c>
      <c r="D101" s="21" t="n">
        <f aca="false">D99-D100</f>
        <v>59.6707048338912</v>
      </c>
      <c r="E101" s="21" t="n">
        <f aca="false">E99-E100</f>
        <v>77.7034327694499</v>
      </c>
      <c r="F101" s="21" t="n">
        <f aca="false">F99-F100</f>
        <v>92.5580620748297</v>
      </c>
      <c r="G101" s="21" t="n">
        <f aca="false">G99-G100</f>
        <v>100.054436849698</v>
      </c>
      <c r="H101" s="26" t="n">
        <f aca="false">H70*H106</f>
        <v>105.381549562595</v>
      </c>
      <c r="I101" s="26" t="n">
        <f aca="false">I70*I106</f>
        <v>111.821925729976</v>
      </c>
      <c r="J101" s="26" t="n">
        <f aca="false">J70*J106</f>
        <v>119.536262323275</v>
      </c>
    </row>
    <row r="102" customFormat="false" ht="17.15" hidden="false" customHeight="false" outlineLevel="0" collapsed="false">
      <c r="A102" s="4" t="s">
        <v>629</v>
      </c>
      <c r="B102" s="0" t="s">
        <v>52</v>
      </c>
      <c r="C102" s="20" t="n">
        <f aca="false">C93*C92/C101</f>
        <v>0.746030356100409</v>
      </c>
      <c r="D102" s="20" t="n">
        <f aca="false">D93*D92/D101</f>
        <v>0.478240674537551</v>
      </c>
      <c r="E102" s="20" t="n">
        <f aca="false">E93*E92/E101</f>
        <v>0.448264879535858</v>
      </c>
      <c r="F102" s="20" t="n">
        <f aca="false">F93*F92/F101</f>
        <v>0.441599311348991</v>
      </c>
      <c r="G102" s="20" t="n">
        <f aca="false">G93*G92/G101</f>
        <v>0.4367043746891</v>
      </c>
    </row>
    <row r="103" customFormat="false" ht="17.15" hidden="false" customHeight="false" outlineLevel="0" collapsed="false">
      <c r="A103" s="4" t="s">
        <v>630</v>
      </c>
      <c r="B103" s="4" t="s">
        <v>286</v>
      </c>
      <c r="C103" s="31" t="n">
        <f aca="false">a25_sh</f>
        <v>3.03185840707965</v>
      </c>
      <c r="D103" s="31" t="n">
        <f aca="false">a26_sh</f>
        <v>3.23861720409076</v>
      </c>
      <c r="E103" s="31" t="n">
        <f aca="false">q_sh4*(1+sh_g)</f>
        <v>3.43</v>
      </c>
      <c r="F103" s="31" t="n">
        <f aca="false">E103*(1+sh_g)</f>
        <v>3.43</v>
      </c>
      <c r="G103" s="31" t="n">
        <f aca="false">F103*(1+sh_g)</f>
        <v>3.43</v>
      </c>
      <c r="H103" s="32" t="n">
        <f aca="false">G103*(1+sh_g)</f>
        <v>3.43</v>
      </c>
      <c r="I103" s="32" t="n">
        <f aca="false">H103*(1+sh_g)</f>
        <v>3.43</v>
      </c>
      <c r="J103" s="32" t="n">
        <f aca="false">I103*(1+sh_g)</f>
        <v>3.43</v>
      </c>
      <c r="K103" s="8" t="s">
        <v>631</v>
      </c>
    </row>
    <row r="104" customFormat="false" ht="15" hidden="false" customHeight="false" outlineLevel="0" collapsed="false">
      <c r="A104" s="0" t="s">
        <v>488</v>
      </c>
      <c r="B104" s="0" t="s">
        <v>316</v>
      </c>
      <c r="C104" s="18" t="n">
        <f aca="false">C101/C103</f>
        <v>9.04</v>
      </c>
      <c r="D104" s="18" t="n">
        <f aca="false">D101/D103</f>
        <v>18.4247476850676</v>
      </c>
      <c r="E104" s="18" t="n">
        <f aca="false">E101/E103</f>
        <v>22.6540620319096</v>
      </c>
      <c r="F104" s="18" t="n">
        <f aca="false">F101/F103</f>
        <v>26.9848577477637</v>
      </c>
      <c r="G104" s="18" t="n">
        <f aca="false">G101/G103</f>
        <v>29.1703897520986</v>
      </c>
      <c r="H104" s="29" t="n">
        <f aca="false">H101/H103</f>
        <v>30.7234838374912</v>
      </c>
      <c r="I104" s="29" t="n">
        <f aca="false">I101/I103</f>
        <v>32.6011445276899</v>
      </c>
      <c r="J104" s="29" t="n">
        <f aca="false">J101/J103</f>
        <v>34.8502222516836</v>
      </c>
    </row>
    <row r="105" customFormat="false" ht="17.15" hidden="false" customHeight="false" outlineLevel="0" collapsed="false">
      <c r="A105" s="0" t="s">
        <v>632</v>
      </c>
      <c r="B105" s="0" t="s">
        <v>52</v>
      </c>
      <c r="D105" s="20" t="n">
        <f aca="false">D104/C104-1</f>
        <v>1.03813580587031</v>
      </c>
      <c r="E105" s="20" t="n">
        <f aca="false">E104/D104-1</f>
        <v>0.229545306081432</v>
      </c>
      <c r="F105" s="20" t="n">
        <f aca="false">F104/E104-1</f>
        <v>0.191170824453204</v>
      </c>
      <c r="G105" s="20" t="n">
        <f aca="false">G104/F104-1</f>
        <v>0.0809910515283685</v>
      </c>
      <c r="H105" s="27" t="n">
        <f aca="false">H104/G104-1</f>
        <v>0.0532421437831787</v>
      </c>
      <c r="I105" s="27" t="n">
        <f aca="false">I104/H104-1</f>
        <v>0.061114836459643</v>
      </c>
      <c r="J105" s="27" t="n">
        <f aca="false">J104/I104-1</f>
        <v>0.068987692198458</v>
      </c>
    </row>
    <row r="106" customFormat="false" ht="17.15" hidden="false" customHeight="false" outlineLevel="0" collapsed="false">
      <c r="A106" s="4" t="s">
        <v>633</v>
      </c>
      <c r="B106" s="0" t="s">
        <v>52</v>
      </c>
      <c r="C106" s="14" t="n">
        <f aca="false">C101/C70</f>
        <v>0.0125349699042727</v>
      </c>
      <c r="D106" s="14" t="n">
        <f aca="false">D101/D70</f>
        <v>0.0145632363293992</v>
      </c>
      <c r="E106" s="14" t="n">
        <f aca="false">E101/E70</f>
        <v>0.015442357978357</v>
      </c>
      <c r="F106" s="14" t="n">
        <f aca="false">F101/F70</f>
        <v>0.0167365859117062</v>
      </c>
      <c r="G106" s="14" t="n">
        <f aca="false">G101/G70</f>
        <v>0.0174574669993569</v>
      </c>
      <c r="H106" s="28" t="n">
        <f aca="false">$G106+(fade_mA-$G106)*1/3</f>
        <v>0.0176080415036494</v>
      </c>
      <c r="I106" s="28" t="n">
        <f aca="false">$G106+(fade_mA-$G106)*2/3</f>
        <v>0.0177586160079418</v>
      </c>
      <c r="J106" s="28" t="n">
        <f aca="false">$G106+(fade_mA-$G106)*3/3</f>
        <v>0.0179091905122343</v>
      </c>
    </row>
    <row r="109" customFormat="false" ht="17.15" hidden="false" customHeight="false" outlineLevel="0" collapsed="false">
      <c r="A109" s="1" t="s">
        <v>948</v>
      </c>
    </row>
    <row r="110" customFormat="false" ht="17.15" hidden="false" customHeight="false" outlineLevel="0" collapsed="false">
      <c r="A110" s="5" t="s">
        <v>21</v>
      </c>
      <c r="B110" s="5" t="s">
        <v>22</v>
      </c>
      <c r="C110" s="15" t="s">
        <v>438</v>
      </c>
      <c r="D110" s="15" t="s">
        <v>552</v>
      </c>
      <c r="E110" s="15" t="s">
        <v>553</v>
      </c>
      <c r="F110" s="15" t="s">
        <v>554</v>
      </c>
      <c r="G110" s="15" t="s">
        <v>555</v>
      </c>
      <c r="H110" s="15" t="s">
        <v>556</v>
      </c>
      <c r="I110" s="15" t="s">
        <v>557</v>
      </c>
      <c r="J110" s="15" t="s">
        <v>558</v>
      </c>
      <c r="K110" s="5" t="s">
        <v>420</v>
      </c>
    </row>
    <row r="111" customFormat="false" ht="17.15" hidden="false" customHeight="false" outlineLevel="0" collapsed="false">
      <c r="A111" s="6" t="s">
        <v>573</v>
      </c>
    </row>
    <row r="112" customFormat="false" ht="17.15" hidden="false" customHeight="false" outlineLevel="0" collapsed="false">
      <c r="A112" s="0" t="s">
        <v>574</v>
      </c>
      <c r="B112" s="0" t="s">
        <v>32</v>
      </c>
      <c r="D112" s="21" t="n">
        <f aca="false">itc_26*1</f>
        <v>781.872916666666</v>
      </c>
      <c r="E112" s="21" t="n">
        <f aca="false">itc_27*1*1.2</f>
        <v>1878.42</v>
      </c>
      <c r="F112" s="21" t="n">
        <f aca="false">itc_28*um28_A*1.2</f>
        <v>2381.11666666667</v>
      </c>
      <c r="G112" s="21" t="n">
        <f aca="false">itc_29*um29_A*1.2</f>
        <v>2712.46833333334</v>
      </c>
    </row>
    <row r="113" customFormat="false" ht="17.15" hidden="false" customHeight="false" outlineLevel="0" collapsed="false">
      <c r="A113" s="4" t="s">
        <v>575</v>
      </c>
      <c r="B113" s="0" t="s">
        <v>32</v>
      </c>
      <c r="D113" s="21" t="n">
        <f aca="false">itpg_gb*(1-vr26)+itpg_vr*vr26</f>
        <v>33.41403216</v>
      </c>
      <c r="E113" s="21" t="n">
        <f aca="false">itpg_vr</f>
        <v>37.586352</v>
      </c>
      <c r="F113" s="21" t="n">
        <f aca="false">itpg_vr</f>
        <v>37.586352</v>
      </c>
      <c r="G113" s="21" t="n">
        <f aca="false">itpg_vr</f>
        <v>37.586352</v>
      </c>
    </row>
    <row r="114" customFormat="false" ht="17.15" hidden="false" customHeight="false" outlineLevel="0" collapsed="false">
      <c r="A114" s="4" t="s">
        <v>576</v>
      </c>
      <c r="B114" s="0" t="s">
        <v>521</v>
      </c>
      <c r="D114" s="22" t="n">
        <f aca="false">D112/D113</f>
        <v>23.3995380420639</v>
      </c>
      <c r="E114" s="22" t="n">
        <f aca="false">E112/E113</f>
        <v>49.9761189912764</v>
      </c>
      <c r="F114" s="22" t="n">
        <f aca="false">F112/F113</f>
        <v>63.3505658294976</v>
      </c>
      <c r="G114" s="22" t="n">
        <f aca="false">G112/G113</f>
        <v>72.1663100833339</v>
      </c>
    </row>
    <row r="115" customFormat="false" ht="17.15" hidden="false" customHeight="false" outlineLevel="0" collapsed="false">
      <c r="A115" s="4" t="s">
        <v>577</v>
      </c>
      <c r="B115" s="0" t="s">
        <v>578</v>
      </c>
      <c r="D115" s="18" t="n">
        <f aca="false">(racks_gb*odm_gb*(1-vr26)+racks_vr*odm_vr*vr26)/1000</f>
        <v>27.1209</v>
      </c>
      <c r="E115" s="18" t="n">
        <f aca="false">racks_vr*odm_vr/1000</f>
        <v>27.351</v>
      </c>
      <c r="F115" s="18" t="n">
        <f aca="false">$E115*vpg_28</f>
        <v>27.351</v>
      </c>
      <c r="G115" s="18" t="n">
        <f aca="false">$E115*vpg_29</f>
        <v>27.351</v>
      </c>
      <c r="K115" s="4" t="s">
        <v>579</v>
      </c>
    </row>
    <row r="116" customFormat="false" ht="17.15" hidden="false" customHeight="false" outlineLevel="0" collapsed="false">
      <c r="A116" s="0" t="s">
        <v>580</v>
      </c>
      <c r="B116" s="0" t="s">
        <v>32</v>
      </c>
      <c r="D116" s="21" t="n">
        <f aca="false">D114*D115</f>
        <v>634.61653128501</v>
      </c>
      <c r="E116" s="21" t="n">
        <f aca="false">E114*E115</f>
        <v>1366.8968305304</v>
      </c>
      <c r="F116" s="21" t="n">
        <f aca="false">F114*F115</f>
        <v>1732.70132600259</v>
      </c>
      <c r="G116" s="21" t="n">
        <f aca="false">G114*G115</f>
        <v>1973.82074708926</v>
      </c>
    </row>
    <row r="117" customFormat="false" ht="17.15" hidden="false" customHeight="false" outlineLevel="0" collapsed="false">
      <c r="A117" s="0" t="s">
        <v>581</v>
      </c>
      <c r="B117" s="0" t="s">
        <v>151</v>
      </c>
      <c r="D117" s="21" t="n">
        <f aca="false">D116*fx</f>
        <v>20307.7290011203</v>
      </c>
      <c r="E117" s="21" t="n">
        <f aca="false">E116*fx</f>
        <v>43740.6985769728</v>
      </c>
      <c r="F117" s="21" t="n">
        <f aca="false">F116*fx</f>
        <v>55446.4424320828</v>
      </c>
      <c r="G117" s="21" t="n">
        <f aca="false">G116*fx</f>
        <v>63162.2639068565</v>
      </c>
    </row>
    <row r="118" customFormat="false" ht="17.15" hidden="false" customHeight="false" outlineLevel="0" collapsed="false">
      <c r="A118" s="6" t="s">
        <v>582</v>
      </c>
    </row>
    <row r="119" customFormat="false" ht="17.15" hidden="false" customHeight="false" outlineLevel="0" collapsed="false">
      <c r="A119" s="4" t="s">
        <v>583</v>
      </c>
      <c r="B119" s="0" t="s">
        <v>52</v>
      </c>
      <c r="D119" s="20" t="n">
        <f aca="false">a26_ais/D117</f>
        <v>0.0875096501918447</v>
      </c>
      <c r="K119" s="8" t="s">
        <v>584</v>
      </c>
    </row>
    <row r="120" customFormat="false" ht="17.15" hidden="false" customHeight="false" outlineLevel="0" collapsed="false">
      <c r="A120" s="4" t="s">
        <v>585</v>
      </c>
      <c r="B120" s="0" t="s">
        <v>64</v>
      </c>
      <c r="D120" s="18" t="n">
        <f aca="false">1</f>
        <v>1</v>
      </c>
      <c r="E120" s="18" t="n">
        <f aca="false">rel_27</f>
        <v>1</v>
      </c>
      <c r="F120" s="18" t="n">
        <f aca="false">rel_28</f>
        <v>0.95</v>
      </c>
      <c r="G120" s="18" t="n">
        <f aca="false">rel_29</f>
        <v>0.9</v>
      </c>
    </row>
    <row r="121" customFormat="false" ht="17.15" hidden="false" customHeight="false" outlineLevel="0" collapsed="false">
      <c r="A121" s="4" t="s">
        <v>586</v>
      </c>
      <c r="B121" s="0" t="s">
        <v>52</v>
      </c>
      <c r="D121" s="20" t="n">
        <f aca="false">$D$119*D120</f>
        <v>0.0875096501918447</v>
      </c>
      <c r="E121" s="20" t="n">
        <f aca="false">$D$119*E120</f>
        <v>0.0875096501918447</v>
      </c>
      <c r="F121" s="20" t="n">
        <f aca="false">$D$119*F120</f>
        <v>0.0831341676822525</v>
      </c>
      <c r="G121" s="20" t="n">
        <f aca="false">$D$119*G120</f>
        <v>0.0787586851726602</v>
      </c>
    </row>
    <row r="122" customFormat="false" ht="17.15" hidden="false" customHeight="false" outlineLevel="0" collapsed="false">
      <c r="A122" s="4" t="s">
        <v>587</v>
      </c>
      <c r="B122" s="0" t="s">
        <v>151</v>
      </c>
      <c r="D122" s="21" t="n">
        <f aca="false">D117*D121</f>
        <v>1777.12226107882</v>
      </c>
      <c r="E122" s="21" t="n">
        <f aca="false">E117*E121</f>
        <v>3827.73323161781</v>
      </c>
      <c r="F122" s="21" t="n">
        <f aca="false">F117*F121</f>
        <v>4609.49384253313</v>
      </c>
      <c r="G122" s="21" t="n">
        <f aca="false">G117*G121</f>
        <v>4974.57685783259</v>
      </c>
    </row>
    <row r="123" customFormat="false" ht="17.15" hidden="false" customHeight="false" outlineLevel="0" collapsed="false">
      <c r="A123" s="4" t="s">
        <v>588</v>
      </c>
      <c r="B123" s="0" t="s">
        <v>52</v>
      </c>
      <c r="D123" s="20" t="n">
        <f aca="false">0</f>
        <v>0</v>
      </c>
      <c r="E123" s="20" t="n">
        <f aca="false">cs_27</f>
        <v>0.1</v>
      </c>
      <c r="F123" s="20" t="n">
        <f aca="false">cs_28</f>
        <v>0.2</v>
      </c>
      <c r="G123" s="20" t="n">
        <f aca="false">cs_29</f>
        <v>0.25</v>
      </c>
      <c r="K123" s="8" t="s">
        <v>589</v>
      </c>
    </row>
    <row r="124" customFormat="false" ht="17.15" hidden="false" customHeight="false" outlineLevel="0" collapsed="false">
      <c r="A124" s="4" t="s">
        <v>590</v>
      </c>
      <c r="B124" s="0" t="s">
        <v>151</v>
      </c>
      <c r="D124" s="21" t="n">
        <f aca="false">D122*(1-D123)</f>
        <v>1777.12226107882</v>
      </c>
      <c r="E124" s="21" t="n">
        <f aca="false">E122*(1-E123)</f>
        <v>3444.95990845603</v>
      </c>
      <c r="F124" s="21" t="n">
        <f aca="false">F122*(1-F123)</f>
        <v>3687.59507402651</v>
      </c>
      <c r="G124" s="21" t="n">
        <f aca="false">G122*(1-G123)</f>
        <v>3730.93264337444</v>
      </c>
    </row>
    <row r="125" customFormat="false" ht="17.15" hidden="false" customHeight="false" outlineLevel="0" collapsed="false">
      <c r="A125" s="6" t="s">
        <v>591</v>
      </c>
    </row>
    <row r="126" customFormat="false" ht="17.15" hidden="false" customHeight="false" outlineLevel="0" collapsed="false">
      <c r="A126" s="0" t="s">
        <v>592</v>
      </c>
      <c r="B126" s="4" t="s">
        <v>85</v>
      </c>
      <c r="D126" s="18" t="n">
        <f aca="false">gu_26*1</f>
        <v>8.35</v>
      </c>
      <c r="E126" s="18" t="n">
        <f aca="false">gu_27*1*1.2</f>
        <v>13.44</v>
      </c>
      <c r="F126" s="18" t="n">
        <f aca="false">gu_28*um28_A*1.2</f>
        <v>13.8</v>
      </c>
      <c r="G126" s="18" t="n">
        <f aca="false">gu_29*um29_A*1.2</f>
        <v>15.48</v>
      </c>
    </row>
    <row r="127" customFormat="false" ht="15" hidden="false" customHeight="false" outlineLevel="0" collapsed="false">
      <c r="A127" s="4" t="s">
        <v>593</v>
      </c>
      <c r="B127" s="0" t="s">
        <v>52</v>
      </c>
      <c r="D127" s="20" t="n">
        <f aca="false">bsh_26</f>
        <v>0.5</v>
      </c>
      <c r="E127" s="20" t="n">
        <f aca="false">bsh_26*brel_27</f>
        <v>0.5</v>
      </c>
      <c r="F127" s="20" t="n">
        <f aca="false">bsh_26*brel_28</f>
        <v>0.475</v>
      </c>
      <c r="G127" s="20" t="n">
        <f aca="false">bsh_26*brel_29</f>
        <v>0.45</v>
      </c>
    </row>
    <row r="128" customFormat="false" ht="17.15" hidden="false" customHeight="false" outlineLevel="0" collapsed="false">
      <c r="A128" s="4" t="s">
        <v>594</v>
      </c>
      <c r="B128" s="0" t="s">
        <v>543</v>
      </c>
      <c r="D128" s="24" t="n">
        <f aca="false">a26_brd/fx/D126/D127*1000</f>
        <v>823.353293413174</v>
      </c>
      <c r="E128" s="24" t="n">
        <f aca="false">$D128*bv_27</f>
        <v>946.85628742515</v>
      </c>
      <c r="F128" s="24" t="n">
        <f aca="false">$D128*bv_28</f>
        <v>988.023952095808</v>
      </c>
      <c r="G128" s="24" t="n">
        <f aca="false">$D128*bv_29</f>
        <v>988.023952095808</v>
      </c>
      <c r="K128" s="8" t="s">
        <v>595</v>
      </c>
    </row>
    <row r="129" customFormat="false" ht="17.15" hidden="false" customHeight="false" outlineLevel="0" collapsed="false">
      <c r="A129" s="0" t="s">
        <v>545</v>
      </c>
      <c r="B129" s="0" t="s">
        <v>151</v>
      </c>
      <c r="D129" s="21" t="n">
        <f aca="false">D126*D127*D128*fx/1000</f>
        <v>110</v>
      </c>
      <c r="E129" s="21" t="n">
        <f aca="false">E126*E127*E128*fx/1000</f>
        <v>203.611976047904</v>
      </c>
      <c r="F129" s="21" t="n">
        <f aca="false">F126*F127*F128*fx/1000</f>
        <v>207.247904191617</v>
      </c>
      <c r="G129" s="21" t="n">
        <f aca="false">G126*G127*G128*fx/1000</f>
        <v>220.242395209581</v>
      </c>
    </row>
    <row r="130" customFormat="false" ht="17.15" hidden="false" customHeight="false" outlineLevel="0" collapsed="false">
      <c r="A130" s="6" t="s">
        <v>596</v>
      </c>
    </row>
    <row r="131" customFormat="false" ht="15" hidden="false" customHeight="false" outlineLevel="0" collapsed="false">
      <c r="A131" s="4" t="s">
        <v>597</v>
      </c>
      <c r="B131" s="0" t="s">
        <v>151</v>
      </c>
      <c r="D131" s="21" t="n">
        <f aca="false">a26_gen</f>
        <v>150</v>
      </c>
      <c r="E131" s="21" t="n">
        <f aca="false">D131*(1+g_gen27)</f>
        <v>180</v>
      </c>
      <c r="F131" s="21" t="n">
        <f aca="false">E131*(1+g_gen28)</f>
        <v>198</v>
      </c>
      <c r="G131" s="21" t="n">
        <f aca="false">F131*(1+g_gen29)</f>
        <v>213.84</v>
      </c>
    </row>
    <row r="132" customFormat="false" ht="15" hidden="false" customHeight="false" outlineLevel="0" collapsed="false">
      <c r="A132" s="4" t="s">
        <v>598</v>
      </c>
      <c r="B132" s="0" t="s">
        <v>151</v>
      </c>
      <c r="D132" s="21" t="n">
        <f aca="false">a26_pc</f>
        <v>614.602793131557</v>
      </c>
      <c r="E132" s="21" t="n">
        <f aca="false">D132*(1+g_pc27)</f>
        <v>596.16470933761</v>
      </c>
      <c r="F132" s="21" t="n">
        <f aca="false">E132*(1+g_pc28)</f>
        <v>596.16470933761</v>
      </c>
      <c r="G132" s="21" t="n">
        <f aca="false">F132*(1+g_pc29)</f>
        <v>596.16470933761</v>
      </c>
    </row>
    <row r="133" customFormat="false" ht="15" hidden="false" customHeight="false" outlineLevel="0" collapsed="false">
      <c r="A133" s="4" t="s">
        <v>599</v>
      </c>
      <c r="B133" s="0" t="s">
        <v>151</v>
      </c>
      <c r="C133" s="21" t="n">
        <f aca="false">a25_srev</f>
        <v>1235.86</v>
      </c>
      <c r="D133" s="21" t="n">
        <f aca="false">D124+D129+D131+D132</f>
        <v>2651.72505421038</v>
      </c>
      <c r="E133" s="21" t="n">
        <f aca="false">E124+E129+E131+E132</f>
        <v>4424.73659384155</v>
      </c>
      <c r="F133" s="21" t="n">
        <f aca="false">F124+F129+F131+F132</f>
        <v>4689.00768755573</v>
      </c>
      <c r="G133" s="21" t="n">
        <f aca="false">G124+G129+G131+G132</f>
        <v>4761.17974792163</v>
      </c>
    </row>
    <row r="134" customFormat="false" ht="17.15" hidden="false" customHeight="false" outlineLevel="0" collapsed="false">
      <c r="A134" s="4" t="s">
        <v>600</v>
      </c>
      <c r="B134" s="0" t="s">
        <v>52</v>
      </c>
      <c r="D134" s="20" t="n">
        <f aca="false">a26_wai/D117</f>
        <v>0.0341693013513091</v>
      </c>
      <c r="K134" s="8" t="s">
        <v>601</v>
      </c>
    </row>
    <row r="135" customFormat="false" ht="17.15" hidden="false" customHeight="false" outlineLevel="0" collapsed="false">
      <c r="A135" s="4" t="s">
        <v>527</v>
      </c>
      <c r="B135" s="0" t="s">
        <v>52</v>
      </c>
      <c r="D135" s="20" t="n">
        <f aca="false">D134</f>
        <v>0.0341693013513091</v>
      </c>
      <c r="E135" s="20" t="n">
        <f aca="false">$D$134*wrel_27</f>
        <v>0.0341693013513091</v>
      </c>
      <c r="F135" s="20" t="n">
        <f aca="false">$D$134*wrel_28</f>
        <v>0.0341693013513091</v>
      </c>
      <c r="G135" s="20" t="n">
        <f aca="false">$D$134*wrel_29</f>
        <v>0.0324608362837436</v>
      </c>
    </row>
    <row r="136" customFormat="false" ht="17.15" hidden="false" customHeight="false" outlineLevel="0" collapsed="false">
      <c r="A136" s="4" t="s">
        <v>547</v>
      </c>
      <c r="B136" s="0" t="s">
        <v>151</v>
      </c>
      <c r="D136" s="21" t="n">
        <f aca="false">D117*D135</f>
        <v>693.900912</v>
      </c>
      <c r="E136" s="21" t="n">
        <f aca="false">E117*E135</f>
        <v>1494.58911099336</v>
      </c>
      <c r="F136" s="21" t="n">
        <f aca="false">F117*F135</f>
        <v>1894.56620031985</v>
      </c>
      <c r="G136" s="21" t="n">
        <f aca="false">G117*G135</f>
        <v>2050.29990799108</v>
      </c>
    </row>
    <row r="137" customFormat="false" ht="17.15" hidden="false" customHeight="false" outlineLevel="0" collapsed="false">
      <c r="A137" s="4" t="s">
        <v>602</v>
      </c>
      <c r="B137" s="0" t="s">
        <v>151</v>
      </c>
      <c r="D137" s="21" t="n">
        <f aca="false">a26_wna</f>
        <v>751.725988</v>
      </c>
      <c r="E137" s="21" t="n">
        <f aca="false">D137*(1+g_wn27)</f>
        <v>826.8985868</v>
      </c>
      <c r="F137" s="21" t="n">
        <f aca="false">E137*(1+g_wn28)</f>
        <v>876.512502008</v>
      </c>
      <c r="G137" s="21" t="n">
        <f aca="false">F137*(1+g_wn29)</f>
        <v>920.3381271084</v>
      </c>
    </row>
    <row r="138" customFormat="false" ht="15" hidden="false" customHeight="false" outlineLevel="0" collapsed="false">
      <c r="A138" s="4" t="s">
        <v>458</v>
      </c>
      <c r="B138" s="0" t="s">
        <v>151</v>
      </c>
      <c r="C138" s="21" t="n">
        <f aca="false">a25_wrev</f>
        <v>950.663</v>
      </c>
      <c r="D138" s="21" t="n">
        <f aca="false">D136+D137</f>
        <v>1445.6269</v>
      </c>
      <c r="E138" s="21" t="n">
        <f aca="false">E136+E137</f>
        <v>2321.48769779336</v>
      </c>
      <c r="F138" s="21" t="n">
        <f aca="false">F136+F137</f>
        <v>2771.07870232785</v>
      </c>
      <c r="G138" s="21" t="n">
        <f aca="false">G136+G137</f>
        <v>2970.63803509948</v>
      </c>
    </row>
    <row r="139" customFormat="false" ht="17.15" hidden="false" customHeight="false" outlineLevel="0" collapsed="false">
      <c r="A139" s="4" t="s">
        <v>444</v>
      </c>
      <c r="B139" s="0" t="s">
        <v>151</v>
      </c>
      <c r="C139" s="21" t="n">
        <f aca="false">C133+C138</f>
        <v>2186.523</v>
      </c>
      <c r="D139" s="21" t="n">
        <f aca="false">D133+D138</f>
        <v>4097.35195421038</v>
      </c>
      <c r="E139" s="21" t="n">
        <f aca="false">E133+E138</f>
        <v>6746.22429163491</v>
      </c>
      <c r="F139" s="21" t="n">
        <f aca="false">F133+F138</f>
        <v>7460.08638988358</v>
      </c>
      <c r="G139" s="21" t="n">
        <f aca="false">G133+G138</f>
        <v>7731.81778302111</v>
      </c>
      <c r="H139" s="26" t="n">
        <f aca="false">G139*(1+H144)</f>
        <v>8074.2068900451</v>
      </c>
      <c r="I139" s="26" t="n">
        <f aca="false">H139*(1+I144)</f>
        <v>8495.20868125908</v>
      </c>
      <c r="J139" s="26" t="n">
        <f aca="false">I139*(1+J144)</f>
        <v>9004.92120213463</v>
      </c>
      <c r="K139" s="8" t="s">
        <v>603</v>
      </c>
    </row>
    <row r="140" customFormat="false" ht="17.15" hidden="false" customHeight="false" outlineLevel="0" collapsed="false">
      <c r="A140" s="4" t="s">
        <v>604</v>
      </c>
      <c r="B140" s="0" t="s">
        <v>151</v>
      </c>
      <c r="D140" s="21" t="n">
        <f aca="false">D124+D129+D131+D138</f>
        <v>3482.74916107882</v>
      </c>
      <c r="E140" s="21" t="n">
        <f aca="false">E124+E129+E131+E138</f>
        <v>6150.0595822973</v>
      </c>
      <c r="F140" s="21" t="n">
        <f aca="false">F124+F129+F131+F138</f>
        <v>6863.92168054598</v>
      </c>
      <c r="G140" s="21" t="n">
        <f aca="false">G124+G129+G131+G138</f>
        <v>7135.6530736835</v>
      </c>
      <c r="K140" s="4" t="s">
        <v>605</v>
      </c>
    </row>
    <row r="141" customFormat="false" ht="15" hidden="false" customHeight="false" outlineLevel="0" collapsed="false">
      <c r="A141" s="4" t="s">
        <v>606</v>
      </c>
      <c r="B141" s="0" t="s">
        <v>151</v>
      </c>
      <c r="D141" s="21" t="n">
        <f aca="false">D132</f>
        <v>614.602793131557</v>
      </c>
      <c r="E141" s="21" t="n">
        <f aca="false">E132</f>
        <v>596.16470933761</v>
      </c>
      <c r="F141" s="21" t="n">
        <f aca="false">F132</f>
        <v>596.16470933761</v>
      </c>
      <c r="G141" s="21" t="n">
        <f aca="false">G132</f>
        <v>596.16470933761</v>
      </c>
      <c r="K141" s="4" t="s">
        <v>607</v>
      </c>
    </row>
    <row r="142" customFormat="false" ht="17.15" hidden="false" customHeight="false" outlineLevel="0" collapsed="false">
      <c r="A142" s="4" t="s">
        <v>608</v>
      </c>
      <c r="B142" s="0" t="s">
        <v>151</v>
      </c>
      <c r="D142" s="31" t="n">
        <f aca="false">D140+D141-D139</f>
        <v>0</v>
      </c>
      <c r="E142" s="31" t="n">
        <f aca="false">E140+E141-E139</f>
        <v>0</v>
      </c>
      <c r="F142" s="31" t="n">
        <f aca="false">F140+F141-F139</f>
        <v>0</v>
      </c>
      <c r="G142" s="31" t="n">
        <f aca="false">G140+G141-G139</f>
        <v>0</v>
      </c>
    </row>
    <row r="143" customFormat="false" ht="17.15" hidden="false" customHeight="false" outlineLevel="0" collapsed="false">
      <c r="A143" s="4" t="s">
        <v>609</v>
      </c>
      <c r="B143" s="0" t="s">
        <v>52</v>
      </c>
      <c r="D143" s="20" t="n">
        <f aca="false">D140/D139</f>
        <v>0.85</v>
      </c>
      <c r="E143" s="20" t="n">
        <f aca="false">E140/E139</f>
        <v>0.911629871233775</v>
      </c>
      <c r="F143" s="20" t="n">
        <f aca="false">F140/F139</f>
        <v>0.920086085042386</v>
      </c>
      <c r="G143" s="20" t="n">
        <f aca="false">G140/G139</f>
        <v>0.922894625032839</v>
      </c>
    </row>
    <row r="144" customFormat="false" ht="15" hidden="false" customHeight="false" outlineLevel="0" collapsed="false">
      <c r="A144" s="4" t="s">
        <v>610</v>
      </c>
      <c r="B144" s="0" t="s">
        <v>52</v>
      </c>
      <c r="D144" s="20" t="n">
        <f aca="false">D139/C139-1</f>
        <v>0.873912121761526</v>
      </c>
      <c r="E144" s="20" t="n">
        <f aca="false">E139/D139-1</f>
        <v>0.646483965016134</v>
      </c>
      <c r="F144" s="20" t="n">
        <f aca="false">F139/E139-1</f>
        <v>0.105816537871983</v>
      </c>
      <c r="G144" s="20" t="n">
        <f aca="false">G139/F139-1</f>
        <v>0.036424697910471</v>
      </c>
      <c r="H144" s="27" t="n">
        <f aca="false">$G144+(fade_gA-$G144)*1/3</f>
        <v>0.044283131940314</v>
      </c>
      <c r="I144" s="27" t="n">
        <f aca="false">$G144+(fade_gA-$G144)*2/3</f>
        <v>0.052141565970157</v>
      </c>
      <c r="J144" s="27" t="n">
        <f aca="false">$G144+(fade_gA-$G144)*3/3</f>
        <v>0.06</v>
      </c>
    </row>
    <row r="145" customFormat="false" ht="17.15" hidden="false" customHeight="false" outlineLevel="0" collapsed="false">
      <c r="A145" s="0" t="s">
        <v>611</v>
      </c>
      <c r="B145" s="0" t="s">
        <v>52</v>
      </c>
      <c r="D145" s="20" t="n">
        <f aca="false">(D124+D129+D136)/D139</f>
        <v>0.629924693295288</v>
      </c>
      <c r="E145" s="20" t="n">
        <f aca="false">(E124+E129+E136)/E139</f>
        <v>0.762376223078537</v>
      </c>
      <c r="F145" s="20" t="n">
        <f aca="false">(F124+F129+F136)/F139</f>
        <v>0.776051224606304</v>
      </c>
      <c r="G145" s="20" t="n">
        <f aca="false">(G124+G129+G136)/G139</f>
        <v>0.776204912608546</v>
      </c>
    </row>
    <row r="146" customFormat="false" ht="17.15" hidden="false" customHeight="false" outlineLevel="0" collapsed="false">
      <c r="A146" s="4" t="s">
        <v>612</v>
      </c>
      <c r="B146" s="0" t="s">
        <v>52</v>
      </c>
      <c r="C146" s="20" t="n">
        <f aca="false">C138/C139</f>
        <v>0.434782986504144</v>
      </c>
      <c r="D146" s="20" t="n">
        <f aca="false">D138/D139</f>
        <v>0.352819800728736</v>
      </c>
      <c r="E146" s="20" t="n">
        <f aca="false">E138/E139</f>
        <v>0.344116589878568</v>
      </c>
      <c r="F146" s="20" t="n">
        <f aca="false">F138/F139</f>
        <v>0.371453969499017</v>
      </c>
      <c r="G146" s="20" t="n">
        <f aca="false">G138/G139</f>
        <v>0.384209524650585</v>
      </c>
    </row>
    <row r="147" customFormat="false" ht="17.15" hidden="false" customHeight="false" outlineLevel="0" collapsed="false">
      <c r="A147" s="4" t="s">
        <v>613</v>
      </c>
      <c r="B147" s="4" t="s">
        <v>335</v>
      </c>
      <c r="D147" s="21" t="n">
        <f aca="false">D122/fx/(odm_gb*(1-vr26)+odm_vr*vr26)</f>
        <v>12.0597330420658</v>
      </c>
      <c r="E147" s="21" t="n">
        <f aca="false">E122/fx/odm_vr</f>
        <v>17.7209871834158</v>
      </c>
      <c r="F147" s="21" t="n">
        <f aca="false">F122/fx/odm_vr</f>
        <v>21.3402492709867</v>
      </c>
      <c r="G147" s="21" t="n">
        <f aca="false">G122/fx/odm_vr</f>
        <v>23.0304484158916</v>
      </c>
      <c r="K147" s="4" t="s">
        <v>614</v>
      </c>
    </row>
    <row r="148" customFormat="false" ht="17.15" hidden="false" customHeight="false" outlineLevel="0" collapsed="false">
      <c r="A148" s="6" t="s">
        <v>615</v>
      </c>
    </row>
    <row r="149" customFormat="false" ht="17.15" hidden="false" customHeight="false" outlineLevel="0" collapsed="false">
      <c r="A149" s="4" t="s">
        <v>616</v>
      </c>
      <c r="B149" s="0" t="s">
        <v>52</v>
      </c>
      <c r="D149" s="14" t="n">
        <f aca="false">(a26_sgp-d_ai*D124-d_brd*D129-d_gen*D131)/D133</f>
        <v>0.0436423860147897</v>
      </c>
      <c r="K149" s="8" t="s">
        <v>617</v>
      </c>
    </row>
    <row r="150" customFormat="false" ht="17.15" hidden="false" customHeight="false" outlineLevel="0" collapsed="false">
      <c r="A150" s="4" t="s">
        <v>618</v>
      </c>
      <c r="B150" s="0" t="s">
        <v>151</v>
      </c>
      <c r="D150" s="25" t="n">
        <f aca="false">($D$149+d_ai)*D122*(1-D123*(1-keep))</f>
        <v>59.7866331026896</v>
      </c>
      <c r="E150" s="25" t="n">
        <f aca="false">($D$149+d_ai+vrd)*E122*(1-E123*(1-keep))</f>
        <v>119.907426351724</v>
      </c>
      <c r="F150" s="25" t="n">
        <f aca="false">($D$149+d_ai+vrd)*F122*(1-F123*(1-keep))</f>
        <v>142.938275828265</v>
      </c>
      <c r="G150" s="25" t="n">
        <f aca="false">($D$149+d_ai+vrd)*G122*(1-G123*(1-keep))</f>
        <v>153.472294165884</v>
      </c>
    </row>
    <row r="151" customFormat="false" ht="15" hidden="false" customHeight="false" outlineLevel="0" collapsed="false">
      <c r="A151" s="4" t="s">
        <v>619</v>
      </c>
      <c r="B151" s="0" t="s">
        <v>151</v>
      </c>
      <c r="C151" s="21" t="n">
        <f aca="false">a25_sgp</f>
        <v>55.529</v>
      </c>
      <c r="D151" s="21" t="n">
        <f aca="false">a26_sgp</f>
        <v>103.50638581015</v>
      </c>
      <c r="E151" s="21" t="n">
        <f aca="false">$D$149*E132+($D$149+d_brd)*E129+($D$149+d_gen)*E131+E150</f>
        <v>171.475577945047</v>
      </c>
      <c r="F151" s="21" t="n">
        <f aca="false">$D$149*F132+($D$149+d_brd)*F129+($D$149+d_gen)*F131+F150</f>
        <v>195.829748793736</v>
      </c>
      <c r="G151" s="21" t="n">
        <f aca="false">$D$149*G132+($D$149+d_brd)*G129+($D$149+d_gen)*G131+G150</f>
        <v>208.249607849439</v>
      </c>
    </row>
    <row r="152" customFormat="false" ht="15" hidden="false" customHeight="false" outlineLevel="0" collapsed="false">
      <c r="A152" s="4" t="s">
        <v>620</v>
      </c>
      <c r="B152" s="0" t="s">
        <v>52</v>
      </c>
      <c r="C152" s="14" t="n">
        <f aca="false">C151/C133</f>
        <v>0.0449314647290146</v>
      </c>
      <c r="D152" s="14" t="n">
        <f aca="false">D151/D133</f>
        <v>0.0390336040479778</v>
      </c>
      <c r="E152" s="14" t="n">
        <f aca="false">E151/E133</f>
        <v>0.0387538499317024</v>
      </c>
      <c r="F152" s="14" t="n">
        <f aca="false">F151/F133</f>
        <v>0.0417635802375527</v>
      </c>
      <c r="G152" s="14" t="n">
        <f aca="false">G151/G133</f>
        <v>0.0437390770513013</v>
      </c>
    </row>
    <row r="153" customFormat="false" ht="15" hidden="false" customHeight="false" outlineLevel="0" collapsed="false">
      <c r="A153" s="4" t="s">
        <v>621</v>
      </c>
      <c r="B153" s="0" t="s">
        <v>52</v>
      </c>
      <c r="E153" s="20" t="n">
        <f aca="false">MAX(0,phi*(E133/D133-1))</f>
        <v>0.200587712155452</v>
      </c>
      <c r="F153" s="20" t="n">
        <f aca="false">MAX(0,phi*(F133/E133-1))</f>
        <v>0.0179177509062578</v>
      </c>
      <c r="G153" s="20" t="n">
        <f aca="false">MAX(0,phi*(G133/F133-1))</f>
        <v>0.00461752668208062</v>
      </c>
    </row>
    <row r="154" customFormat="false" ht="15" hidden="false" customHeight="false" outlineLevel="0" collapsed="false">
      <c r="A154" s="4" t="s">
        <v>622</v>
      </c>
      <c r="B154" s="0" t="s">
        <v>151</v>
      </c>
      <c r="C154" s="21" t="n">
        <f aca="false">a25_sopx</f>
        <v>40.894</v>
      </c>
      <c r="D154" s="21" t="n">
        <f aca="false">a26_sopx</f>
        <v>46.9914095398923</v>
      </c>
      <c r="E154" s="21" t="n">
        <f aca="false">D154*(1+E153)+0*E133</f>
        <v>56.4173088704591</v>
      </c>
      <c r="F154" s="21" t="n">
        <f aca="false">E154*(1+F153)+0*F133</f>
        <v>57.4281801576014</v>
      </c>
      <c r="G154" s="21" t="n">
        <f aca="false">F154*(1+G153)+0*G133</f>
        <v>57.6933563117825</v>
      </c>
    </row>
    <row r="155" customFormat="false" ht="15" hidden="false" customHeight="false" outlineLevel="0" collapsed="false">
      <c r="A155" s="4" t="s">
        <v>623</v>
      </c>
      <c r="B155" s="0" t="s">
        <v>151</v>
      </c>
      <c r="C155" s="21" t="n">
        <f aca="false">C151-C154</f>
        <v>14.635</v>
      </c>
      <c r="D155" s="21" t="n">
        <f aca="false">D151-D154</f>
        <v>56.514976270258</v>
      </c>
      <c r="E155" s="21" t="n">
        <f aca="false">E151-E154</f>
        <v>115.058269074588</v>
      </c>
      <c r="F155" s="21" t="n">
        <f aca="false">F151-F154</f>
        <v>138.401568636134</v>
      </c>
      <c r="G155" s="21" t="n">
        <f aca="false">G151-G154</f>
        <v>150.556251537657</v>
      </c>
    </row>
    <row r="156" customFormat="false" ht="15" hidden="false" customHeight="false" outlineLevel="0" collapsed="false">
      <c r="A156" s="4" t="s">
        <v>624</v>
      </c>
      <c r="B156" s="0" t="s">
        <v>52</v>
      </c>
      <c r="C156" s="14" t="n">
        <f aca="false">C155/C133</f>
        <v>0.011841956208632</v>
      </c>
      <c r="D156" s="14" t="n">
        <f aca="false">D155/D133</f>
        <v>0.0213125324514788</v>
      </c>
      <c r="E156" s="14" t="n">
        <f aca="false">E155/E133</f>
        <v>0.0260034166180037</v>
      </c>
      <c r="F156" s="14" t="n">
        <f aca="false">F155/F133</f>
        <v>0.0295161743930259</v>
      </c>
      <c r="G156" s="14" t="n">
        <f aca="false">G155/G133</f>
        <v>0.0316216273085212</v>
      </c>
    </row>
    <row r="157" customFormat="false" ht="15" hidden="false" customHeight="false" outlineLevel="0" collapsed="false">
      <c r="A157" s="4" t="s">
        <v>625</v>
      </c>
      <c r="B157" s="0" t="s">
        <v>151</v>
      </c>
      <c r="C157" s="21" t="n">
        <f aca="false">a25_sni</f>
        <v>6.9608</v>
      </c>
      <c r="D157" s="21" t="n">
        <f aca="false">a26_sni</f>
        <v>31.133746704</v>
      </c>
      <c r="E157" s="21" t="n">
        <f aca="false">E155*snio</f>
        <v>64.4326306817694</v>
      </c>
      <c r="F157" s="21" t="n">
        <f aca="false">F155*snio</f>
        <v>77.5048784362351</v>
      </c>
      <c r="G157" s="21" t="n">
        <f aca="false">G155*snio</f>
        <v>84.3115008610879</v>
      </c>
    </row>
    <row r="158" customFormat="false" ht="17.15" hidden="false" customHeight="false" outlineLevel="0" collapsed="false">
      <c r="A158" s="6" t="s">
        <v>626</v>
      </c>
    </row>
    <row r="159" customFormat="false" ht="15" hidden="false" customHeight="false" outlineLevel="0" collapsed="false">
      <c r="A159" s="4" t="s">
        <v>462</v>
      </c>
      <c r="B159" s="0" t="s">
        <v>151</v>
      </c>
      <c r="C159" s="21" t="n">
        <f aca="false">a25_wgp</f>
        <v>78.454</v>
      </c>
      <c r="D159" s="21" t="n">
        <f aca="false">a26_wgp</f>
        <v>125.0519932</v>
      </c>
      <c r="E159" s="21" t="n">
        <f aca="false">E138*wgm</f>
        <v>197.326454312436</v>
      </c>
      <c r="F159" s="21" t="n">
        <f aca="false">F138*wgm</f>
        <v>235.541689697867</v>
      </c>
      <c r="G159" s="21" t="n">
        <f aca="false">G138*wgm</f>
        <v>252.504232983456</v>
      </c>
    </row>
    <row r="160" customFormat="false" ht="15" hidden="false" customHeight="false" outlineLevel="0" collapsed="false">
      <c r="A160" s="4" t="s">
        <v>464</v>
      </c>
      <c r="B160" s="0" t="s">
        <v>151</v>
      </c>
      <c r="C160" s="21" t="n">
        <f aca="false">a25_woi</f>
        <v>63.918</v>
      </c>
      <c r="D160" s="21" t="n">
        <f aca="false">a26_woi</f>
        <v>98.2471632</v>
      </c>
      <c r="E160" s="21" t="n">
        <f aca="false">E138*wopm</f>
        <v>150.896700356569</v>
      </c>
      <c r="F160" s="21" t="n">
        <f aca="false">F138*wopm</f>
        <v>180.12011565131</v>
      </c>
      <c r="G160" s="21" t="n">
        <f aca="false">G138*wopm</f>
        <v>193.091472281466</v>
      </c>
    </row>
    <row r="161" customFormat="false" ht="15" hidden="false" customHeight="false" outlineLevel="0" collapsed="false">
      <c r="A161" s="4" t="s">
        <v>472</v>
      </c>
      <c r="B161" s="0" t="s">
        <v>151</v>
      </c>
      <c r="C161" s="21" t="n">
        <f aca="false">a25_wni</f>
        <v>51.118</v>
      </c>
      <c r="D161" s="21" t="n">
        <f aca="false">a26_wni</f>
        <v>75.735026884</v>
      </c>
      <c r="E161" s="21" t="n">
        <f aca="false">E160*wnio</f>
        <v>117.699426278123</v>
      </c>
      <c r="F161" s="21" t="n">
        <f aca="false">F160*wnio</f>
        <v>140.493690208022</v>
      </c>
      <c r="G161" s="21" t="n">
        <f aca="false">G160*wnio</f>
        <v>150.611348379544</v>
      </c>
    </row>
    <row r="162" customFormat="false" ht="15" hidden="false" customHeight="false" outlineLevel="0" collapsed="false">
      <c r="A162" s="4" t="s">
        <v>474</v>
      </c>
      <c r="B162" s="0" t="s">
        <v>52</v>
      </c>
      <c r="C162" s="14" t="n">
        <f aca="false">stake25</f>
        <v>0.4</v>
      </c>
      <c r="D162" s="14" t="n">
        <f aca="false">stake</f>
        <v>0.3768</v>
      </c>
      <c r="E162" s="14" t="n">
        <f aca="false">stake</f>
        <v>0.3768</v>
      </c>
      <c r="F162" s="14" t="n">
        <f aca="false">stake</f>
        <v>0.3768</v>
      </c>
      <c r="G162" s="14" t="n">
        <f aca="false">stake</f>
        <v>0.3768</v>
      </c>
    </row>
    <row r="163" customFormat="false" ht="17.15" hidden="false" customHeight="false" outlineLevel="0" collapsed="false">
      <c r="A163" s="6" t="s">
        <v>627</v>
      </c>
    </row>
    <row r="164" customFormat="false" ht="15" hidden="false" customHeight="false" outlineLevel="0" collapsed="false">
      <c r="A164" s="4" t="s">
        <v>448</v>
      </c>
      <c r="B164" s="0" t="s">
        <v>151</v>
      </c>
      <c r="C164" s="21" t="n">
        <f aca="false">C151+C159</f>
        <v>133.983</v>
      </c>
      <c r="D164" s="21" t="n">
        <f aca="false">D151+D159</f>
        <v>228.55837901015</v>
      </c>
      <c r="E164" s="21" t="n">
        <f aca="false">E151+E159</f>
        <v>368.802032257483</v>
      </c>
      <c r="F164" s="21" t="n">
        <f aca="false">F151+F159</f>
        <v>431.371438491603</v>
      </c>
      <c r="G164" s="21" t="n">
        <f aca="false">G151+G159</f>
        <v>460.753840832895</v>
      </c>
    </row>
    <row r="165" customFormat="false" ht="15" hidden="false" customHeight="false" outlineLevel="0" collapsed="false">
      <c r="A165" s="4" t="s">
        <v>451</v>
      </c>
      <c r="B165" s="0" t="s">
        <v>52</v>
      </c>
      <c r="C165" s="14" t="n">
        <f aca="false">C164/C139</f>
        <v>0.0612767393711386</v>
      </c>
      <c r="D165" s="14" t="n">
        <f aca="false">D164/D139</f>
        <v>0.055781973714825</v>
      </c>
      <c r="E165" s="14" t="n">
        <f aca="false">E164/E139</f>
        <v>0.0546679173882175</v>
      </c>
      <c r="F165" s="14" t="n">
        <f aca="false">F164/F139</f>
        <v>0.0578239199852395</v>
      </c>
      <c r="G165" s="14" t="n">
        <f aca="false">G164/G139</f>
        <v>0.0595919166440652</v>
      </c>
    </row>
    <row r="166" customFormat="false" ht="15" hidden="false" customHeight="false" outlineLevel="0" collapsed="false">
      <c r="A166" s="4" t="s">
        <v>452</v>
      </c>
      <c r="B166" s="0" t="s">
        <v>151</v>
      </c>
      <c r="C166" s="21" t="n">
        <f aca="false">C155+C160</f>
        <v>78.553</v>
      </c>
      <c r="D166" s="21" t="n">
        <f aca="false">D155+D160</f>
        <v>154.762139470258</v>
      </c>
      <c r="E166" s="21" t="n">
        <f aca="false">E155+E160</f>
        <v>265.954969431157</v>
      </c>
      <c r="F166" s="21" t="n">
        <f aca="false">F155+F160</f>
        <v>318.521684287444</v>
      </c>
      <c r="G166" s="21" t="n">
        <f aca="false">G155+G160</f>
        <v>343.647723819123</v>
      </c>
    </row>
    <row r="167" customFormat="false" ht="15" hidden="false" customHeight="false" outlineLevel="0" collapsed="false">
      <c r="A167" s="4" t="s">
        <v>455</v>
      </c>
      <c r="B167" s="0" t="s">
        <v>52</v>
      </c>
      <c r="C167" s="14" t="n">
        <f aca="false">C166/C139</f>
        <v>0.0359259884300325</v>
      </c>
      <c r="D167" s="14" t="n">
        <f aca="false">D166/D139</f>
        <v>0.0377712584126992</v>
      </c>
      <c r="E167" s="14" t="n">
        <f aca="false">E166/E139</f>
        <v>0.0394227879083315</v>
      </c>
      <c r="F167" s="14" t="n">
        <f aca="false">F166/F139</f>
        <v>0.0426967822677473</v>
      </c>
      <c r="G167" s="14" t="n">
        <f aca="false">G166/G139</f>
        <v>0.0444459160139243</v>
      </c>
    </row>
    <row r="168" customFormat="false" ht="15" hidden="false" customHeight="false" outlineLevel="0" collapsed="false">
      <c r="A168" s="4" t="s">
        <v>485</v>
      </c>
      <c r="B168" s="0" t="s">
        <v>151</v>
      </c>
      <c r="C168" s="21" t="n">
        <f aca="false">C157+C161</f>
        <v>58.0788</v>
      </c>
      <c r="D168" s="21" t="n">
        <f aca="false">D157+D161</f>
        <v>106.868773588</v>
      </c>
      <c r="E168" s="21" t="n">
        <f aca="false">E157+E161</f>
        <v>182.132056959893</v>
      </c>
      <c r="F168" s="21" t="n">
        <f aca="false">F157+F161</f>
        <v>217.998568644257</v>
      </c>
      <c r="G168" s="21" t="n">
        <f aca="false">G157+G161</f>
        <v>234.922849240631</v>
      </c>
    </row>
    <row r="169" customFormat="false" ht="17.15" hidden="false" customHeight="false" outlineLevel="0" collapsed="false">
      <c r="A169" s="4" t="s">
        <v>628</v>
      </c>
      <c r="B169" s="0" t="s">
        <v>151</v>
      </c>
      <c r="C169" s="21" t="n">
        <f aca="false">(1-C162)*C161</f>
        <v>30.6708</v>
      </c>
      <c r="D169" s="21" t="n">
        <f aca="false">(1-D162)*D161</f>
        <v>47.1980687541088</v>
      </c>
      <c r="E169" s="21" t="n">
        <f aca="false">(1-E162)*E161</f>
        <v>73.3502824565265</v>
      </c>
      <c r="F169" s="21" t="n">
        <f aca="false">(1-F162)*F161</f>
        <v>87.5556677376393</v>
      </c>
      <c r="G169" s="21" t="n">
        <f aca="false">(1-G162)*G161</f>
        <v>93.8609923101315</v>
      </c>
    </row>
    <row r="170" customFormat="false" ht="15" hidden="false" customHeight="false" outlineLevel="0" collapsed="false">
      <c r="A170" s="4" t="s">
        <v>481</v>
      </c>
      <c r="B170" s="0" t="s">
        <v>151</v>
      </c>
      <c r="C170" s="21" t="n">
        <f aca="false">C168-C169</f>
        <v>27.408</v>
      </c>
      <c r="D170" s="21" t="n">
        <f aca="false">D168-D169</f>
        <v>59.6707048338912</v>
      </c>
      <c r="E170" s="21" t="n">
        <f aca="false">E168-E169</f>
        <v>108.781774503366</v>
      </c>
      <c r="F170" s="21" t="n">
        <f aca="false">F168-F169</f>
        <v>130.442900906618</v>
      </c>
      <c r="G170" s="21" t="n">
        <f aca="false">G168-G169</f>
        <v>141.0618569305</v>
      </c>
      <c r="H170" s="26" t="n">
        <f aca="false">H139*H175</f>
        <v>146.406514978137</v>
      </c>
      <c r="I170" s="26" t="n">
        <f aca="false">I139*I175</f>
        <v>153.091345325593</v>
      </c>
      <c r="J170" s="26" t="n">
        <f aca="false">J139*J175</f>
        <v>161.270849356687</v>
      </c>
    </row>
    <row r="171" customFormat="false" ht="17.15" hidden="false" customHeight="false" outlineLevel="0" collapsed="false">
      <c r="A171" s="4" t="s">
        <v>629</v>
      </c>
      <c r="B171" s="0" t="s">
        <v>52</v>
      </c>
      <c r="C171" s="20" t="n">
        <f aca="false">C162*C161/C170</f>
        <v>0.746030356100409</v>
      </c>
      <c r="D171" s="20" t="n">
        <f aca="false">D162*D161/D170</f>
        <v>0.478240674537551</v>
      </c>
      <c r="E171" s="20" t="n">
        <f aca="false">E162*E161/E170</f>
        <v>0.407689100716265</v>
      </c>
      <c r="F171" s="20" t="n">
        <f aca="false">F162*F161/F170</f>
        <v>0.405832913117137</v>
      </c>
      <c r="G171" s="20" t="n">
        <f aca="false">G162*G161/G170</f>
        <v>0.402308301508979</v>
      </c>
    </row>
    <row r="172" customFormat="false" ht="17.15" hidden="false" customHeight="false" outlineLevel="0" collapsed="false">
      <c r="A172" s="4" t="s">
        <v>630</v>
      </c>
      <c r="B172" s="4" t="s">
        <v>286</v>
      </c>
      <c r="C172" s="31" t="n">
        <f aca="false">a25_sh</f>
        <v>3.03185840707965</v>
      </c>
      <c r="D172" s="31" t="n">
        <f aca="false">a26_sh</f>
        <v>3.23861720409076</v>
      </c>
      <c r="E172" s="31" t="n">
        <f aca="false">q_sh4*(1+sh_g)</f>
        <v>3.43</v>
      </c>
      <c r="F172" s="31" t="n">
        <f aca="false">E172*(1+sh_g)</f>
        <v>3.43</v>
      </c>
      <c r="G172" s="31" t="n">
        <f aca="false">F172*(1+sh_g)</f>
        <v>3.43</v>
      </c>
      <c r="H172" s="32" t="n">
        <f aca="false">G172*(1+sh_g)</f>
        <v>3.43</v>
      </c>
      <c r="I172" s="32" t="n">
        <f aca="false">H172*(1+sh_g)</f>
        <v>3.43</v>
      </c>
      <c r="J172" s="32" t="n">
        <f aca="false">I172*(1+sh_g)</f>
        <v>3.43</v>
      </c>
      <c r="K172" s="8" t="s">
        <v>631</v>
      </c>
    </row>
    <row r="173" customFormat="false" ht="15" hidden="false" customHeight="false" outlineLevel="0" collapsed="false">
      <c r="A173" s="0" t="s">
        <v>488</v>
      </c>
      <c r="B173" s="0" t="s">
        <v>316</v>
      </c>
      <c r="C173" s="18" t="n">
        <f aca="false">C170/C172</f>
        <v>9.04</v>
      </c>
      <c r="D173" s="18" t="n">
        <f aca="false">D170/D172</f>
        <v>18.4247476850676</v>
      </c>
      <c r="E173" s="18" t="n">
        <f aca="false">E170/E172</f>
        <v>31.7148030622059</v>
      </c>
      <c r="F173" s="18" t="n">
        <f aca="false">F170/F172</f>
        <v>38.0300002643201</v>
      </c>
      <c r="G173" s="18" t="n">
        <f aca="false">G170/G172</f>
        <v>41.1259058106414</v>
      </c>
      <c r="H173" s="29" t="n">
        <f aca="false">H170/H172</f>
        <v>42.6841151539757</v>
      </c>
      <c r="I173" s="29" t="n">
        <f aca="false">I170/I172</f>
        <v>44.6330452844293</v>
      </c>
      <c r="J173" s="29" t="n">
        <f aca="false">J170/J172</f>
        <v>47.0177403372264</v>
      </c>
    </row>
    <row r="174" customFormat="false" ht="17.15" hidden="false" customHeight="false" outlineLevel="0" collapsed="false">
      <c r="A174" s="0" t="s">
        <v>632</v>
      </c>
      <c r="B174" s="0" t="s">
        <v>52</v>
      </c>
      <c r="D174" s="20" t="n">
        <f aca="false">D173/C173-1</f>
        <v>1.03813580587031</v>
      </c>
      <c r="E174" s="20" t="n">
        <f aca="false">E173/D173-1</f>
        <v>0.721315461373147</v>
      </c>
      <c r="F174" s="20" t="n">
        <f aca="false">F173/E173-1</f>
        <v>0.19912459143219</v>
      </c>
      <c r="G174" s="20" t="n">
        <f aca="false">G173/F173-1</f>
        <v>0.0814069293926854</v>
      </c>
      <c r="H174" s="27" t="n">
        <f aca="false">H173/G173-1</f>
        <v>0.0378887543658955</v>
      </c>
      <c r="I174" s="27" t="n">
        <f aca="false">I173/H173-1</f>
        <v>0.0456593775792984</v>
      </c>
      <c r="J174" s="27" t="n">
        <f aca="false">J173/I173-1</f>
        <v>0.0534289120896936</v>
      </c>
    </row>
    <row r="175" customFormat="false" ht="17.15" hidden="false" customHeight="false" outlineLevel="0" collapsed="false">
      <c r="A175" s="4" t="s">
        <v>633</v>
      </c>
      <c r="B175" s="0" t="s">
        <v>52</v>
      </c>
      <c r="C175" s="14" t="n">
        <f aca="false">C170/C139</f>
        <v>0.0125349699042727</v>
      </c>
      <c r="D175" s="14" t="n">
        <f aca="false">D170/D139</f>
        <v>0.0145632363293992</v>
      </c>
      <c r="E175" s="14" t="n">
        <f aca="false">E170/E139</f>
        <v>0.0161248381021444</v>
      </c>
      <c r="F175" s="14" t="n">
        <f aca="false">F170/F139</f>
        <v>0.0174854410645308</v>
      </c>
      <c r="G175" s="14" t="n">
        <f aca="false">G170/G139</f>
        <v>0.0182443328191552</v>
      </c>
      <c r="H175" s="28" t="n">
        <f aca="false">$G175+(fade_mA-$G175)*1/3</f>
        <v>0.0181326187168482</v>
      </c>
      <c r="I175" s="28" t="n">
        <f aca="false">$G175+(fade_mA-$G175)*2/3</f>
        <v>0.0180209046145412</v>
      </c>
      <c r="J175" s="28" t="n">
        <f aca="false">$G175+(fade_mA-$G175)*3/3</f>
        <v>0.0179091905122343</v>
      </c>
    </row>
    <row r="178" customFormat="false" ht="17.15" hidden="false" customHeight="false" outlineLevel="0" collapsed="false">
      <c r="A178" s="1" t="s">
        <v>949</v>
      </c>
    </row>
    <row r="179" customFormat="false" ht="17.15" hidden="false" customHeight="false" outlineLevel="0" collapsed="false">
      <c r="A179" s="5" t="s">
        <v>21</v>
      </c>
      <c r="B179" s="5" t="s">
        <v>22</v>
      </c>
      <c r="C179" s="15" t="s">
        <v>438</v>
      </c>
      <c r="D179" s="15" t="s">
        <v>552</v>
      </c>
      <c r="E179" s="15" t="s">
        <v>553</v>
      </c>
      <c r="F179" s="15" t="s">
        <v>554</v>
      </c>
      <c r="G179" s="15" t="s">
        <v>555</v>
      </c>
      <c r="H179" s="15" t="s">
        <v>556</v>
      </c>
      <c r="I179" s="15" t="s">
        <v>557</v>
      </c>
      <c r="J179" s="15" t="s">
        <v>558</v>
      </c>
      <c r="K179" s="5" t="s">
        <v>420</v>
      </c>
    </row>
    <row r="180" customFormat="false" ht="17.15" hidden="false" customHeight="false" outlineLevel="0" collapsed="false">
      <c r="A180" s="6" t="s">
        <v>573</v>
      </c>
    </row>
    <row r="181" customFormat="false" ht="17.15" hidden="false" customHeight="false" outlineLevel="0" collapsed="false">
      <c r="A181" s="0" t="s">
        <v>574</v>
      </c>
      <c r="B181" s="0" t="s">
        <v>32</v>
      </c>
      <c r="D181" s="21" t="n">
        <f aca="false">itc_26*1</f>
        <v>781.872916666666</v>
      </c>
      <c r="E181" s="21" t="n">
        <f aca="false">itc_27*1*1</f>
        <v>1565.35</v>
      </c>
      <c r="F181" s="21" t="n">
        <f aca="false">itc_28*um28_A*1</f>
        <v>1984.26388888889</v>
      </c>
      <c r="G181" s="21" t="n">
        <f aca="false">itc_29*um29_A*1</f>
        <v>2260.39027777778</v>
      </c>
    </row>
    <row r="182" customFormat="false" ht="17.15" hidden="false" customHeight="false" outlineLevel="0" collapsed="false">
      <c r="A182" s="4" t="s">
        <v>575</v>
      </c>
      <c r="B182" s="0" t="s">
        <v>32</v>
      </c>
      <c r="D182" s="21" t="n">
        <f aca="false">itpg_gb*(1-vr26)+itpg_vr*vr26</f>
        <v>33.41403216</v>
      </c>
      <c r="E182" s="21" t="n">
        <f aca="false">itpg_vr</f>
        <v>37.586352</v>
      </c>
      <c r="F182" s="21" t="n">
        <f aca="false">itpg_vr</f>
        <v>37.586352</v>
      </c>
      <c r="G182" s="21" t="n">
        <f aca="false">itpg_vr</f>
        <v>37.586352</v>
      </c>
    </row>
    <row r="183" customFormat="false" ht="17.15" hidden="false" customHeight="false" outlineLevel="0" collapsed="false">
      <c r="A183" s="4" t="s">
        <v>576</v>
      </c>
      <c r="B183" s="0" t="s">
        <v>521</v>
      </c>
      <c r="D183" s="22" t="n">
        <f aca="false">D181/D182</f>
        <v>23.3995380420639</v>
      </c>
      <c r="E183" s="22" t="n">
        <f aca="false">E181/E182</f>
        <v>41.6467658260637</v>
      </c>
      <c r="F183" s="22" t="n">
        <f aca="false">F181/F182</f>
        <v>52.792138191248</v>
      </c>
      <c r="G183" s="22" t="n">
        <f aca="false">G181/G182</f>
        <v>60.1385917361116</v>
      </c>
    </row>
    <row r="184" customFormat="false" ht="17.15" hidden="false" customHeight="false" outlineLevel="0" collapsed="false">
      <c r="A184" s="4" t="s">
        <v>577</v>
      </c>
      <c r="B184" s="0" t="s">
        <v>578</v>
      </c>
      <c r="D184" s="18" t="n">
        <f aca="false">(racks_gb*odm_gb*(1-vr26)+racks_vr*odm_vr*vr26)/1000</f>
        <v>27.1209</v>
      </c>
      <c r="E184" s="18" t="n">
        <f aca="false">racks_vr*odm_vr/1000</f>
        <v>27.351</v>
      </c>
      <c r="F184" s="18" t="n">
        <f aca="false">$E184*vpg_28</f>
        <v>27.351</v>
      </c>
      <c r="G184" s="18" t="n">
        <f aca="false">$E184*vpg_29</f>
        <v>27.351</v>
      </c>
      <c r="K184" s="4" t="s">
        <v>579</v>
      </c>
    </row>
    <row r="185" customFormat="false" ht="17.15" hidden="false" customHeight="false" outlineLevel="0" collapsed="false">
      <c r="A185" s="0" t="s">
        <v>580</v>
      </c>
      <c r="B185" s="0" t="s">
        <v>32</v>
      </c>
      <c r="D185" s="21" t="n">
        <f aca="false">D183*D184</f>
        <v>634.61653128501</v>
      </c>
      <c r="E185" s="21" t="n">
        <f aca="false">E183*E184</f>
        <v>1139.08069210867</v>
      </c>
      <c r="F185" s="21" t="n">
        <f aca="false">F183*F184</f>
        <v>1443.91777166882</v>
      </c>
      <c r="G185" s="21" t="n">
        <f aca="false">G183*G184</f>
        <v>1644.85062257439</v>
      </c>
    </row>
    <row r="186" customFormat="false" ht="17.15" hidden="false" customHeight="false" outlineLevel="0" collapsed="false">
      <c r="A186" s="0" t="s">
        <v>581</v>
      </c>
      <c r="B186" s="0" t="s">
        <v>151</v>
      </c>
      <c r="D186" s="21" t="n">
        <f aca="false">D185*fx</f>
        <v>20307.7290011203</v>
      </c>
      <c r="E186" s="21" t="n">
        <f aca="false">E185*fx</f>
        <v>36450.5821474774</v>
      </c>
      <c r="F186" s="21" t="n">
        <f aca="false">F185*fx</f>
        <v>46205.3686934024</v>
      </c>
      <c r="G186" s="21" t="n">
        <f aca="false">G185*fx</f>
        <v>52635.2199223804</v>
      </c>
    </row>
    <row r="187" customFormat="false" ht="17.15" hidden="false" customHeight="false" outlineLevel="0" collapsed="false">
      <c r="A187" s="6" t="s">
        <v>582</v>
      </c>
    </row>
    <row r="188" customFormat="false" ht="17.15" hidden="false" customHeight="false" outlineLevel="0" collapsed="false">
      <c r="A188" s="4" t="s">
        <v>583</v>
      </c>
      <c r="B188" s="0" t="s">
        <v>52</v>
      </c>
      <c r="D188" s="20" t="n">
        <f aca="false">a26_ais/D186</f>
        <v>0.0875096501918447</v>
      </c>
      <c r="K188" s="8" t="s">
        <v>584</v>
      </c>
    </row>
    <row r="189" customFormat="false" ht="17.15" hidden="false" customHeight="false" outlineLevel="0" collapsed="false">
      <c r="A189" s="4" t="s">
        <v>585</v>
      </c>
      <c r="B189" s="0" t="s">
        <v>64</v>
      </c>
      <c r="D189" s="18" t="n">
        <f aca="false">1</f>
        <v>1</v>
      </c>
      <c r="E189" s="18" t="n">
        <f aca="false">rel_27_lo</f>
        <v>0.85</v>
      </c>
      <c r="F189" s="18" t="n">
        <f aca="false">rel_28_lo</f>
        <v>0.75</v>
      </c>
      <c r="G189" s="18" t="n">
        <f aca="false">rel_29_lo</f>
        <v>0.7</v>
      </c>
    </row>
    <row r="190" customFormat="false" ht="17.15" hidden="false" customHeight="false" outlineLevel="0" collapsed="false">
      <c r="A190" s="4" t="s">
        <v>586</v>
      </c>
      <c r="B190" s="0" t="s">
        <v>52</v>
      </c>
      <c r="D190" s="20" t="n">
        <f aca="false">$D$188*D189</f>
        <v>0.0875096501918447</v>
      </c>
      <c r="E190" s="20" t="n">
        <f aca="false">$D$188*E189</f>
        <v>0.074383202663068</v>
      </c>
      <c r="F190" s="20" t="n">
        <f aca="false">$D$188*F189</f>
        <v>0.0656322376438835</v>
      </c>
      <c r="G190" s="20" t="n">
        <f aca="false">$D$188*G189</f>
        <v>0.0612567551342913</v>
      </c>
    </row>
    <row r="191" customFormat="false" ht="17.15" hidden="false" customHeight="false" outlineLevel="0" collapsed="false">
      <c r="A191" s="4" t="s">
        <v>587</v>
      </c>
      <c r="B191" s="0" t="s">
        <v>151</v>
      </c>
      <c r="D191" s="21" t="n">
        <f aca="false">D186*D190</f>
        <v>1777.12226107882</v>
      </c>
      <c r="E191" s="21" t="n">
        <f aca="false">E186*E190</f>
        <v>2711.31103906262</v>
      </c>
      <c r="F191" s="21" t="n">
        <f aca="false">F186*F190</f>
        <v>3032.56173850864</v>
      </c>
      <c r="G191" s="21" t="n">
        <f aca="false">G186*G190</f>
        <v>3224.26277822483</v>
      </c>
    </row>
    <row r="192" customFormat="false" ht="17.15" hidden="false" customHeight="false" outlineLevel="0" collapsed="false">
      <c r="A192" s="4" t="s">
        <v>588</v>
      </c>
      <c r="B192" s="0" t="s">
        <v>52</v>
      </c>
      <c r="D192" s="20" t="n">
        <f aca="false">0</f>
        <v>0</v>
      </c>
      <c r="E192" s="20" t="n">
        <f aca="false">cs_27</f>
        <v>0.1</v>
      </c>
      <c r="F192" s="20" t="n">
        <f aca="false">cs_28</f>
        <v>0.2</v>
      </c>
      <c r="G192" s="20" t="n">
        <f aca="false">cs_29</f>
        <v>0.25</v>
      </c>
      <c r="K192" s="8" t="s">
        <v>589</v>
      </c>
    </row>
    <row r="193" customFormat="false" ht="17.15" hidden="false" customHeight="false" outlineLevel="0" collapsed="false">
      <c r="A193" s="4" t="s">
        <v>590</v>
      </c>
      <c r="B193" s="0" t="s">
        <v>151</v>
      </c>
      <c r="D193" s="21" t="n">
        <f aca="false">D191*(1-D192)</f>
        <v>1777.12226107882</v>
      </c>
      <c r="E193" s="21" t="n">
        <f aca="false">E191*(1-E192)</f>
        <v>2440.17993515636</v>
      </c>
      <c r="F193" s="21" t="n">
        <f aca="false">F191*(1-F192)</f>
        <v>2426.04939080691</v>
      </c>
      <c r="G193" s="21" t="n">
        <f aca="false">G191*(1-G192)</f>
        <v>2418.19708366862</v>
      </c>
    </row>
    <row r="194" customFormat="false" ht="17.15" hidden="false" customHeight="false" outlineLevel="0" collapsed="false">
      <c r="A194" s="6" t="s">
        <v>591</v>
      </c>
    </row>
    <row r="195" customFormat="false" ht="17.15" hidden="false" customHeight="false" outlineLevel="0" collapsed="false">
      <c r="A195" s="0" t="s">
        <v>592</v>
      </c>
      <c r="B195" s="4" t="s">
        <v>85</v>
      </c>
      <c r="D195" s="18" t="n">
        <f aca="false">gu_26*1</f>
        <v>8.35</v>
      </c>
      <c r="E195" s="18" t="n">
        <f aca="false">gu_27*1*1</f>
        <v>11.2</v>
      </c>
      <c r="F195" s="18" t="n">
        <f aca="false">gu_28*um28_A*1</f>
        <v>11.5</v>
      </c>
      <c r="G195" s="18" t="n">
        <f aca="false">gu_29*um29_A*1</f>
        <v>12.9</v>
      </c>
    </row>
    <row r="196" customFormat="false" ht="15" hidden="false" customHeight="false" outlineLevel="0" collapsed="false">
      <c r="A196" s="4" t="s">
        <v>593</v>
      </c>
      <c r="B196" s="0" t="s">
        <v>52</v>
      </c>
      <c r="D196" s="20" t="n">
        <f aca="false">bsh_26</f>
        <v>0.5</v>
      </c>
      <c r="E196" s="20" t="n">
        <f aca="false">bsh_26*brel_27</f>
        <v>0.5</v>
      </c>
      <c r="F196" s="20" t="n">
        <f aca="false">bsh_26*brel_28</f>
        <v>0.475</v>
      </c>
      <c r="G196" s="20" t="n">
        <f aca="false">bsh_26*brel_29</f>
        <v>0.45</v>
      </c>
    </row>
    <row r="197" customFormat="false" ht="17.15" hidden="false" customHeight="false" outlineLevel="0" collapsed="false">
      <c r="A197" s="4" t="s">
        <v>594</v>
      </c>
      <c r="B197" s="0" t="s">
        <v>543</v>
      </c>
      <c r="D197" s="24" t="n">
        <f aca="false">a26_brd/fx/D195/D196*1000</f>
        <v>823.353293413174</v>
      </c>
      <c r="E197" s="24" t="n">
        <f aca="false">$D197*bv_27</f>
        <v>946.85628742515</v>
      </c>
      <c r="F197" s="24" t="n">
        <f aca="false">$D197*bv_28</f>
        <v>988.023952095808</v>
      </c>
      <c r="G197" s="24" t="n">
        <f aca="false">$D197*bv_29</f>
        <v>988.023952095808</v>
      </c>
      <c r="K197" s="8" t="s">
        <v>595</v>
      </c>
    </row>
    <row r="198" customFormat="false" ht="17.15" hidden="false" customHeight="false" outlineLevel="0" collapsed="false">
      <c r="A198" s="0" t="s">
        <v>545</v>
      </c>
      <c r="B198" s="0" t="s">
        <v>151</v>
      </c>
      <c r="D198" s="21" t="n">
        <f aca="false">D195*D196*D197*fx/1000</f>
        <v>110</v>
      </c>
      <c r="E198" s="21" t="n">
        <f aca="false">E195*E196*E197*fx/1000</f>
        <v>169.676646706587</v>
      </c>
      <c r="F198" s="21" t="n">
        <f aca="false">F195*F196*F197*fx/1000</f>
        <v>172.706586826347</v>
      </c>
      <c r="G198" s="21" t="n">
        <f aca="false">G195*G196*G197*fx/1000</f>
        <v>183.535329341317</v>
      </c>
    </row>
    <row r="199" customFormat="false" ht="17.15" hidden="false" customHeight="false" outlineLevel="0" collapsed="false">
      <c r="A199" s="6" t="s">
        <v>596</v>
      </c>
    </row>
    <row r="200" customFormat="false" ht="15" hidden="false" customHeight="false" outlineLevel="0" collapsed="false">
      <c r="A200" s="4" t="s">
        <v>597</v>
      </c>
      <c r="B200" s="0" t="s">
        <v>151</v>
      </c>
      <c r="D200" s="21" t="n">
        <f aca="false">a26_gen</f>
        <v>150</v>
      </c>
      <c r="E200" s="21" t="n">
        <f aca="false">D200*(1+g_gen27)</f>
        <v>180</v>
      </c>
      <c r="F200" s="21" t="n">
        <f aca="false">E200*(1+g_gen28)</f>
        <v>198</v>
      </c>
      <c r="G200" s="21" t="n">
        <f aca="false">F200*(1+g_gen29)</f>
        <v>213.84</v>
      </c>
    </row>
    <row r="201" customFormat="false" ht="15" hidden="false" customHeight="false" outlineLevel="0" collapsed="false">
      <c r="A201" s="4" t="s">
        <v>598</v>
      </c>
      <c r="B201" s="0" t="s">
        <v>151</v>
      </c>
      <c r="D201" s="21" t="n">
        <f aca="false">a26_pc</f>
        <v>614.602793131557</v>
      </c>
      <c r="E201" s="21" t="n">
        <f aca="false">D201*(1+g_pc27)</f>
        <v>596.16470933761</v>
      </c>
      <c r="F201" s="21" t="n">
        <f aca="false">E201*(1+g_pc28)</f>
        <v>596.16470933761</v>
      </c>
      <c r="G201" s="21" t="n">
        <f aca="false">F201*(1+g_pc29)</f>
        <v>596.16470933761</v>
      </c>
    </row>
    <row r="202" customFormat="false" ht="15" hidden="false" customHeight="false" outlineLevel="0" collapsed="false">
      <c r="A202" s="4" t="s">
        <v>599</v>
      </c>
      <c r="B202" s="0" t="s">
        <v>151</v>
      </c>
      <c r="C202" s="21" t="n">
        <f aca="false">a25_srev</f>
        <v>1235.86</v>
      </c>
      <c r="D202" s="21" t="n">
        <f aca="false">D193+D198+D200+D201</f>
        <v>2651.72505421038</v>
      </c>
      <c r="E202" s="21" t="n">
        <f aca="false">E193+E198+E200+E201</f>
        <v>3386.02129120055</v>
      </c>
      <c r="F202" s="21" t="n">
        <f aca="false">F193+F198+F200+F201</f>
        <v>3392.92068697087</v>
      </c>
      <c r="G202" s="21" t="n">
        <f aca="false">G193+G198+G200+G201</f>
        <v>3411.73712234755</v>
      </c>
    </row>
    <row r="203" customFormat="false" ht="17.15" hidden="false" customHeight="false" outlineLevel="0" collapsed="false">
      <c r="A203" s="4" t="s">
        <v>600</v>
      </c>
      <c r="B203" s="0" t="s">
        <v>52</v>
      </c>
      <c r="D203" s="20" t="n">
        <f aca="false">a26_wai/D186</f>
        <v>0.0341693013513091</v>
      </c>
      <c r="K203" s="8" t="s">
        <v>601</v>
      </c>
    </row>
    <row r="204" customFormat="false" ht="17.15" hidden="false" customHeight="false" outlineLevel="0" collapsed="false">
      <c r="A204" s="4" t="s">
        <v>527</v>
      </c>
      <c r="B204" s="0" t="s">
        <v>52</v>
      </c>
      <c r="D204" s="20" t="n">
        <f aca="false">D203</f>
        <v>0.0341693013513091</v>
      </c>
      <c r="E204" s="20" t="n">
        <f aca="false">$D$203*wrel_27</f>
        <v>0.0341693013513091</v>
      </c>
      <c r="F204" s="20" t="n">
        <f aca="false">$D$203*wrel_28</f>
        <v>0.0341693013513091</v>
      </c>
      <c r="G204" s="20" t="n">
        <f aca="false">$D$203*wrel_29</f>
        <v>0.0324608362837436</v>
      </c>
    </row>
    <row r="205" customFormat="false" ht="17.15" hidden="false" customHeight="false" outlineLevel="0" collapsed="false">
      <c r="A205" s="4" t="s">
        <v>547</v>
      </c>
      <c r="B205" s="0" t="s">
        <v>151</v>
      </c>
      <c r="D205" s="21" t="n">
        <f aca="false">D186*D204</f>
        <v>693.900912</v>
      </c>
      <c r="E205" s="21" t="n">
        <f aca="false">E186*E204</f>
        <v>1245.4909258278</v>
      </c>
      <c r="F205" s="21" t="n">
        <f aca="false">F186*F204</f>
        <v>1578.80516693321</v>
      </c>
      <c r="G205" s="21" t="n">
        <f aca="false">G186*G204</f>
        <v>1708.58325665923</v>
      </c>
    </row>
    <row r="206" customFormat="false" ht="17.15" hidden="false" customHeight="false" outlineLevel="0" collapsed="false">
      <c r="A206" s="4" t="s">
        <v>602</v>
      </c>
      <c r="B206" s="0" t="s">
        <v>151</v>
      </c>
      <c r="D206" s="21" t="n">
        <f aca="false">a26_wna</f>
        <v>751.725988</v>
      </c>
      <c r="E206" s="21" t="n">
        <f aca="false">D206*(1+g_wn27)</f>
        <v>826.8985868</v>
      </c>
      <c r="F206" s="21" t="n">
        <f aca="false">E206*(1+g_wn28)</f>
        <v>876.512502008</v>
      </c>
      <c r="G206" s="21" t="n">
        <f aca="false">F206*(1+g_wn29)</f>
        <v>920.3381271084</v>
      </c>
    </row>
    <row r="207" customFormat="false" ht="15" hidden="false" customHeight="false" outlineLevel="0" collapsed="false">
      <c r="A207" s="4" t="s">
        <v>458</v>
      </c>
      <c r="B207" s="0" t="s">
        <v>151</v>
      </c>
      <c r="C207" s="21" t="n">
        <f aca="false">a25_wrev</f>
        <v>950.663</v>
      </c>
      <c r="D207" s="21" t="n">
        <f aca="false">D205+D206</f>
        <v>1445.6269</v>
      </c>
      <c r="E207" s="21" t="n">
        <f aca="false">E205+E206</f>
        <v>2072.3895126278</v>
      </c>
      <c r="F207" s="21" t="n">
        <f aca="false">F205+F206</f>
        <v>2455.31766894121</v>
      </c>
      <c r="G207" s="21" t="n">
        <f aca="false">G205+G206</f>
        <v>2628.92138376763</v>
      </c>
    </row>
    <row r="208" customFormat="false" ht="17.15" hidden="false" customHeight="false" outlineLevel="0" collapsed="false">
      <c r="A208" s="4" t="s">
        <v>444</v>
      </c>
      <c r="B208" s="0" t="s">
        <v>151</v>
      </c>
      <c r="C208" s="21" t="n">
        <f aca="false">C202+C207</f>
        <v>2186.523</v>
      </c>
      <c r="D208" s="21" t="n">
        <f aca="false">D202+D207</f>
        <v>4097.35195421038</v>
      </c>
      <c r="E208" s="21" t="n">
        <f aca="false">E202+E207</f>
        <v>5458.41080382835</v>
      </c>
      <c r="F208" s="21" t="n">
        <f aca="false">F202+F207</f>
        <v>5848.23835591208</v>
      </c>
      <c r="G208" s="21" t="n">
        <f aca="false">G202+G207</f>
        <v>6040.65850611518</v>
      </c>
      <c r="H208" s="26" t="n">
        <f aca="false">G208*(1+H213)</f>
        <v>6293.9724791955</v>
      </c>
      <c r="I208" s="26" t="n">
        <f aca="false">H208*(1+I213)</f>
        <v>6614.75997900717</v>
      </c>
      <c r="J208" s="26" t="n">
        <f aca="false">I208*(1+J213)</f>
        <v>7011.6455777476</v>
      </c>
      <c r="K208" s="8" t="s">
        <v>603</v>
      </c>
    </row>
    <row r="209" customFormat="false" ht="17.15" hidden="false" customHeight="false" outlineLevel="0" collapsed="false">
      <c r="A209" s="4" t="s">
        <v>604</v>
      </c>
      <c r="B209" s="0" t="s">
        <v>151</v>
      </c>
      <c r="D209" s="21" t="n">
        <f aca="false">D193+D198+D200+D207</f>
        <v>3482.74916107882</v>
      </c>
      <c r="E209" s="21" t="n">
        <f aca="false">E193+E198+E200+E207</f>
        <v>4862.24609449074</v>
      </c>
      <c r="F209" s="21" t="n">
        <f aca="false">F193+F198+F200+F207</f>
        <v>5252.07364657447</v>
      </c>
      <c r="G209" s="21" t="n">
        <f aca="false">G193+G198+G200+G207</f>
        <v>5444.49379677757</v>
      </c>
      <c r="K209" s="4" t="s">
        <v>605</v>
      </c>
    </row>
    <row r="210" customFormat="false" ht="15" hidden="false" customHeight="false" outlineLevel="0" collapsed="false">
      <c r="A210" s="4" t="s">
        <v>606</v>
      </c>
      <c r="B210" s="0" t="s">
        <v>151</v>
      </c>
      <c r="D210" s="21" t="n">
        <f aca="false">D201</f>
        <v>614.602793131557</v>
      </c>
      <c r="E210" s="21" t="n">
        <f aca="false">E201</f>
        <v>596.16470933761</v>
      </c>
      <c r="F210" s="21" t="n">
        <f aca="false">F201</f>
        <v>596.16470933761</v>
      </c>
      <c r="G210" s="21" t="n">
        <f aca="false">G201</f>
        <v>596.16470933761</v>
      </c>
      <c r="K210" s="4" t="s">
        <v>607</v>
      </c>
    </row>
    <row r="211" customFormat="false" ht="17.15" hidden="false" customHeight="false" outlineLevel="0" collapsed="false">
      <c r="A211" s="4" t="s">
        <v>608</v>
      </c>
      <c r="B211" s="0" t="s">
        <v>151</v>
      </c>
      <c r="D211" s="31" t="n">
        <f aca="false">D209+D210-D208</f>
        <v>0</v>
      </c>
      <c r="E211" s="31" t="n">
        <f aca="false">E209+E210-E208</f>
        <v>0</v>
      </c>
      <c r="F211" s="31" t="n">
        <f aca="false">F209+F210-F208</f>
        <v>0</v>
      </c>
      <c r="G211" s="31" t="n">
        <f aca="false">G209+G210-G208</f>
        <v>0</v>
      </c>
    </row>
    <row r="212" customFormat="false" ht="17.15" hidden="false" customHeight="false" outlineLevel="0" collapsed="false">
      <c r="A212" s="4" t="s">
        <v>609</v>
      </c>
      <c r="B212" s="0" t="s">
        <v>52</v>
      </c>
      <c r="D212" s="20" t="n">
        <f aca="false">D209/D208</f>
        <v>0.85</v>
      </c>
      <c r="E212" s="20" t="n">
        <f aca="false">E209/E208</f>
        <v>0.89078053470811</v>
      </c>
      <c r="F212" s="20" t="n">
        <f aca="false">F209/F208</f>
        <v>0.898060805142298</v>
      </c>
      <c r="G212" s="20" t="n">
        <f aca="false">G209/G208</f>
        <v>0.901307993369582</v>
      </c>
    </row>
    <row r="213" customFormat="false" ht="15" hidden="false" customHeight="false" outlineLevel="0" collapsed="false">
      <c r="A213" s="4" t="s">
        <v>610</v>
      </c>
      <c r="B213" s="0" t="s">
        <v>52</v>
      </c>
      <c r="D213" s="20" t="n">
        <f aca="false">D208/C208-1</f>
        <v>0.873912121761526</v>
      </c>
      <c r="E213" s="20" t="n">
        <f aca="false">E208/D208-1</f>
        <v>0.332180116530964</v>
      </c>
      <c r="F213" s="20" t="n">
        <f aca="false">F208/E208-1</f>
        <v>0.0714177745306954</v>
      </c>
      <c r="G213" s="20" t="n">
        <f aca="false">G208/F208-1</f>
        <v>0.0329022414089157</v>
      </c>
      <c r="H213" s="27" t="n">
        <f aca="false">$G213+(fade_gA-$G213)*1/3</f>
        <v>0.0419348276059438</v>
      </c>
      <c r="I213" s="27" t="n">
        <f aca="false">$G213+(fade_gA-$G213)*2/3</f>
        <v>0.0509674138029719</v>
      </c>
      <c r="J213" s="27" t="n">
        <f aca="false">$G213+(fade_gA-$G213)*3/3</f>
        <v>0.06</v>
      </c>
    </row>
    <row r="214" customFormat="false" ht="17.15" hidden="false" customHeight="false" outlineLevel="0" collapsed="false">
      <c r="A214" s="0" t="s">
        <v>611</v>
      </c>
      <c r="B214" s="0" t="s">
        <v>52</v>
      </c>
      <c r="D214" s="20" t="n">
        <f aca="false">(D193+D198+D205)/D208</f>
        <v>0.629924693295288</v>
      </c>
      <c r="E214" s="20" t="n">
        <f aca="false">(E193+E198+E205)/E208</f>
        <v>0.706313182764978</v>
      </c>
      <c r="F214" s="20" t="n">
        <f aca="false">(F193+F198+F205)/F208</f>
        <v>0.714328125895092</v>
      </c>
      <c r="G214" s="20" t="n">
        <f aca="false">(G193+G198+G205)/G208</f>
        <v>0.713550627850536</v>
      </c>
    </row>
    <row r="215" customFormat="false" ht="17.15" hidden="false" customHeight="false" outlineLevel="0" collapsed="false">
      <c r="A215" s="4" t="s">
        <v>612</v>
      </c>
      <c r="B215" s="0" t="s">
        <v>52</v>
      </c>
      <c r="C215" s="20" t="n">
        <f aca="false">C207/C208</f>
        <v>0.434782986504144</v>
      </c>
      <c r="D215" s="20" t="n">
        <f aca="false">D207/D208</f>
        <v>0.352819800728736</v>
      </c>
      <c r="E215" s="20" t="n">
        <f aca="false">E207/E208</f>
        <v>0.379669025859009</v>
      </c>
      <c r="F215" s="20" t="n">
        <f aca="false">F207/F208</f>
        <v>0.419838850524806</v>
      </c>
      <c r="G215" s="20" t="n">
        <f aca="false">G207/G208</f>
        <v>0.435204436917975</v>
      </c>
    </row>
    <row r="216" customFormat="false" ht="17.15" hidden="false" customHeight="false" outlineLevel="0" collapsed="false">
      <c r="A216" s="4" t="s">
        <v>613</v>
      </c>
      <c r="B216" s="4" t="s">
        <v>335</v>
      </c>
      <c r="D216" s="21" t="n">
        <f aca="false">D191/fx/(odm_gb*(1-vr26)+odm_vr*vr26)</f>
        <v>12.0597330420658</v>
      </c>
      <c r="E216" s="21" t="n">
        <f aca="false">E191/fx/odm_vr</f>
        <v>12.5523659215862</v>
      </c>
      <c r="F216" s="21" t="n">
        <f aca="false">F191/fx/odm_vr</f>
        <v>14.0396376782807</v>
      </c>
      <c r="G216" s="21" t="n">
        <f aca="false">G191/fx/odm_vr</f>
        <v>14.9271424917816</v>
      </c>
      <c r="K216" s="4" t="s">
        <v>614</v>
      </c>
    </row>
    <row r="217" customFormat="false" ht="17.15" hidden="false" customHeight="false" outlineLevel="0" collapsed="false">
      <c r="A217" s="6" t="s">
        <v>615</v>
      </c>
    </row>
    <row r="218" customFormat="false" ht="17.15" hidden="false" customHeight="false" outlineLevel="0" collapsed="false">
      <c r="A218" s="4" t="s">
        <v>616</v>
      </c>
      <c r="B218" s="0" t="s">
        <v>52</v>
      </c>
      <c r="D218" s="14" t="n">
        <f aca="false">(a26_sgp-d_ai*D193-d_brd*D198-d_gen*D200)/D202</f>
        <v>0.0436423860147897</v>
      </c>
      <c r="K218" s="8" t="s">
        <v>617</v>
      </c>
    </row>
    <row r="219" customFormat="false" ht="17.15" hidden="false" customHeight="false" outlineLevel="0" collapsed="false">
      <c r="A219" s="4" t="s">
        <v>618</v>
      </c>
      <c r="B219" s="0" t="s">
        <v>151</v>
      </c>
      <c r="D219" s="25" t="n">
        <f aca="false">($D$218+d_ai)*D191*(1-D192*(1-keep))</f>
        <v>59.7866331026896</v>
      </c>
      <c r="E219" s="25" t="n">
        <f aca="false">($D$218+d_ai+vrd)*E191*(1-E192*(1-keep))</f>
        <v>84.9344269991381</v>
      </c>
      <c r="F219" s="25" t="n">
        <f aca="false">($D$218+d_ai+vrd)*F191*(1-F192*(1-keep))</f>
        <v>94.0383393607007</v>
      </c>
      <c r="G219" s="25" t="n">
        <f aca="false">($D$218+d_ai+vrd)*G191*(1-G192*(1-keep))</f>
        <v>99.4727832556656</v>
      </c>
    </row>
    <row r="220" customFormat="false" ht="15" hidden="false" customHeight="false" outlineLevel="0" collapsed="false">
      <c r="A220" s="4" t="s">
        <v>619</v>
      </c>
      <c r="B220" s="0" t="s">
        <v>151</v>
      </c>
      <c r="C220" s="21" t="n">
        <f aca="false">a25_sgp</f>
        <v>55.529</v>
      </c>
      <c r="D220" s="21" t="n">
        <f aca="false">a26_sgp</f>
        <v>103.50638581015</v>
      </c>
      <c r="E220" s="21" t="n">
        <f aca="false">$D$218*E201+($D$218+d_brd)*E198+($D$218+d_gen)*E200+E219</f>
        <v>134.003499969569</v>
      </c>
      <c r="F220" s="21" t="n">
        <f aca="false">$D$218*F201+($D$218+d_brd)*F198+($D$218+d_gen)*F200+F219</f>
        <v>144.386107299299</v>
      </c>
      <c r="G220" s="21" t="n">
        <f aca="false">$D$218*G201+($D$218+d_brd)*G198+($D$218+d_gen)*G200+G219</f>
        <v>151.54690102508</v>
      </c>
    </row>
    <row r="221" customFormat="false" ht="15" hidden="false" customHeight="false" outlineLevel="0" collapsed="false">
      <c r="A221" s="4" t="s">
        <v>620</v>
      </c>
      <c r="B221" s="0" t="s">
        <v>52</v>
      </c>
      <c r="C221" s="14" t="n">
        <f aca="false">C220/C202</f>
        <v>0.0449314647290146</v>
      </c>
      <c r="D221" s="14" t="n">
        <f aca="false">D220/D202</f>
        <v>0.0390336040479778</v>
      </c>
      <c r="E221" s="14" t="n">
        <f aca="false">E220/E202</f>
        <v>0.0395755042408656</v>
      </c>
      <c r="F221" s="14" t="n">
        <f aca="false">F220/F202</f>
        <v>0.0425551083035199</v>
      </c>
      <c r="G221" s="14" t="n">
        <f aca="false">G220/G202</f>
        <v>0.0444192783882492</v>
      </c>
    </row>
    <row r="222" customFormat="false" ht="15" hidden="false" customHeight="false" outlineLevel="0" collapsed="false">
      <c r="A222" s="4" t="s">
        <v>621</v>
      </c>
      <c r="B222" s="0" t="s">
        <v>52</v>
      </c>
      <c r="E222" s="20" t="n">
        <f aca="false">MAX(0,phi*(E202/D202-1))</f>
        <v>0.0830737978461531</v>
      </c>
      <c r="F222" s="20" t="n">
        <f aca="false">MAX(0,phi*(F202/E202-1))</f>
        <v>0.000611283436543708</v>
      </c>
      <c r="G222" s="20" t="n">
        <f aca="false">MAX(0,phi*(G202/F202-1))</f>
        <v>0.00166373786298049</v>
      </c>
    </row>
    <row r="223" customFormat="false" ht="15" hidden="false" customHeight="false" outlineLevel="0" collapsed="false">
      <c r="A223" s="4" t="s">
        <v>622</v>
      </c>
      <c r="B223" s="0" t="s">
        <v>151</v>
      </c>
      <c r="C223" s="21" t="n">
        <f aca="false">a25_sopx</f>
        <v>40.894</v>
      </c>
      <c r="D223" s="21" t="n">
        <f aca="false">a26_sopx</f>
        <v>46.9914095398923</v>
      </c>
      <c r="E223" s="21" t="n">
        <f aca="false">D223*(1+E222)+0*E202</f>
        <v>50.8951643965151</v>
      </c>
      <c r="F223" s="21" t="n">
        <f aca="false">E223*(1+F222)+0*F202</f>
        <v>50.9262757675108</v>
      </c>
      <c r="G223" s="21" t="n">
        <f aca="false">F223*(1+G222)+0*G202</f>
        <v>51.0110037407258</v>
      </c>
    </row>
    <row r="224" customFormat="false" ht="15" hidden="false" customHeight="false" outlineLevel="0" collapsed="false">
      <c r="A224" s="4" t="s">
        <v>623</v>
      </c>
      <c r="B224" s="0" t="s">
        <v>151</v>
      </c>
      <c r="C224" s="21" t="n">
        <f aca="false">C220-C223</f>
        <v>14.635</v>
      </c>
      <c r="D224" s="21" t="n">
        <f aca="false">D220-D223</f>
        <v>56.514976270258</v>
      </c>
      <c r="E224" s="21" t="n">
        <f aca="false">E220-E223</f>
        <v>83.1083355730537</v>
      </c>
      <c r="F224" s="21" t="n">
        <f aca="false">F220-F223</f>
        <v>93.4598315317878</v>
      </c>
      <c r="G224" s="21" t="n">
        <f aca="false">G220-G223</f>
        <v>100.535897284354</v>
      </c>
    </row>
    <row r="225" customFormat="false" ht="15" hidden="false" customHeight="false" outlineLevel="0" collapsed="false">
      <c r="A225" s="4" t="s">
        <v>624</v>
      </c>
      <c r="B225" s="0" t="s">
        <v>52</v>
      </c>
      <c r="C225" s="14" t="n">
        <f aca="false">C224/C202</f>
        <v>0.011841956208632</v>
      </c>
      <c r="D225" s="14" t="n">
        <f aca="false">D224/D202</f>
        <v>0.0213125324514788</v>
      </c>
      <c r="E225" s="14" t="n">
        <f aca="false">E224/E202</f>
        <v>0.02454454016253</v>
      </c>
      <c r="F225" s="14" t="n">
        <f aca="false">F224/F202</f>
        <v>0.0275455397147013</v>
      </c>
      <c r="G225" s="14" t="n">
        <f aca="false">G224/G202</f>
        <v>0.0294676564105201</v>
      </c>
    </row>
    <row r="226" customFormat="false" ht="15" hidden="false" customHeight="false" outlineLevel="0" collapsed="false">
      <c r="A226" s="4" t="s">
        <v>625</v>
      </c>
      <c r="B226" s="0" t="s">
        <v>151</v>
      </c>
      <c r="C226" s="21" t="n">
        <f aca="false">a25_sni</f>
        <v>6.9608</v>
      </c>
      <c r="D226" s="21" t="n">
        <f aca="false">a26_sni</f>
        <v>31.133746704</v>
      </c>
      <c r="E226" s="21" t="n">
        <f aca="false">E224*snio</f>
        <v>46.54066792091</v>
      </c>
      <c r="F226" s="21" t="n">
        <f aca="false">F224*snio</f>
        <v>52.3375056578012</v>
      </c>
      <c r="G226" s="21" t="n">
        <f aca="false">G224*snio</f>
        <v>56.3001024792383</v>
      </c>
    </row>
    <row r="227" customFormat="false" ht="17.15" hidden="false" customHeight="false" outlineLevel="0" collapsed="false">
      <c r="A227" s="6" t="s">
        <v>626</v>
      </c>
    </row>
    <row r="228" customFormat="false" ht="15" hidden="false" customHeight="false" outlineLevel="0" collapsed="false">
      <c r="A228" s="4" t="s">
        <v>462</v>
      </c>
      <c r="B228" s="0" t="s">
        <v>151</v>
      </c>
      <c r="C228" s="21" t="n">
        <f aca="false">a25_wgp</f>
        <v>78.454</v>
      </c>
      <c r="D228" s="21" t="n">
        <f aca="false">a26_wgp</f>
        <v>125.0519932</v>
      </c>
      <c r="E228" s="21" t="n">
        <f aca="false">E207*wgm</f>
        <v>176.153108573363</v>
      </c>
      <c r="F228" s="21" t="n">
        <f aca="false">F207*wgm</f>
        <v>208.702001860003</v>
      </c>
      <c r="G228" s="21" t="n">
        <f aca="false">G207*wgm</f>
        <v>223.458317620249</v>
      </c>
    </row>
    <row r="229" customFormat="false" ht="15" hidden="false" customHeight="false" outlineLevel="0" collapsed="false">
      <c r="A229" s="4" t="s">
        <v>464</v>
      </c>
      <c r="B229" s="0" t="s">
        <v>151</v>
      </c>
      <c r="C229" s="21" t="n">
        <f aca="false">a25_woi</f>
        <v>63.918</v>
      </c>
      <c r="D229" s="21" t="n">
        <f aca="false">a26_woi</f>
        <v>98.2471632</v>
      </c>
      <c r="E229" s="21" t="n">
        <f aca="false">E207*wopm</f>
        <v>134.705318320807</v>
      </c>
      <c r="F229" s="21" t="n">
        <f aca="false">F207*wopm</f>
        <v>159.595648481179</v>
      </c>
      <c r="G229" s="21" t="n">
        <f aca="false">G207*wopm</f>
        <v>170.879889944896</v>
      </c>
    </row>
    <row r="230" customFormat="false" ht="15" hidden="false" customHeight="false" outlineLevel="0" collapsed="false">
      <c r="A230" s="4" t="s">
        <v>472</v>
      </c>
      <c r="B230" s="0" t="s">
        <v>151</v>
      </c>
      <c r="C230" s="21" t="n">
        <f aca="false">a25_wni</f>
        <v>51.118</v>
      </c>
      <c r="D230" s="21" t="n">
        <f aca="false">a26_wni</f>
        <v>75.735026884</v>
      </c>
      <c r="E230" s="21" t="n">
        <f aca="false">E229*wnio</f>
        <v>105.07014829023</v>
      </c>
      <c r="F230" s="21" t="n">
        <f aca="false">F229*wnio</f>
        <v>124.484605815319</v>
      </c>
      <c r="G230" s="21" t="n">
        <f aca="false">G229*wnio</f>
        <v>133.286314157019</v>
      </c>
    </row>
    <row r="231" customFormat="false" ht="15" hidden="false" customHeight="false" outlineLevel="0" collapsed="false">
      <c r="A231" s="4" t="s">
        <v>474</v>
      </c>
      <c r="B231" s="0" t="s">
        <v>52</v>
      </c>
      <c r="C231" s="14" t="n">
        <f aca="false">stake25</f>
        <v>0.4</v>
      </c>
      <c r="D231" s="14" t="n">
        <f aca="false">stake</f>
        <v>0.3768</v>
      </c>
      <c r="E231" s="14" t="n">
        <f aca="false">stake</f>
        <v>0.3768</v>
      </c>
      <c r="F231" s="14" t="n">
        <f aca="false">stake</f>
        <v>0.3768</v>
      </c>
      <c r="G231" s="14" t="n">
        <f aca="false">stake</f>
        <v>0.3768</v>
      </c>
    </row>
    <row r="232" customFormat="false" ht="17.15" hidden="false" customHeight="false" outlineLevel="0" collapsed="false">
      <c r="A232" s="6" t="s">
        <v>627</v>
      </c>
    </row>
    <row r="233" customFormat="false" ht="15" hidden="false" customHeight="false" outlineLevel="0" collapsed="false">
      <c r="A233" s="4" t="s">
        <v>448</v>
      </c>
      <c r="B233" s="0" t="s">
        <v>151</v>
      </c>
      <c r="C233" s="21" t="n">
        <f aca="false">C220+C228</f>
        <v>133.983</v>
      </c>
      <c r="D233" s="21" t="n">
        <f aca="false">D220+D228</f>
        <v>228.55837901015</v>
      </c>
      <c r="E233" s="21" t="n">
        <f aca="false">E220+E228</f>
        <v>310.156608542932</v>
      </c>
      <c r="F233" s="21" t="n">
        <f aca="false">F220+F228</f>
        <v>353.088109159301</v>
      </c>
      <c r="G233" s="21" t="n">
        <f aca="false">G220+G228</f>
        <v>375.005218645329</v>
      </c>
    </row>
    <row r="234" customFormat="false" ht="15" hidden="false" customHeight="false" outlineLevel="0" collapsed="false">
      <c r="A234" s="4" t="s">
        <v>451</v>
      </c>
      <c r="B234" s="0" t="s">
        <v>52</v>
      </c>
      <c r="C234" s="14" t="n">
        <f aca="false">C233/C208</f>
        <v>0.0612767393711386</v>
      </c>
      <c r="D234" s="14" t="n">
        <f aca="false">D233/D208</f>
        <v>0.055781973714825</v>
      </c>
      <c r="E234" s="14" t="n">
        <f aca="false">E233/E208</f>
        <v>0.0568217782958729</v>
      </c>
      <c r="F234" s="14" t="n">
        <f aca="false">F233/F208</f>
        <v>0.06037512284402</v>
      </c>
      <c r="G234" s="14" t="n">
        <f aca="false">G233/G208</f>
        <v>0.0620801884870163</v>
      </c>
    </row>
    <row r="235" customFormat="false" ht="15" hidden="false" customHeight="false" outlineLevel="0" collapsed="false">
      <c r="A235" s="4" t="s">
        <v>452</v>
      </c>
      <c r="B235" s="0" t="s">
        <v>151</v>
      </c>
      <c r="C235" s="21" t="n">
        <f aca="false">C224+C229</f>
        <v>78.553</v>
      </c>
      <c r="D235" s="21" t="n">
        <f aca="false">D224+D229</f>
        <v>154.762139470258</v>
      </c>
      <c r="E235" s="21" t="n">
        <f aca="false">E224+E229</f>
        <v>217.813653893861</v>
      </c>
      <c r="F235" s="21" t="n">
        <f aca="false">F224+F229</f>
        <v>253.055480012966</v>
      </c>
      <c r="G235" s="21" t="n">
        <f aca="false">G224+G229</f>
        <v>271.41578722925</v>
      </c>
    </row>
    <row r="236" customFormat="false" ht="15" hidden="false" customHeight="false" outlineLevel="0" collapsed="false">
      <c r="A236" s="4" t="s">
        <v>455</v>
      </c>
      <c r="B236" s="0" t="s">
        <v>52</v>
      </c>
      <c r="C236" s="14" t="n">
        <f aca="false">C235/C208</f>
        <v>0.0359259884300325</v>
      </c>
      <c r="D236" s="14" t="n">
        <f aca="false">D235/D208</f>
        <v>0.0377712584126992</v>
      </c>
      <c r="E236" s="14" t="n">
        <f aca="false">E235/E208</f>
        <v>0.0399042251897005</v>
      </c>
      <c r="F236" s="14" t="n">
        <f aca="false">F235/F208</f>
        <v>0.0432703772679081</v>
      </c>
      <c r="G236" s="14" t="n">
        <f aca="false">G235/G208</f>
        <v>0.0449314899947557</v>
      </c>
    </row>
    <row r="237" customFormat="false" ht="15" hidden="false" customHeight="false" outlineLevel="0" collapsed="false">
      <c r="A237" s="4" t="s">
        <v>485</v>
      </c>
      <c r="B237" s="0" t="s">
        <v>151</v>
      </c>
      <c r="C237" s="21" t="n">
        <f aca="false">C226+C230</f>
        <v>58.0788</v>
      </c>
      <c r="D237" s="21" t="n">
        <f aca="false">D226+D230</f>
        <v>106.868773588</v>
      </c>
      <c r="E237" s="21" t="n">
        <f aca="false">E226+E230</f>
        <v>151.61081621114</v>
      </c>
      <c r="F237" s="21" t="n">
        <f aca="false">F226+F230</f>
        <v>176.822111473121</v>
      </c>
      <c r="G237" s="21" t="n">
        <f aca="false">G226+G230</f>
        <v>189.586416636257</v>
      </c>
    </row>
    <row r="238" customFormat="false" ht="17.15" hidden="false" customHeight="false" outlineLevel="0" collapsed="false">
      <c r="A238" s="4" t="s">
        <v>628</v>
      </c>
      <c r="B238" s="0" t="s">
        <v>151</v>
      </c>
      <c r="C238" s="21" t="n">
        <f aca="false">(1-C231)*C230</f>
        <v>30.6708</v>
      </c>
      <c r="D238" s="21" t="n">
        <f aca="false">(1-D231)*D230</f>
        <v>47.1980687541088</v>
      </c>
      <c r="E238" s="21" t="n">
        <f aca="false">(1-E231)*E230</f>
        <v>65.4797164144711</v>
      </c>
      <c r="F238" s="21" t="n">
        <f aca="false">(1-F231)*F230</f>
        <v>77.578806344107</v>
      </c>
      <c r="G238" s="21" t="n">
        <f aca="false">(1-G231)*G230</f>
        <v>83.0640309826542</v>
      </c>
    </row>
    <row r="239" customFormat="false" ht="15" hidden="false" customHeight="false" outlineLevel="0" collapsed="false">
      <c r="A239" s="4" t="s">
        <v>481</v>
      </c>
      <c r="B239" s="0" t="s">
        <v>151</v>
      </c>
      <c r="C239" s="21" t="n">
        <f aca="false">C237-C238</f>
        <v>27.408</v>
      </c>
      <c r="D239" s="21" t="n">
        <f aca="false">D237-D238</f>
        <v>59.6707048338912</v>
      </c>
      <c r="E239" s="21" t="n">
        <f aca="false">E237-E238</f>
        <v>86.1310997966685</v>
      </c>
      <c r="F239" s="21" t="n">
        <f aca="false">F237-F238</f>
        <v>99.2433051290135</v>
      </c>
      <c r="G239" s="21" t="n">
        <f aca="false">G237-G238</f>
        <v>106.522385653603</v>
      </c>
      <c r="H239" s="26" t="n">
        <f aca="false">H208*H244</f>
        <v>111.566239757664</v>
      </c>
      <c r="I239" s="26" t="n">
        <f aca="false">I208*I244</f>
        <v>117.858739561288</v>
      </c>
      <c r="J239" s="26" t="n">
        <f aca="false">J208*J244</f>
        <v>125.572896456147</v>
      </c>
    </row>
    <row r="240" customFormat="false" ht="17.15" hidden="false" customHeight="false" outlineLevel="0" collapsed="false">
      <c r="A240" s="4" t="s">
        <v>629</v>
      </c>
      <c r="B240" s="0" t="s">
        <v>52</v>
      </c>
      <c r="C240" s="20" t="n">
        <f aca="false">C231*C230/C239</f>
        <v>0.746030356100409</v>
      </c>
      <c r="D240" s="20" t="n">
        <f aca="false">D231*D230/D239</f>
        <v>0.478240674537551</v>
      </c>
      <c r="E240" s="20" t="n">
        <f aca="false">E231*E230/E239</f>
        <v>0.459653156284088</v>
      </c>
      <c r="F240" s="20" t="n">
        <f aca="false">F231*F230/F239</f>
        <v>0.47263439493713</v>
      </c>
      <c r="G240" s="20" t="n">
        <f aca="false">G231*G230/G239</f>
        <v>0.471471633555796</v>
      </c>
    </row>
    <row r="241" customFormat="false" ht="17.15" hidden="false" customHeight="false" outlineLevel="0" collapsed="false">
      <c r="A241" s="4" t="s">
        <v>630</v>
      </c>
      <c r="B241" s="4" t="s">
        <v>286</v>
      </c>
      <c r="C241" s="31" t="n">
        <f aca="false">a25_sh</f>
        <v>3.03185840707965</v>
      </c>
      <c r="D241" s="31" t="n">
        <f aca="false">a26_sh</f>
        <v>3.23861720409076</v>
      </c>
      <c r="E241" s="31" t="n">
        <f aca="false">q_sh4*(1+sh_g)</f>
        <v>3.43</v>
      </c>
      <c r="F241" s="31" t="n">
        <f aca="false">E241*(1+sh_g)</f>
        <v>3.43</v>
      </c>
      <c r="G241" s="31" t="n">
        <f aca="false">F241*(1+sh_g)</f>
        <v>3.43</v>
      </c>
      <c r="H241" s="32" t="n">
        <f aca="false">G241*(1+sh_g)</f>
        <v>3.43</v>
      </c>
      <c r="I241" s="32" t="n">
        <f aca="false">H241*(1+sh_g)</f>
        <v>3.43</v>
      </c>
      <c r="J241" s="32" t="n">
        <f aca="false">I241*(1+sh_g)</f>
        <v>3.43</v>
      </c>
      <c r="K241" s="8" t="s">
        <v>631</v>
      </c>
    </row>
    <row r="242" customFormat="false" ht="15" hidden="false" customHeight="false" outlineLevel="0" collapsed="false">
      <c r="A242" s="0" t="s">
        <v>488</v>
      </c>
      <c r="B242" s="0" t="s">
        <v>316</v>
      </c>
      <c r="C242" s="18" t="n">
        <f aca="false">C239/C241</f>
        <v>9.04</v>
      </c>
      <c r="D242" s="18" t="n">
        <f aca="false">D239/D241</f>
        <v>18.4247476850676</v>
      </c>
      <c r="E242" s="18" t="n">
        <f aca="false">E239/E241</f>
        <v>25.1111078124398</v>
      </c>
      <c r="F242" s="18" t="n">
        <f aca="false">F239/F241</f>
        <v>28.9339082008786</v>
      </c>
      <c r="G242" s="18" t="n">
        <f aca="false">G239/G241</f>
        <v>31.0560891118376</v>
      </c>
      <c r="H242" s="29" t="n">
        <f aca="false">H239/H241</f>
        <v>32.5266005124386</v>
      </c>
      <c r="I242" s="29" t="n">
        <f aca="false">I239/I241</f>
        <v>34.3611485601424</v>
      </c>
      <c r="J242" s="29" t="n">
        <f aca="false">J239/J241</f>
        <v>36.6101738939203</v>
      </c>
    </row>
    <row r="243" customFormat="false" ht="17.15" hidden="false" customHeight="false" outlineLevel="0" collapsed="false">
      <c r="A243" s="0" t="s">
        <v>632</v>
      </c>
      <c r="B243" s="0" t="s">
        <v>52</v>
      </c>
      <c r="D243" s="20" t="n">
        <f aca="false">D242/C242-1</f>
        <v>1.03813580587031</v>
      </c>
      <c r="E243" s="20" t="n">
        <f aca="false">E242/D242-1</f>
        <v>0.362901041667518</v>
      </c>
      <c r="F243" s="20" t="n">
        <f aca="false">F242/E242-1</f>
        <v>0.152235433696995</v>
      </c>
      <c r="G243" s="20" t="n">
        <f aca="false">G242/F242-1</f>
        <v>0.0733458092223649</v>
      </c>
      <c r="H243" s="27" t="n">
        <f aca="false">H242/G242-1</f>
        <v>0.0473501797121148</v>
      </c>
      <c r="I243" s="27" t="n">
        <f aca="false">I242/H242-1</f>
        <v>0.0564014689147196</v>
      </c>
      <c r="J243" s="27" t="n">
        <f aca="false">J242/I242-1</f>
        <v>0.0654525657034257</v>
      </c>
    </row>
    <row r="244" customFormat="false" ht="17.15" hidden="false" customHeight="false" outlineLevel="0" collapsed="false">
      <c r="A244" s="4" t="s">
        <v>633</v>
      </c>
      <c r="B244" s="0" t="s">
        <v>52</v>
      </c>
      <c r="C244" s="14" t="n">
        <f aca="false">C239/C208</f>
        <v>0.0125349699042727</v>
      </c>
      <c r="D244" s="14" t="n">
        <f aca="false">D239/D208</f>
        <v>0.0145632363293992</v>
      </c>
      <c r="E244" s="14" t="n">
        <f aca="false">E239/E208</f>
        <v>0.0157795195144087</v>
      </c>
      <c r="F244" s="14" t="n">
        <f aca="false">F239/F208</f>
        <v>0.0169697777500274</v>
      </c>
      <c r="G244" s="14" t="n">
        <f aca="false">G239/G208</f>
        <v>0.0176342340070651</v>
      </c>
      <c r="H244" s="28" t="n">
        <f aca="false">$G244+(fade_mA-$G244)*1/3</f>
        <v>0.0177258861754548</v>
      </c>
      <c r="I244" s="28" t="n">
        <f aca="false">$G244+(fade_mA-$G244)*2/3</f>
        <v>0.0178175383438445</v>
      </c>
      <c r="J244" s="28" t="n">
        <f aca="false">$G244+(fade_mA-$G244)*3/3</f>
        <v>0.0179091905122343</v>
      </c>
    </row>
    <row r="247" customFormat="false" ht="17.15" hidden="false" customHeight="false" outlineLevel="0" collapsed="false">
      <c r="A247" s="1" t="s">
        <v>950</v>
      </c>
    </row>
    <row r="248" customFormat="false" ht="17.15" hidden="false" customHeight="false" outlineLevel="0" collapsed="false">
      <c r="A248" s="5" t="s">
        <v>21</v>
      </c>
      <c r="B248" s="5" t="s">
        <v>22</v>
      </c>
      <c r="C248" s="15" t="s">
        <v>438</v>
      </c>
      <c r="D248" s="15" t="s">
        <v>552</v>
      </c>
      <c r="E248" s="15" t="s">
        <v>553</v>
      </c>
      <c r="F248" s="15" t="s">
        <v>554</v>
      </c>
      <c r="G248" s="15" t="s">
        <v>555</v>
      </c>
      <c r="H248" s="15" t="s">
        <v>556</v>
      </c>
      <c r="I248" s="15" t="s">
        <v>557</v>
      </c>
      <c r="J248" s="15" t="s">
        <v>558</v>
      </c>
      <c r="K248" s="5" t="s">
        <v>420</v>
      </c>
    </row>
    <row r="249" customFormat="false" ht="17.15" hidden="false" customHeight="false" outlineLevel="0" collapsed="false">
      <c r="A249" s="6" t="s">
        <v>573</v>
      </c>
    </row>
    <row r="250" customFormat="false" ht="17.15" hidden="false" customHeight="false" outlineLevel="0" collapsed="false">
      <c r="A250" s="0" t="s">
        <v>574</v>
      </c>
      <c r="B250" s="0" t="s">
        <v>32</v>
      </c>
      <c r="D250" s="21" t="n">
        <f aca="false">itc_26*1</f>
        <v>781.872916666666</v>
      </c>
      <c r="E250" s="21" t="n">
        <f aca="false">itc_27*1*1</f>
        <v>1565.35</v>
      </c>
      <c r="F250" s="21" t="n">
        <f aca="false">itc_28*um28_A*1</f>
        <v>1984.26388888889</v>
      </c>
      <c r="G250" s="21" t="n">
        <f aca="false">itc_29*um29_A*1</f>
        <v>2260.39027777778</v>
      </c>
    </row>
    <row r="251" customFormat="false" ht="17.15" hidden="false" customHeight="false" outlineLevel="0" collapsed="false">
      <c r="A251" s="4" t="s">
        <v>575</v>
      </c>
      <c r="B251" s="0" t="s">
        <v>32</v>
      </c>
      <c r="D251" s="21" t="n">
        <f aca="false">itpg_gb*(1-vr26)+itpg_vr*vr26</f>
        <v>33.41403216</v>
      </c>
      <c r="E251" s="21" t="n">
        <f aca="false">itpg_vr</f>
        <v>37.586352</v>
      </c>
      <c r="F251" s="21" t="n">
        <f aca="false">itpg_vr</f>
        <v>37.586352</v>
      </c>
      <c r="G251" s="21" t="n">
        <f aca="false">itpg_vr</f>
        <v>37.586352</v>
      </c>
    </row>
    <row r="252" customFormat="false" ht="17.15" hidden="false" customHeight="false" outlineLevel="0" collapsed="false">
      <c r="A252" s="4" t="s">
        <v>576</v>
      </c>
      <c r="B252" s="0" t="s">
        <v>521</v>
      </c>
      <c r="D252" s="22" t="n">
        <f aca="false">D250/D251</f>
        <v>23.3995380420639</v>
      </c>
      <c r="E252" s="22" t="n">
        <f aca="false">E250/E251</f>
        <v>41.6467658260637</v>
      </c>
      <c r="F252" s="22" t="n">
        <f aca="false">F250/F251</f>
        <v>52.792138191248</v>
      </c>
      <c r="G252" s="22" t="n">
        <f aca="false">G250/G251</f>
        <v>60.1385917361116</v>
      </c>
    </row>
    <row r="253" customFormat="false" ht="17.15" hidden="false" customHeight="false" outlineLevel="0" collapsed="false">
      <c r="A253" s="4" t="s">
        <v>577</v>
      </c>
      <c r="B253" s="0" t="s">
        <v>578</v>
      </c>
      <c r="D253" s="18" t="n">
        <f aca="false">(racks_gb*odm_gb*(1-vr26)+racks_vr*odm_vr*vr26)/1000</f>
        <v>27.1209</v>
      </c>
      <c r="E253" s="18" t="n">
        <f aca="false">racks_vr*odm_vr/1000</f>
        <v>27.351</v>
      </c>
      <c r="F253" s="18" t="n">
        <f aca="false">$E253*vpg_28</f>
        <v>27.351</v>
      </c>
      <c r="G253" s="18" t="n">
        <f aca="false">$E253*vpg_29</f>
        <v>27.351</v>
      </c>
      <c r="K253" s="4" t="s">
        <v>579</v>
      </c>
    </row>
    <row r="254" customFormat="false" ht="17.15" hidden="false" customHeight="false" outlineLevel="0" collapsed="false">
      <c r="A254" s="0" t="s">
        <v>580</v>
      </c>
      <c r="B254" s="0" t="s">
        <v>32</v>
      </c>
      <c r="D254" s="21" t="n">
        <f aca="false">D252*D253</f>
        <v>634.61653128501</v>
      </c>
      <c r="E254" s="21" t="n">
        <f aca="false">E252*E253</f>
        <v>1139.08069210867</v>
      </c>
      <c r="F254" s="21" t="n">
        <f aca="false">F252*F253</f>
        <v>1443.91777166882</v>
      </c>
      <c r="G254" s="21" t="n">
        <f aca="false">G252*G253</f>
        <v>1644.85062257439</v>
      </c>
    </row>
    <row r="255" customFormat="false" ht="17.15" hidden="false" customHeight="false" outlineLevel="0" collapsed="false">
      <c r="A255" s="0" t="s">
        <v>581</v>
      </c>
      <c r="B255" s="0" t="s">
        <v>151</v>
      </c>
      <c r="D255" s="21" t="n">
        <f aca="false">D254*fx</f>
        <v>20307.7290011203</v>
      </c>
      <c r="E255" s="21" t="n">
        <f aca="false">E254*fx</f>
        <v>36450.5821474774</v>
      </c>
      <c r="F255" s="21" t="n">
        <f aca="false">F254*fx</f>
        <v>46205.3686934024</v>
      </c>
      <c r="G255" s="21" t="n">
        <f aca="false">G254*fx</f>
        <v>52635.2199223804</v>
      </c>
    </row>
    <row r="256" customFormat="false" ht="17.15" hidden="false" customHeight="false" outlineLevel="0" collapsed="false">
      <c r="A256" s="6" t="s">
        <v>582</v>
      </c>
    </row>
    <row r="257" customFormat="false" ht="17.15" hidden="false" customHeight="false" outlineLevel="0" collapsed="false">
      <c r="A257" s="4" t="s">
        <v>583</v>
      </c>
      <c r="B257" s="0" t="s">
        <v>52</v>
      </c>
      <c r="D257" s="20" t="n">
        <f aca="false">a26_ais/D255</f>
        <v>0.0875096501918447</v>
      </c>
      <c r="K257" s="8" t="s">
        <v>584</v>
      </c>
    </row>
    <row r="258" customFormat="false" ht="17.15" hidden="false" customHeight="false" outlineLevel="0" collapsed="false">
      <c r="A258" s="4" t="s">
        <v>585</v>
      </c>
      <c r="B258" s="0" t="s">
        <v>64</v>
      </c>
      <c r="D258" s="18" t="n">
        <f aca="false">1</f>
        <v>1</v>
      </c>
      <c r="E258" s="18" t="n">
        <f aca="false">rel_27_hi</f>
        <v>1.15</v>
      </c>
      <c r="F258" s="18" t="n">
        <f aca="false">rel_28_hi</f>
        <v>1.15</v>
      </c>
      <c r="G258" s="18" t="n">
        <f aca="false">rel_29_hi</f>
        <v>1.15</v>
      </c>
    </row>
    <row r="259" customFormat="false" ht="17.15" hidden="false" customHeight="false" outlineLevel="0" collapsed="false">
      <c r="A259" s="4" t="s">
        <v>586</v>
      </c>
      <c r="B259" s="0" t="s">
        <v>52</v>
      </c>
      <c r="D259" s="20" t="n">
        <f aca="false">$D$257*D258</f>
        <v>0.0875096501918447</v>
      </c>
      <c r="E259" s="20" t="n">
        <f aca="false">$D$257*E258</f>
        <v>0.100636097720621</v>
      </c>
      <c r="F259" s="20" t="n">
        <f aca="false">$D$257*F258</f>
        <v>0.100636097720621</v>
      </c>
      <c r="G259" s="20" t="n">
        <f aca="false">$D$257*G258</f>
        <v>0.100636097720621</v>
      </c>
    </row>
    <row r="260" customFormat="false" ht="17.15" hidden="false" customHeight="false" outlineLevel="0" collapsed="false">
      <c r="A260" s="4" t="s">
        <v>587</v>
      </c>
      <c r="B260" s="0" t="s">
        <v>151</v>
      </c>
      <c r="D260" s="21" t="n">
        <f aca="false">D255*D259</f>
        <v>1777.12226107882</v>
      </c>
      <c r="E260" s="21" t="n">
        <f aca="false">E255*E259</f>
        <v>3668.24434696707</v>
      </c>
      <c r="F260" s="21" t="n">
        <f aca="false">F255*F259</f>
        <v>4649.92799904658</v>
      </c>
      <c r="G260" s="21" t="n">
        <f aca="false">G255*G259</f>
        <v>5297.00313565507</v>
      </c>
    </row>
    <row r="261" customFormat="false" ht="17.15" hidden="false" customHeight="false" outlineLevel="0" collapsed="false">
      <c r="A261" s="4" t="s">
        <v>588</v>
      </c>
      <c r="B261" s="0" t="s">
        <v>52</v>
      </c>
      <c r="D261" s="20" t="n">
        <f aca="false">0</f>
        <v>0</v>
      </c>
      <c r="E261" s="20" t="n">
        <f aca="false">cs_27</f>
        <v>0.1</v>
      </c>
      <c r="F261" s="20" t="n">
        <f aca="false">cs_28</f>
        <v>0.2</v>
      </c>
      <c r="G261" s="20" t="n">
        <f aca="false">cs_29</f>
        <v>0.25</v>
      </c>
      <c r="K261" s="8" t="s">
        <v>589</v>
      </c>
    </row>
    <row r="262" customFormat="false" ht="17.15" hidden="false" customHeight="false" outlineLevel="0" collapsed="false">
      <c r="A262" s="4" t="s">
        <v>590</v>
      </c>
      <c r="B262" s="0" t="s">
        <v>151</v>
      </c>
      <c r="D262" s="21" t="n">
        <f aca="false">D260*(1-D261)</f>
        <v>1777.12226107882</v>
      </c>
      <c r="E262" s="21" t="n">
        <f aca="false">E260*(1-E261)</f>
        <v>3301.41991227036</v>
      </c>
      <c r="F262" s="21" t="n">
        <f aca="false">F260*(1-F261)</f>
        <v>3719.94239923727</v>
      </c>
      <c r="G262" s="21" t="n">
        <f aca="false">G260*(1-G261)</f>
        <v>3972.7523517413</v>
      </c>
    </row>
    <row r="263" customFormat="false" ht="17.15" hidden="false" customHeight="false" outlineLevel="0" collapsed="false">
      <c r="A263" s="6" t="s">
        <v>591</v>
      </c>
    </row>
    <row r="264" customFormat="false" ht="17.15" hidden="false" customHeight="false" outlineLevel="0" collapsed="false">
      <c r="A264" s="0" t="s">
        <v>592</v>
      </c>
      <c r="B264" s="4" t="s">
        <v>85</v>
      </c>
      <c r="D264" s="18" t="n">
        <f aca="false">gu_26*1</f>
        <v>8.35</v>
      </c>
      <c r="E264" s="18" t="n">
        <f aca="false">gu_27*1*1</f>
        <v>11.2</v>
      </c>
      <c r="F264" s="18" t="n">
        <f aca="false">gu_28*um28_A*1</f>
        <v>11.5</v>
      </c>
      <c r="G264" s="18" t="n">
        <f aca="false">gu_29*um29_A*1</f>
        <v>12.9</v>
      </c>
    </row>
    <row r="265" customFormat="false" ht="15" hidden="false" customHeight="false" outlineLevel="0" collapsed="false">
      <c r="A265" s="4" t="s">
        <v>593</v>
      </c>
      <c r="B265" s="0" t="s">
        <v>52</v>
      </c>
      <c r="D265" s="20" t="n">
        <f aca="false">bsh_26</f>
        <v>0.5</v>
      </c>
      <c r="E265" s="20" t="n">
        <f aca="false">bsh_26*brel_27</f>
        <v>0.5</v>
      </c>
      <c r="F265" s="20" t="n">
        <f aca="false">bsh_26*brel_28</f>
        <v>0.475</v>
      </c>
      <c r="G265" s="20" t="n">
        <f aca="false">bsh_26*brel_29</f>
        <v>0.45</v>
      </c>
    </row>
    <row r="266" customFormat="false" ht="17.15" hidden="false" customHeight="false" outlineLevel="0" collapsed="false">
      <c r="A266" s="4" t="s">
        <v>594</v>
      </c>
      <c r="B266" s="0" t="s">
        <v>543</v>
      </c>
      <c r="D266" s="24" t="n">
        <f aca="false">a26_brd/fx/D264/D265*1000</f>
        <v>823.353293413174</v>
      </c>
      <c r="E266" s="24" t="n">
        <f aca="false">$D266*bv_27</f>
        <v>946.85628742515</v>
      </c>
      <c r="F266" s="24" t="n">
        <f aca="false">$D266*bv_28</f>
        <v>988.023952095808</v>
      </c>
      <c r="G266" s="24" t="n">
        <f aca="false">$D266*bv_29</f>
        <v>988.023952095808</v>
      </c>
      <c r="K266" s="8" t="s">
        <v>595</v>
      </c>
    </row>
    <row r="267" customFormat="false" ht="17.15" hidden="false" customHeight="false" outlineLevel="0" collapsed="false">
      <c r="A267" s="0" t="s">
        <v>545</v>
      </c>
      <c r="B267" s="0" t="s">
        <v>151</v>
      </c>
      <c r="D267" s="21" t="n">
        <f aca="false">D264*D265*D266*fx/1000</f>
        <v>110</v>
      </c>
      <c r="E267" s="21" t="n">
        <f aca="false">E264*E265*E266*fx/1000</f>
        <v>169.676646706587</v>
      </c>
      <c r="F267" s="21" t="n">
        <f aca="false">F264*F265*F266*fx/1000</f>
        <v>172.706586826347</v>
      </c>
      <c r="G267" s="21" t="n">
        <f aca="false">G264*G265*G266*fx/1000</f>
        <v>183.535329341317</v>
      </c>
    </row>
    <row r="268" customFormat="false" ht="17.15" hidden="false" customHeight="false" outlineLevel="0" collapsed="false">
      <c r="A268" s="6" t="s">
        <v>596</v>
      </c>
    </row>
    <row r="269" customFormat="false" ht="15" hidden="false" customHeight="false" outlineLevel="0" collapsed="false">
      <c r="A269" s="4" t="s">
        <v>597</v>
      </c>
      <c r="B269" s="0" t="s">
        <v>151</v>
      </c>
      <c r="D269" s="21" t="n">
        <f aca="false">a26_gen</f>
        <v>150</v>
      </c>
      <c r="E269" s="21" t="n">
        <f aca="false">D269*(1+g_gen27)</f>
        <v>180</v>
      </c>
      <c r="F269" s="21" t="n">
        <f aca="false">E269*(1+g_gen28)</f>
        <v>198</v>
      </c>
      <c r="G269" s="21" t="n">
        <f aca="false">F269*(1+g_gen29)</f>
        <v>213.84</v>
      </c>
    </row>
    <row r="270" customFormat="false" ht="15" hidden="false" customHeight="false" outlineLevel="0" collapsed="false">
      <c r="A270" s="4" t="s">
        <v>598</v>
      </c>
      <c r="B270" s="0" t="s">
        <v>151</v>
      </c>
      <c r="D270" s="21" t="n">
        <f aca="false">a26_pc</f>
        <v>614.602793131557</v>
      </c>
      <c r="E270" s="21" t="n">
        <f aca="false">D270*(1+g_pc27)</f>
        <v>596.16470933761</v>
      </c>
      <c r="F270" s="21" t="n">
        <f aca="false">E270*(1+g_pc28)</f>
        <v>596.16470933761</v>
      </c>
      <c r="G270" s="21" t="n">
        <f aca="false">F270*(1+g_pc29)</f>
        <v>596.16470933761</v>
      </c>
    </row>
    <row r="271" customFormat="false" ht="15" hidden="false" customHeight="false" outlineLevel="0" collapsed="false">
      <c r="A271" s="4" t="s">
        <v>599</v>
      </c>
      <c r="B271" s="0" t="s">
        <v>151</v>
      </c>
      <c r="C271" s="21" t="n">
        <f aca="false">a25_srev</f>
        <v>1235.86</v>
      </c>
      <c r="D271" s="21" t="n">
        <f aca="false">D262+D267+D269+D270</f>
        <v>2651.72505421038</v>
      </c>
      <c r="E271" s="21" t="n">
        <f aca="false">E262+E267+E269+E270</f>
        <v>4247.26126831456</v>
      </c>
      <c r="F271" s="21" t="n">
        <f aca="false">F262+F267+F269+F270</f>
        <v>4686.81369540122</v>
      </c>
      <c r="G271" s="21" t="n">
        <f aca="false">G262+G267+G269+G270</f>
        <v>4966.29239042023</v>
      </c>
    </row>
    <row r="272" customFormat="false" ht="17.15" hidden="false" customHeight="false" outlineLevel="0" collapsed="false">
      <c r="A272" s="4" t="s">
        <v>600</v>
      </c>
      <c r="B272" s="0" t="s">
        <v>52</v>
      </c>
      <c r="D272" s="20" t="n">
        <f aca="false">a26_wai/D255</f>
        <v>0.0341693013513091</v>
      </c>
      <c r="K272" s="8" t="s">
        <v>601</v>
      </c>
    </row>
    <row r="273" customFormat="false" ht="17.15" hidden="false" customHeight="false" outlineLevel="0" collapsed="false">
      <c r="A273" s="4" t="s">
        <v>527</v>
      </c>
      <c r="B273" s="0" t="s">
        <v>52</v>
      </c>
      <c r="D273" s="20" t="n">
        <f aca="false">D272</f>
        <v>0.0341693013513091</v>
      </c>
      <c r="E273" s="20" t="n">
        <f aca="false">$D$272*wrel_27</f>
        <v>0.0341693013513091</v>
      </c>
      <c r="F273" s="20" t="n">
        <f aca="false">$D$272*wrel_28</f>
        <v>0.0341693013513091</v>
      </c>
      <c r="G273" s="20" t="n">
        <f aca="false">$D$272*wrel_29</f>
        <v>0.0324608362837436</v>
      </c>
    </row>
    <row r="274" customFormat="false" ht="17.15" hidden="false" customHeight="false" outlineLevel="0" collapsed="false">
      <c r="A274" s="4" t="s">
        <v>547</v>
      </c>
      <c r="B274" s="0" t="s">
        <v>151</v>
      </c>
      <c r="D274" s="21" t="n">
        <f aca="false">D255*D273</f>
        <v>693.900912</v>
      </c>
      <c r="E274" s="21" t="n">
        <f aca="false">E255*E273</f>
        <v>1245.4909258278</v>
      </c>
      <c r="F274" s="21" t="n">
        <f aca="false">F255*F273</f>
        <v>1578.80516693321</v>
      </c>
      <c r="G274" s="21" t="n">
        <f aca="false">G255*G273</f>
        <v>1708.58325665923</v>
      </c>
    </row>
    <row r="275" customFormat="false" ht="17.15" hidden="false" customHeight="false" outlineLevel="0" collapsed="false">
      <c r="A275" s="4" t="s">
        <v>602</v>
      </c>
      <c r="B275" s="0" t="s">
        <v>151</v>
      </c>
      <c r="D275" s="21" t="n">
        <f aca="false">a26_wna</f>
        <v>751.725988</v>
      </c>
      <c r="E275" s="21" t="n">
        <f aca="false">D275*(1+g_wn27)</f>
        <v>826.8985868</v>
      </c>
      <c r="F275" s="21" t="n">
        <f aca="false">E275*(1+g_wn28)</f>
        <v>876.512502008</v>
      </c>
      <c r="G275" s="21" t="n">
        <f aca="false">F275*(1+g_wn29)</f>
        <v>920.3381271084</v>
      </c>
    </row>
    <row r="276" customFormat="false" ht="15" hidden="false" customHeight="false" outlineLevel="0" collapsed="false">
      <c r="A276" s="4" t="s">
        <v>458</v>
      </c>
      <c r="B276" s="0" t="s">
        <v>151</v>
      </c>
      <c r="C276" s="21" t="n">
        <f aca="false">a25_wrev</f>
        <v>950.663</v>
      </c>
      <c r="D276" s="21" t="n">
        <f aca="false">D274+D275</f>
        <v>1445.6269</v>
      </c>
      <c r="E276" s="21" t="n">
        <f aca="false">E274+E275</f>
        <v>2072.3895126278</v>
      </c>
      <c r="F276" s="21" t="n">
        <f aca="false">F274+F275</f>
        <v>2455.31766894121</v>
      </c>
      <c r="G276" s="21" t="n">
        <f aca="false">G274+G275</f>
        <v>2628.92138376763</v>
      </c>
    </row>
    <row r="277" customFormat="false" ht="17.15" hidden="false" customHeight="false" outlineLevel="0" collapsed="false">
      <c r="A277" s="4" t="s">
        <v>444</v>
      </c>
      <c r="B277" s="0" t="s">
        <v>151</v>
      </c>
      <c r="C277" s="21" t="n">
        <f aca="false">C271+C276</f>
        <v>2186.523</v>
      </c>
      <c r="D277" s="21" t="n">
        <f aca="false">D271+D276</f>
        <v>4097.35195421038</v>
      </c>
      <c r="E277" s="21" t="n">
        <f aca="false">E271+E276</f>
        <v>6319.65078094236</v>
      </c>
      <c r="F277" s="21" t="n">
        <f aca="false">F271+F276</f>
        <v>7142.13136434243</v>
      </c>
      <c r="G277" s="21" t="n">
        <f aca="false">G271+G276</f>
        <v>7595.21377418786</v>
      </c>
      <c r="H277" s="26" t="n">
        <f aca="false">G277*(1+H282)</f>
        <v>8068.3347457857</v>
      </c>
      <c r="I277" s="26" t="n">
        <f aca="false">H277*(1+I282)</f>
        <v>8561.68109709766</v>
      </c>
      <c r="J277" s="26" t="n">
        <f aca="false">I277*(1+J282)</f>
        <v>9075.38196292352</v>
      </c>
      <c r="K277" s="8" t="s">
        <v>603</v>
      </c>
    </row>
    <row r="278" customFormat="false" ht="17.15" hidden="false" customHeight="false" outlineLevel="0" collapsed="false">
      <c r="A278" s="4" t="s">
        <v>604</v>
      </c>
      <c r="B278" s="0" t="s">
        <v>151</v>
      </c>
      <c r="D278" s="21" t="n">
        <f aca="false">D262+D267+D269+D276</f>
        <v>3482.74916107882</v>
      </c>
      <c r="E278" s="21" t="n">
        <f aca="false">E262+E267+E269+E276</f>
        <v>5723.48607160475</v>
      </c>
      <c r="F278" s="21" t="n">
        <f aca="false">F262+F267+F269+F276</f>
        <v>6545.96665500482</v>
      </c>
      <c r="G278" s="21" t="n">
        <f aca="false">G262+G267+G269+G276</f>
        <v>6999.04906485025</v>
      </c>
      <c r="K278" s="4" t="s">
        <v>605</v>
      </c>
    </row>
    <row r="279" customFormat="false" ht="15" hidden="false" customHeight="false" outlineLevel="0" collapsed="false">
      <c r="A279" s="4" t="s">
        <v>606</v>
      </c>
      <c r="B279" s="0" t="s">
        <v>151</v>
      </c>
      <c r="D279" s="21" t="n">
        <f aca="false">D270</f>
        <v>614.602793131557</v>
      </c>
      <c r="E279" s="21" t="n">
        <f aca="false">E270</f>
        <v>596.16470933761</v>
      </c>
      <c r="F279" s="21" t="n">
        <f aca="false">F270</f>
        <v>596.16470933761</v>
      </c>
      <c r="G279" s="21" t="n">
        <f aca="false">G270</f>
        <v>596.16470933761</v>
      </c>
      <c r="K279" s="4" t="s">
        <v>607</v>
      </c>
    </row>
    <row r="280" customFormat="false" ht="17.15" hidden="false" customHeight="false" outlineLevel="0" collapsed="false">
      <c r="A280" s="4" t="s">
        <v>608</v>
      </c>
      <c r="B280" s="0" t="s">
        <v>151</v>
      </c>
      <c r="D280" s="31" t="n">
        <f aca="false">D278+D279-D277</f>
        <v>0</v>
      </c>
      <c r="E280" s="31" t="n">
        <f aca="false">E278+E279-E277</f>
        <v>0</v>
      </c>
      <c r="F280" s="31" t="n">
        <f aca="false">F278+F279-F277</f>
        <v>0</v>
      </c>
      <c r="G280" s="31" t="n">
        <f aca="false">G278+G279-G277</f>
        <v>0</v>
      </c>
    </row>
    <row r="281" customFormat="false" ht="17.15" hidden="false" customHeight="false" outlineLevel="0" collapsed="false">
      <c r="A281" s="4" t="s">
        <v>609</v>
      </c>
      <c r="B281" s="0" t="s">
        <v>52</v>
      </c>
      <c r="D281" s="20" t="n">
        <f aca="false">D278/D277</f>
        <v>0.85</v>
      </c>
      <c r="E281" s="20" t="n">
        <f aca="false">E278/E277</f>
        <v>0.905664928331892</v>
      </c>
      <c r="F281" s="20" t="n">
        <f aca="false">F278/F277</f>
        <v>0.916528459233612</v>
      </c>
      <c r="G281" s="20" t="n">
        <f aca="false">G278/G277</f>
        <v>0.92150784335213</v>
      </c>
    </row>
    <row r="282" customFormat="false" ht="15" hidden="false" customHeight="false" outlineLevel="0" collapsed="false">
      <c r="A282" s="4" t="s">
        <v>610</v>
      </c>
      <c r="B282" s="0" t="s">
        <v>52</v>
      </c>
      <c r="D282" s="20" t="n">
        <f aca="false">D277/C277-1</f>
        <v>0.873912121761526</v>
      </c>
      <c r="E282" s="20" t="n">
        <f aca="false">E277/D277-1</f>
        <v>0.542374404631846</v>
      </c>
      <c r="F282" s="20" t="n">
        <f aca="false">F277/E277-1</f>
        <v>0.130146524216236</v>
      </c>
      <c r="G282" s="20" t="n">
        <f aca="false">G277/F277-1</f>
        <v>0.0634379832478966</v>
      </c>
      <c r="H282" s="27" t="n">
        <f aca="false">$G282+(fade_gA-$G282)*1/3</f>
        <v>0.0622919888319311</v>
      </c>
      <c r="I282" s="27" t="n">
        <f aca="false">$G282+(fade_gA-$G282)*2/3</f>
        <v>0.0611459944159655</v>
      </c>
      <c r="J282" s="27" t="n">
        <f aca="false">$G282+(fade_gA-$G282)*3/3</f>
        <v>0.06</v>
      </c>
    </row>
    <row r="283" customFormat="false" ht="17.15" hidden="false" customHeight="false" outlineLevel="0" collapsed="false">
      <c r="A283" s="0" t="s">
        <v>611</v>
      </c>
      <c r="B283" s="0" t="s">
        <v>52</v>
      </c>
      <c r="D283" s="20" t="n">
        <f aca="false">(D262+D267+D274)/D277</f>
        <v>0.629924693295288</v>
      </c>
      <c r="E283" s="20" t="n">
        <f aca="false">(E262+E267+E274)/E277</f>
        <v>0.746336727818595</v>
      </c>
      <c r="F283" s="20" t="n">
        <f aca="false">(F262+F267+F274)/F277</f>
        <v>0.766081422180698</v>
      </c>
      <c r="G283" s="20" t="n">
        <f aca="false">(G262+G267+G274)/G277</f>
        <v>0.772179837475209</v>
      </c>
    </row>
    <row r="284" customFormat="false" ht="17.15" hidden="false" customHeight="false" outlineLevel="0" collapsed="false">
      <c r="A284" s="4" t="s">
        <v>612</v>
      </c>
      <c r="B284" s="0" t="s">
        <v>52</v>
      </c>
      <c r="C284" s="20" t="n">
        <f aca="false">C276/C277</f>
        <v>0.434782986504144</v>
      </c>
      <c r="D284" s="20" t="n">
        <f aca="false">D276/D277</f>
        <v>0.352819800728736</v>
      </c>
      <c r="E284" s="20" t="n">
        <f aca="false">E276/E277</f>
        <v>0.327927853051205</v>
      </c>
      <c r="F284" s="20" t="n">
        <f aca="false">F276/F277</f>
        <v>0.343779404730575</v>
      </c>
      <c r="G284" s="20" t="n">
        <f aca="false">G276/G277</f>
        <v>0.346128688662056</v>
      </c>
    </row>
    <row r="285" customFormat="false" ht="17.15" hidden="false" customHeight="false" outlineLevel="0" collapsed="false">
      <c r="A285" s="4" t="s">
        <v>613</v>
      </c>
      <c r="B285" s="4" t="s">
        <v>335</v>
      </c>
      <c r="D285" s="21" t="n">
        <f aca="false">D260/fx/(odm_gb*(1-vr26)+odm_vr*vr26)</f>
        <v>12.0597330420658</v>
      </c>
      <c r="E285" s="21" t="n">
        <f aca="false">E260/fx/odm_vr</f>
        <v>16.9826127174401</v>
      </c>
      <c r="F285" s="21" t="n">
        <f aca="false">F260/fx/odm_vr</f>
        <v>21.5274444400305</v>
      </c>
      <c r="G285" s="21" t="n">
        <f aca="false">G260/fx/odm_vr</f>
        <v>24.5231626650698</v>
      </c>
      <c r="K285" s="4" t="s">
        <v>614</v>
      </c>
    </row>
    <row r="286" customFormat="false" ht="17.15" hidden="false" customHeight="false" outlineLevel="0" collapsed="false">
      <c r="A286" s="6" t="s">
        <v>615</v>
      </c>
    </row>
    <row r="287" customFormat="false" ht="17.15" hidden="false" customHeight="false" outlineLevel="0" collapsed="false">
      <c r="A287" s="4" t="s">
        <v>616</v>
      </c>
      <c r="B287" s="0" t="s">
        <v>52</v>
      </c>
      <c r="D287" s="14" t="n">
        <f aca="false">(a26_sgp-d_ai*D262-d_brd*D267-d_gen*D269)/D271</f>
        <v>0.0436423860147897</v>
      </c>
      <c r="K287" s="8" t="s">
        <v>617</v>
      </c>
    </row>
    <row r="288" customFormat="false" ht="17.15" hidden="false" customHeight="false" outlineLevel="0" collapsed="false">
      <c r="A288" s="4" t="s">
        <v>618</v>
      </c>
      <c r="B288" s="0" t="s">
        <v>151</v>
      </c>
      <c r="D288" s="25" t="n">
        <f aca="false">($D$287+d_ai)*D260*(1-D261*(1-keep))</f>
        <v>59.7866331026896</v>
      </c>
      <c r="E288" s="25" t="n">
        <f aca="false">($D$287+d_ai+vrd)*E260*(1-E261*(1-keep))</f>
        <v>114.911283587069</v>
      </c>
      <c r="F288" s="25" t="n">
        <f aca="false">($D$287+d_ai+vrd)*F260*(1-F261*(1-keep))</f>
        <v>144.192120353074</v>
      </c>
      <c r="G288" s="25" t="n">
        <f aca="false">($D$287+d_ai+vrd)*G260*(1-G261*(1-keep))</f>
        <v>163.419572491451</v>
      </c>
    </row>
    <row r="289" customFormat="false" ht="15" hidden="false" customHeight="false" outlineLevel="0" collapsed="false">
      <c r="A289" s="4" t="s">
        <v>619</v>
      </c>
      <c r="B289" s="0" t="s">
        <v>151</v>
      </c>
      <c r="C289" s="21" t="n">
        <f aca="false">a25_sgp</f>
        <v>55.529</v>
      </c>
      <c r="D289" s="21" t="n">
        <f aca="false">a26_sgp</f>
        <v>103.50638581015</v>
      </c>
      <c r="E289" s="21" t="n">
        <f aca="false">$D$287*E270+($D$287+d_brd)*E267+($D$287+d_gen)*E269+E288</f>
        <v>163.9803565575</v>
      </c>
      <c r="F289" s="21" t="n">
        <f aca="false">$D$287*F270+($D$287+d_brd)*F267+($D$287+d_gen)*F269+F288</f>
        <v>194.539888291672</v>
      </c>
      <c r="G289" s="21" t="n">
        <f aca="false">$D$287*G270+($D$287+d_brd)*G267+($D$287+d_gen)*G269+G288</f>
        <v>215.493690260865</v>
      </c>
    </row>
    <row r="290" customFormat="false" ht="15" hidden="false" customHeight="false" outlineLevel="0" collapsed="false">
      <c r="A290" s="4" t="s">
        <v>620</v>
      </c>
      <c r="B290" s="0" t="s">
        <v>52</v>
      </c>
      <c r="C290" s="14" t="n">
        <f aca="false">C289/C271</f>
        <v>0.0449314647290146</v>
      </c>
      <c r="D290" s="14" t="n">
        <f aca="false">D289/D271</f>
        <v>0.0390336040479778</v>
      </c>
      <c r="E290" s="14" t="n">
        <f aca="false">E289/E271</f>
        <v>0.0386084929083188</v>
      </c>
      <c r="F290" s="14" t="n">
        <f aca="false">F289/F271</f>
        <v>0.0415079200785297</v>
      </c>
      <c r="G290" s="14" t="n">
        <f aca="false">G289/G271</f>
        <v>0.0433912611904493</v>
      </c>
    </row>
    <row r="291" customFormat="false" ht="15" hidden="false" customHeight="false" outlineLevel="0" collapsed="false">
      <c r="A291" s="4" t="s">
        <v>621</v>
      </c>
      <c r="B291" s="0" t="s">
        <v>52</v>
      </c>
      <c r="E291" s="20" t="n">
        <f aca="false">MAX(0,phi*(E271/D271-1))</f>
        <v>0.180509236231427</v>
      </c>
      <c r="F291" s="20" t="n">
        <f aca="false">MAX(0,phi*(F271/E271-1))</f>
        <v>0.0310472372184268</v>
      </c>
      <c r="G291" s="20" t="n">
        <f aca="false">MAX(0,phi*(G271/F271-1))</f>
        <v>0.017889255676617</v>
      </c>
    </row>
    <row r="292" customFormat="false" ht="15" hidden="false" customHeight="false" outlineLevel="0" collapsed="false">
      <c r="A292" s="4" t="s">
        <v>622</v>
      </c>
      <c r="B292" s="0" t="s">
        <v>151</v>
      </c>
      <c r="C292" s="21" t="n">
        <f aca="false">a25_sopx</f>
        <v>40.894</v>
      </c>
      <c r="D292" s="21" t="n">
        <f aca="false">a26_sopx</f>
        <v>46.9914095398923</v>
      </c>
      <c r="E292" s="21" t="n">
        <f aca="false">D292*(1+E291)+0*E271</f>
        <v>55.4737929853764</v>
      </c>
      <c r="F292" s="21" t="n">
        <f aca="false">E292*(1+F291)+0*F271</f>
        <v>57.1961009955993</v>
      </c>
      <c r="G292" s="21" t="n">
        <f aca="false">F292*(1+G291)+0*G271</f>
        <v>58.2192966700152</v>
      </c>
    </row>
    <row r="293" customFormat="false" ht="15" hidden="false" customHeight="false" outlineLevel="0" collapsed="false">
      <c r="A293" s="4" t="s">
        <v>623</v>
      </c>
      <c r="B293" s="0" t="s">
        <v>151</v>
      </c>
      <c r="C293" s="21" t="n">
        <f aca="false">C289-C292</f>
        <v>14.635</v>
      </c>
      <c r="D293" s="21" t="n">
        <f aca="false">D289-D292</f>
        <v>56.514976270258</v>
      </c>
      <c r="E293" s="21" t="n">
        <f aca="false">E289-E292</f>
        <v>108.506563572123</v>
      </c>
      <c r="F293" s="21" t="n">
        <f aca="false">F289-F292</f>
        <v>137.343787296073</v>
      </c>
      <c r="G293" s="21" t="n">
        <f aca="false">G289-G292</f>
        <v>157.27439359085</v>
      </c>
    </row>
    <row r="294" customFormat="false" ht="15" hidden="false" customHeight="false" outlineLevel="0" collapsed="false">
      <c r="A294" s="4" t="s">
        <v>624</v>
      </c>
      <c r="B294" s="0" t="s">
        <v>52</v>
      </c>
      <c r="C294" s="14" t="n">
        <f aca="false">C293/C271</f>
        <v>0.011841956208632</v>
      </c>
      <c r="D294" s="14" t="n">
        <f aca="false">D293/D271</f>
        <v>0.0213125324514788</v>
      </c>
      <c r="E294" s="14" t="n">
        <f aca="false">E293/E271</f>
        <v>0.0255474190819398</v>
      </c>
      <c r="F294" s="14" t="n">
        <f aca="false">F293/F271</f>
        <v>0.0293042984471171</v>
      </c>
      <c r="G294" s="14" t="n">
        <f aca="false">G293/G271</f>
        <v>0.0316683717402998</v>
      </c>
    </row>
    <row r="295" customFormat="false" ht="15" hidden="false" customHeight="false" outlineLevel="0" collapsed="false">
      <c r="A295" s="4" t="s">
        <v>625</v>
      </c>
      <c r="B295" s="0" t="s">
        <v>151</v>
      </c>
      <c r="C295" s="21" t="n">
        <f aca="false">a25_sni</f>
        <v>6.9608</v>
      </c>
      <c r="D295" s="21" t="n">
        <f aca="false">a26_sni</f>
        <v>31.133746704</v>
      </c>
      <c r="E295" s="21" t="n">
        <f aca="false">E293*snio</f>
        <v>60.7636756003891</v>
      </c>
      <c r="F295" s="21" t="n">
        <f aca="false">F293*snio</f>
        <v>76.9125208858009</v>
      </c>
      <c r="G295" s="21" t="n">
        <f aca="false">G293*snio</f>
        <v>88.0736604108759</v>
      </c>
    </row>
    <row r="296" customFormat="false" ht="17.15" hidden="false" customHeight="false" outlineLevel="0" collapsed="false">
      <c r="A296" s="6" t="s">
        <v>626</v>
      </c>
    </row>
    <row r="297" customFormat="false" ht="15" hidden="false" customHeight="false" outlineLevel="0" collapsed="false">
      <c r="A297" s="4" t="s">
        <v>462</v>
      </c>
      <c r="B297" s="0" t="s">
        <v>151</v>
      </c>
      <c r="C297" s="21" t="n">
        <f aca="false">a25_wgp</f>
        <v>78.454</v>
      </c>
      <c r="D297" s="21" t="n">
        <f aca="false">a26_wgp</f>
        <v>125.0519932</v>
      </c>
      <c r="E297" s="21" t="n">
        <f aca="false">E276*wgm</f>
        <v>176.153108573363</v>
      </c>
      <c r="F297" s="21" t="n">
        <f aca="false">F276*wgm</f>
        <v>208.702001860003</v>
      </c>
      <c r="G297" s="21" t="n">
        <f aca="false">G276*wgm</f>
        <v>223.458317620249</v>
      </c>
    </row>
    <row r="298" customFormat="false" ht="15" hidden="false" customHeight="false" outlineLevel="0" collapsed="false">
      <c r="A298" s="4" t="s">
        <v>464</v>
      </c>
      <c r="B298" s="0" t="s">
        <v>151</v>
      </c>
      <c r="C298" s="21" t="n">
        <f aca="false">a25_woi</f>
        <v>63.918</v>
      </c>
      <c r="D298" s="21" t="n">
        <f aca="false">a26_woi</f>
        <v>98.2471632</v>
      </c>
      <c r="E298" s="21" t="n">
        <f aca="false">E276*wopm</f>
        <v>134.705318320807</v>
      </c>
      <c r="F298" s="21" t="n">
        <f aca="false">F276*wopm</f>
        <v>159.595648481179</v>
      </c>
      <c r="G298" s="21" t="n">
        <f aca="false">G276*wopm</f>
        <v>170.879889944896</v>
      </c>
    </row>
    <row r="299" customFormat="false" ht="15" hidden="false" customHeight="false" outlineLevel="0" collapsed="false">
      <c r="A299" s="4" t="s">
        <v>472</v>
      </c>
      <c r="B299" s="0" t="s">
        <v>151</v>
      </c>
      <c r="C299" s="21" t="n">
        <f aca="false">a25_wni</f>
        <v>51.118</v>
      </c>
      <c r="D299" s="21" t="n">
        <f aca="false">a26_wni</f>
        <v>75.735026884</v>
      </c>
      <c r="E299" s="21" t="n">
        <f aca="false">E298*wnio</f>
        <v>105.07014829023</v>
      </c>
      <c r="F299" s="21" t="n">
        <f aca="false">F298*wnio</f>
        <v>124.484605815319</v>
      </c>
      <c r="G299" s="21" t="n">
        <f aca="false">G298*wnio</f>
        <v>133.286314157019</v>
      </c>
    </row>
    <row r="300" customFormat="false" ht="15" hidden="false" customHeight="false" outlineLevel="0" collapsed="false">
      <c r="A300" s="4" t="s">
        <v>474</v>
      </c>
      <c r="B300" s="0" t="s">
        <v>52</v>
      </c>
      <c r="C300" s="14" t="n">
        <f aca="false">stake25</f>
        <v>0.4</v>
      </c>
      <c r="D300" s="14" t="n">
        <f aca="false">stake</f>
        <v>0.3768</v>
      </c>
      <c r="E300" s="14" t="n">
        <f aca="false">stake</f>
        <v>0.3768</v>
      </c>
      <c r="F300" s="14" t="n">
        <f aca="false">stake</f>
        <v>0.3768</v>
      </c>
      <c r="G300" s="14" t="n">
        <f aca="false">stake</f>
        <v>0.3768</v>
      </c>
    </row>
    <row r="301" customFormat="false" ht="17.15" hidden="false" customHeight="false" outlineLevel="0" collapsed="false">
      <c r="A301" s="6" t="s">
        <v>627</v>
      </c>
    </row>
    <row r="302" customFormat="false" ht="15" hidden="false" customHeight="false" outlineLevel="0" collapsed="false">
      <c r="A302" s="4" t="s">
        <v>448</v>
      </c>
      <c r="B302" s="0" t="s">
        <v>151</v>
      </c>
      <c r="C302" s="21" t="n">
        <f aca="false">C289+C297</f>
        <v>133.983</v>
      </c>
      <c r="D302" s="21" t="n">
        <f aca="false">D289+D297</f>
        <v>228.55837901015</v>
      </c>
      <c r="E302" s="21" t="n">
        <f aca="false">E289+E297</f>
        <v>340.133465130863</v>
      </c>
      <c r="F302" s="21" t="n">
        <f aca="false">F289+F297</f>
        <v>403.241890151675</v>
      </c>
      <c r="G302" s="21" t="n">
        <f aca="false">G289+G297</f>
        <v>438.952007881114</v>
      </c>
    </row>
    <row r="303" customFormat="false" ht="15" hidden="false" customHeight="false" outlineLevel="0" collapsed="false">
      <c r="A303" s="4" t="s">
        <v>451</v>
      </c>
      <c r="B303" s="0" t="s">
        <v>52</v>
      </c>
      <c r="C303" s="14" t="n">
        <f aca="false">C302/C277</f>
        <v>0.0612767393711386</v>
      </c>
      <c r="D303" s="14" t="n">
        <f aca="false">D302/D277</f>
        <v>0.055781973714825</v>
      </c>
      <c r="E303" s="14" t="n">
        <f aca="false">E302/E277</f>
        <v>0.0538215602287036</v>
      </c>
      <c r="F303" s="14" t="n">
        <f aca="false">F302/F277</f>
        <v>0.0564596014244273</v>
      </c>
      <c r="G303" s="14" t="n">
        <f aca="false">G302/G277</f>
        <v>0.0577932393914811</v>
      </c>
    </row>
    <row r="304" customFormat="false" ht="15" hidden="false" customHeight="false" outlineLevel="0" collapsed="false">
      <c r="A304" s="4" t="s">
        <v>452</v>
      </c>
      <c r="B304" s="0" t="s">
        <v>151</v>
      </c>
      <c r="C304" s="21" t="n">
        <f aca="false">C293+C298</f>
        <v>78.553</v>
      </c>
      <c r="D304" s="21" t="n">
        <f aca="false">D293+D298</f>
        <v>154.762139470258</v>
      </c>
      <c r="E304" s="21" t="n">
        <f aca="false">E293+E298</f>
        <v>243.211881892931</v>
      </c>
      <c r="F304" s="21" t="n">
        <f aca="false">F293+F298</f>
        <v>296.939435777252</v>
      </c>
      <c r="G304" s="21" t="n">
        <f aca="false">G293+G298</f>
        <v>328.154283535746</v>
      </c>
    </row>
    <row r="305" customFormat="false" ht="15" hidden="false" customHeight="false" outlineLevel="0" collapsed="false">
      <c r="A305" s="4" t="s">
        <v>455</v>
      </c>
      <c r="B305" s="0" t="s">
        <v>52</v>
      </c>
      <c r="C305" s="14" t="n">
        <f aca="false">C304/C277</f>
        <v>0.0359259884300325</v>
      </c>
      <c r="D305" s="14" t="n">
        <f aca="false">D304/D277</f>
        <v>0.0377712584126992</v>
      </c>
      <c r="E305" s="14" t="n">
        <f aca="false">E304/E277</f>
        <v>0.0384850192397283</v>
      </c>
      <c r="F305" s="14" t="n">
        <f aca="false">F304/F277</f>
        <v>0.0415757454784074</v>
      </c>
      <c r="G305" s="14" t="n">
        <f aca="false">G304/G277</f>
        <v>0.0432054045208009</v>
      </c>
    </row>
    <row r="306" customFormat="false" ht="15" hidden="false" customHeight="false" outlineLevel="0" collapsed="false">
      <c r="A306" s="4" t="s">
        <v>485</v>
      </c>
      <c r="B306" s="0" t="s">
        <v>151</v>
      </c>
      <c r="C306" s="21" t="n">
        <f aca="false">C295+C299</f>
        <v>58.0788</v>
      </c>
      <c r="D306" s="21" t="n">
        <f aca="false">D295+D299</f>
        <v>106.868773588</v>
      </c>
      <c r="E306" s="21" t="n">
        <f aca="false">E295+E299</f>
        <v>165.833823890619</v>
      </c>
      <c r="F306" s="21" t="n">
        <f aca="false">F295+F299</f>
        <v>201.39712670112</v>
      </c>
      <c r="G306" s="21" t="n">
        <f aca="false">G295+G299</f>
        <v>221.359974567895</v>
      </c>
    </row>
    <row r="307" customFormat="false" ht="17.15" hidden="false" customHeight="false" outlineLevel="0" collapsed="false">
      <c r="A307" s="4" t="s">
        <v>628</v>
      </c>
      <c r="B307" s="0" t="s">
        <v>151</v>
      </c>
      <c r="C307" s="21" t="n">
        <f aca="false">(1-C300)*C299</f>
        <v>30.6708</v>
      </c>
      <c r="D307" s="21" t="n">
        <f aca="false">(1-D300)*D299</f>
        <v>47.1980687541088</v>
      </c>
      <c r="E307" s="21" t="n">
        <f aca="false">(1-E300)*E299</f>
        <v>65.4797164144711</v>
      </c>
      <c r="F307" s="21" t="n">
        <f aca="false">(1-F300)*F299</f>
        <v>77.578806344107</v>
      </c>
      <c r="G307" s="21" t="n">
        <f aca="false">(1-G300)*G299</f>
        <v>83.0640309826542</v>
      </c>
    </row>
    <row r="308" customFormat="false" ht="15" hidden="false" customHeight="false" outlineLevel="0" collapsed="false">
      <c r="A308" s="4" t="s">
        <v>481</v>
      </c>
      <c r="B308" s="0" t="s">
        <v>151</v>
      </c>
      <c r="C308" s="21" t="n">
        <f aca="false">C306-C307</f>
        <v>27.408</v>
      </c>
      <c r="D308" s="21" t="n">
        <f aca="false">D306-D307</f>
        <v>59.6707048338912</v>
      </c>
      <c r="E308" s="21" t="n">
        <f aca="false">E306-E307</f>
        <v>100.354107476148</v>
      </c>
      <c r="F308" s="21" t="n">
        <f aca="false">F306-F307</f>
        <v>123.818320357013</v>
      </c>
      <c r="G308" s="21" t="n">
        <f aca="false">G306-G307</f>
        <v>138.295943585241</v>
      </c>
      <c r="H308" s="26" t="n">
        <f aca="false">H277*H313</f>
        <v>146.106229998621</v>
      </c>
      <c r="I308" s="26" t="n">
        <f aca="false">I277*I313</f>
        <v>154.186409297586</v>
      </c>
      <c r="J308" s="26" t="n">
        <f aca="false">J277*J313</f>
        <v>162.532744545292</v>
      </c>
    </row>
    <row r="309" customFormat="false" ht="17.15" hidden="false" customHeight="false" outlineLevel="0" collapsed="false">
      <c r="A309" s="4" t="s">
        <v>629</v>
      </c>
      <c r="B309" s="0" t="s">
        <v>52</v>
      </c>
      <c r="C309" s="20" t="n">
        <f aca="false">C300*C299/C308</f>
        <v>0.746030356100409</v>
      </c>
      <c r="D309" s="20" t="n">
        <f aca="false">D300*D299/D308</f>
        <v>0.478240674537551</v>
      </c>
      <c r="E309" s="20" t="n">
        <f aca="false">E300*E299/E308</f>
        <v>0.394507338777025</v>
      </c>
      <c r="F309" s="20" t="n">
        <f aca="false">F300*F299/F308</f>
        <v>0.378827618852895</v>
      </c>
      <c r="G309" s="20" t="n">
        <f aca="false">G300*G299/G308</f>
        <v>0.363150804516617</v>
      </c>
    </row>
    <row r="310" customFormat="false" ht="17.15" hidden="false" customHeight="false" outlineLevel="0" collapsed="false">
      <c r="A310" s="4" t="s">
        <v>630</v>
      </c>
      <c r="B310" s="4" t="s">
        <v>286</v>
      </c>
      <c r="C310" s="31" t="n">
        <f aca="false">a25_sh</f>
        <v>3.03185840707965</v>
      </c>
      <c r="D310" s="31" t="n">
        <f aca="false">a26_sh</f>
        <v>3.23861720409076</v>
      </c>
      <c r="E310" s="31" t="n">
        <f aca="false">q_sh4*(1+sh_g)</f>
        <v>3.43</v>
      </c>
      <c r="F310" s="31" t="n">
        <f aca="false">E310*(1+sh_g)</f>
        <v>3.43</v>
      </c>
      <c r="G310" s="31" t="n">
        <f aca="false">F310*(1+sh_g)</f>
        <v>3.43</v>
      </c>
      <c r="H310" s="32" t="n">
        <f aca="false">G310*(1+sh_g)</f>
        <v>3.43</v>
      </c>
      <c r="I310" s="32" t="n">
        <f aca="false">H310*(1+sh_g)</f>
        <v>3.43</v>
      </c>
      <c r="J310" s="32" t="n">
        <f aca="false">I310*(1+sh_g)</f>
        <v>3.43</v>
      </c>
      <c r="K310" s="8" t="s">
        <v>631</v>
      </c>
    </row>
    <row r="311" customFormat="false" ht="15" hidden="false" customHeight="false" outlineLevel="0" collapsed="false">
      <c r="A311" s="0" t="s">
        <v>488</v>
      </c>
      <c r="B311" s="0" t="s">
        <v>316</v>
      </c>
      <c r="C311" s="18" t="n">
        <f aca="false">C308/C310</f>
        <v>9.04</v>
      </c>
      <c r="D311" s="18" t="n">
        <f aca="false">D308/D310</f>
        <v>18.4247476850676</v>
      </c>
      <c r="E311" s="18" t="n">
        <f aca="false">E308/E310</f>
        <v>29.2577572816757</v>
      </c>
      <c r="F311" s="18" t="n">
        <f aca="false">F308/F310</f>
        <v>36.0986356725986</v>
      </c>
      <c r="G311" s="18" t="n">
        <f aca="false">G308/G310</f>
        <v>40.3195170802451</v>
      </c>
      <c r="H311" s="29" t="n">
        <f aca="false">H308/H310</f>
        <v>42.5965685127175</v>
      </c>
      <c r="I311" s="29" t="n">
        <f aca="false">I308/I310</f>
        <v>44.9523059176634</v>
      </c>
      <c r="J311" s="29" t="n">
        <f aca="false">J308/J310</f>
        <v>47.385639809123</v>
      </c>
    </row>
    <row r="312" customFormat="false" ht="17.15" hidden="false" customHeight="false" outlineLevel="0" collapsed="false">
      <c r="A312" s="0" t="s">
        <v>632</v>
      </c>
      <c r="B312" s="0" t="s">
        <v>52</v>
      </c>
      <c r="D312" s="20" t="n">
        <f aca="false">D311/C311-1</f>
        <v>1.03813580587031</v>
      </c>
      <c r="E312" s="20" t="n">
        <f aca="false">E311/D311-1</f>
        <v>0.58795972578706</v>
      </c>
      <c r="F312" s="20" t="n">
        <f aca="false">F311/E311-1</f>
        <v>0.233814175333508</v>
      </c>
      <c r="G312" s="20" t="n">
        <f aca="false">G311/F311-1</f>
        <v>0.116926341647045</v>
      </c>
      <c r="H312" s="27" t="n">
        <f aca="false">H311/G311-1</f>
        <v>0.0564751663057013</v>
      </c>
      <c r="I312" s="27" t="n">
        <f aca="false">I311/H311-1</f>
        <v>0.0553034548837577</v>
      </c>
      <c r="J312" s="27" t="n">
        <f aca="false">J311/I311-1</f>
        <v>0.0541314587046218</v>
      </c>
    </row>
    <row r="313" customFormat="false" ht="17.15" hidden="false" customHeight="false" outlineLevel="0" collapsed="false">
      <c r="A313" s="4" t="s">
        <v>633</v>
      </c>
      <c r="B313" s="0" t="s">
        <v>52</v>
      </c>
      <c r="C313" s="14" t="n">
        <f aca="false">C308/C277</f>
        <v>0.0125349699042727</v>
      </c>
      <c r="D313" s="14" t="n">
        <f aca="false">D308/D277</f>
        <v>0.0145632363293992</v>
      </c>
      <c r="E313" s="14" t="n">
        <f aca="false">E308/E277</f>
        <v>0.0158796919251894</v>
      </c>
      <c r="F313" s="14" t="n">
        <f aca="false">F308/F277</f>
        <v>0.017336326376631</v>
      </c>
      <c r="G313" s="14" t="n">
        <f aca="false">G308/G277</f>
        <v>0.0182083016616643</v>
      </c>
      <c r="H313" s="28" t="n">
        <f aca="false">$G313+(fade_mA-$G313)*1/3</f>
        <v>0.0181085979451876</v>
      </c>
      <c r="I313" s="28" t="n">
        <f aca="false">$G313+(fade_mA-$G313)*2/3</f>
        <v>0.0180088942287109</v>
      </c>
      <c r="J313" s="28" t="n">
        <f aca="false">$G313+(fade_mA-$G313)*3/3</f>
        <v>0.0179091905122343</v>
      </c>
    </row>
    <row r="316" customFormat="false" ht="17.15" hidden="false" customHeight="false" outlineLevel="0" collapsed="false">
      <c r="A316" s="1" t="s">
        <v>951</v>
      </c>
    </row>
    <row r="317" customFormat="false" ht="17.15" hidden="false" customHeight="false" outlineLevel="0" collapsed="false">
      <c r="A317" s="5" t="s">
        <v>21</v>
      </c>
      <c r="B317" s="5" t="s">
        <v>22</v>
      </c>
      <c r="C317" s="15" t="s">
        <v>438</v>
      </c>
      <c r="D317" s="15" t="s">
        <v>552</v>
      </c>
      <c r="E317" s="15" t="s">
        <v>553</v>
      </c>
      <c r="F317" s="15" t="s">
        <v>554</v>
      </c>
      <c r="G317" s="15" t="s">
        <v>555</v>
      </c>
      <c r="H317" s="15" t="s">
        <v>556</v>
      </c>
      <c r="I317" s="15" t="s">
        <v>557</v>
      </c>
      <c r="J317" s="15" t="s">
        <v>558</v>
      </c>
      <c r="K317" s="5" t="s">
        <v>420</v>
      </c>
    </row>
    <row r="318" customFormat="false" ht="17.15" hidden="false" customHeight="false" outlineLevel="0" collapsed="false">
      <c r="A318" s="6" t="s">
        <v>573</v>
      </c>
    </row>
    <row r="319" customFormat="false" ht="17.15" hidden="false" customHeight="false" outlineLevel="0" collapsed="false">
      <c r="A319" s="0" t="s">
        <v>574</v>
      </c>
      <c r="B319" s="0" t="s">
        <v>32</v>
      </c>
      <c r="D319" s="21" t="n">
        <f aca="false">itc_26*1</f>
        <v>781.872916666666</v>
      </c>
      <c r="E319" s="21" t="n">
        <f aca="false">itc_27*1*1</f>
        <v>1565.35</v>
      </c>
      <c r="F319" s="21" t="n">
        <f aca="false">itc_28*um28_A*1</f>
        <v>1984.26388888889</v>
      </c>
      <c r="G319" s="21" t="n">
        <f aca="false">itc_29*um29_A*1</f>
        <v>2260.39027777778</v>
      </c>
    </row>
    <row r="320" customFormat="false" ht="17.15" hidden="false" customHeight="false" outlineLevel="0" collapsed="false">
      <c r="A320" s="4" t="s">
        <v>575</v>
      </c>
      <c r="B320" s="0" t="s">
        <v>32</v>
      </c>
      <c r="D320" s="21" t="n">
        <f aca="false">itpg_gb*(1-vr26)+itpg_vr*vr26</f>
        <v>33.41403216</v>
      </c>
      <c r="E320" s="21" t="n">
        <f aca="false">itpg_vr</f>
        <v>37.586352</v>
      </c>
      <c r="F320" s="21" t="n">
        <f aca="false">itpg_vr</f>
        <v>37.586352</v>
      </c>
      <c r="G320" s="21" t="n">
        <f aca="false">itpg_vr</f>
        <v>37.586352</v>
      </c>
    </row>
    <row r="321" customFormat="false" ht="17.15" hidden="false" customHeight="false" outlineLevel="0" collapsed="false">
      <c r="A321" s="4" t="s">
        <v>576</v>
      </c>
      <c r="B321" s="0" t="s">
        <v>521</v>
      </c>
      <c r="D321" s="22" t="n">
        <f aca="false">D319/D320</f>
        <v>23.3995380420639</v>
      </c>
      <c r="E321" s="22" t="n">
        <f aca="false">E319/E320</f>
        <v>41.6467658260637</v>
      </c>
      <c r="F321" s="22" t="n">
        <f aca="false">F319/F320</f>
        <v>52.792138191248</v>
      </c>
      <c r="G321" s="22" t="n">
        <f aca="false">G319/G320</f>
        <v>60.1385917361116</v>
      </c>
    </row>
    <row r="322" customFormat="false" ht="17.15" hidden="false" customHeight="false" outlineLevel="0" collapsed="false">
      <c r="A322" s="4" t="s">
        <v>577</v>
      </c>
      <c r="B322" s="0" t="s">
        <v>578</v>
      </c>
      <c r="D322" s="18" t="n">
        <f aca="false">(racks_gb*odm_gb*(1-vr26)+racks_vr*odm_vr*vr26)/1000</f>
        <v>27.1209</v>
      </c>
      <c r="E322" s="18" t="n">
        <f aca="false">racks_vr*odm_vr/1000</f>
        <v>27.351</v>
      </c>
      <c r="F322" s="18" t="n">
        <f aca="false">$E322*vpg_28</f>
        <v>27.351</v>
      </c>
      <c r="G322" s="18" t="n">
        <f aca="false">$E322*vpg_29</f>
        <v>27.351</v>
      </c>
      <c r="K322" s="4" t="s">
        <v>579</v>
      </c>
    </row>
    <row r="323" customFormat="false" ht="17.15" hidden="false" customHeight="false" outlineLevel="0" collapsed="false">
      <c r="A323" s="0" t="s">
        <v>580</v>
      </c>
      <c r="B323" s="0" t="s">
        <v>32</v>
      </c>
      <c r="D323" s="21" t="n">
        <f aca="false">D321*D322</f>
        <v>634.61653128501</v>
      </c>
      <c r="E323" s="21" t="n">
        <f aca="false">E321*E322</f>
        <v>1139.08069210867</v>
      </c>
      <c r="F323" s="21" t="n">
        <f aca="false">F321*F322</f>
        <v>1443.91777166882</v>
      </c>
      <c r="G323" s="21" t="n">
        <f aca="false">G321*G322</f>
        <v>1644.85062257439</v>
      </c>
    </row>
    <row r="324" customFormat="false" ht="17.15" hidden="false" customHeight="false" outlineLevel="0" collapsed="false">
      <c r="A324" s="0" t="s">
        <v>581</v>
      </c>
      <c r="B324" s="0" t="s">
        <v>151</v>
      </c>
      <c r="D324" s="21" t="n">
        <f aca="false">D323*fx</f>
        <v>20307.7290011203</v>
      </c>
      <c r="E324" s="21" t="n">
        <f aca="false">E323*fx</f>
        <v>36450.5821474774</v>
      </c>
      <c r="F324" s="21" t="n">
        <f aca="false">F323*fx</f>
        <v>46205.3686934024</v>
      </c>
      <c r="G324" s="21" t="n">
        <f aca="false">G323*fx</f>
        <v>52635.2199223804</v>
      </c>
    </row>
    <row r="325" customFormat="false" ht="17.15" hidden="false" customHeight="false" outlineLevel="0" collapsed="false">
      <c r="A325" s="6" t="s">
        <v>582</v>
      </c>
    </row>
    <row r="326" customFormat="false" ht="17.15" hidden="false" customHeight="false" outlineLevel="0" collapsed="false">
      <c r="A326" s="4" t="s">
        <v>583</v>
      </c>
      <c r="B326" s="0" t="s">
        <v>52</v>
      </c>
      <c r="D326" s="20" t="n">
        <f aca="false">a26_ais/D324</f>
        <v>0.0875096501918447</v>
      </c>
      <c r="K326" s="8" t="s">
        <v>584</v>
      </c>
    </row>
    <row r="327" customFormat="false" ht="17.15" hidden="false" customHeight="false" outlineLevel="0" collapsed="false">
      <c r="A327" s="4" t="s">
        <v>585</v>
      </c>
      <c r="B327" s="0" t="s">
        <v>64</v>
      </c>
      <c r="D327" s="18" t="n">
        <f aca="false">1</f>
        <v>1</v>
      </c>
      <c r="E327" s="18" t="n">
        <f aca="false">rel_27</f>
        <v>1</v>
      </c>
      <c r="F327" s="18" t="n">
        <f aca="false">rel_28</f>
        <v>0.95</v>
      </c>
      <c r="G327" s="18" t="n">
        <f aca="false">rel_29</f>
        <v>0.9</v>
      </c>
    </row>
    <row r="328" customFormat="false" ht="17.15" hidden="false" customHeight="false" outlineLevel="0" collapsed="false">
      <c r="A328" s="4" t="s">
        <v>586</v>
      </c>
      <c r="B328" s="0" t="s">
        <v>52</v>
      </c>
      <c r="D328" s="20" t="n">
        <f aca="false">$D$326*D327</f>
        <v>0.0875096501918447</v>
      </c>
      <c r="E328" s="20" t="n">
        <f aca="false">$D$326*E327</f>
        <v>0.0875096501918447</v>
      </c>
      <c r="F328" s="20" t="n">
        <f aca="false">$D$326*F327</f>
        <v>0.0831341676822525</v>
      </c>
      <c r="G328" s="20" t="n">
        <f aca="false">$D$326*G327</f>
        <v>0.0787586851726602</v>
      </c>
    </row>
    <row r="329" customFormat="false" ht="17.15" hidden="false" customHeight="false" outlineLevel="0" collapsed="false">
      <c r="A329" s="4" t="s">
        <v>587</v>
      </c>
      <c r="B329" s="0" t="s">
        <v>151</v>
      </c>
      <c r="D329" s="21" t="n">
        <f aca="false">D324*D328</f>
        <v>1777.12226107882</v>
      </c>
      <c r="E329" s="21" t="n">
        <f aca="false">E324*E328</f>
        <v>3189.77769301484</v>
      </c>
      <c r="F329" s="21" t="n">
        <f aca="false">F324*F328</f>
        <v>3841.24486877761</v>
      </c>
      <c r="G329" s="21" t="n">
        <f aca="false">G324*G328</f>
        <v>4145.48071486049</v>
      </c>
    </row>
    <row r="330" customFormat="false" ht="17.15" hidden="false" customHeight="false" outlineLevel="0" collapsed="false">
      <c r="A330" s="4" t="s">
        <v>588</v>
      </c>
      <c r="B330" s="0" t="s">
        <v>52</v>
      </c>
      <c r="D330" s="20" t="n">
        <f aca="false">0</f>
        <v>0</v>
      </c>
      <c r="E330" s="20" t="n">
        <f aca="false">cs_27</f>
        <v>0.1</v>
      </c>
      <c r="F330" s="20" t="n">
        <f aca="false">cs_28</f>
        <v>0.2</v>
      </c>
      <c r="G330" s="20" t="n">
        <f aca="false">cs_29</f>
        <v>0.25</v>
      </c>
      <c r="K330" s="8" t="s">
        <v>589</v>
      </c>
    </row>
    <row r="331" customFormat="false" ht="17.15" hidden="false" customHeight="false" outlineLevel="0" collapsed="false">
      <c r="A331" s="4" t="s">
        <v>590</v>
      </c>
      <c r="B331" s="0" t="s">
        <v>151</v>
      </c>
      <c r="D331" s="21" t="n">
        <f aca="false">D329*(1-D330)</f>
        <v>1777.12226107882</v>
      </c>
      <c r="E331" s="21" t="n">
        <f aca="false">E329*(1-E330)</f>
        <v>2870.79992371336</v>
      </c>
      <c r="F331" s="21" t="n">
        <f aca="false">F329*(1-F330)</f>
        <v>3072.99589502209</v>
      </c>
      <c r="G331" s="21" t="n">
        <f aca="false">G329*(1-G330)</f>
        <v>3109.11053614537</v>
      </c>
    </row>
    <row r="332" customFormat="false" ht="17.15" hidden="false" customHeight="false" outlineLevel="0" collapsed="false">
      <c r="A332" s="6" t="s">
        <v>591</v>
      </c>
    </row>
    <row r="333" customFormat="false" ht="17.15" hidden="false" customHeight="false" outlineLevel="0" collapsed="false">
      <c r="A333" s="0" t="s">
        <v>592</v>
      </c>
      <c r="B333" s="4" t="s">
        <v>85</v>
      </c>
      <c r="D333" s="18" t="n">
        <f aca="false">gu_26*1</f>
        <v>8.35</v>
      </c>
      <c r="E333" s="18" t="n">
        <f aca="false">gu_27*1*1</f>
        <v>11.2</v>
      </c>
      <c r="F333" s="18" t="n">
        <f aca="false">gu_28*um28_A*1</f>
        <v>11.5</v>
      </c>
      <c r="G333" s="18" t="n">
        <f aca="false">gu_29*um29_A*1</f>
        <v>12.9</v>
      </c>
    </row>
    <row r="334" customFormat="false" ht="15" hidden="false" customHeight="false" outlineLevel="0" collapsed="false">
      <c r="A334" s="4" t="s">
        <v>593</v>
      </c>
      <c r="B334" s="0" t="s">
        <v>52</v>
      </c>
      <c r="D334" s="20" t="n">
        <f aca="false">bsh_26</f>
        <v>0.5</v>
      </c>
      <c r="E334" s="20" t="n">
        <f aca="false">bsh_26*brel_27</f>
        <v>0.5</v>
      </c>
      <c r="F334" s="20" t="n">
        <f aca="false">bsh_26*brel_28</f>
        <v>0.475</v>
      </c>
      <c r="G334" s="20" t="n">
        <f aca="false">bsh_26*brel_29</f>
        <v>0.45</v>
      </c>
    </row>
    <row r="335" customFormat="false" ht="17.15" hidden="false" customHeight="false" outlineLevel="0" collapsed="false">
      <c r="A335" s="4" t="s">
        <v>594</v>
      </c>
      <c r="B335" s="0" t="s">
        <v>543</v>
      </c>
      <c r="D335" s="24" t="n">
        <f aca="false">a26_brd/fx/D333/D334*1000</f>
        <v>823.353293413174</v>
      </c>
      <c r="E335" s="24" t="n">
        <f aca="false">$D335*bv_27</f>
        <v>946.85628742515</v>
      </c>
      <c r="F335" s="24" t="n">
        <f aca="false">$D335*bv_28</f>
        <v>988.023952095808</v>
      </c>
      <c r="G335" s="24" t="n">
        <f aca="false">$D335*bv_29</f>
        <v>988.023952095808</v>
      </c>
      <c r="K335" s="8" t="s">
        <v>595</v>
      </c>
    </row>
    <row r="336" customFormat="false" ht="17.15" hidden="false" customHeight="false" outlineLevel="0" collapsed="false">
      <c r="A336" s="0" t="s">
        <v>545</v>
      </c>
      <c r="B336" s="0" t="s">
        <v>151</v>
      </c>
      <c r="D336" s="21" t="n">
        <f aca="false">D333*D334*D335*fx/1000</f>
        <v>110</v>
      </c>
      <c r="E336" s="21" t="n">
        <f aca="false">E333*E334*E335*fx/1000</f>
        <v>169.676646706587</v>
      </c>
      <c r="F336" s="21" t="n">
        <f aca="false">F333*F334*F335*fx/1000</f>
        <v>172.706586826347</v>
      </c>
      <c r="G336" s="21" t="n">
        <f aca="false">G333*G334*G335*fx/1000</f>
        <v>183.535329341317</v>
      </c>
    </row>
    <row r="337" customFormat="false" ht="17.15" hidden="false" customHeight="false" outlineLevel="0" collapsed="false">
      <c r="A337" s="6" t="s">
        <v>596</v>
      </c>
    </row>
    <row r="338" customFormat="false" ht="15" hidden="false" customHeight="false" outlineLevel="0" collapsed="false">
      <c r="A338" s="4" t="s">
        <v>597</v>
      </c>
      <c r="B338" s="0" t="s">
        <v>151</v>
      </c>
      <c r="D338" s="21" t="n">
        <f aca="false">a26_gen</f>
        <v>150</v>
      </c>
      <c r="E338" s="21" t="n">
        <f aca="false">D338*(1+g_gen27)</f>
        <v>180</v>
      </c>
      <c r="F338" s="21" t="n">
        <f aca="false">E338*(1+g_gen28)</f>
        <v>198</v>
      </c>
      <c r="G338" s="21" t="n">
        <f aca="false">F338*(1+g_gen29)</f>
        <v>213.84</v>
      </c>
    </row>
    <row r="339" customFormat="false" ht="15" hidden="false" customHeight="false" outlineLevel="0" collapsed="false">
      <c r="A339" s="4" t="s">
        <v>598</v>
      </c>
      <c r="B339" s="0" t="s">
        <v>151</v>
      </c>
      <c r="D339" s="21" t="n">
        <f aca="false">a26_pc</f>
        <v>614.602793131557</v>
      </c>
      <c r="E339" s="21" t="n">
        <f aca="false">D339*(1+g_pc27)</f>
        <v>596.16470933761</v>
      </c>
      <c r="F339" s="21" t="n">
        <f aca="false">E339*(1+g_pc28)</f>
        <v>596.16470933761</v>
      </c>
      <c r="G339" s="21" t="n">
        <f aca="false">F339*(1+g_pc29)</f>
        <v>596.16470933761</v>
      </c>
    </row>
    <row r="340" customFormat="false" ht="15" hidden="false" customHeight="false" outlineLevel="0" collapsed="false">
      <c r="A340" s="4" t="s">
        <v>599</v>
      </c>
      <c r="B340" s="0" t="s">
        <v>151</v>
      </c>
      <c r="C340" s="21" t="n">
        <f aca="false">a25_srev</f>
        <v>1235.86</v>
      </c>
      <c r="D340" s="21" t="n">
        <f aca="false">D331+D336+D338+D339</f>
        <v>2651.72505421038</v>
      </c>
      <c r="E340" s="21" t="n">
        <f aca="false">E331+E336+E338+E339</f>
        <v>3816.64127975756</v>
      </c>
      <c r="F340" s="21" t="n">
        <f aca="false">F331+F336+F338+F339</f>
        <v>4039.86719118605</v>
      </c>
      <c r="G340" s="21" t="n">
        <f aca="false">G331+G336+G338+G339</f>
        <v>4102.6505748243</v>
      </c>
    </row>
    <row r="341" customFormat="false" ht="17.15" hidden="false" customHeight="false" outlineLevel="0" collapsed="false">
      <c r="A341" s="4" t="s">
        <v>600</v>
      </c>
      <c r="B341" s="0" t="s">
        <v>52</v>
      </c>
      <c r="D341" s="20" t="n">
        <f aca="false">a26_wai/D324</f>
        <v>0.0341693013513091</v>
      </c>
      <c r="K341" s="8" t="s">
        <v>601</v>
      </c>
    </row>
    <row r="342" customFormat="false" ht="17.15" hidden="false" customHeight="false" outlineLevel="0" collapsed="false">
      <c r="A342" s="4" t="s">
        <v>527</v>
      </c>
      <c r="B342" s="0" t="s">
        <v>52</v>
      </c>
      <c r="D342" s="20" t="n">
        <f aca="false">D341</f>
        <v>0.0341693013513091</v>
      </c>
      <c r="E342" s="20" t="n">
        <f aca="false">$D$341*wrel_27_lo</f>
        <v>0.0290439061486127</v>
      </c>
      <c r="F342" s="20" t="n">
        <f aca="false">$D$341*wrel_28_lo</f>
        <v>0.0256269760134818</v>
      </c>
      <c r="G342" s="20" t="n">
        <f aca="false">$D$341*wrel_29_lo</f>
        <v>0.0239185109459164</v>
      </c>
    </row>
    <row r="343" customFormat="false" ht="17.15" hidden="false" customHeight="false" outlineLevel="0" collapsed="false">
      <c r="A343" s="4" t="s">
        <v>547</v>
      </c>
      <c r="B343" s="0" t="s">
        <v>151</v>
      </c>
      <c r="D343" s="21" t="n">
        <f aca="false">D324*D342</f>
        <v>693.900912</v>
      </c>
      <c r="E343" s="21" t="n">
        <f aca="false">E324*E342</f>
        <v>1058.66728695363</v>
      </c>
      <c r="F343" s="21" t="n">
        <f aca="false">F324*F342</f>
        <v>1184.10387519991</v>
      </c>
      <c r="G343" s="21" t="n">
        <f aca="false">G324*G342</f>
        <v>1258.95608385417</v>
      </c>
    </row>
    <row r="344" customFormat="false" ht="17.15" hidden="false" customHeight="false" outlineLevel="0" collapsed="false">
      <c r="A344" s="4" t="s">
        <v>602</v>
      </c>
      <c r="B344" s="0" t="s">
        <v>151</v>
      </c>
      <c r="D344" s="21" t="n">
        <f aca="false">a26_wna</f>
        <v>751.725988</v>
      </c>
      <c r="E344" s="21" t="n">
        <f aca="false">D344*(1+g_wn27)</f>
        <v>826.8985868</v>
      </c>
      <c r="F344" s="21" t="n">
        <f aca="false">E344*(1+g_wn28)</f>
        <v>876.512502008</v>
      </c>
      <c r="G344" s="21" t="n">
        <f aca="false">F344*(1+g_wn29)</f>
        <v>920.3381271084</v>
      </c>
    </row>
    <row r="345" customFormat="false" ht="15" hidden="false" customHeight="false" outlineLevel="0" collapsed="false">
      <c r="A345" s="4" t="s">
        <v>458</v>
      </c>
      <c r="B345" s="0" t="s">
        <v>151</v>
      </c>
      <c r="C345" s="21" t="n">
        <f aca="false">a25_wrev</f>
        <v>950.663</v>
      </c>
      <c r="D345" s="21" t="n">
        <f aca="false">D343+D344</f>
        <v>1445.6269</v>
      </c>
      <c r="E345" s="21" t="n">
        <f aca="false">E343+E344</f>
        <v>1885.56587375363</v>
      </c>
      <c r="F345" s="21" t="n">
        <f aca="false">F343+F344</f>
        <v>2060.61637720791</v>
      </c>
      <c r="G345" s="21" t="n">
        <f aca="false">G343+G344</f>
        <v>2179.29421096257</v>
      </c>
    </row>
    <row r="346" customFormat="false" ht="17.15" hidden="false" customHeight="false" outlineLevel="0" collapsed="false">
      <c r="A346" s="4" t="s">
        <v>444</v>
      </c>
      <c r="B346" s="0" t="s">
        <v>151</v>
      </c>
      <c r="C346" s="21" t="n">
        <f aca="false">C340+C345</f>
        <v>2186.523</v>
      </c>
      <c r="D346" s="21" t="n">
        <f aca="false">D340+D345</f>
        <v>4097.35195421038</v>
      </c>
      <c r="E346" s="21" t="n">
        <f aca="false">E340+E345</f>
        <v>5702.20715351119</v>
      </c>
      <c r="F346" s="21" t="n">
        <f aca="false">F340+F345</f>
        <v>6100.48356839395</v>
      </c>
      <c r="G346" s="21" t="n">
        <f aca="false">G340+G345</f>
        <v>6281.94478578687</v>
      </c>
      <c r="H346" s="26" t="n">
        <f aca="false">G346*(1+H351)</f>
        <v>6532.15624864901</v>
      </c>
      <c r="I346" s="26" t="n">
        <f aca="false">H346*(1+I351)</f>
        <v>6858.20966072737</v>
      </c>
      <c r="J346" s="26" t="n">
        <f aca="false">I346*(1+J351)</f>
        <v>7269.70224037101</v>
      </c>
      <c r="K346" s="8" t="s">
        <v>603</v>
      </c>
    </row>
    <row r="347" customFormat="false" ht="17.15" hidden="false" customHeight="false" outlineLevel="0" collapsed="false">
      <c r="A347" s="4" t="s">
        <v>604</v>
      </c>
      <c r="B347" s="0" t="s">
        <v>151</v>
      </c>
      <c r="D347" s="21" t="n">
        <f aca="false">D331+D336+D338+D345</f>
        <v>3482.74916107882</v>
      </c>
      <c r="E347" s="21" t="n">
        <f aca="false">E331+E336+E338+E345</f>
        <v>5106.04244417358</v>
      </c>
      <c r="F347" s="21" t="n">
        <f aca="false">F331+F336+F338+F345</f>
        <v>5504.31885905634</v>
      </c>
      <c r="G347" s="21" t="n">
        <f aca="false">G331+G336+G338+G345</f>
        <v>5685.78007644926</v>
      </c>
      <c r="K347" s="4" t="s">
        <v>605</v>
      </c>
    </row>
    <row r="348" customFormat="false" ht="15" hidden="false" customHeight="false" outlineLevel="0" collapsed="false">
      <c r="A348" s="4" t="s">
        <v>606</v>
      </c>
      <c r="B348" s="0" t="s">
        <v>151</v>
      </c>
      <c r="D348" s="21" t="n">
        <f aca="false">D339</f>
        <v>614.602793131557</v>
      </c>
      <c r="E348" s="21" t="n">
        <f aca="false">E339</f>
        <v>596.16470933761</v>
      </c>
      <c r="F348" s="21" t="n">
        <f aca="false">F339</f>
        <v>596.16470933761</v>
      </c>
      <c r="G348" s="21" t="n">
        <f aca="false">G339</f>
        <v>596.16470933761</v>
      </c>
      <c r="K348" s="4" t="s">
        <v>607</v>
      </c>
    </row>
    <row r="349" customFormat="false" ht="17.15" hidden="false" customHeight="false" outlineLevel="0" collapsed="false">
      <c r="A349" s="4" t="s">
        <v>608</v>
      </c>
      <c r="B349" s="0" t="s">
        <v>151</v>
      </c>
      <c r="D349" s="31" t="n">
        <f aca="false">D347+D348-D346</f>
        <v>0</v>
      </c>
      <c r="E349" s="31" t="n">
        <f aca="false">E347+E348-E346</f>
        <v>0</v>
      </c>
      <c r="F349" s="31" t="n">
        <f aca="false">F347+F348-F346</f>
        <v>0</v>
      </c>
      <c r="G349" s="31" t="n">
        <f aca="false">G347+G348-G346</f>
        <v>0</v>
      </c>
    </row>
    <row r="350" customFormat="false" ht="17.15" hidden="false" customHeight="false" outlineLevel="0" collapsed="false">
      <c r="A350" s="4" t="s">
        <v>609</v>
      </c>
      <c r="B350" s="0" t="s">
        <v>52</v>
      </c>
      <c r="D350" s="20" t="n">
        <f aca="false">D347/D346</f>
        <v>0.85</v>
      </c>
      <c r="E350" s="20" t="n">
        <f aca="false">E347/E346</f>
        <v>0.895450183887038</v>
      </c>
      <c r="F350" s="20" t="n">
        <f aca="false">F347/F346</f>
        <v>0.90227582737436</v>
      </c>
      <c r="G350" s="20" t="n">
        <f aca="false">G347/G346</f>
        <v>0.90509870276376</v>
      </c>
    </row>
    <row r="351" customFormat="false" ht="15" hidden="false" customHeight="false" outlineLevel="0" collapsed="false">
      <c r="A351" s="4" t="s">
        <v>610</v>
      </c>
      <c r="B351" s="0" t="s">
        <v>52</v>
      </c>
      <c r="D351" s="20" t="n">
        <f aca="false">D346/C346-1</f>
        <v>0.873912121761526</v>
      </c>
      <c r="E351" s="20" t="n">
        <f aca="false">E346/D346-1</f>
        <v>0.391681070417123</v>
      </c>
      <c r="F351" s="20" t="n">
        <f aca="false">F346/E346-1</f>
        <v>0.0698460094767905</v>
      </c>
      <c r="G351" s="20" t="n">
        <f aca="false">G346/F346-1</f>
        <v>0.0297453825354186</v>
      </c>
      <c r="H351" s="27" t="n">
        <f aca="false">$G351+(fade_gA-$G351)*1/3</f>
        <v>0.0398302550236124</v>
      </c>
      <c r="I351" s="27" t="n">
        <f aca="false">$G351+(fade_gA-$G351)*2/3</f>
        <v>0.0499151275118062</v>
      </c>
      <c r="J351" s="27" t="n">
        <f aca="false">$G351+(fade_gA-$G351)*3/3</f>
        <v>0.06</v>
      </c>
    </row>
    <row r="352" customFormat="false" ht="17.15" hidden="false" customHeight="false" outlineLevel="0" collapsed="false">
      <c r="A352" s="0" t="s">
        <v>611</v>
      </c>
      <c r="B352" s="0" t="s">
        <v>52</v>
      </c>
      <c r="D352" s="20" t="n">
        <f aca="false">(D331+D336+D343)/D346</f>
        <v>0.629924693295288</v>
      </c>
      <c r="E352" s="20" t="n">
        <f aca="false">(E331+E336+E343)/E346</f>
        <v>0.718869684495677</v>
      </c>
      <c r="F352" s="20" t="n">
        <f aca="false">(F331+F336+F343)/F346</f>
        <v>0.726140199770189</v>
      </c>
      <c r="G352" s="20" t="n">
        <f aca="false">(G331+G336+G343)/G346</f>
        <v>0.724553001427046</v>
      </c>
    </row>
    <row r="353" customFormat="false" ht="17.15" hidden="false" customHeight="false" outlineLevel="0" collapsed="false">
      <c r="A353" s="4" t="s">
        <v>612</v>
      </c>
      <c r="B353" s="0" t="s">
        <v>52</v>
      </c>
      <c r="C353" s="20" t="n">
        <f aca="false">C345/C346</f>
        <v>0.434782986504144</v>
      </c>
      <c r="D353" s="20" t="n">
        <f aca="false">D345/D346</f>
        <v>0.352819800728736</v>
      </c>
      <c r="E353" s="20" t="n">
        <f aca="false">E345/E346</f>
        <v>0.330672987317302</v>
      </c>
      <c r="F353" s="20" t="n">
        <f aca="false">F345/F346</f>
        <v>0.337779186535928</v>
      </c>
      <c r="G353" s="20" t="n">
        <f aca="false">G345/G346</f>
        <v>0.346913939118552</v>
      </c>
    </row>
    <row r="354" customFormat="false" ht="17.15" hidden="false" customHeight="false" outlineLevel="0" collapsed="false">
      <c r="A354" s="4" t="s">
        <v>613</v>
      </c>
      <c r="B354" s="4" t="s">
        <v>335</v>
      </c>
      <c r="D354" s="21" t="n">
        <f aca="false">D329/fx/(odm_gb*(1-vr26)+odm_vr*vr26)</f>
        <v>12.0597330420658</v>
      </c>
      <c r="E354" s="21" t="n">
        <f aca="false">E329/fx/odm_vr</f>
        <v>14.7674893195132</v>
      </c>
      <c r="F354" s="21" t="n">
        <f aca="false">F329/fx/odm_vr</f>
        <v>17.7835410591556</v>
      </c>
      <c r="G354" s="21" t="n">
        <f aca="false">G329/fx/odm_vr</f>
        <v>19.1920403465763</v>
      </c>
      <c r="K354" s="4" t="s">
        <v>614</v>
      </c>
    </row>
    <row r="355" customFormat="false" ht="17.15" hidden="false" customHeight="false" outlineLevel="0" collapsed="false">
      <c r="A355" s="6" t="s">
        <v>615</v>
      </c>
    </row>
    <row r="356" customFormat="false" ht="17.15" hidden="false" customHeight="false" outlineLevel="0" collapsed="false">
      <c r="A356" s="4" t="s">
        <v>616</v>
      </c>
      <c r="B356" s="0" t="s">
        <v>52</v>
      </c>
      <c r="D356" s="14" t="n">
        <f aca="false">(a26_sgp-d_ai*D331-d_brd*D336-d_gen*D338)/D340</f>
        <v>0.0436423860147897</v>
      </c>
      <c r="K356" s="8" t="s">
        <v>617</v>
      </c>
    </row>
    <row r="357" customFormat="false" ht="17.15" hidden="false" customHeight="false" outlineLevel="0" collapsed="false">
      <c r="A357" s="4" t="s">
        <v>618</v>
      </c>
      <c r="B357" s="0" t="s">
        <v>151</v>
      </c>
      <c r="D357" s="25" t="n">
        <f aca="false">($D$356+d_ai)*D329*(1-D330*(1-keep))</f>
        <v>59.7866331026896</v>
      </c>
      <c r="E357" s="25" t="n">
        <f aca="false">($D$356+d_ai+vrd)*E329*(1-E330*(1-keep))</f>
        <v>99.9228552931037</v>
      </c>
      <c r="F357" s="25" t="n">
        <f aca="false">($D$356+d_ai+vrd)*F329*(1-F330*(1-keep))</f>
        <v>119.115229856888</v>
      </c>
      <c r="G357" s="25" t="n">
        <f aca="false">($D$356+d_ai+vrd)*G329*(1-G330*(1-keep))</f>
        <v>127.89357847157</v>
      </c>
    </row>
    <row r="358" customFormat="false" ht="15" hidden="false" customHeight="false" outlineLevel="0" collapsed="false">
      <c r="A358" s="4" t="s">
        <v>619</v>
      </c>
      <c r="B358" s="0" t="s">
        <v>151</v>
      </c>
      <c r="C358" s="21" t="n">
        <f aca="false">a25_sgp</f>
        <v>55.529</v>
      </c>
      <c r="D358" s="21" t="n">
        <f aca="false">a26_sgp</f>
        <v>103.50638581015</v>
      </c>
      <c r="E358" s="21" t="n">
        <f aca="false">$D$356*E339+($D$356+d_brd)*E336+($D$356+d_gen)*E338+E357</f>
        <v>148.991928263534</v>
      </c>
      <c r="F358" s="21" t="n">
        <f aca="false">$D$356*F339+($D$356+d_brd)*F336+($D$356+d_gen)*F338+F357</f>
        <v>169.462997795485</v>
      </c>
      <c r="G358" s="21" t="n">
        <f aca="false">$D$356*G339+($D$356+d_brd)*G336+($D$356+d_gen)*G338+G357</f>
        <v>179.967696240984</v>
      </c>
    </row>
    <row r="359" customFormat="false" ht="15" hidden="false" customHeight="false" outlineLevel="0" collapsed="false">
      <c r="A359" s="4" t="s">
        <v>620</v>
      </c>
      <c r="B359" s="0" t="s">
        <v>52</v>
      </c>
      <c r="C359" s="14" t="n">
        <f aca="false">C358/C340</f>
        <v>0.0449314647290146</v>
      </c>
      <c r="D359" s="14" t="n">
        <f aca="false">D358/D340</f>
        <v>0.0390336040479778</v>
      </c>
      <c r="E359" s="14" t="n">
        <f aca="false">E358/E340</f>
        <v>0.0390374461057547</v>
      </c>
      <c r="F359" s="14" t="n">
        <f aca="false">F358/F340</f>
        <v>0.0419476655483156</v>
      </c>
      <c r="G359" s="14" t="n">
        <f aca="false">G358/G340</f>
        <v>0.0438662013639053</v>
      </c>
    </row>
    <row r="360" customFormat="false" ht="15" hidden="false" customHeight="false" outlineLevel="0" collapsed="false">
      <c r="A360" s="4" t="s">
        <v>621</v>
      </c>
      <c r="B360" s="0" t="s">
        <v>52</v>
      </c>
      <c r="E360" s="20" t="n">
        <f aca="false">MAX(0,phi*(E340/D340-1))</f>
        <v>0.13179151703879</v>
      </c>
      <c r="F360" s="20" t="n">
        <f aca="false">MAX(0,phi*(F340/E340-1))</f>
        <v>0.0175462582202121</v>
      </c>
      <c r="G360" s="20" t="n">
        <f aca="false">MAX(0,phi*(G340/F340-1))</f>
        <v>0.00466228571388885</v>
      </c>
    </row>
    <row r="361" customFormat="false" ht="15" hidden="false" customHeight="false" outlineLevel="0" collapsed="false">
      <c r="A361" s="4" t="s">
        <v>622</v>
      </c>
      <c r="B361" s="0" t="s">
        <v>151</v>
      </c>
      <c r="C361" s="21" t="n">
        <f aca="false">a25_sopx</f>
        <v>40.894</v>
      </c>
      <c r="D361" s="21" t="n">
        <f aca="false">a26_sopx</f>
        <v>46.9914095398923</v>
      </c>
      <c r="E361" s="21" t="n">
        <f aca="false">D361*(1+E360)+0*E340</f>
        <v>53.1844786909457</v>
      </c>
      <c r="F361" s="21" t="n">
        <f aca="false">E361*(1+F360)+0*F340</f>
        <v>54.1176672873644</v>
      </c>
      <c r="G361" s="21" t="n">
        <f aca="false">F361*(1+G360)+0*G340</f>
        <v>54.3699793144273</v>
      </c>
    </row>
    <row r="362" customFormat="false" ht="15" hidden="false" customHeight="false" outlineLevel="0" collapsed="false">
      <c r="A362" s="4" t="s">
        <v>623</v>
      </c>
      <c r="B362" s="0" t="s">
        <v>151</v>
      </c>
      <c r="C362" s="21" t="n">
        <f aca="false">C358-C361</f>
        <v>14.635</v>
      </c>
      <c r="D362" s="21" t="n">
        <f aca="false">D358-D361</f>
        <v>56.514976270258</v>
      </c>
      <c r="E362" s="21" t="n">
        <f aca="false">E358-E361</f>
        <v>95.8074495725885</v>
      </c>
      <c r="F362" s="21" t="n">
        <f aca="false">F358-F361</f>
        <v>115.345330508121</v>
      </c>
      <c r="G362" s="21" t="n">
        <f aca="false">G358-G361</f>
        <v>125.597716926557</v>
      </c>
    </row>
    <row r="363" customFormat="false" ht="15" hidden="false" customHeight="false" outlineLevel="0" collapsed="false">
      <c r="A363" s="4" t="s">
        <v>624</v>
      </c>
      <c r="B363" s="0" t="s">
        <v>52</v>
      </c>
      <c r="C363" s="14" t="n">
        <f aca="false">C362/C340</f>
        <v>0.011841956208632</v>
      </c>
      <c r="D363" s="14" t="n">
        <f aca="false">D362/D340</f>
        <v>0.0213125324514788</v>
      </c>
      <c r="E363" s="14" t="n">
        <f aca="false">E362/E340</f>
        <v>0.0251025555062577</v>
      </c>
      <c r="F363" s="14" t="n">
        <f aca="false">F362/F340</f>
        <v>0.0285517629786878</v>
      </c>
      <c r="G363" s="14" t="n">
        <f aca="false">G362/G340</f>
        <v>0.0306137982350437</v>
      </c>
    </row>
    <row r="364" customFormat="false" ht="15" hidden="false" customHeight="false" outlineLevel="0" collapsed="false">
      <c r="A364" s="4" t="s">
        <v>625</v>
      </c>
      <c r="B364" s="0" t="s">
        <v>151</v>
      </c>
      <c r="C364" s="21" t="n">
        <f aca="false">a25_sni</f>
        <v>6.9608</v>
      </c>
      <c r="D364" s="21" t="n">
        <f aca="false">a26_sni</f>
        <v>31.133746704</v>
      </c>
      <c r="E364" s="21" t="n">
        <f aca="false">E362*snio</f>
        <v>53.6521717606496</v>
      </c>
      <c r="F364" s="21" t="n">
        <f aca="false">F362*snio</f>
        <v>64.5933850845478</v>
      </c>
      <c r="G364" s="21" t="n">
        <f aca="false">G362*snio</f>
        <v>70.334721478872</v>
      </c>
    </row>
    <row r="365" customFormat="false" ht="17.15" hidden="false" customHeight="false" outlineLevel="0" collapsed="false">
      <c r="A365" s="6" t="s">
        <v>626</v>
      </c>
    </row>
    <row r="366" customFormat="false" ht="15" hidden="false" customHeight="false" outlineLevel="0" collapsed="false">
      <c r="A366" s="4" t="s">
        <v>462</v>
      </c>
      <c r="B366" s="0" t="s">
        <v>151</v>
      </c>
      <c r="C366" s="21" t="n">
        <f aca="false">a25_wgp</f>
        <v>78.454</v>
      </c>
      <c r="D366" s="21" t="n">
        <f aca="false">a26_wgp</f>
        <v>125.0519932</v>
      </c>
      <c r="E366" s="21" t="n">
        <f aca="false">E345*wgm</f>
        <v>160.273099269059</v>
      </c>
      <c r="F366" s="21" t="n">
        <f aca="false">F345*wgm</f>
        <v>175.152392062672</v>
      </c>
      <c r="G366" s="21" t="n">
        <f aca="false">G345*wgm</f>
        <v>185.240007931819</v>
      </c>
    </row>
    <row r="367" customFormat="false" ht="15" hidden="false" customHeight="false" outlineLevel="0" collapsed="false">
      <c r="A367" s="4" t="s">
        <v>464</v>
      </c>
      <c r="B367" s="0" t="s">
        <v>151</v>
      </c>
      <c r="C367" s="21" t="n">
        <f aca="false">a25_woi</f>
        <v>63.918</v>
      </c>
      <c r="D367" s="21" t="n">
        <f aca="false">a26_woi</f>
        <v>98.2471632</v>
      </c>
      <c r="E367" s="21" t="n">
        <f aca="false">E345*wopm</f>
        <v>122.561781793986</v>
      </c>
      <c r="F367" s="21" t="n">
        <f aca="false">F345*wopm</f>
        <v>133.940064518514</v>
      </c>
      <c r="G367" s="21" t="n">
        <f aca="false">G345*wopm</f>
        <v>141.654123712567</v>
      </c>
    </row>
    <row r="368" customFormat="false" ht="15" hidden="false" customHeight="false" outlineLevel="0" collapsed="false">
      <c r="A368" s="4" t="s">
        <v>472</v>
      </c>
      <c r="B368" s="0" t="s">
        <v>151</v>
      </c>
      <c r="C368" s="21" t="n">
        <f aca="false">a25_wni</f>
        <v>51.118</v>
      </c>
      <c r="D368" s="21" t="n">
        <f aca="false">a26_wni</f>
        <v>75.735026884</v>
      </c>
      <c r="E368" s="21" t="n">
        <f aca="false">E367*wnio</f>
        <v>95.5981897993091</v>
      </c>
      <c r="F368" s="21" t="n">
        <f aca="false">F367*wnio</f>
        <v>104.473250324441</v>
      </c>
      <c r="G368" s="21" t="n">
        <f aca="false">G367*wnio</f>
        <v>110.490216495802</v>
      </c>
    </row>
    <row r="369" customFormat="false" ht="15" hidden="false" customHeight="false" outlineLevel="0" collapsed="false">
      <c r="A369" s="4" t="s">
        <v>474</v>
      </c>
      <c r="B369" s="0" t="s">
        <v>52</v>
      </c>
      <c r="C369" s="14" t="n">
        <f aca="false">stake25</f>
        <v>0.4</v>
      </c>
      <c r="D369" s="14" t="n">
        <f aca="false">stake</f>
        <v>0.3768</v>
      </c>
      <c r="E369" s="14" t="n">
        <f aca="false">stake</f>
        <v>0.3768</v>
      </c>
      <c r="F369" s="14" t="n">
        <f aca="false">stake</f>
        <v>0.3768</v>
      </c>
      <c r="G369" s="14" t="n">
        <f aca="false">stake</f>
        <v>0.3768</v>
      </c>
    </row>
    <row r="370" customFormat="false" ht="17.15" hidden="false" customHeight="false" outlineLevel="0" collapsed="false">
      <c r="A370" s="6" t="s">
        <v>627</v>
      </c>
    </row>
    <row r="371" customFormat="false" ht="15" hidden="false" customHeight="false" outlineLevel="0" collapsed="false">
      <c r="A371" s="4" t="s">
        <v>448</v>
      </c>
      <c r="B371" s="0" t="s">
        <v>151</v>
      </c>
      <c r="C371" s="21" t="n">
        <f aca="false">C358+C366</f>
        <v>133.983</v>
      </c>
      <c r="D371" s="21" t="n">
        <f aca="false">D358+D366</f>
        <v>228.55837901015</v>
      </c>
      <c r="E371" s="21" t="n">
        <f aca="false">E358+E366</f>
        <v>309.265027532593</v>
      </c>
      <c r="F371" s="21" t="n">
        <f aca="false">F358+F366</f>
        <v>344.615389858158</v>
      </c>
      <c r="G371" s="21" t="n">
        <f aca="false">G358+G366</f>
        <v>365.207704172803</v>
      </c>
    </row>
    <row r="372" customFormat="false" ht="15" hidden="false" customHeight="false" outlineLevel="0" collapsed="false">
      <c r="A372" s="4" t="s">
        <v>451</v>
      </c>
      <c r="B372" s="0" t="s">
        <v>52</v>
      </c>
      <c r="C372" s="14" t="n">
        <f aca="false">C371/C346</f>
        <v>0.0612767393711386</v>
      </c>
      <c r="D372" s="14" t="n">
        <f aca="false">D371/D346</f>
        <v>0.055781973714825</v>
      </c>
      <c r="E372" s="14" t="n">
        <f aca="false">E371/E346</f>
        <v>0.0542360211066973</v>
      </c>
      <c r="F372" s="14" t="n">
        <f aca="false">F371/F346</f>
        <v>0.0564898480578783</v>
      </c>
      <c r="G372" s="14" t="n">
        <f aca="false">G371/G346</f>
        <v>0.0581360894796622</v>
      </c>
    </row>
    <row r="373" customFormat="false" ht="15" hidden="false" customHeight="false" outlineLevel="0" collapsed="false">
      <c r="A373" s="4" t="s">
        <v>452</v>
      </c>
      <c r="B373" s="0" t="s">
        <v>151</v>
      </c>
      <c r="C373" s="21" t="n">
        <f aca="false">C362+C367</f>
        <v>78.553</v>
      </c>
      <c r="D373" s="21" t="n">
        <f aca="false">D362+D367</f>
        <v>154.762139470258</v>
      </c>
      <c r="E373" s="21" t="n">
        <f aca="false">E362+E367</f>
        <v>218.369231366575</v>
      </c>
      <c r="F373" s="21" t="n">
        <f aca="false">F362+F367</f>
        <v>249.285395026635</v>
      </c>
      <c r="G373" s="21" t="n">
        <f aca="false">G362+G367</f>
        <v>267.251840639124</v>
      </c>
    </row>
    <row r="374" customFormat="false" ht="15" hidden="false" customHeight="false" outlineLevel="0" collapsed="false">
      <c r="A374" s="4" t="s">
        <v>455</v>
      </c>
      <c r="B374" s="0" t="s">
        <v>52</v>
      </c>
      <c r="C374" s="14" t="n">
        <f aca="false">C373/C346</f>
        <v>0.0359259884300325</v>
      </c>
      <c r="D374" s="14" t="n">
        <f aca="false">D373/D346</f>
        <v>0.0377712584126992</v>
      </c>
      <c r="E374" s="14" t="n">
        <f aca="false">E373/E346</f>
        <v>0.0382955626633297</v>
      </c>
      <c r="F374" s="14" t="n">
        <f aca="false">F373/F346</f>
        <v>0.0408632188304153</v>
      </c>
      <c r="G374" s="14" t="n">
        <f aca="false">G373/G346</f>
        <v>0.04254285094065</v>
      </c>
    </row>
    <row r="375" customFormat="false" ht="15" hidden="false" customHeight="false" outlineLevel="0" collapsed="false">
      <c r="A375" s="4" t="s">
        <v>485</v>
      </c>
      <c r="B375" s="0" t="s">
        <v>151</v>
      </c>
      <c r="C375" s="21" t="n">
        <f aca="false">C364+C368</f>
        <v>58.0788</v>
      </c>
      <c r="D375" s="21" t="n">
        <f aca="false">D364+D368</f>
        <v>106.868773588</v>
      </c>
      <c r="E375" s="21" t="n">
        <f aca="false">E364+E368</f>
        <v>149.250361559959</v>
      </c>
      <c r="F375" s="21" t="n">
        <f aca="false">F364+F368</f>
        <v>169.066635408989</v>
      </c>
      <c r="G375" s="21" t="n">
        <f aca="false">G364+G368</f>
        <v>180.824937974674</v>
      </c>
    </row>
    <row r="376" customFormat="false" ht="17.15" hidden="false" customHeight="false" outlineLevel="0" collapsed="false">
      <c r="A376" s="4" t="s">
        <v>628</v>
      </c>
      <c r="B376" s="0" t="s">
        <v>151</v>
      </c>
      <c r="C376" s="21" t="n">
        <f aca="false">(1-C369)*C368</f>
        <v>30.6708</v>
      </c>
      <c r="D376" s="21" t="n">
        <f aca="false">(1-D369)*D368</f>
        <v>47.1980687541088</v>
      </c>
      <c r="E376" s="21" t="n">
        <f aca="false">(1-E369)*E368</f>
        <v>59.5767918829294</v>
      </c>
      <c r="F376" s="21" t="n">
        <f aca="false">(1-F369)*F368</f>
        <v>65.1077296021915</v>
      </c>
      <c r="G376" s="21" t="n">
        <f aca="false">(1-G369)*G368</f>
        <v>68.857502920184</v>
      </c>
    </row>
    <row r="377" customFormat="false" ht="15" hidden="false" customHeight="false" outlineLevel="0" collapsed="false">
      <c r="A377" s="4" t="s">
        <v>481</v>
      </c>
      <c r="B377" s="0" t="s">
        <v>151</v>
      </c>
      <c r="C377" s="21" t="n">
        <f aca="false">C375-C376</f>
        <v>27.408</v>
      </c>
      <c r="D377" s="21" t="n">
        <f aca="false">D375-D376</f>
        <v>59.6707048338912</v>
      </c>
      <c r="E377" s="21" t="n">
        <f aca="false">E375-E376</f>
        <v>89.6735696770293</v>
      </c>
      <c r="F377" s="21" t="n">
        <f aca="false">F375-F376</f>
        <v>103.958905806797</v>
      </c>
      <c r="G377" s="21" t="n">
        <f aca="false">G375-G376</f>
        <v>111.96743505449</v>
      </c>
      <c r="H377" s="26" t="n">
        <f aca="false">H346*H382</f>
        <v>116.613294602279</v>
      </c>
      <c r="I377" s="26" t="n">
        <f aca="false">I346*I382</f>
        <v>122.629522729368</v>
      </c>
      <c r="J377" s="26" t="n">
        <f aca="false">J346*J382</f>
        <v>130.194482390021</v>
      </c>
    </row>
    <row r="378" customFormat="false" ht="17.15" hidden="false" customHeight="false" outlineLevel="0" collapsed="false">
      <c r="A378" s="4" t="s">
        <v>629</v>
      </c>
      <c r="B378" s="0" t="s">
        <v>52</v>
      </c>
      <c r="C378" s="20" t="n">
        <f aca="false">C369*C368/C377</f>
        <v>0.746030356100409</v>
      </c>
      <c r="D378" s="20" t="n">
        <f aca="false">D369*D368/D377</f>
        <v>0.478240674537551</v>
      </c>
      <c r="E378" s="20" t="n">
        <f aca="false">E369*E368/E377</f>
        <v>0.40169470275484</v>
      </c>
      <c r="F378" s="20" t="n">
        <f aca="false">F369*F368/F377</f>
        <v>0.378664246384128</v>
      </c>
      <c r="G378" s="20" t="n">
        <f aca="false">G369*G368/G377</f>
        <v>0.371828769278829</v>
      </c>
    </row>
    <row r="379" customFormat="false" ht="17.15" hidden="false" customHeight="false" outlineLevel="0" collapsed="false">
      <c r="A379" s="4" t="s">
        <v>630</v>
      </c>
      <c r="B379" s="4" t="s">
        <v>286</v>
      </c>
      <c r="C379" s="31" t="n">
        <f aca="false">a25_sh</f>
        <v>3.03185840707965</v>
      </c>
      <c r="D379" s="31" t="n">
        <f aca="false">a26_sh</f>
        <v>3.23861720409076</v>
      </c>
      <c r="E379" s="31" t="n">
        <f aca="false">q_sh4*(1+sh_g)</f>
        <v>3.43</v>
      </c>
      <c r="F379" s="31" t="n">
        <f aca="false">E379*(1+sh_g)</f>
        <v>3.43</v>
      </c>
      <c r="G379" s="31" t="n">
        <f aca="false">F379*(1+sh_g)</f>
        <v>3.43</v>
      </c>
      <c r="H379" s="32" t="n">
        <f aca="false">G379*(1+sh_g)</f>
        <v>3.43</v>
      </c>
      <c r="I379" s="32" t="n">
        <f aca="false">H379*(1+sh_g)</f>
        <v>3.43</v>
      </c>
      <c r="J379" s="32" t="n">
        <f aca="false">I379*(1+sh_g)</f>
        <v>3.43</v>
      </c>
      <c r="K379" s="8" t="s">
        <v>631</v>
      </c>
    </row>
    <row r="380" customFormat="false" ht="15" hidden="false" customHeight="false" outlineLevel="0" collapsed="false">
      <c r="A380" s="0" t="s">
        <v>488</v>
      </c>
      <c r="B380" s="0" t="s">
        <v>316</v>
      </c>
      <c r="C380" s="18" t="n">
        <f aca="false">C377/C379</f>
        <v>9.04</v>
      </c>
      <c r="D380" s="18" t="n">
        <f aca="false">D377/D379</f>
        <v>18.4247476850676</v>
      </c>
      <c r="E380" s="18" t="n">
        <f aca="false">E377/E379</f>
        <v>26.1438978650231</v>
      </c>
      <c r="F380" s="18" t="n">
        <f aca="false">F377/F379</f>
        <v>30.3087188941099</v>
      </c>
      <c r="G380" s="18" t="n">
        <f aca="false">G377/G379</f>
        <v>32.64356707128</v>
      </c>
      <c r="H380" s="29" t="n">
        <f aca="false">H377/H379</f>
        <v>33.9980450735508</v>
      </c>
      <c r="I380" s="29" t="n">
        <f aca="false">I377/I379</f>
        <v>35.7520474429644</v>
      </c>
      <c r="J380" s="29" t="n">
        <f aca="false">J377/J379</f>
        <v>37.9575750408223</v>
      </c>
    </row>
    <row r="381" customFormat="false" ht="17.15" hidden="false" customHeight="false" outlineLevel="0" collapsed="false">
      <c r="A381" s="0" t="s">
        <v>632</v>
      </c>
      <c r="B381" s="0" t="s">
        <v>52</v>
      </c>
      <c r="D381" s="20" t="n">
        <f aca="false">D380/C380-1</f>
        <v>1.03813580587031</v>
      </c>
      <c r="E381" s="20" t="n">
        <f aca="false">E380/D380-1</f>
        <v>0.418955543484134</v>
      </c>
      <c r="F381" s="20" t="n">
        <f aca="false">F380/E380-1</f>
        <v>0.159303752278607</v>
      </c>
      <c r="G381" s="20" t="n">
        <f aca="false">G380/F380-1</f>
        <v>0.0770355284671489</v>
      </c>
      <c r="H381" s="27" t="n">
        <f aca="false">H380/G380-1</f>
        <v>0.0414929532459853</v>
      </c>
      <c r="I381" s="27" t="n">
        <f aca="false">I380/H380-1</f>
        <v>0.0515912713692517</v>
      </c>
      <c r="J381" s="27" t="n">
        <f aca="false">J380/I380-1</f>
        <v>0.0616895466302023</v>
      </c>
    </row>
    <row r="382" customFormat="false" ht="17.15" hidden="false" customHeight="false" outlineLevel="0" collapsed="false">
      <c r="A382" s="4" t="s">
        <v>633</v>
      </c>
      <c r="B382" s="0" t="s">
        <v>52</v>
      </c>
      <c r="C382" s="14" t="n">
        <f aca="false">C377/C346</f>
        <v>0.0125349699042727</v>
      </c>
      <c r="D382" s="14" t="n">
        <f aca="false">D377/D346</f>
        <v>0.0145632363293992</v>
      </c>
      <c r="E382" s="14" t="n">
        <f aca="false">E377/E346</f>
        <v>0.0157261157413076</v>
      </c>
      <c r="F382" s="14" t="n">
        <f aca="false">F377/F346</f>
        <v>0.0170410926677024</v>
      </c>
      <c r="G382" s="14" t="n">
        <f aca="false">G377/G346</f>
        <v>0.0178236897764241</v>
      </c>
      <c r="H382" s="28" t="n">
        <f aca="false">$G382+(fade_mA-$G382)*1/3</f>
        <v>0.0178521900216942</v>
      </c>
      <c r="I382" s="28" t="n">
        <f aca="false">$G382+(fade_mA-$G382)*2/3</f>
        <v>0.0178806902669642</v>
      </c>
      <c r="J382" s="28" t="n">
        <f aca="false">$G382+(fade_mA-$G382)*3/3</f>
        <v>0.0179091905122343</v>
      </c>
    </row>
    <row r="385" customFormat="false" ht="17.15" hidden="false" customHeight="false" outlineLevel="0" collapsed="false">
      <c r="A385" s="1" t="s">
        <v>952</v>
      </c>
    </row>
    <row r="386" customFormat="false" ht="17.15" hidden="false" customHeight="false" outlineLevel="0" collapsed="false">
      <c r="A386" s="5" t="s">
        <v>21</v>
      </c>
      <c r="B386" s="5" t="s">
        <v>22</v>
      </c>
      <c r="C386" s="15" t="s">
        <v>438</v>
      </c>
      <c r="D386" s="15" t="s">
        <v>552</v>
      </c>
      <c r="E386" s="15" t="s">
        <v>553</v>
      </c>
      <c r="F386" s="15" t="s">
        <v>554</v>
      </c>
      <c r="G386" s="15" t="s">
        <v>555</v>
      </c>
      <c r="H386" s="15" t="s">
        <v>556</v>
      </c>
      <c r="I386" s="15" t="s">
        <v>557</v>
      </c>
      <c r="J386" s="15" t="s">
        <v>558</v>
      </c>
      <c r="K386" s="5" t="s">
        <v>420</v>
      </c>
    </row>
    <row r="387" customFormat="false" ht="17.15" hidden="false" customHeight="false" outlineLevel="0" collapsed="false">
      <c r="A387" s="6" t="s">
        <v>573</v>
      </c>
    </row>
    <row r="388" customFormat="false" ht="17.15" hidden="false" customHeight="false" outlineLevel="0" collapsed="false">
      <c r="A388" s="0" t="s">
        <v>574</v>
      </c>
      <c r="B388" s="0" t="s">
        <v>32</v>
      </c>
      <c r="D388" s="21" t="n">
        <f aca="false">itc_26*1</f>
        <v>781.872916666666</v>
      </c>
      <c r="E388" s="21" t="n">
        <f aca="false">itc_27*1*1</f>
        <v>1565.35</v>
      </c>
      <c r="F388" s="21" t="n">
        <f aca="false">itc_28*um28_A*1</f>
        <v>1984.26388888889</v>
      </c>
      <c r="G388" s="21" t="n">
        <f aca="false">itc_29*um29_A*1</f>
        <v>2260.39027777778</v>
      </c>
    </row>
    <row r="389" customFormat="false" ht="17.15" hidden="false" customHeight="false" outlineLevel="0" collapsed="false">
      <c r="A389" s="4" t="s">
        <v>575</v>
      </c>
      <c r="B389" s="0" t="s">
        <v>32</v>
      </c>
      <c r="D389" s="21" t="n">
        <f aca="false">itpg_gb*(1-vr26)+itpg_vr*vr26</f>
        <v>33.41403216</v>
      </c>
      <c r="E389" s="21" t="n">
        <f aca="false">itpg_vr</f>
        <v>37.586352</v>
      </c>
      <c r="F389" s="21" t="n">
        <f aca="false">itpg_vr</f>
        <v>37.586352</v>
      </c>
      <c r="G389" s="21" t="n">
        <f aca="false">itpg_vr</f>
        <v>37.586352</v>
      </c>
    </row>
    <row r="390" customFormat="false" ht="17.15" hidden="false" customHeight="false" outlineLevel="0" collapsed="false">
      <c r="A390" s="4" t="s">
        <v>576</v>
      </c>
      <c r="B390" s="0" t="s">
        <v>521</v>
      </c>
      <c r="D390" s="22" t="n">
        <f aca="false">D388/D389</f>
        <v>23.3995380420639</v>
      </c>
      <c r="E390" s="22" t="n">
        <f aca="false">E388/E389</f>
        <v>41.6467658260637</v>
      </c>
      <c r="F390" s="22" t="n">
        <f aca="false">F388/F389</f>
        <v>52.792138191248</v>
      </c>
      <c r="G390" s="22" t="n">
        <f aca="false">G388/G389</f>
        <v>60.1385917361116</v>
      </c>
    </row>
    <row r="391" customFormat="false" ht="17.15" hidden="false" customHeight="false" outlineLevel="0" collapsed="false">
      <c r="A391" s="4" t="s">
        <v>577</v>
      </c>
      <c r="B391" s="0" t="s">
        <v>578</v>
      </c>
      <c r="D391" s="18" t="n">
        <f aca="false">(racks_gb*odm_gb*(1-vr26)+racks_vr*odm_vr*vr26)/1000</f>
        <v>27.1209</v>
      </c>
      <c r="E391" s="18" t="n">
        <f aca="false">racks_vr*odm_vr/1000</f>
        <v>27.351</v>
      </c>
      <c r="F391" s="18" t="n">
        <f aca="false">$E391*vpg_28</f>
        <v>27.351</v>
      </c>
      <c r="G391" s="18" t="n">
        <f aca="false">$E391*vpg_29</f>
        <v>27.351</v>
      </c>
      <c r="K391" s="4" t="s">
        <v>579</v>
      </c>
    </row>
    <row r="392" customFormat="false" ht="17.15" hidden="false" customHeight="false" outlineLevel="0" collapsed="false">
      <c r="A392" s="0" t="s">
        <v>580</v>
      </c>
      <c r="B392" s="0" t="s">
        <v>32</v>
      </c>
      <c r="D392" s="21" t="n">
        <f aca="false">D390*D391</f>
        <v>634.61653128501</v>
      </c>
      <c r="E392" s="21" t="n">
        <f aca="false">E390*E391</f>
        <v>1139.08069210867</v>
      </c>
      <c r="F392" s="21" t="n">
        <f aca="false">F390*F391</f>
        <v>1443.91777166882</v>
      </c>
      <c r="G392" s="21" t="n">
        <f aca="false">G390*G391</f>
        <v>1644.85062257439</v>
      </c>
    </row>
    <row r="393" customFormat="false" ht="17.15" hidden="false" customHeight="false" outlineLevel="0" collapsed="false">
      <c r="A393" s="0" t="s">
        <v>581</v>
      </c>
      <c r="B393" s="0" t="s">
        <v>151</v>
      </c>
      <c r="D393" s="21" t="n">
        <f aca="false">D392*fx</f>
        <v>20307.7290011203</v>
      </c>
      <c r="E393" s="21" t="n">
        <f aca="false">E392*fx</f>
        <v>36450.5821474774</v>
      </c>
      <c r="F393" s="21" t="n">
        <f aca="false">F392*fx</f>
        <v>46205.3686934024</v>
      </c>
      <c r="G393" s="21" t="n">
        <f aca="false">G392*fx</f>
        <v>52635.2199223804</v>
      </c>
    </row>
    <row r="394" customFormat="false" ht="17.15" hidden="false" customHeight="false" outlineLevel="0" collapsed="false">
      <c r="A394" s="6" t="s">
        <v>582</v>
      </c>
    </row>
    <row r="395" customFormat="false" ht="17.15" hidden="false" customHeight="false" outlineLevel="0" collapsed="false">
      <c r="A395" s="4" t="s">
        <v>583</v>
      </c>
      <c r="B395" s="0" t="s">
        <v>52</v>
      </c>
      <c r="D395" s="20" t="n">
        <f aca="false">a26_ais/D393</f>
        <v>0.0875096501918447</v>
      </c>
      <c r="K395" s="8" t="s">
        <v>584</v>
      </c>
    </row>
    <row r="396" customFormat="false" ht="17.15" hidden="false" customHeight="false" outlineLevel="0" collapsed="false">
      <c r="A396" s="4" t="s">
        <v>585</v>
      </c>
      <c r="B396" s="0" t="s">
        <v>64</v>
      </c>
      <c r="D396" s="18" t="n">
        <f aca="false">1</f>
        <v>1</v>
      </c>
      <c r="E396" s="18" t="n">
        <f aca="false">rel_27</f>
        <v>1</v>
      </c>
      <c r="F396" s="18" t="n">
        <f aca="false">rel_28</f>
        <v>0.95</v>
      </c>
      <c r="G396" s="18" t="n">
        <f aca="false">rel_29</f>
        <v>0.9</v>
      </c>
    </row>
    <row r="397" customFormat="false" ht="17.15" hidden="false" customHeight="false" outlineLevel="0" collapsed="false">
      <c r="A397" s="4" t="s">
        <v>586</v>
      </c>
      <c r="B397" s="0" t="s">
        <v>52</v>
      </c>
      <c r="D397" s="20" t="n">
        <f aca="false">$D$395*D396</f>
        <v>0.0875096501918447</v>
      </c>
      <c r="E397" s="20" t="n">
        <f aca="false">$D$395*E396</f>
        <v>0.0875096501918447</v>
      </c>
      <c r="F397" s="20" t="n">
        <f aca="false">$D$395*F396</f>
        <v>0.0831341676822525</v>
      </c>
      <c r="G397" s="20" t="n">
        <f aca="false">$D$395*G396</f>
        <v>0.0787586851726602</v>
      </c>
    </row>
    <row r="398" customFormat="false" ht="17.15" hidden="false" customHeight="false" outlineLevel="0" collapsed="false">
      <c r="A398" s="4" t="s">
        <v>587</v>
      </c>
      <c r="B398" s="0" t="s">
        <v>151</v>
      </c>
      <c r="D398" s="21" t="n">
        <f aca="false">D393*D397</f>
        <v>1777.12226107882</v>
      </c>
      <c r="E398" s="21" t="n">
        <f aca="false">E393*E397</f>
        <v>3189.77769301484</v>
      </c>
      <c r="F398" s="21" t="n">
        <f aca="false">F393*F397</f>
        <v>3841.24486877761</v>
      </c>
      <c r="G398" s="21" t="n">
        <f aca="false">G393*G397</f>
        <v>4145.48071486049</v>
      </c>
    </row>
    <row r="399" customFormat="false" ht="17.15" hidden="false" customHeight="false" outlineLevel="0" collapsed="false">
      <c r="A399" s="4" t="s">
        <v>588</v>
      </c>
      <c r="B399" s="0" t="s">
        <v>52</v>
      </c>
      <c r="D399" s="20" t="n">
        <f aca="false">0</f>
        <v>0</v>
      </c>
      <c r="E399" s="20" t="n">
        <f aca="false">cs_27</f>
        <v>0.1</v>
      </c>
      <c r="F399" s="20" t="n">
        <f aca="false">cs_28</f>
        <v>0.2</v>
      </c>
      <c r="G399" s="20" t="n">
        <f aca="false">cs_29</f>
        <v>0.25</v>
      </c>
      <c r="K399" s="8" t="s">
        <v>589</v>
      </c>
    </row>
    <row r="400" customFormat="false" ht="17.15" hidden="false" customHeight="false" outlineLevel="0" collapsed="false">
      <c r="A400" s="4" t="s">
        <v>590</v>
      </c>
      <c r="B400" s="0" t="s">
        <v>151</v>
      </c>
      <c r="D400" s="21" t="n">
        <f aca="false">D398*(1-D399)</f>
        <v>1777.12226107882</v>
      </c>
      <c r="E400" s="21" t="n">
        <f aca="false">E398*(1-E399)</f>
        <v>2870.79992371336</v>
      </c>
      <c r="F400" s="21" t="n">
        <f aca="false">F398*(1-F399)</f>
        <v>3072.99589502209</v>
      </c>
      <c r="G400" s="21" t="n">
        <f aca="false">G398*(1-G399)</f>
        <v>3109.11053614537</v>
      </c>
    </row>
    <row r="401" customFormat="false" ht="17.15" hidden="false" customHeight="false" outlineLevel="0" collapsed="false">
      <c r="A401" s="6" t="s">
        <v>591</v>
      </c>
    </row>
    <row r="402" customFormat="false" ht="17.15" hidden="false" customHeight="false" outlineLevel="0" collapsed="false">
      <c r="A402" s="0" t="s">
        <v>592</v>
      </c>
      <c r="B402" s="4" t="s">
        <v>85</v>
      </c>
      <c r="D402" s="18" t="n">
        <f aca="false">gu_26*1</f>
        <v>8.35</v>
      </c>
      <c r="E402" s="18" t="n">
        <f aca="false">gu_27*1*1</f>
        <v>11.2</v>
      </c>
      <c r="F402" s="18" t="n">
        <f aca="false">gu_28*um28_A*1</f>
        <v>11.5</v>
      </c>
      <c r="G402" s="18" t="n">
        <f aca="false">gu_29*um29_A*1</f>
        <v>12.9</v>
      </c>
    </row>
    <row r="403" customFormat="false" ht="15" hidden="false" customHeight="false" outlineLevel="0" collapsed="false">
      <c r="A403" s="4" t="s">
        <v>593</v>
      </c>
      <c r="B403" s="0" t="s">
        <v>52</v>
      </c>
      <c r="D403" s="20" t="n">
        <f aca="false">bsh_26</f>
        <v>0.5</v>
      </c>
      <c r="E403" s="20" t="n">
        <f aca="false">bsh_26*brel_27</f>
        <v>0.5</v>
      </c>
      <c r="F403" s="20" t="n">
        <f aca="false">bsh_26*brel_28</f>
        <v>0.475</v>
      </c>
      <c r="G403" s="20" t="n">
        <f aca="false">bsh_26*brel_29</f>
        <v>0.45</v>
      </c>
    </row>
    <row r="404" customFormat="false" ht="17.15" hidden="false" customHeight="false" outlineLevel="0" collapsed="false">
      <c r="A404" s="4" t="s">
        <v>594</v>
      </c>
      <c r="B404" s="0" t="s">
        <v>543</v>
      </c>
      <c r="D404" s="24" t="n">
        <f aca="false">a26_brd/fx/D402/D403*1000</f>
        <v>823.353293413174</v>
      </c>
      <c r="E404" s="24" t="n">
        <f aca="false">$D404*bv_27</f>
        <v>946.85628742515</v>
      </c>
      <c r="F404" s="24" t="n">
        <f aca="false">$D404*bv_28</f>
        <v>988.023952095808</v>
      </c>
      <c r="G404" s="24" t="n">
        <f aca="false">$D404*bv_29</f>
        <v>988.023952095808</v>
      </c>
      <c r="K404" s="8" t="s">
        <v>595</v>
      </c>
    </row>
    <row r="405" customFormat="false" ht="17.15" hidden="false" customHeight="false" outlineLevel="0" collapsed="false">
      <c r="A405" s="0" t="s">
        <v>545</v>
      </c>
      <c r="B405" s="0" t="s">
        <v>151</v>
      </c>
      <c r="D405" s="21" t="n">
        <f aca="false">D402*D403*D404*fx/1000</f>
        <v>110</v>
      </c>
      <c r="E405" s="21" t="n">
        <f aca="false">E402*E403*E404*fx/1000</f>
        <v>169.676646706587</v>
      </c>
      <c r="F405" s="21" t="n">
        <f aca="false">F402*F403*F404*fx/1000</f>
        <v>172.706586826347</v>
      </c>
      <c r="G405" s="21" t="n">
        <f aca="false">G402*G403*G404*fx/1000</f>
        <v>183.535329341317</v>
      </c>
    </row>
    <row r="406" customFormat="false" ht="17.15" hidden="false" customHeight="false" outlineLevel="0" collapsed="false">
      <c r="A406" s="6" t="s">
        <v>596</v>
      </c>
    </row>
    <row r="407" customFormat="false" ht="15" hidden="false" customHeight="false" outlineLevel="0" collapsed="false">
      <c r="A407" s="4" t="s">
        <v>597</v>
      </c>
      <c r="B407" s="0" t="s">
        <v>151</v>
      </c>
      <c r="D407" s="21" t="n">
        <f aca="false">a26_gen</f>
        <v>150</v>
      </c>
      <c r="E407" s="21" t="n">
        <f aca="false">D407*(1+g_gen27)</f>
        <v>180</v>
      </c>
      <c r="F407" s="21" t="n">
        <f aca="false">E407*(1+g_gen28)</f>
        <v>198</v>
      </c>
      <c r="G407" s="21" t="n">
        <f aca="false">F407*(1+g_gen29)</f>
        <v>213.84</v>
      </c>
    </row>
    <row r="408" customFormat="false" ht="15" hidden="false" customHeight="false" outlineLevel="0" collapsed="false">
      <c r="A408" s="4" t="s">
        <v>598</v>
      </c>
      <c r="B408" s="0" t="s">
        <v>151</v>
      </c>
      <c r="D408" s="21" t="n">
        <f aca="false">a26_pc</f>
        <v>614.602793131557</v>
      </c>
      <c r="E408" s="21" t="n">
        <f aca="false">D408*(1+g_pc27)</f>
        <v>596.16470933761</v>
      </c>
      <c r="F408" s="21" t="n">
        <f aca="false">E408*(1+g_pc28)</f>
        <v>596.16470933761</v>
      </c>
      <c r="G408" s="21" t="n">
        <f aca="false">F408*(1+g_pc29)</f>
        <v>596.16470933761</v>
      </c>
    </row>
    <row r="409" customFormat="false" ht="15" hidden="false" customHeight="false" outlineLevel="0" collapsed="false">
      <c r="A409" s="4" t="s">
        <v>599</v>
      </c>
      <c r="B409" s="0" t="s">
        <v>151</v>
      </c>
      <c r="C409" s="21" t="n">
        <f aca="false">a25_srev</f>
        <v>1235.86</v>
      </c>
      <c r="D409" s="21" t="n">
        <f aca="false">D400+D405+D407+D408</f>
        <v>2651.72505421038</v>
      </c>
      <c r="E409" s="21" t="n">
        <f aca="false">E400+E405+E407+E408</f>
        <v>3816.64127975756</v>
      </c>
      <c r="F409" s="21" t="n">
        <f aca="false">F400+F405+F407+F408</f>
        <v>4039.86719118605</v>
      </c>
      <c r="G409" s="21" t="n">
        <f aca="false">G400+G405+G407+G408</f>
        <v>4102.6505748243</v>
      </c>
    </row>
    <row r="410" customFormat="false" ht="17.15" hidden="false" customHeight="false" outlineLevel="0" collapsed="false">
      <c r="A410" s="4" t="s">
        <v>600</v>
      </c>
      <c r="B410" s="0" t="s">
        <v>52</v>
      </c>
      <c r="D410" s="20" t="n">
        <f aca="false">a26_wai/D393</f>
        <v>0.0341693013513091</v>
      </c>
      <c r="K410" s="8" t="s">
        <v>601</v>
      </c>
    </row>
    <row r="411" customFormat="false" ht="17.15" hidden="false" customHeight="false" outlineLevel="0" collapsed="false">
      <c r="A411" s="4" t="s">
        <v>527</v>
      </c>
      <c r="B411" s="0" t="s">
        <v>52</v>
      </c>
      <c r="D411" s="20" t="n">
        <f aca="false">D410</f>
        <v>0.0341693013513091</v>
      </c>
      <c r="E411" s="20" t="n">
        <f aca="false">$D$410*wrel_27_hi</f>
        <v>0.0410031616215709</v>
      </c>
      <c r="F411" s="20" t="n">
        <f aca="false">$D$410*wrel_28_hi</f>
        <v>0.0410031616215709</v>
      </c>
      <c r="G411" s="20" t="n">
        <f aca="false">$D$410*wrel_29_hi</f>
        <v>0.0410031616215709</v>
      </c>
    </row>
    <row r="412" customFormat="false" ht="17.15" hidden="false" customHeight="false" outlineLevel="0" collapsed="false">
      <c r="A412" s="4" t="s">
        <v>547</v>
      </c>
      <c r="B412" s="0" t="s">
        <v>151</v>
      </c>
      <c r="D412" s="21" t="n">
        <f aca="false">D393*D411</f>
        <v>693.900912</v>
      </c>
      <c r="E412" s="21" t="n">
        <f aca="false">E393*E411</f>
        <v>1494.58911099336</v>
      </c>
      <c r="F412" s="21" t="n">
        <f aca="false">F393*F411</f>
        <v>1894.56620031985</v>
      </c>
      <c r="G412" s="21" t="n">
        <f aca="false">G393*G411</f>
        <v>2158.21042946429</v>
      </c>
    </row>
    <row r="413" customFormat="false" ht="17.15" hidden="false" customHeight="false" outlineLevel="0" collapsed="false">
      <c r="A413" s="4" t="s">
        <v>602</v>
      </c>
      <c r="B413" s="0" t="s">
        <v>151</v>
      </c>
      <c r="D413" s="21" t="n">
        <f aca="false">a26_wna</f>
        <v>751.725988</v>
      </c>
      <c r="E413" s="21" t="n">
        <f aca="false">D413*(1+g_wn27)</f>
        <v>826.8985868</v>
      </c>
      <c r="F413" s="21" t="n">
        <f aca="false">E413*(1+g_wn28)</f>
        <v>876.512502008</v>
      </c>
      <c r="G413" s="21" t="n">
        <f aca="false">F413*(1+g_wn29)</f>
        <v>920.3381271084</v>
      </c>
    </row>
    <row r="414" customFormat="false" ht="15" hidden="false" customHeight="false" outlineLevel="0" collapsed="false">
      <c r="A414" s="4" t="s">
        <v>458</v>
      </c>
      <c r="B414" s="0" t="s">
        <v>151</v>
      </c>
      <c r="C414" s="21" t="n">
        <f aca="false">a25_wrev</f>
        <v>950.663</v>
      </c>
      <c r="D414" s="21" t="n">
        <f aca="false">D412+D413</f>
        <v>1445.6269</v>
      </c>
      <c r="E414" s="21" t="n">
        <f aca="false">E412+E413</f>
        <v>2321.48769779336</v>
      </c>
      <c r="F414" s="21" t="n">
        <f aca="false">F412+F413</f>
        <v>2771.07870232785</v>
      </c>
      <c r="G414" s="21" t="n">
        <f aca="false">G412+G413</f>
        <v>3078.54855657269</v>
      </c>
    </row>
    <row r="415" customFormat="false" ht="17.15" hidden="false" customHeight="false" outlineLevel="0" collapsed="false">
      <c r="A415" s="4" t="s">
        <v>444</v>
      </c>
      <c r="B415" s="0" t="s">
        <v>151</v>
      </c>
      <c r="C415" s="21" t="n">
        <f aca="false">C409+C414</f>
        <v>2186.523</v>
      </c>
      <c r="D415" s="21" t="n">
        <f aca="false">D409+D414</f>
        <v>4097.35195421038</v>
      </c>
      <c r="E415" s="21" t="n">
        <f aca="false">E409+E414</f>
        <v>6138.12897755092</v>
      </c>
      <c r="F415" s="21" t="n">
        <f aca="false">F409+F414</f>
        <v>6810.9458935139</v>
      </c>
      <c r="G415" s="21" t="n">
        <f aca="false">G409+G414</f>
        <v>7181.19913139699</v>
      </c>
      <c r="H415" s="26" t="n">
        <f aca="false">G415*(1+H420)</f>
        <v>7585.0769536387</v>
      </c>
      <c r="I415" s="26" t="n">
        <f aca="false">H415*(1+I420)</f>
        <v>8025.9254197223</v>
      </c>
      <c r="J415" s="26" t="n">
        <f aca="false">I415*(1+J420)</f>
        <v>8507.48094490563</v>
      </c>
      <c r="K415" s="8" t="s">
        <v>603</v>
      </c>
    </row>
    <row r="416" customFormat="false" ht="17.15" hidden="false" customHeight="false" outlineLevel="0" collapsed="false">
      <c r="A416" s="4" t="s">
        <v>604</v>
      </c>
      <c r="B416" s="0" t="s">
        <v>151</v>
      </c>
      <c r="D416" s="21" t="n">
        <f aca="false">D400+D405+D407+D414</f>
        <v>3482.74916107882</v>
      </c>
      <c r="E416" s="21" t="n">
        <f aca="false">E400+E405+E407+E414</f>
        <v>5541.96426821331</v>
      </c>
      <c r="F416" s="21" t="n">
        <f aca="false">F400+F405+F407+F414</f>
        <v>6214.78118417629</v>
      </c>
      <c r="G416" s="21" t="n">
        <f aca="false">G400+G405+G407+G414</f>
        <v>6585.03442205938</v>
      </c>
      <c r="K416" s="4" t="s">
        <v>605</v>
      </c>
    </row>
    <row r="417" customFormat="false" ht="15" hidden="false" customHeight="false" outlineLevel="0" collapsed="false">
      <c r="A417" s="4" t="s">
        <v>606</v>
      </c>
      <c r="B417" s="0" t="s">
        <v>151</v>
      </c>
      <c r="D417" s="21" t="n">
        <f aca="false">D408</f>
        <v>614.602793131557</v>
      </c>
      <c r="E417" s="21" t="n">
        <f aca="false">E408</f>
        <v>596.16470933761</v>
      </c>
      <c r="F417" s="21" t="n">
        <f aca="false">F408</f>
        <v>596.16470933761</v>
      </c>
      <c r="G417" s="21" t="n">
        <f aca="false">G408</f>
        <v>596.16470933761</v>
      </c>
      <c r="K417" s="4" t="s">
        <v>607</v>
      </c>
    </row>
    <row r="418" customFormat="false" ht="17.15" hidden="false" customHeight="false" outlineLevel="0" collapsed="false">
      <c r="A418" s="4" t="s">
        <v>608</v>
      </c>
      <c r="B418" s="0" t="s">
        <v>151</v>
      </c>
      <c r="D418" s="31" t="n">
        <f aca="false">D416+D417-D415</f>
        <v>0</v>
      </c>
      <c r="E418" s="31" t="n">
        <f aca="false">E416+E417-E415</f>
        <v>0</v>
      </c>
      <c r="F418" s="31" t="n">
        <f aca="false">F416+F417-F415</f>
        <v>0</v>
      </c>
      <c r="G418" s="31" t="n">
        <f aca="false">G416+G417-G415</f>
        <v>0</v>
      </c>
    </row>
    <row r="419" customFormat="false" ht="17.15" hidden="false" customHeight="false" outlineLevel="0" collapsed="false">
      <c r="A419" s="4" t="s">
        <v>609</v>
      </c>
      <c r="B419" s="0" t="s">
        <v>52</v>
      </c>
      <c r="D419" s="20" t="n">
        <f aca="false">D416/D415</f>
        <v>0.85</v>
      </c>
      <c r="E419" s="20" t="n">
        <f aca="false">E416/E415</f>
        <v>0.902875173930366</v>
      </c>
      <c r="F419" s="20" t="n">
        <f aca="false">F416/F415</f>
        <v>0.912469616018336</v>
      </c>
      <c r="G419" s="20" t="n">
        <f aca="false">G416/G415</f>
        <v>0.916982568171503</v>
      </c>
    </row>
    <row r="420" customFormat="false" ht="15" hidden="false" customHeight="false" outlineLevel="0" collapsed="false">
      <c r="A420" s="4" t="s">
        <v>610</v>
      </c>
      <c r="B420" s="0" t="s">
        <v>52</v>
      </c>
      <c r="D420" s="20" t="n">
        <f aca="false">D415/C415-1</f>
        <v>0.873912121761526</v>
      </c>
      <c r="E420" s="20" t="n">
        <f aca="false">E415/D415-1</f>
        <v>0.498072180800448</v>
      </c>
      <c r="F420" s="20" t="n">
        <f aca="false">F415/E415-1</f>
        <v>0.109612704200854</v>
      </c>
      <c r="G420" s="20" t="n">
        <f aca="false">G415/F415-1</f>
        <v>0.054361500395369</v>
      </c>
      <c r="H420" s="27" t="n">
        <f aca="false">$G420+(fade_gA-$G420)*1/3</f>
        <v>0.0562410002635793</v>
      </c>
      <c r="I420" s="27" t="n">
        <f aca="false">$G420+(fade_gA-$G420)*2/3</f>
        <v>0.0581205001317897</v>
      </c>
      <c r="J420" s="27" t="n">
        <f aca="false">$G420+(fade_gA-$G420)*3/3</f>
        <v>0.06</v>
      </c>
    </row>
    <row r="421" customFormat="false" ht="17.15" hidden="false" customHeight="false" outlineLevel="0" collapsed="false">
      <c r="A421" s="0" t="s">
        <v>611</v>
      </c>
      <c r="B421" s="0" t="s">
        <v>52</v>
      </c>
      <c r="D421" s="20" t="n">
        <f aca="false">(D400+D405+D412)/D415</f>
        <v>0.629924693295288</v>
      </c>
      <c r="E421" s="20" t="n">
        <f aca="false">(E400+E405+E412)/E415</f>
        <v>0.738835188703183</v>
      </c>
      <c r="F421" s="20" t="n">
        <f aca="false">(F400+F405+F412)/F415</f>
        <v>0.754707020512877</v>
      </c>
      <c r="G421" s="20" t="n">
        <f aca="false">(G400+G405+G412)/G415</f>
        <v>0.759045417793699</v>
      </c>
    </row>
    <row r="422" customFormat="false" ht="17.15" hidden="false" customHeight="false" outlineLevel="0" collapsed="false">
      <c r="A422" s="4" t="s">
        <v>612</v>
      </c>
      <c r="B422" s="0" t="s">
        <v>52</v>
      </c>
      <c r="C422" s="20" t="n">
        <f aca="false">C414/C415</f>
        <v>0.434782986504144</v>
      </c>
      <c r="D422" s="20" t="n">
        <f aca="false">D414/D415</f>
        <v>0.352819800728736</v>
      </c>
      <c r="E422" s="20" t="n">
        <f aca="false">E414/E415</f>
        <v>0.378207708942542</v>
      </c>
      <c r="F422" s="20" t="n">
        <f aca="false">F414/F415</f>
        <v>0.406856660683029</v>
      </c>
      <c r="G422" s="20" t="n">
        <f aca="false">G414/G415</f>
        <v>0.42869561200621</v>
      </c>
    </row>
    <row r="423" customFormat="false" ht="17.15" hidden="false" customHeight="false" outlineLevel="0" collapsed="false">
      <c r="A423" s="4" t="s">
        <v>613</v>
      </c>
      <c r="B423" s="4" t="s">
        <v>335</v>
      </c>
      <c r="D423" s="21" t="n">
        <f aca="false">D398/fx/(odm_gb*(1-vr26)+odm_vr*vr26)</f>
        <v>12.0597330420658</v>
      </c>
      <c r="E423" s="21" t="n">
        <f aca="false">E398/fx/odm_vr</f>
        <v>14.7674893195132</v>
      </c>
      <c r="F423" s="21" t="n">
        <f aca="false">F398/fx/odm_vr</f>
        <v>17.7835410591556</v>
      </c>
      <c r="G423" s="21" t="n">
        <f aca="false">G398/fx/odm_vr</f>
        <v>19.1920403465763</v>
      </c>
      <c r="K423" s="4" t="s">
        <v>614</v>
      </c>
    </row>
    <row r="424" customFormat="false" ht="17.15" hidden="false" customHeight="false" outlineLevel="0" collapsed="false">
      <c r="A424" s="6" t="s">
        <v>615</v>
      </c>
    </row>
    <row r="425" customFormat="false" ht="17.15" hidden="false" customHeight="false" outlineLevel="0" collapsed="false">
      <c r="A425" s="4" t="s">
        <v>616</v>
      </c>
      <c r="B425" s="0" t="s">
        <v>52</v>
      </c>
      <c r="D425" s="14" t="n">
        <f aca="false">(a26_sgp-d_ai*D400-d_brd*D405-d_gen*D407)/D409</f>
        <v>0.0436423860147897</v>
      </c>
      <c r="K425" s="8" t="s">
        <v>617</v>
      </c>
    </row>
    <row r="426" customFormat="false" ht="17.15" hidden="false" customHeight="false" outlineLevel="0" collapsed="false">
      <c r="A426" s="4" t="s">
        <v>618</v>
      </c>
      <c r="B426" s="0" t="s">
        <v>151</v>
      </c>
      <c r="D426" s="25" t="n">
        <f aca="false">($D$425+d_ai)*D398*(1-D399*(1-keep))</f>
        <v>59.7866331026896</v>
      </c>
      <c r="E426" s="25" t="n">
        <f aca="false">($D$425+d_ai+vrd)*E398*(1-E399*(1-keep))</f>
        <v>99.9228552931037</v>
      </c>
      <c r="F426" s="25" t="n">
        <f aca="false">($D$425+d_ai+vrd)*F398*(1-F399*(1-keep))</f>
        <v>119.115229856888</v>
      </c>
      <c r="G426" s="25" t="n">
        <f aca="false">($D$425+d_ai+vrd)*G398*(1-G399*(1-keep))</f>
        <v>127.89357847157</v>
      </c>
    </row>
    <row r="427" customFormat="false" ht="15" hidden="false" customHeight="false" outlineLevel="0" collapsed="false">
      <c r="A427" s="4" t="s">
        <v>619</v>
      </c>
      <c r="B427" s="0" t="s">
        <v>151</v>
      </c>
      <c r="C427" s="21" t="n">
        <f aca="false">a25_sgp</f>
        <v>55.529</v>
      </c>
      <c r="D427" s="21" t="n">
        <f aca="false">a26_sgp</f>
        <v>103.50638581015</v>
      </c>
      <c r="E427" s="21" t="n">
        <f aca="false">$D$425*E408+($D$425+d_brd)*E405+($D$425+d_gen)*E407+E426</f>
        <v>148.991928263534</v>
      </c>
      <c r="F427" s="21" t="n">
        <f aca="false">$D$425*F408+($D$425+d_brd)*F405+($D$425+d_gen)*F407+F426</f>
        <v>169.462997795485</v>
      </c>
      <c r="G427" s="21" t="n">
        <f aca="false">$D$425*G408+($D$425+d_brd)*G405+($D$425+d_gen)*G407+G426</f>
        <v>179.967696240984</v>
      </c>
    </row>
    <row r="428" customFormat="false" ht="15" hidden="false" customHeight="false" outlineLevel="0" collapsed="false">
      <c r="A428" s="4" t="s">
        <v>620</v>
      </c>
      <c r="B428" s="0" t="s">
        <v>52</v>
      </c>
      <c r="C428" s="14" t="n">
        <f aca="false">C427/C409</f>
        <v>0.0449314647290146</v>
      </c>
      <c r="D428" s="14" t="n">
        <f aca="false">D427/D409</f>
        <v>0.0390336040479778</v>
      </c>
      <c r="E428" s="14" t="n">
        <f aca="false">E427/E409</f>
        <v>0.0390374461057547</v>
      </c>
      <c r="F428" s="14" t="n">
        <f aca="false">F427/F409</f>
        <v>0.0419476655483156</v>
      </c>
      <c r="G428" s="14" t="n">
        <f aca="false">G427/G409</f>
        <v>0.0438662013639053</v>
      </c>
    </row>
    <row r="429" customFormat="false" ht="15" hidden="false" customHeight="false" outlineLevel="0" collapsed="false">
      <c r="A429" s="4" t="s">
        <v>621</v>
      </c>
      <c r="B429" s="0" t="s">
        <v>52</v>
      </c>
      <c r="E429" s="20" t="n">
        <f aca="false">MAX(0,phi*(E409/D409-1))</f>
        <v>0.13179151703879</v>
      </c>
      <c r="F429" s="20" t="n">
        <f aca="false">MAX(0,phi*(F409/E409-1))</f>
        <v>0.0175462582202121</v>
      </c>
      <c r="G429" s="20" t="n">
        <f aca="false">MAX(0,phi*(G409/F409-1))</f>
        <v>0.00466228571388885</v>
      </c>
    </row>
    <row r="430" customFormat="false" ht="15" hidden="false" customHeight="false" outlineLevel="0" collapsed="false">
      <c r="A430" s="4" t="s">
        <v>622</v>
      </c>
      <c r="B430" s="0" t="s">
        <v>151</v>
      </c>
      <c r="C430" s="21" t="n">
        <f aca="false">a25_sopx</f>
        <v>40.894</v>
      </c>
      <c r="D430" s="21" t="n">
        <f aca="false">a26_sopx</f>
        <v>46.9914095398923</v>
      </c>
      <c r="E430" s="21" t="n">
        <f aca="false">D430*(1+E429)+0*E409</f>
        <v>53.1844786909457</v>
      </c>
      <c r="F430" s="21" t="n">
        <f aca="false">E430*(1+F429)+0*F409</f>
        <v>54.1176672873644</v>
      </c>
      <c r="G430" s="21" t="n">
        <f aca="false">F430*(1+G429)+0*G409</f>
        <v>54.3699793144273</v>
      </c>
    </row>
    <row r="431" customFormat="false" ht="15" hidden="false" customHeight="false" outlineLevel="0" collapsed="false">
      <c r="A431" s="4" t="s">
        <v>623</v>
      </c>
      <c r="B431" s="0" t="s">
        <v>151</v>
      </c>
      <c r="C431" s="21" t="n">
        <f aca="false">C427-C430</f>
        <v>14.635</v>
      </c>
      <c r="D431" s="21" t="n">
        <f aca="false">D427-D430</f>
        <v>56.514976270258</v>
      </c>
      <c r="E431" s="21" t="n">
        <f aca="false">E427-E430</f>
        <v>95.8074495725885</v>
      </c>
      <c r="F431" s="21" t="n">
        <f aca="false">F427-F430</f>
        <v>115.345330508121</v>
      </c>
      <c r="G431" s="21" t="n">
        <f aca="false">G427-G430</f>
        <v>125.597716926557</v>
      </c>
    </row>
    <row r="432" customFormat="false" ht="15" hidden="false" customHeight="false" outlineLevel="0" collapsed="false">
      <c r="A432" s="4" t="s">
        <v>624</v>
      </c>
      <c r="B432" s="0" t="s">
        <v>52</v>
      </c>
      <c r="C432" s="14" t="n">
        <f aca="false">C431/C409</f>
        <v>0.011841956208632</v>
      </c>
      <c r="D432" s="14" t="n">
        <f aca="false">D431/D409</f>
        <v>0.0213125324514788</v>
      </c>
      <c r="E432" s="14" t="n">
        <f aca="false">E431/E409</f>
        <v>0.0251025555062577</v>
      </c>
      <c r="F432" s="14" t="n">
        <f aca="false">F431/F409</f>
        <v>0.0285517629786878</v>
      </c>
      <c r="G432" s="14" t="n">
        <f aca="false">G431/G409</f>
        <v>0.0306137982350437</v>
      </c>
    </row>
    <row r="433" customFormat="false" ht="15" hidden="false" customHeight="false" outlineLevel="0" collapsed="false">
      <c r="A433" s="4" t="s">
        <v>625</v>
      </c>
      <c r="B433" s="0" t="s">
        <v>151</v>
      </c>
      <c r="C433" s="21" t="n">
        <f aca="false">a25_sni</f>
        <v>6.9608</v>
      </c>
      <c r="D433" s="21" t="n">
        <f aca="false">a26_sni</f>
        <v>31.133746704</v>
      </c>
      <c r="E433" s="21" t="n">
        <f aca="false">E431*snio</f>
        <v>53.6521717606496</v>
      </c>
      <c r="F433" s="21" t="n">
        <f aca="false">F431*snio</f>
        <v>64.5933850845478</v>
      </c>
      <c r="G433" s="21" t="n">
        <f aca="false">G431*snio</f>
        <v>70.334721478872</v>
      </c>
    </row>
    <row r="434" customFormat="false" ht="17.15" hidden="false" customHeight="false" outlineLevel="0" collapsed="false">
      <c r="A434" s="6" t="s">
        <v>626</v>
      </c>
    </row>
    <row r="435" customFormat="false" ht="15" hidden="false" customHeight="false" outlineLevel="0" collapsed="false">
      <c r="A435" s="4" t="s">
        <v>462</v>
      </c>
      <c r="B435" s="0" t="s">
        <v>151</v>
      </c>
      <c r="C435" s="21" t="n">
        <f aca="false">a25_wgp</f>
        <v>78.454</v>
      </c>
      <c r="D435" s="21" t="n">
        <f aca="false">a26_wgp</f>
        <v>125.0519932</v>
      </c>
      <c r="E435" s="21" t="n">
        <f aca="false">E414*wgm</f>
        <v>197.326454312436</v>
      </c>
      <c r="F435" s="21" t="n">
        <f aca="false">F414*wgm</f>
        <v>235.541689697867</v>
      </c>
      <c r="G435" s="21" t="n">
        <f aca="false">G414*wgm</f>
        <v>261.676627308679</v>
      </c>
    </row>
    <row r="436" customFormat="false" ht="15" hidden="false" customHeight="false" outlineLevel="0" collapsed="false">
      <c r="A436" s="4" t="s">
        <v>464</v>
      </c>
      <c r="B436" s="0" t="s">
        <v>151</v>
      </c>
      <c r="C436" s="21" t="n">
        <f aca="false">a25_woi</f>
        <v>63.918</v>
      </c>
      <c r="D436" s="21" t="n">
        <f aca="false">a26_woi</f>
        <v>98.2471632</v>
      </c>
      <c r="E436" s="21" t="n">
        <f aca="false">E414*wopm</f>
        <v>150.896700356569</v>
      </c>
      <c r="F436" s="21" t="n">
        <f aca="false">F414*wopm</f>
        <v>180.12011565131</v>
      </c>
      <c r="G436" s="21" t="n">
        <f aca="false">G414*wopm</f>
        <v>200.105656177225</v>
      </c>
    </row>
    <row r="437" customFormat="false" ht="15" hidden="false" customHeight="false" outlineLevel="0" collapsed="false">
      <c r="A437" s="4" t="s">
        <v>472</v>
      </c>
      <c r="B437" s="0" t="s">
        <v>151</v>
      </c>
      <c r="C437" s="21" t="n">
        <f aca="false">a25_wni</f>
        <v>51.118</v>
      </c>
      <c r="D437" s="21" t="n">
        <f aca="false">a26_wni</f>
        <v>75.735026884</v>
      </c>
      <c r="E437" s="21" t="n">
        <f aca="false">E436*wnio</f>
        <v>117.699426278123</v>
      </c>
      <c r="F437" s="21" t="n">
        <f aca="false">F436*wnio</f>
        <v>140.493690208022</v>
      </c>
      <c r="G437" s="21" t="n">
        <f aca="false">G436*wnio</f>
        <v>156.082411818236</v>
      </c>
    </row>
    <row r="438" customFormat="false" ht="15" hidden="false" customHeight="false" outlineLevel="0" collapsed="false">
      <c r="A438" s="4" t="s">
        <v>474</v>
      </c>
      <c r="B438" s="0" t="s">
        <v>52</v>
      </c>
      <c r="C438" s="14" t="n">
        <f aca="false">stake25</f>
        <v>0.4</v>
      </c>
      <c r="D438" s="14" t="n">
        <f aca="false">stake</f>
        <v>0.3768</v>
      </c>
      <c r="E438" s="14" t="n">
        <f aca="false">stake</f>
        <v>0.3768</v>
      </c>
      <c r="F438" s="14" t="n">
        <f aca="false">stake</f>
        <v>0.3768</v>
      </c>
      <c r="G438" s="14" t="n">
        <f aca="false">stake</f>
        <v>0.3768</v>
      </c>
    </row>
    <row r="439" customFormat="false" ht="17.15" hidden="false" customHeight="false" outlineLevel="0" collapsed="false">
      <c r="A439" s="6" t="s">
        <v>627</v>
      </c>
    </row>
    <row r="440" customFormat="false" ht="15" hidden="false" customHeight="false" outlineLevel="0" collapsed="false">
      <c r="A440" s="4" t="s">
        <v>448</v>
      </c>
      <c r="B440" s="0" t="s">
        <v>151</v>
      </c>
      <c r="C440" s="21" t="n">
        <f aca="false">C427+C435</f>
        <v>133.983</v>
      </c>
      <c r="D440" s="21" t="n">
        <f aca="false">D427+D435</f>
        <v>228.55837901015</v>
      </c>
      <c r="E440" s="21" t="n">
        <f aca="false">E427+E435</f>
        <v>346.31838257597</v>
      </c>
      <c r="F440" s="21" t="n">
        <f aca="false">F427+F435</f>
        <v>405.004687493353</v>
      </c>
      <c r="G440" s="21" t="n">
        <f aca="false">G427+G435</f>
        <v>441.644323549663</v>
      </c>
    </row>
    <row r="441" customFormat="false" ht="15" hidden="false" customHeight="false" outlineLevel="0" collapsed="false">
      <c r="A441" s="4" t="s">
        <v>451</v>
      </c>
      <c r="B441" s="0" t="s">
        <v>52</v>
      </c>
      <c r="C441" s="14" t="n">
        <f aca="false">C440/C415</f>
        <v>0.0612767393711386</v>
      </c>
      <c r="D441" s="14" t="n">
        <f aca="false">D440/D415</f>
        <v>0.055781973714825</v>
      </c>
      <c r="E441" s="14" t="n">
        <f aca="false">E440/E415</f>
        <v>0.0564208383112453</v>
      </c>
      <c r="F441" s="14" t="n">
        <f aca="false">F440/F415</f>
        <v>0.0594637945779368</v>
      </c>
      <c r="G441" s="14" t="n">
        <f aca="false">G440/G415</f>
        <v>0.0615000803443461</v>
      </c>
    </row>
    <row r="442" customFormat="false" ht="15" hidden="false" customHeight="false" outlineLevel="0" collapsed="false">
      <c r="A442" s="4" t="s">
        <v>452</v>
      </c>
      <c r="B442" s="0" t="s">
        <v>151</v>
      </c>
      <c r="C442" s="21" t="n">
        <f aca="false">C431+C436</f>
        <v>78.553</v>
      </c>
      <c r="D442" s="21" t="n">
        <f aca="false">D431+D436</f>
        <v>154.762139470258</v>
      </c>
      <c r="E442" s="21" t="n">
        <f aca="false">E431+E436</f>
        <v>246.704149929157</v>
      </c>
      <c r="F442" s="21" t="n">
        <f aca="false">F431+F436</f>
        <v>295.465446159431</v>
      </c>
      <c r="G442" s="21" t="n">
        <f aca="false">G431+G436</f>
        <v>325.703373103782</v>
      </c>
    </row>
    <row r="443" customFormat="false" ht="15" hidden="false" customHeight="false" outlineLevel="0" collapsed="false">
      <c r="A443" s="4" t="s">
        <v>455</v>
      </c>
      <c r="B443" s="0" t="s">
        <v>52</v>
      </c>
      <c r="C443" s="14" t="n">
        <f aca="false">C442/C415</f>
        <v>0.0359259884300325</v>
      </c>
      <c r="D443" s="14" t="n">
        <f aca="false">D442/D415</f>
        <v>0.0377712584126992</v>
      </c>
      <c r="E443" s="14" t="n">
        <f aca="false">E442/E415</f>
        <v>0.0401920765808982</v>
      </c>
      <c r="F443" s="14" t="n">
        <f aca="false">F442/F415</f>
        <v>0.0433809709809624</v>
      </c>
      <c r="G443" s="14" t="n">
        <f aca="false">G442/G415</f>
        <v>0.0453550120452407</v>
      </c>
    </row>
    <row r="444" customFormat="false" ht="15" hidden="false" customHeight="false" outlineLevel="0" collapsed="false">
      <c r="A444" s="4" t="s">
        <v>485</v>
      </c>
      <c r="B444" s="0" t="s">
        <v>151</v>
      </c>
      <c r="C444" s="21" t="n">
        <f aca="false">C433+C437</f>
        <v>58.0788</v>
      </c>
      <c r="D444" s="21" t="n">
        <f aca="false">D433+D437</f>
        <v>106.868773588</v>
      </c>
      <c r="E444" s="21" t="n">
        <f aca="false">E433+E437</f>
        <v>171.351598038773</v>
      </c>
      <c r="F444" s="21" t="n">
        <f aca="false">F433+F437</f>
        <v>205.08707529257</v>
      </c>
      <c r="G444" s="21" t="n">
        <f aca="false">G433+G437</f>
        <v>226.417133297108</v>
      </c>
    </row>
    <row r="445" customFormat="false" ht="17.15" hidden="false" customHeight="false" outlineLevel="0" collapsed="false">
      <c r="A445" s="4" t="s">
        <v>628</v>
      </c>
      <c r="B445" s="0" t="s">
        <v>151</v>
      </c>
      <c r="C445" s="21" t="n">
        <f aca="false">(1-C438)*C437</f>
        <v>30.6708</v>
      </c>
      <c r="D445" s="21" t="n">
        <f aca="false">(1-D438)*D437</f>
        <v>47.1980687541088</v>
      </c>
      <c r="E445" s="21" t="n">
        <f aca="false">(1-E438)*E437</f>
        <v>73.3502824565265</v>
      </c>
      <c r="F445" s="21" t="n">
        <f aca="false">(1-F438)*F437</f>
        <v>87.5556677376393</v>
      </c>
      <c r="G445" s="21" t="n">
        <f aca="false">(1-G438)*G437</f>
        <v>97.2705590451244</v>
      </c>
    </row>
    <row r="446" customFormat="false" ht="15" hidden="false" customHeight="false" outlineLevel="0" collapsed="false">
      <c r="A446" s="4" t="s">
        <v>481</v>
      </c>
      <c r="B446" s="0" t="s">
        <v>151</v>
      </c>
      <c r="C446" s="21" t="n">
        <f aca="false">C444-C445</f>
        <v>27.408</v>
      </c>
      <c r="D446" s="21" t="n">
        <f aca="false">D444-D445</f>
        <v>59.6707048338912</v>
      </c>
      <c r="E446" s="21" t="n">
        <f aca="false">E444-E445</f>
        <v>98.0013155822465</v>
      </c>
      <c r="F446" s="21" t="n">
        <f aca="false">F444-F445</f>
        <v>117.53140755493</v>
      </c>
      <c r="G446" s="21" t="n">
        <f aca="false">G444-G445</f>
        <v>129.146574251983</v>
      </c>
      <c r="H446" s="26" t="n">
        <f aca="false">H415*H451</f>
        <v>136.220800583244</v>
      </c>
      <c r="I446" s="26" t="n">
        <f aca="false">I415*I451</f>
        <v>143.937924510143</v>
      </c>
      <c r="J446" s="26" t="n">
        <f aca="false">J415*J451</f>
        <v>152.362097021518</v>
      </c>
    </row>
    <row r="447" customFormat="false" ht="17.15" hidden="false" customHeight="false" outlineLevel="0" collapsed="false">
      <c r="A447" s="4" t="s">
        <v>629</v>
      </c>
      <c r="B447" s="0" t="s">
        <v>52</v>
      </c>
      <c r="C447" s="20" t="n">
        <f aca="false">C438*C437/C446</f>
        <v>0.746030356100409</v>
      </c>
      <c r="D447" s="20" t="n">
        <f aca="false">D438*D437/D446</f>
        <v>0.478240674537551</v>
      </c>
      <c r="E447" s="20" t="n">
        <f aca="false">E438*E437/E446</f>
        <v>0.452536208908108</v>
      </c>
      <c r="F447" s="20" t="n">
        <f aca="false">F438*F437/F446</f>
        <v>0.450415966010116</v>
      </c>
      <c r="G447" s="20" t="n">
        <f aca="false">G438*G437/G446</f>
        <v>0.455388407425821</v>
      </c>
    </row>
    <row r="448" customFormat="false" ht="17.15" hidden="false" customHeight="false" outlineLevel="0" collapsed="false">
      <c r="A448" s="4" t="s">
        <v>630</v>
      </c>
      <c r="B448" s="4" t="s">
        <v>286</v>
      </c>
      <c r="C448" s="31" t="n">
        <f aca="false">a25_sh</f>
        <v>3.03185840707965</v>
      </c>
      <c r="D448" s="31" t="n">
        <f aca="false">a26_sh</f>
        <v>3.23861720409076</v>
      </c>
      <c r="E448" s="31" t="n">
        <f aca="false">q_sh4*(1+sh_g)</f>
        <v>3.43</v>
      </c>
      <c r="F448" s="31" t="n">
        <f aca="false">E448*(1+sh_g)</f>
        <v>3.43</v>
      </c>
      <c r="G448" s="31" t="n">
        <f aca="false">F448*(1+sh_g)</f>
        <v>3.43</v>
      </c>
      <c r="H448" s="32" t="n">
        <f aca="false">G448*(1+sh_g)</f>
        <v>3.43</v>
      </c>
      <c r="I448" s="32" t="n">
        <f aca="false">H448*(1+sh_g)</f>
        <v>3.43</v>
      </c>
      <c r="J448" s="32" t="n">
        <f aca="false">I448*(1+sh_g)</f>
        <v>3.43</v>
      </c>
      <c r="K448" s="8" t="s">
        <v>631</v>
      </c>
    </row>
    <row r="449" customFormat="false" ht="15" hidden="false" customHeight="false" outlineLevel="0" collapsed="false">
      <c r="A449" s="0" t="s">
        <v>488</v>
      </c>
      <c r="B449" s="0" t="s">
        <v>316</v>
      </c>
      <c r="C449" s="18" t="n">
        <f aca="false">C446/C448</f>
        <v>9.04</v>
      </c>
      <c r="D449" s="18" t="n">
        <f aca="false">D446/D448</f>
        <v>18.4247476850676</v>
      </c>
      <c r="E449" s="18" t="n">
        <f aca="false">E446/E448</f>
        <v>28.5718121231039</v>
      </c>
      <c r="F449" s="18" t="n">
        <f aca="false">F446/F448</f>
        <v>34.2657164883179</v>
      </c>
      <c r="G449" s="18" t="n">
        <f aca="false">G446/G448</f>
        <v>37.652062464135</v>
      </c>
      <c r="H449" s="29" t="n">
        <f aca="false">H446/H448</f>
        <v>39.7145191204793</v>
      </c>
      <c r="I449" s="29" t="n">
        <f aca="false">I446/I448</f>
        <v>41.9644094781757</v>
      </c>
      <c r="J449" s="29" t="n">
        <f aca="false">J446/J448</f>
        <v>44.4204364494221</v>
      </c>
    </row>
    <row r="450" customFormat="false" ht="17.15" hidden="false" customHeight="false" outlineLevel="0" collapsed="false">
      <c r="A450" s="0" t="s">
        <v>632</v>
      </c>
      <c r="B450" s="0" t="s">
        <v>52</v>
      </c>
      <c r="D450" s="20" t="n">
        <f aca="false">D449/C449-1</f>
        <v>1.03813580587031</v>
      </c>
      <c r="E450" s="20" t="n">
        <f aca="false">E449/D449-1</f>
        <v>0.550730170718163</v>
      </c>
      <c r="F450" s="20" t="n">
        <f aca="false">F449/E449-1</f>
        <v>0.199283977532869</v>
      </c>
      <c r="G450" s="20" t="n">
        <f aca="false">G449/F449-1</f>
        <v>0.0988260664846039</v>
      </c>
      <c r="H450" s="27" t="n">
        <f aca="false">H449/G449-1</f>
        <v>0.054776724603302</v>
      </c>
      <c r="I450" s="27" t="n">
        <f aca="false">I449/H449-1</f>
        <v>0.0566515825326011</v>
      </c>
      <c r="J450" s="27" t="n">
        <f aca="false">J449/I449-1</f>
        <v>0.0585264275558011</v>
      </c>
    </row>
    <row r="451" customFormat="false" ht="17.15" hidden="false" customHeight="false" outlineLevel="0" collapsed="false">
      <c r="A451" s="4" t="s">
        <v>633</v>
      </c>
      <c r="B451" s="0" t="s">
        <v>52</v>
      </c>
      <c r="C451" s="14" t="n">
        <f aca="false">C446/C415</f>
        <v>0.0125349699042727</v>
      </c>
      <c r="D451" s="14" t="n">
        <f aca="false">D446/D415</f>
        <v>0.0145632363293992</v>
      </c>
      <c r="E451" s="14" t="n">
        <f aca="false">E446/E415</f>
        <v>0.0159659915815827</v>
      </c>
      <c r="F451" s="14" t="n">
        <f aca="false">F446/F415</f>
        <v>0.0172562533005667</v>
      </c>
      <c r="G451" s="14" t="n">
        <f aca="false">G446/G415</f>
        <v>0.0179839845531285</v>
      </c>
      <c r="H451" s="28" t="n">
        <f aca="false">$G451+(fade_mA-$G451)*1/3</f>
        <v>0.0179590532061637</v>
      </c>
      <c r="I451" s="28" t="n">
        <f aca="false">$G451+(fade_mA-$G451)*2/3</f>
        <v>0.017934121859199</v>
      </c>
      <c r="J451" s="28" t="n">
        <f aca="false">$G451+(fade_mA-$G451)*3/3</f>
        <v>0.0179091905122343</v>
      </c>
    </row>
    <row r="454" customFormat="false" ht="17.15" hidden="false" customHeight="false" outlineLevel="0" collapsed="false">
      <c r="A454" s="1" t="s">
        <v>953</v>
      </c>
    </row>
    <row r="455" customFormat="false" ht="17.15" hidden="false" customHeight="false" outlineLevel="0" collapsed="false">
      <c r="A455" s="5" t="s">
        <v>21</v>
      </c>
      <c r="B455" s="5" t="s">
        <v>22</v>
      </c>
      <c r="C455" s="15" t="s">
        <v>438</v>
      </c>
      <c r="D455" s="15" t="s">
        <v>552</v>
      </c>
      <c r="E455" s="15" t="s">
        <v>553</v>
      </c>
      <c r="F455" s="15" t="s">
        <v>554</v>
      </c>
      <c r="G455" s="15" t="s">
        <v>555</v>
      </c>
      <c r="H455" s="15" t="s">
        <v>556</v>
      </c>
      <c r="I455" s="15" t="s">
        <v>557</v>
      </c>
      <c r="J455" s="15" t="s">
        <v>558</v>
      </c>
      <c r="K455" s="5" t="s">
        <v>420</v>
      </c>
    </row>
    <row r="456" customFormat="false" ht="17.15" hidden="false" customHeight="false" outlineLevel="0" collapsed="false">
      <c r="A456" s="6" t="s">
        <v>573</v>
      </c>
    </row>
    <row r="457" customFormat="false" ht="17.15" hidden="false" customHeight="false" outlineLevel="0" collapsed="false">
      <c r="A457" s="0" t="s">
        <v>574</v>
      </c>
      <c r="B457" s="0" t="s">
        <v>32</v>
      </c>
      <c r="D457" s="21" t="n">
        <f aca="false">itc_26*1</f>
        <v>781.872916666666</v>
      </c>
      <c r="E457" s="21" t="n">
        <f aca="false">itc_27*1*1</f>
        <v>1565.35</v>
      </c>
      <c r="F457" s="21" t="n">
        <f aca="false">itc_28*um28_A*1</f>
        <v>1984.26388888889</v>
      </c>
      <c r="G457" s="21" t="n">
        <f aca="false">itc_29*um29_A*1</f>
        <v>2260.39027777778</v>
      </c>
    </row>
    <row r="458" customFormat="false" ht="17.15" hidden="false" customHeight="false" outlineLevel="0" collapsed="false">
      <c r="A458" s="4" t="s">
        <v>575</v>
      </c>
      <c r="B458" s="0" t="s">
        <v>32</v>
      </c>
      <c r="D458" s="21" t="n">
        <f aca="false">itpg_gb*(1-vr26)+itpg_vr*vr26</f>
        <v>33.41403216</v>
      </c>
      <c r="E458" s="21" t="n">
        <f aca="false">itpg_vr</f>
        <v>37.586352</v>
      </c>
      <c r="F458" s="21" t="n">
        <f aca="false">itpg_vr</f>
        <v>37.586352</v>
      </c>
      <c r="G458" s="21" t="n">
        <f aca="false">itpg_vr</f>
        <v>37.586352</v>
      </c>
    </row>
    <row r="459" customFormat="false" ht="17.15" hidden="false" customHeight="false" outlineLevel="0" collapsed="false">
      <c r="A459" s="4" t="s">
        <v>576</v>
      </c>
      <c r="B459" s="0" t="s">
        <v>521</v>
      </c>
      <c r="D459" s="22" t="n">
        <f aca="false">D457/D458</f>
        <v>23.3995380420639</v>
      </c>
      <c r="E459" s="22" t="n">
        <f aca="false">E457/E458</f>
        <v>41.6467658260637</v>
      </c>
      <c r="F459" s="22" t="n">
        <f aca="false">F457/F458</f>
        <v>52.792138191248</v>
      </c>
      <c r="G459" s="22" t="n">
        <f aca="false">G457/G458</f>
        <v>60.1385917361116</v>
      </c>
    </row>
    <row r="460" customFormat="false" ht="17.15" hidden="false" customHeight="false" outlineLevel="0" collapsed="false">
      <c r="A460" s="4" t="s">
        <v>577</v>
      </c>
      <c r="B460" s="0" t="s">
        <v>578</v>
      </c>
      <c r="D460" s="18" t="n">
        <f aca="false">(racks_gb*odm_gb*(1-vr26)+racks_vr*odm_vr*vr26)/1000</f>
        <v>27.1209</v>
      </c>
      <c r="E460" s="18" t="n">
        <f aca="false">racks_vr*odm_vr/1000</f>
        <v>27.351</v>
      </c>
      <c r="F460" s="18" t="n">
        <f aca="false">$E460*vpg_28</f>
        <v>27.351</v>
      </c>
      <c r="G460" s="18" t="n">
        <f aca="false">$E460*vpg_29</f>
        <v>27.351</v>
      </c>
      <c r="K460" s="4" t="s">
        <v>579</v>
      </c>
    </row>
    <row r="461" customFormat="false" ht="17.15" hidden="false" customHeight="false" outlineLevel="0" collapsed="false">
      <c r="A461" s="0" t="s">
        <v>580</v>
      </c>
      <c r="B461" s="0" t="s">
        <v>32</v>
      </c>
      <c r="D461" s="21" t="n">
        <f aca="false">D459*D460</f>
        <v>634.61653128501</v>
      </c>
      <c r="E461" s="21" t="n">
        <f aca="false">E459*E460</f>
        <v>1139.08069210867</v>
      </c>
      <c r="F461" s="21" t="n">
        <f aca="false">F459*F460</f>
        <v>1443.91777166882</v>
      </c>
      <c r="G461" s="21" t="n">
        <f aca="false">G459*G460</f>
        <v>1644.85062257439</v>
      </c>
    </row>
    <row r="462" customFormat="false" ht="17.15" hidden="false" customHeight="false" outlineLevel="0" collapsed="false">
      <c r="A462" s="0" t="s">
        <v>581</v>
      </c>
      <c r="B462" s="0" t="s">
        <v>151</v>
      </c>
      <c r="D462" s="21" t="n">
        <f aca="false">D461*fx</f>
        <v>20307.7290011203</v>
      </c>
      <c r="E462" s="21" t="n">
        <f aca="false">E461*fx</f>
        <v>36450.5821474774</v>
      </c>
      <c r="F462" s="21" t="n">
        <f aca="false">F461*fx</f>
        <v>46205.3686934024</v>
      </c>
      <c r="G462" s="21" t="n">
        <f aca="false">G461*fx</f>
        <v>52635.2199223804</v>
      </c>
    </row>
    <row r="463" customFormat="false" ht="17.15" hidden="false" customHeight="false" outlineLevel="0" collapsed="false">
      <c r="A463" s="6" t="s">
        <v>582</v>
      </c>
    </row>
    <row r="464" customFormat="false" ht="17.15" hidden="false" customHeight="false" outlineLevel="0" collapsed="false">
      <c r="A464" s="4" t="s">
        <v>583</v>
      </c>
      <c r="B464" s="0" t="s">
        <v>52</v>
      </c>
      <c r="D464" s="20" t="n">
        <f aca="false">a26_ais/D462</f>
        <v>0.0875096501918447</v>
      </c>
      <c r="K464" s="8" t="s">
        <v>584</v>
      </c>
    </row>
    <row r="465" customFormat="false" ht="17.15" hidden="false" customHeight="false" outlineLevel="0" collapsed="false">
      <c r="A465" s="4" t="s">
        <v>585</v>
      </c>
      <c r="B465" s="0" t="s">
        <v>64</v>
      </c>
      <c r="D465" s="18" t="n">
        <f aca="false">1</f>
        <v>1</v>
      </c>
      <c r="E465" s="18" t="n">
        <f aca="false">rel_27</f>
        <v>1</v>
      </c>
      <c r="F465" s="18" t="n">
        <f aca="false">rel_28</f>
        <v>0.95</v>
      </c>
      <c r="G465" s="18" t="n">
        <f aca="false">rel_29</f>
        <v>0.9</v>
      </c>
    </row>
    <row r="466" customFormat="false" ht="17.15" hidden="false" customHeight="false" outlineLevel="0" collapsed="false">
      <c r="A466" s="4" t="s">
        <v>586</v>
      </c>
      <c r="B466" s="0" t="s">
        <v>52</v>
      </c>
      <c r="D466" s="20" t="n">
        <f aca="false">$D$464*D465</f>
        <v>0.0875096501918447</v>
      </c>
      <c r="E466" s="20" t="n">
        <f aca="false">$D$464*E465</f>
        <v>0.0875096501918447</v>
      </c>
      <c r="F466" s="20" t="n">
        <f aca="false">$D$464*F465</f>
        <v>0.0831341676822525</v>
      </c>
      <c r="G466" s="20" t="n">
        <f aca="false">$D$464*G465</f>
        <v>0.0787586851726602</v>
      </c>
    </row>
    <row r="467" customFormat="false" ht="17.15" hidden="false" customHeight="false" outlineLevel="0" collapsed="false">
      <c r="A467" s="4" t="s">
        <v>587</v>
      </c>
      <c r="B467" s="0" t="s">
        <v>151</v>
      </c>
      <c r="D467" s="21" t="n">
        <f aca="false">D462*D466</f>
        <v>1777.12226107882</v>
      </c>
      <c r="E467" s="21" t="n">
        <f aca="false">E462*E466</f>
        <v>3189.77769301484</v>
      </c>
      <c r="F467" s="21" t="n">
        <f aca="false">F462*F466</f>
        <v>3841.24486877761</v>
      </c>
      <c r="G467" s="21" t="n">
        <f aca="false">G462*G466</f>
        <v>4145.48071486049</v>
      </c>
    </row>
    <row r="468" customFormat="false" ht="17.15" hidden="false" customHeight="false" outlineLevel="0" collapsed="false">
      <c r="A468" s="4" t="s">
        <v>588</v>
      </c>
      <c r="B468" s="0" t="s">
        <v>52</v>
      </c>
      <c r="D468" s="20" t="n">
        <f aca="false">0</f>
        <v>0</v>
      </c>
      <c r="E468" s="20" t="n">
        <f aca="false">cs_27_hi</f>
        <v>0.25</v>
      </c>
      <c r="F468" s="20" t="n">
        <f aca="false">cs_28_hi</f>
        <v>0.4</v>
      </c>
      <c r="G468" s="20" t="n">
        <f aca="false">cs_29_hi</f>
        <v>0.5</v>
      </c>
      <c r="K468" s="8" t="s">
        <v>589</v>
      </c>
    </row>
    <row r="469" customFormat="false" ht="17.15" hidden="false" customHeight="false" outlineLevel="0" collapsed="false">
      <c r="A469" s="4" t="s">
        <v>590</v>
      </c>
      <c r="B469" s="0" t="s">
        <v>151</v>
      </c>
      <c r="D469" s="21" t="n">
        <f aca="false">D467*(1-D468)</f>
        <v>1777.12226107882</v>
      </c>
      <c r="E469" s="21" t="n">
        <f aca="false">E467*(1-E468)</f>
        <v>2392.33326976113</v>
      </c>
      <c r="F469" s="21" t="n">
        <f aca="false">F467*(1-F468)</f>
        <v>2304.74692126657</v>
      </c>
      <c r="G469" s="21" t="n">
        <f aca="false">G467*(1-G468)</f>
        <v>2072.74035743025</v>
      </c>
    </row>
    <row r="470" customFormat="false" ht="17.15" hidden="false" customHeight="false" outlineLevel="0" collapsed="false">
      <c r="A470" s="6" t="s">
        <v>591</v>
      </c>
    </row>
    <row r="471" customFormat="false" ht="17.15" hidden="false" customHeight="false" outlineLevel="0" collapsed="false">
      <c r="A471" s="0" t="s">
        <v>592</v>
      </c>
      <c r="B471" s="4" t="s">
        <v>85</v>
      </c>
      <c r="D471" s="18" t="n">
        <f aca="false">gu_26*1</f>
        <v>8.35</v>
      </c>
      <c r="E471" s="18" t="n">
        <f aca="false">gu_27*1*1</f>
        <v>11.2</v>
      </c>
      <c r="F471" s="18" t="n">
        <f aca="false">gu_28*um28_A*1</f>
        <v>11.5</v>
      </c>
      <c r="G471" s="18" t="n">
        <f aca="false">gu_29*um29_A*1</f>
        <v>12.9</v>
      </c>
    </row>
    <row r="472" customFormat="false" ht="15" hidden="false" customHeight="false" outlineLevel="0" collapsed="false">
      <c r="A472" s="4" t="s">
        <v>593</v>
      </c>
      <c r="B472" s="0" t="s">
        <v>52</v>
      </c>
      <c r="D472" s="20" t="n">
        <f aca="false">bsh_26</f>
        <v>0.5</v>
      </c>
      <c r="E472" s="20" t="n">
        <f aca="false">bsh_26*brel_27</f>
        <v>0.5</v>
      </c>
      <c r="F472" s="20" t="n">
        <f aca="false">bsh_26*brel_28</f>
        <v>0.475</v>
      </c>
      <c r="G472" s="20" t="n">
        <f aca="false">bsh_26*brel_29</f>
        <v>0.45</v>
      </c>
    </row>
    <row r="473" customFormat="false" ht="17.15" hidden="false" customHeight="false" outlineLevel="0" collapsed="false">
      <c r="A473" s="4" t="s">
        <v>594</v>
      </c>
      <c r="B473" s="0" t="s">
        <v>543</v>
      </c>
      <c r="D473" s="24" t="n">
        <f aca="false">a26_brd/fx/D471/D472*1000</f>
        <v>823.353293413174</v>
      </c>
      <c r="E473" s="24" t="n">
        <f aca="false">$D473*bv_27</f>
        <v>946.85628742515</v>
      </c>
      <c r="F473" s="24" t="n">
        <f aca="false">$D473*bv_28</f>
        <v>988.023952095808</v>
      </c>
      <c r="G473" s="24" t="n">
        <f aca="false">$D473*bv_29</f>
        <v>988.023952095808</v>
      </c>
      <c r="K473" s="8" t="s">
        <v>595</v>
      </c>
    </row>
    <row r="474" customFormat="false" ht="17.15" hidden="false" customHeight="false" outlineLevel="0" collapsed="false">
      <c r="A474" s="0" t="s">
        <v>545</v>
      </c>
      <c r="B474" s="0" t="s">
        <v>151</v>
      </c>
      <c r="D474" s="21" t="n">
        <f aca="false">D471*D472*D473*fx/1000</f>
        <v>110</v>
      </c>
      <c r="E474" s="21" t="n">
        <f aca="false">E471*E472*E473*fx/1000</f>
        <v>169.676646706587</v>
      </c>
      <c r="F474" s="21" t="n">
        <f aca="false">F471*F472*F473*fx/1000</f>
        <v>172.706586826347</v>
      </c>
      <c r="G474" s="21" t="n">
        <f aca="false">G471*G472*G473*fx/1000</f>
        <v>183.535329341317</v>
      </c>
    </row>
    <row r="475" customFormat="false" ht="17.15" hidden="false" customHeight="false" outlineLevel="0" collapsed="false">
      <c r="A475" s="6" t="s">
        <v>596</v>
      </c>
    </row>
    <row r="476" customFormat="false" ht="15" hidden="false" customHeight="false" outlineLevel="0" collapsed="false">
      <c r="A476" s="4" t="s">
        <v>597</v>
      </c>
      <c r="B476" s="0" t="s">
        <v>151</v>
      </c>
      <c r="D476" s="21" t="n">
        <f aca="false">a26_gen</f>
        <v>150</v>
      </c>
      <c r="E476" s="21" t="n">
        <f aca="false">D476*(1+g_gen27)</f>
        <v>180</v>
      </c>
      <c r="F476" s="21" t="n">
        <f aca="false">E476*(1+g_gen28)</f>
        <v>198</v>
      </c>
      <c r="G476" s="21" t="n">
        <f aca="false">F476*(1+g_gen29)</f>
        <v>213.84</v>
      </c>
    </row>
    <row r="477" customFormat="false" ht="15" hidden="false" customHeight="false" outlineLevel="0" collapsed="false">
      <c r="A477" s="4" t="s">
        <v>598</v>
      </c>
      <c r="B477" s="0" t="s">
        <v>151</v>
      </c>
      <c r="D477" s="21" t="n">
        <f aca="false">a26_pc</f>
        <v>614.602793131557</v>
      </c>
      <c r="E477" s="21" t="n">
        <f aca="false">D477*(1+g_pc27)</f>
        <v>596.16470933761</v>
      </c>
      <c r="F477" s="21" t="n">
        <f aca="false">E477*(1+g_pc28)</f>
        <v>596.16470933761</v>
      </c>
      <c r="G477" s="21" t="n">
        <f aca="false">F477*(1+g_pc29)</f>
        <v>596.16470933761</v>
      </c>
    </row>
    <row r="478" customFormat="false" ht="15" hidden="false" customHeight="false" outlineLevel="0" collapsed="false">
      <c r="A478" s="4" t="s">
        <v>599</v>
      </c>
      <c r="B478" s="0" t="s">
        <v>151</v>
      </c>
      <c r="C478" s="21" t="n">
        <f aca="false">a25_srev</f>
        <v>1235.86</v>
      </c>
      <c r="D478" s="21" t="n">
        <f aca="false">D469+D474+D476+D477</f>
        <v>2651.72505421038</v>
      </c>
      <c r="E478" s="21" t="n">
        <f aca="false">E469+E474+E476+E477</f>
        <v>3338.17462580533</v>
      </c>
      <c r="F478" s="21" t="n">
        <f aca="false">F469+F474+F476+F477</f>
        <v>3271.61821743052</v>
      </c>
      <c r="G478" s="21" t="n">
        <f aca="false">G469+G474+G476+G477</f>
        <v>3066.28039610917</v>
      </c>
    </row>
    <row r="479" customFormat="false" ht="17.15" hidden="false" customHeight="false" outlineLevel="0" collapsed="false">
      <c r="A479" s="4" t="s">
        <v>600</v>
      </c>
      <c r="B479" s="0" t="s">
        <v>52</v>
      </c>
      <c r="D479" s="20" t="n">
        <f aca="false">a26_wai/D462</f>
        <v>0.0341693013513091</v>
      </c>
      <c r="K479" s="8" t="s">
        <v>601</v>
      </c>
    </row>
    <row r="480" customFormat="false" ht="17.15" hidden="false" customHeight="false" outlineLevel="0" collapsed="false">
      <c r="A480" s="4" t="s">
        <v>527</v>
      </c>
      <c r="B480" s="0" t="s">
        <v>52</v>
      </c>
      <c r="D480" s="20" t="n">
        <f aca="false">D479</f>
        <v>0.0341693013513091</v>
      </c>
      <c r="E480" s="20" t="n">
        <f aca="false">$D$479*wrel_27</f>
        <v>0.0341693013513091</v>
      </c>
      <c r="F480" s="20" t="n">
        <f aca="false">$D$479*wrel_28</f>
        <v>0.0341693013513091</v>
      </c>
      <c r="G480" s="20" t="n">
        <f aca="false">$D$479*wrel_29</f>
        <v>0.0324608362837436</v>
      </c>
    </row>
    <row r="481" customFormat="false" ht="17.15" hidden="false" customHeight="false" outlineLevel="0" collapsed="false">
      <c r="A481" s="4" t="s">
        <v>547</v>
      </c>
      <c r="B481" s="0" t="s">
        <v>151</v>
      </c>
      <c r="D481" s="21" t="n">
        <f aca="false">D462*D480</f>
        <v>693.900912</v>
      </c>
      <c r="E481" s="21" t="n">
        <f aca="false">E462*E480</f>
        <v>1245.4909258278</v>
      </c>
      <c r="F481" s="21" t="n">
        <f aca="false">F462*F480</f>
        <v>1578.80516693321</v>
      </c>
      <c r="G481" s="21" t="n">
        <f aca="false">G462*G480</f>
        <v>1708.58325665923</v>
      </c>
    </row>
    <row r="482" customFormat="false" ht="17.15" hidden="false" customHeight="false" outlineLevel="0" collapsed="false">
      <c r="A482" s="4" t="s">
        <v>602</v>
      </c>
      <c r="B482" s="0" t="s">
        <v>151</v>
      </c>
      <c r="D482" s="21" t="n">
        <f aca="false">a26_wna</f>
        <v>751.725988</v>
      </c>
      <c r="E482" s="21" t="n">
        <f aca="false">D482*(1+g_wn27)</f>
        <v>826.8985868</v>
      </c>
      <c r="F482" s="21" t="n">
        <f aca="false">E482*(1+g_wn28)</f>
        <v>876.512502008</v>
      </c>
      <c r="G482" s="21" t="n">
        <f aca="false">F482*(1+g_wn29)</f>
        <v>920.3381271084</v>
      </c>
    </row>
    <row r="483" customFormat="false" ht="15" hidden="false" customHeight="false" outlineLevel="0" collapsed="false">
      <c r="A483" s="4" t="s">
        <v>458</v>
      </c>
      <c r="B483" s="0" t="s">
        <v>151</v>
      </c>
      <c r="C483" s="21" t="n">
        <f aca="false">a25_wrev</f>
        <v>950.663</v>
      </c>
      <c r="D483" s="21" t="n">
        <f aca="false">D481+D482</f>
        <v>1445.6269</v>
      </c>
      <c r="E483" s="21" t="n">
        <f aca="false">E481+E482</f>
        <v>2072.3895126278</v>
      </c>
      <c r="F483" s="21" t="n">
        <f aca="false">F481+F482</f>
        <v>2455.31766894121</v>
      </c>
      <c r="G483" s="21" t="n">
        <f aca="false">G481+G482</f>
        <v>2628.92138376763</v>
      </c>
    </row>
    <row r="484" customFormat="false" ht="17.15" hidden="false" customHeight="false" outlineLevel="0" collapsed="false">
      <c r="A484" s="4" t="s">
        <v>444</v>
      </c>
      <c r="B484" s="0" t="s">
        <v>151</v>
      </c>
      <c r="C484" s="21" t="n">
        <f aca="false">C478+C483</f>
        <v>2186.523</v>
      </c>
      <c r="D484" s="21" t="n">
        <f aca="false">D478+D483</f>
        <v>4097.35195421038</v>
      </c>
      <c r="E484" s="21" t="n">
        <f aca="false">E478+E483</f>
        <v>5410.56413843313</v>
      </c>
      <c r="F484" s="21" t="n">
        <f aca="false">F478+F483</f>
        <v>5726.93588637173</v>
      </c>
      <c r="G484" s="21" t="n">
        <f aca="false">G478+G483</f>
        <v>5695.20177987681</v>
      </c>
      <c r="H484" s="26" t="n">
        <f aca="false">G484*(1+H489)</f>
        <v>5788.06697453291</v>
      </c>
      <c r="I484" s="26" t="n">
        <f aca="false">H484*(1+I489)</f>
        <v>6008.89870478737</v>
      </c>
      <c r="J484" s="26" t="n">
        <f aca="false">I484*(1+J489)</f>
        <v>6369.43262707461</v>
      </c>
      <c r="K484" s="8" t="s">
        <v>603</v>
      </c>
    </row>
    <row r="485" customFormat="false" ht="17.15" hidden="false" customHeight="false" outlineLevel="0" collapsed="false">
      <c r="A485" s="4" t="s">
        <v>604</v>
      </c>
      <c r="B485" s="0" t="s">
        <v>151</v>
      </c>
      <c r="D485" s="21" t="n">
        <f aca="false">D469+D474+D476+D483</f>
        <v>3482.74916107882</v>
      </c>
      <c r="E485" s="21" t="n">
        <f aca="false">E469+E474+E476+E483</f>
        <v>4814.39942909552</v>
      </c>
      <c r="F485" s="21" t="n">
        <f aca="false">F469+F474+F476+F483</f>
        <v>5130.77117703412</v>
      </c>
      <c r="G485" s="21" t="n">
        <f aca="false">G469+G474+G476+G483</f>
        <v>5099.03707053919</v>
      </c>
      <c r="K485" s="4" t="s">
        <v>605</v>
      </c>
    </row>
    <row r="486" customFormat="false" ht="15" hidden="false" customHeight="false" outlineLevel="0" collapsed="false">
      <c r="A486" s="4" t="s">
        <v>606</v>
      </c>
      <c r="B486" s="0" t="s">
        <v>151</v>
      </c>
      <c r="D486" s="21" t="n">
        <f aca="false">D477</f>
        <v>614.602793131557</v>
      </c>
      <c r="E486" s="21" t="n">
        <f aca="false">E477</f>
        <v>596.16470933761</v>
      </c>
      <c r="F486" s="21" t="n">
        <f aca="false">F477</f>
        <v>596.16470933761</v>
      </c>
      <c r="G486" s="21" t="n">
        <f aca="false">G477</f>
        <v>596.16470933761</v>
      </c>
      <c r="K486" s="4" t="s">
        <v>607</v>
      </c>
    </row>
    <row r="487" customFormat="false" ht="17.15" hidden="false" customHeight="false" outlineLevel="0" collapsed="false">
      <c r="A487" s="4" t="s">
        <v>608</v>
      </c>
      <c r="B487" s="0" t="s">
        <v>151</v>
      </c>
      <c r="D487" s="31" t="n">
        <f aca="false">D485+D486-D484</f>
        <v>0</v>
      </c>
      <c r="E487" s="31" t="n">
        <f aca="false">E485+E486-E484</f>
        <v>0</v>
      </c>
      <c r="F487" s="31" t="n">
        <f aca="false">F485+F486-F484</f>
        <v>0</v>
      </c>
      <c r="G487" s="31" t="n">
        <f aca="false">G485+G486-G484</f>
        <v>0</v>
      </c>
    </row>
    <row r="488" customFormat="false" ht="17.15" hidden="false" customHeight="false" outlineLevel="0" collapsed="false">
      <c r="A488" s="4" t="s">
        <v>609</v>
      </c>
      <c r="B488" s="0" t="s">
        <v>52</v>
      </c>
      <c r="D488" s="20" t="n">
        <f aca="false">D485/D484</f>
        <v>0.85</v>
      </c>
      <c r="E488" s="20" t="n">
        <f aca="false">E485/E484</f>
        <v>0.889814685847111</v>
      </c>
      <c r="F488" s="20" t="n">
        <f aca="false">F485/F484</f>
        <v>0.895901626774574</v>
      </c>
      <c r="G488" s="20" t="n">
        <f aca="false">G485/G484</f>
        <v>0.895321582556728</v>
      </c>
    </row>
    <row r="489" customFormat="false" ht="15" hidden="false" customHeight="false" outlineLevel="0" collapsed="false">
      <c r="A489" s="4" t="s">
        <v>610</v>
      </c>
      <c r="B489" s="0" t="s">
        <v>52</v>
      </c>
      <c r="D489" s="20" t="n">
        <f aca="false">D484/C484-1</f>
        <v>0.873912121761526</v>
      </c>
      <c r="E489" s="20" t="n">
        <f aca="false">E484/D484-1</f>
        <v>0.320502656080915</v>
      </c>
      <c r="F489" s="20" t="n">
        <f aca="false">F484/E484-1</f>
        <v>0.0584729687781174</v>
      </c>
      <c r="G489" s="20" t="n">
        <f aca="false">G484/F484-1</f>
        <v>-0.00554120163462002</v>
      </c>
      <c r="H489" s="27" t="n">
        <f aca="false">$G489+(fade_gA-$G489)*1/3</f>
        <v>0.01630586557692</v>
      </c>
      <c r="I489" s="27" t="n">
        <f aca="false">$G489+(fade_gA-$G489)*2/3</f>
        <v>0.03815293278846</v>
      </c>
      <c r="J489" s="27" t="n">
        <f aca="false">$G489+(fade_gA-$G489)*3/3</f>
        <v>0.06</v>
      </c>
    </row>
    <row r="490" customFormat="false" ht="17.15" hidden="false" customHeight="false" outlineLevel="0" collapsed="false">
      <c r="A490" s="0" t="s">
        <v>611</v>
      </c>
      <c r="B490" s="0" t="s">
        <v>52</v>
      </c>
      <c r="D490" s="20" t="n">
        <f aca="false">(D469+D474+D481)/D484</f>
        <v>0.629924693295288</v>
      </c>
      <c r="E490" s="20" t="n">
        <f aca="false">(E469+E474+E481)/E484</f>
        <v>0.703716053423988</v>
      </c>
      <c r="F490" s="20" t="n">
        <f aca="false">(F469+F474+F481)/F484</f>
        <v>0.708277297931467</v>
      </c>
      <c r="G490" s="20" t="n">
        <f aca="false">(G469+G474+G481)/G484</f>
        <v>0.696175323838405</v>
      </c>
    </row>
    <row r="491" customFormat="false" ht="17.15" hidden="false" customHeight="false" outlineLevel="0" collapsed="false">
      <c r="A491" s="4" t="s">
        <v>612</v>
      </c>
      <c r="B491" s="0" t="s">
        <v>52</v>
      </c>
      <c r="C491" s="20" t="n">
        <f aca="false">C483/C484</f>
        <v>0.434782986504144</v>
      </c>
      <c r="D491" s="20" t="n">
        <f aca="false">D483/D484</f>
        <v>0.352819800728736</v>
      </c>
      <c r="E491" s="20" t="n">
        <f aca="false">E483/E484</f>
        <v>0.383026512504841</v>
      </c>
      <c r="F491" s="20" t="n">
        <f aca="false">F483/F484</f>
        <v>0.428731474850989</v>
      </c>
      <c r="G491" s="20" t="n">
        <f aca="false">G483/G484</f>
        <v>0.461602851905363</v>
      </c>
    </row>
    <row r="492" customFormat="false" ht="17.15" hidden="false" customHeight="false" outlineLevel="0" collapsed="false">
      <c r="A492" s="4" t="s">
        <v>613</v>
      </c>
      <c r="B492" s="4" t="s">
        <v>335</v>
      </c>
      <c r="D492" s="21" t="n">
        <f aca="false">D467/fx/(odm_gb*(1-vr26)+odm_vr*vr26)</f>
        <v>12.0597330420658</v>
      </c>
      <c r="E492" s="21" t="n">
        <f aca="false">E467/fx/odm_vr</f>
        <v>14.7674893195132</v>
      </c>
      <c r="F492" s="21" t="n">
        <f aca="false">F467/fx/odm_vr</f>
        <v>17.7835410591556</v>
      </c>
      <c r="G492" s="21" t="n">
        <f aca="false">G467/fx/odm_vr</f>
        <v>19.1920403465763</v>
      </c>
      <c r="K492" s="4" t="s">
        <v>614</v>
      </c>
    </row>
    <row r="493" customFormat="false" ht="17.15" hidden="false" customHeight="false" outlineLevel="0" collapsed="false">
      <c r="A493" s="6" t="s">
        <v>615</v>
      </c>
    </row>
    <row r="494" customFormat="false" ht="17.15" hidden="false" customHeight="false" outlineLevel="0" collapsed="false">
      <c r="A494" s="4" t="s">
        <v>616</v>
      </c>
      <c r="B494" s="0" t="s">
        <v>52</v>
      </c>
      <c r="D494" s="14" t="n">
        <f aca="false">(a26_sgp-d_ai*D469-d_brd*D474-d_gen*D476)/D478</f>
        <v>0.0436423860147897</v>
      </c>
      <c r="K494" s="8" t="s">
        <v>617</v>
      </c>
    </row>
    <row r="495" customFormat="false" ht="17.15" hidden="false" customHeight="false" outlineLevel="0" collapsed="false">
      <c r="A495" s="4" t="s">
        <v>618</v>
      </c>
      <c r="B495" s="0" t="s">
        <v>151</v>
      </c>
      <c r="D495" s="25" t="n">
        <f aca="false">($D$494+d_ai)*D467*(1-D468*(1-keep))</f>
        <v>59.7866331026896</v>
      </c>
      <c r="E495" s="25" t="n">
        <f aca="false">($D$494+d_ai+vrd)*E467*(1-E468*(1-keep))</f>
        <v>98.4088726371476</v>
      </c>
      <c r="F495" s="25" t="n">
        <f aca="false">($D$494+d_ai+vrd)*F467*(1-F468*(1-keep))</f>
        <v>116.684306798584</v>
      </c>
      <c r="G495" s="25" t="n">
        <f aca="false">($D$494+d_ai+vrd)*G467*(1-G468*(1-keep))</f>
        <v>124.614255946658</v>
      </c>
    </row>
    <row r="496" customFormat="false" ht="15" hidden="false" customHeight="false" outlineLevel="0" collapsed="false">
      <c r="A496" s="4" t="s">
        <v>619</v>
      </c>
      <c r="B496" s="0" t="s">
        <v>151</v>
      </c>
      <c r="C496" s="21" t="n">
        <f aca="false">a25_sgp</f>
        <v>55.529</v>
      </c>
      <c r="D496" s="21" t="n">
        <f aca="false">a26_sgp</f>
        <v>103.50638581015</v>
      </c>
      <c r="E496" s="21" t="n">
        <f aca="false">$D$494*E477+($D$494+d_brd)*E474+($D$494+d_gen)*E476+E495</f>
        <v>147.477945607578</v>
      </c>
      <c r="F496" s="21" t="n">
        <f aca="false">$D$494*F477+($D$494+d_brd)*F474+($D$494+d_gen)*F476+F495</f>
        <v>167.032074737182</v>
      </c>
      <c r="G496" s="21" t="n">
        <f aca="false">$D$494*G477+($D$494+d_brd)*G474+($D$494+d_gen)*G476+G495</f>
        <v>176.688373716072</v>
      </c>
    </row>
    <row r="497" customFormat="false" ht="15" hidden="false" customHeight="false" outlineLevel="0" collapsed="false">
      <c r="A497" s="4" t="s">
        <v>620</v>
      </c>
      <c r="B497" s="0" t="s">
        <v>52</v>
      </c>
      <c r="C497" s="14" t="n">
        <f aca="false">C496/C478</f>
        <v>0.0449314647290146</v>
      </c>
      <c r="D497" s="14" t="n">
        <f aca="false">D496/D478</f>
        <v>0.0390336040479778</v>
      </c>
      <c r="E497" s="14" t="n">
        <f aca="false">E496/E478</f>
        <v>0.0441792183271417</v>
      </c>
      <c r="F497" s="14" t="n">
        <f aca="false">F496/F478</f>
        <v>0.0510548797678373</v>
      </c>
      <c r="G497" s="14" t="n">
        <f aca="false">G496/G478</f>
        <v>0.0576230321076551</v>
      </c>
    </row>
    <row r="498" customFormat="false" ht="15" hidden="false" customHeight="false" outlineLevel="0" collapsed="false">
      <c r="A498" s="4" t="s">
        <v>621</v>
      </c>
      <c r="B498" s="0" t="s">
        <v>52</v>
      </c>
      <c r="E498" s="20" t="n">
        <f aca="false">MAX(0,phi*(E478/D478-1))</f>
        <v>0.0776607179358601</v>
      </c>
      <c r="F498" s="20" t="n">
        <f aca="false">MAX(0,phi*(F478/E478-1))</f>
        <v>0</v>
      </c>
      <c r="G498" s="20" t="n">
        <f aca="false">MAX(0,phi*(G478/F478-1))</f>
        <v>0</v>
      </c>
    </row>
    <row r="499" customFormat="false" ht="15" hidden="false" customHeight="false" outlineLevel="0" collapsed="false">
      <c r="A499" s="4" t="s">
        <v>622</v>
      </c>
      <c r="B499" s="0" t="s">
        <v>151</v>
      </c>
      <c r="C499" s="21" t="n">
        <f aca="false">a25_sopx</f>
        <v>40.894</v>
      </c>
      <c r="D499" s="21" t="n">
        <f aca="false">a26_sopx</f>
        <v>46.9914095398923</v>
      </c>
      <c r="E499" s="21" t="n">
        <f aca="false">D499*(1+E498)+0*E478</f>
        <v>50.6407961415783</v>
      </c>
      <c r="F499" s="21" t="n">
        <f aca="false">E499*(1+F498)+0*F478</f>
        <v>50.6407961415783</v>
      </c>
      <c r="G499" s="21" t="n">
        <f aca="false">F499*(1+G498)+0*G478</f>
        <v>50.6407961415783</v>
      </c>
    </row>
    <row r="500" customFormat="false" ht="15" hidden="false" customHeight="false" outlineLevel="0" collapsed="false">
      <c r="A500" s="4" t="s">
        <v>623</v>
      </c>
      <c r="B500" s="0" t="s">
        <v>151</v>
      </c>
      <c r="C500" s="21" t="n">
        <f aca="false">C496-C499</f>
        <v>14.635</v>
      </c>
      <c r="D500" s="21" t="n">
        <f aca="false">D496-D499</f>
        <v>56.514976270258</v>
      </c>
      <c r="E500" s="21" t="n">
        <f aca="false">E496-E499</f>
        <v>96.8371494659998</v>
      </c>
      <c r="F500" s="21" t="n">
        <f aca="false">F496-F499</f>
        <v>116.391278595603</v>
      </c>
      <c r="G500" s="21" t="n">
        <f aca="false">G496-G499</f>
        <v>126.047577574494</v>
      </c>
    </row>
    <row r="501" customFormat="false" ht="15" hidden="false" customHeight="false" outlineLevel="0" collapsed="false">
      <c r="A501" s="4" t="s">
        <v>624</v>
      </c>
      <c r="B501" s="0" t="s">
        <v>52</v>
      </c>
      <c r="C501" s="14" t="n">
        <f aca="false">C500/C478</f>
        <v>0.011841956208632</v>
      </c>
      <c r="D501" s="14" t="n">
        <f aca="false">D500/D478</f>
        <v>0.0213125324514788</v>
      </c>
      <c r="E501" s="14" t="n">
        <f aca="false">E500/E478</f>
        <v>0.0290090125056409</v>
      </c>
      <c r="F501" s="14" t="n">
        <f aca="false">F500/F478</f>
        <v>0.0355760577366558</v>
      </c>
      <c r="G501" s="14" t="n">
        <f aca="false">G500/G478</f>
        <v>0.0411076487768166</v>
      </c>
    </row>
    <row r="502" customFormat="false" ht="15" hidden="false" customHeight="false" outlineLevel="0" collapsed="false">
      <c r="A502" s="4" t="s">
        <v>625</v>
      </c>
      <c r="B502" s="0" t="s">
        <v>151</v>
      </c>
      <c r="C502" s="21" t="n">
        <f aca="false">a25_sni</f>
        <v>6.9608</v>
      </c>
      <c r="D502" s="21" t="n">
        <f aca="false">a26_sni</f>
        <v>31.133746704</v>
      </c>
      <c r="E502" s="21" t="n">
        <f aca="false">E500*snio</f>
        <v>54.2288037009599</v>
      </c>
      <c r="F502" s="21" t="n">
        <f aca="false">F500*snio</f>
        <v>65.1791160135379</v>
      </c>
      <c r="G502" s="21" t="n">
        <f aca="false">G500*snio</f>
        <v>70.5866434417166</v>
      </c>
    </row>
    <row r="503" customFormat="false" ht="17.15" hidden="false" customHeight="false" outlineLevel="0" collapsed="false">
      <c r="A503" s="6" t="s">
        <v>626</v>
      </c>
    </row>
    <row r="504" customFormat="false" ht="15" hidden="false" customHeight="false" outlineLevel="0" collapsed="false">
      <c r="A504" s="4" t="s">
        <v>462</v>
      </c>
      <c r="B504" s="0" t="s">
        <v>151</v>
      </c>
      <c r="C504" s="21" t="n">
        <f aca="false">a25_wgp</f>
        <v>78.454</v>
      </c>
      <c r="D504" s="21" t="n">
        <f aca="false">a26_wgp</f>
        <v>125.0519932</v>
      </c>
      <c r="E504" s="21" t="n">
        <f aca="false">E483*wgm</f>
        <v>176.153108573363</v>
      </c>
      <c r="F504" s="21" t="n">
        <f aca="false">F483*wgm</f>
        <v>208.702001860003</v>
      </c>
      <c r="G504" s="21" t="n">
        <f aca="false">G483*wgm</f>
        <v>223.458317620249</v>
      </c>
    </row>
    <row r="505" customFormat="false" ht="15" hidden="false" customHeight="false" outlineLevel="0" collapsed="false">
      <c r="A505" s="4" t="s">
        <v>464</v>
      </c>
      <c r="B505" s="0" t="s">
        <v>151</v>
      </c>
      <c r="C505" s="21" t="n">
        <f aca="false">a25_woi</f>
        <v>63.918</v>
      </c>
      <c r="D505" s="21" t="n">
        <f aca="false">a26_woi</f>
        <v>98.2471632</v>
      </c>
      <c r="E505" s="21" t="n">
        <f aca="false">E483*wopm</f>
        <v>134.705318320807</v>
      </c>
      <c r="F505" s="21" t="n">
        <f aca="false">F483*wopm</f>
        <v>159.595648481179</v>
      </c>
      <c r="G505" s="21" t="n">
        <f aca="false">G483*wopm</f>
        <v>170.879889944896</v>
      </c>
    </row>
    <row r="506" customFormat="false" ht="15" hidden="false" customHeight="false" outlineLevel="0" collapsed="false">
      <c r="A506" s="4" t="s">
        <v>472</v>
      </c>
      <c r="B506" s="0" t="s">
        <v>151</v>
      </c>
      <c r="C506" s="21" t="n">
        <f aca="false">a25_wni</f>
        <v>51.118</v>
      </c>
      <c r="D506" s="21" t="n">
        <f aca="false">a26_wni</f>
        <v>75.735026884</v>
      </c>
      <c r="E506" s="21" t="n">
        <f aca="false">E505*wnio</f>
        <v>105.07014829023</v>
      </c>
      <c r="F506" s="21" t="n">
        <f aca="false">F505*wnio</f>
        <v>124.484605815319</v>
      </c>
      <c r="G506" s="21" t="n">
        <f aca="false">G505*wnio</f>
        <v>133.286314157019</v>
      </c>
    </row>
    <row r="507" customFormat="false" ht="15" hidden="false" customHeight="false" outlineLevel="0" collapsed="false">
      <c r="A507" s="4" t="s">
        <v>474</v>
      </c>
      <c r="B507" s="0" t="s">
        <v>52</v>
      </c>
      <c r="C507" s="14" t="n">
        <f aca="false">stake25</f>
        <v>0.4</v>
      </c>
      <c r="D507" s="14" t="n">
        <f aca="false">stake</f>
        <v>0.3768</v>
      </c>
      <c r="E507" s="14" t="n">
        <f aca="false">stake</f>
        <v>0.3768</v>
      </c>
      <c r="F507" s="14" t="n">
        <f aca="false">stake</f>
        <v>0.3768</v>
      </c>
      <c r="G507" s="14" t="n">
        <f aca="false">stake</f>
        <v>0.3768</v>
      </c>
    </row>
    <row r="508" customFormat="false" ht="17.15" hidden="false" customHeight="false" outlineLevel="0" collapsed="false">
      <c r="A508" s="6" t="s">
        <v>627</v>
      </c>
    </row>
    <row r="509" customFormat="false" ht="15" hidden="false" customHeight="false" outlineLevel="0" collapsed="false">
      <c r="A509" s="4" t="s">
        <v>448</v>
      </c>
      <c r="B509" s="0" t="s">
        <v>151</v>
      </c>
      <c r="C509" s="21" t="n">
        <f aca="false">C496+C504</f>
        <v>133.983</v>
      </c>
      <c r="D509" s="21" t="n">
        <f aca="false">D496+D504</f>
        <v>228.55837901015</v>
      </c>
      <c r="E509" s="21" t="n">
        <f aca="false">E496+E504</f>
        <v>323.631054180941</v>
      </c>
      <c r="F509" s="21" t="n">
        <f aca="false">F496+F504</f>
        <v>375.734076597184</v>
      </c>
      <c r="G509" s="21" t="n">
        <f aca="false">G496+G504</f>
        <v>400.146691336321</v>
      </c>
    </row>
    <row r="510" customFormat="false" ht="15" hidden="false" customHeight="false" outlineLevel="0" collapsed="false">
      <c r="A510" s="4" t="s">
        <v>451</v>
      </c>
      <c r="B510" s="0" t="s">
        <v>52</v>
      </c>
      <c r="C510" s="14" t="n">
        <f aca="false">C509/C484</f>
        <v>0.0612767393711386</v>
      </c>
      <c r="D510" s="14" t="n">
        <f aca="false">D509/D484</f>
        <v>0.055781973714825</v>
      </c>
      <c r="E510" s="14" t="n">
        <f aca="false">E509/E484</f>
        <v>0.0598146599690181</v>
      </c>
      <c r="F510" s="14" t="n">
        <f aca="false">F509/F484</f>
        <v>0.0656082212289666</v>
      </c>
      <c r="G510" s="14" t="n">
        <f aca="false">G509/G484</f>
        <v>0.0702603185632831</v>
      </c>
    </row>
    <row r="511" customFormat="false" ht="15" hidden="false" customHeight="false" outlineLevel="0" collapsed="false">
      <c r="A511" s="4" t="s">
        <v>452</v>
      </c>
      <c r="B511" s="0" t="s">
        <v>151</v>
      </c>
      <c r="C511" s="21" t="n">
        <f aca="false">C500+C505</f>
        <v>78.553</v>
      </c>
      <c r="D511" s="21" t="n">
        <f aca="false">D500+D505</f>
        <v>154.762139470258</v>
      </c>
      <c r="E511" s="21" t="n">
        <f aca="false">E500+E505</f>
        <v>231.542467786807</v>
      </c>
      <c r="F511" s="21" t="n">
        <f aca="false">F500+F505</f>
        <v>275.986927076782</v>
      </c>
      <c r="G511" s="21" t="n">
        <f aca="false">G500+G505</f>
        <v>296.92746751939</v>
      </c>
    </row>
    <row r="512" customFormat="false" ht="15" hidden="false" customHeight="false" outlineLevel="0" collapsed="false">
      <c r="A512" s="4" t="s">
        <v>455</v>
      </c>
      <c r="B512" s="0" t="s">
        <v>52</v>
      </c>
      <c r="C512" s="14" t="n">
        <f aca="false">C511/C484</f>
        <v>0.0359259884300325</v>
      </c>
      <c r="D512" s="14" t="n">
        <f aca="false">D511/D484</f>
        <v>0.0377712584126992</v>
      </c>
      <c r="E512" s="14" t="n">
        <f aca="false">E511/E484</f>
        <v>0.0427945149272106</v>
      </c>
      <c r="F512" s="14" t="n">
        <f aca="false">F511/F484</f>
        <v>0.0481910278991497</v>
      </c>
      <c r="G512" s="14" t="n">
        <f aca="false">G511/G484</f>
        <v>0.0521364262401626</v>
      </c>
    </row>
    <row r="513" customFormat="false" ht="15" hidden="false" customHeight="false" outlineLevel="0" collapsed="false">
      <c r="A513" s="4" t="s">
        <v>485</v>
      </c>
      <c r="B513" s="0" t="s">
        <v>151</v>
      </c>
      <c r="C513" s="21" t="n">
        <f aca="false">C502+C506</f>
        <v>58.0788</v>
      </c>
      <c r="D513" s="21" t="n">
        <f aca="false">D502+D506</f>
        <v>106.868773588</v>
      </c>
      <c r="E513" s="21" t="n">
        <f aca="false">E502+E506</f>
        <v>159.298951991189</v>
      </c>
      <c r="F513" s="21" t="n">
        <f aca="false">F502+F506</f>
        <v>189.663721828857</v>
      </c>
      <c r="G513" s="21" t="n">
        <f aca="false">G502+G506</f>
        <v>203.872957598736</v>
      </c>
    </row>
    <row r="514" customFormat="false" ht="17.15" hidden="false" customHeight="false" outlineLevel="0" collapsed="false">
      <c r="A514" s="4" t="s">
        <v>628</v>
      </c>
      <c r="B514" s="0" t="s">
        <v>151</v>
      </c>
      <c r="C514" s="21" t="n">
        <f aca="false">(1-C507)*C506</f>
        <v>30.6708</v>
      </c>
      <c r="D514" s="21" t="n">
        <f aca="false">(1-D507)*D506</f>
        <v>47.1980687541088</v>
      </c>
      <c r="E514" s="21" t="n">
        <f aca="false">(1-E507)*E506</f>
        <v>65.4797164144711</v>
      </c>
      <c r="F514" s="21" t="n">
        <f aca="false">(1-F507)*F506</f>
        <v>77.578806344107</v>
      </c>
      <c r="G514" s="21" t="n">
        <f aca="false">(1-G507)*G506</f>
        <v>83.0640309826542</v>
      </c>
    </row>
    <row r="515" customFormat="false" ht="15" hidden="false" customHeight="false" outlineLevel="0" collapsed="false">
      <c r="A515" s="4" t="s">
        <v>481</v>
      </c>
      <c r="B515" s="0" t="s">
        <v>151</v>
      </c>
      <c r="C515" s="21" t="n">
        <f aca="false">C513-C514</f>
        <v>27.408</v>
      </c>
      <c r="D515" s="21" t="n">
        <f aca="false">D513-D514</f>
        <v>59.6707048338912</v>
      </c>
      <c r="E515" s="21" t="n">
        <f aca="false">E513-E514</f>
        <v>93.8192355767184</v>
      </c>
      <c r="F515" s="21" t="n">
        <f aca="false">F513-F514</f>
        <v>112.08491548475</v>
      </c>
      <c r="G515" s="21" t="n">
        <f aca="false">G513-G514</f>
        <v>120.808926616081</v>
      </c>
      <c r="H515" s="26" t="n">
        <f aca="false">H484*H520</f>
        <v>116.405745204144</v>
      </c>
      <c r="I515" s="26" t="n">
        <f aca="false">I484*I520</f>
        <v>114.230738724931</v>
      </c>
      <c r="J515" s="26" t="n">
        <f aca="false">J484*J520</f>
        <v>114.07138237312</v>
      </c>
    </row>
    <row r="516" customFormat="false" ht="17.15" hidden="false" customHeight="false" outlineLevel="0" collapsed="false">
      <c r="A516" s="4" t="s">
        <v>629</v>
      </c>
      <c r="B516" s="0" t="s">
        <v>52</v>
      </c>
      <c r="C516" s="20" t="n">
        <f aca="false">C507*C506/C515</f>
        <v>0.746030356100409</v>
      </c>
      <c r="D516" s="20" t="n">
        <f aca="false">D507*D506/D515</f>
        <v>0.478240674537551</v>
      </c>
      <c r="E516" s="20" t="n">
        <f aca="false">E507*E506/E515</f>
        <v>0.421986297718066</v>
      </c>
      <c r="F516" s="20" t="n">
        <f aca="false">F507*F506/F515</f>
        <v>0.418484496940127</v>
      </c>
      <c r="G516" s="20" t="n">
        <f aca="false">G507*G506/G515</f>
        <v>0.415716657544406</v>
      </c>
    </row>
    <row r="517" customFormat="false" ht="17.15" hidden="false" customHeight="false" outlineLevel="0" collapsed="false">
      <c r="A517" s="4" t="s">
        <v>630</v>
      </c>
      <c r="B517" s="4" t="s">
        <v>286</v>
      </c>
      <c r="C517" s="31" t="n">
        <f aca="false">a25_sh</f>
        <v>3.03185840707965</v>
      </c>
      <c r="D517" s="31" t="n">
        <f aca="false">a26_sh</f>
        <v>3.23861720409076</v>
      </c>
      <c r="E517" s="31" t="n">
        <f aca="false">q_sh4*(1+sh_g)</f>
        <v>3.43</v>
      </c>
      <c r="F517" s="31" t="n">
        <f aca="false">E517*(1+sh_g)</f>
        <v>3.43</v>
      </c>
      <c r="G517" s="31" t="n">
        <f aca="false">F517*(1+sh_g)</f>
        <v>3.43</v>
      </c>
      <c r="H517" s="32" t="n">
        <f aca="false">G517*(1+sh_g)</f>
        <v>3.43</v>
      </c>
      <c r="I517" s="32" t="n">
        <f aca="false">H517*(1+sh_g)</f>
        <v>3.43</v>
      </c>
      <c r="J517" s="32" t="n">
        <f aca="false">I517*(1+sh_g)</f>
        <v>3.43</v>
      </c>
      <c r="K517" s="8" t="s">
        <v>631</v>
      </c>
    </row>
    <row r="518" customFormat="false" ht="15" hidden="false" customHeight="false" outlineLevel="0" collapsed="false">
      <c r="A518" s="0" t="s">
        <v>488</v>
      </c>
      <c r="B518" s="0" t="s">
        <v>316</v>
      </c>
      <c r="C518" s="18" t="n">
        <f aca="false">C515/C517</f>
        <v>9.04</v>
      </c>
      <c r="D518" s="18" t="n">
        <f aca="false">D515/D517</f>
        <v>18.4247476850676</v>
      </c>
      <c r="E518" s="18" t="n">
        <f aca="false">E515/E517</f>
        <v>27.3525468153698</v>
      </c>
      <c r="F518" s="18" t="n">
        <f aca="false">F515/F517</f>
        <v>32.6778179255831</v>
      </c>
      <c r="G518" s="18" t="n">
        <f aca="false">G515/G517</f>
        <v>35.2212614041054</v>
      </c>
      <c r="H518" s="29" t="n">
        <f aca="false">H515/H517</f>
        <v>33.9375350449399</v>
      </c>
      <c r="I518" s="29" t="n">
        <f aca="false">I515/I517</f>
        <v>33.3034223687847</v>
      </c>
      <c r="J518" s="29" t="n">
        <f aca="false">J515/J517</f>
        <v>33.2569627909971</v>
      </c>
    </row>
    <row r="519" customFormat="false" ht="17.15" hidden="false" customHeight="false" outlineLevel="0" collapsed="false">
      <c r="A519" s="0" t="s">
        <v>632</v>
      </c>
      <c r="B519" s="0" t="s">
        <v>52</v>
      </c>
      <c r="D519" s="20" t="n">
        <f aca="false">D518/C518-1</f>
        <v>1.03813580587031</v>
      </c>
      <c r="E519" s="20" t="n">
        <f aca="false">E518/D518-1</f>
        <v>0.484554756618881</v>
      </c>
      <c r="F519" s="20" t="n">
        <f aca="false">F518/E518-1</f>
        <v>0.194690137856596</v>
      </c>
      <c r="G519" s="20" t="n">
        <f aca="false">G518/F518-1</f>
        <v>0.0778339448586922</v>
      </c>
      <c r="H519" s="27" t="n">
        <f aca="false">H518/G518-1</f>
        <v>-0.0364474839341166</v>
      </c>
      <c r="I519" s="27" t="n">
        <f aca="false">I518/H518-1</f>
        <v>-0.0186847004449658</v>
      </c>
      <c r="J519" s="27" t="n">
        <f aca="false">J518/I518-1</f>
        <v>-0.00139503914261796</v>
      </c>
    </row>
    <row r="520" customFormat="false" ht="17.15" hidden="false" customHeight="false" outlineLevel="0" collapsed="false">
      <c r="A520" s="4" t="s">
        <v>633</v>
      </c>
      <c r="B520" s="0" t="s">
        <v>52</v>
      </c>
      <c r="C520" s="14" t="n">
        <f aca="false">C515/C484</f>
        <v>0.0125349699042727</v>
      </c>
      <c r="D520" s="14" t="n">
        <f aca="false">D515/D484</f>
        <v>0.0145632363293992</v>
      </c>
      <c r="E520" s="14" t="n">
        <f aca="false">E515/E484</f>
        <v>0.0173400098725912</v>
      </c>
      <c r="F520" s="14" t="n">
        <f aca="false">F515/F484</f>
        <v>0.0195715331389472</v>
      </c>
      <c r="G520" s="14" t="n">
        <f aca="false">G515/G484</f>
        <v>0.0212124049832515</v>
      </c>
      <c r="H520" s="28" t="n">
        <f aca="false">$G520+(fade_mA-$G520)*1/3</f>
        <v>0.0201113334929124</v>
      </c>
      <c r="I520" s="28" t="n">
        <f aca="false">$G520+(fade_mA-$G520)*2/3</f>
        <v>0.0190102620025733</v>
      </c>
      <c r="J520" s="28" t="n">
        <f aca="false">$G520+(fade_mA-$G520)*3/3</f>
        <v>0.0179091905122343</v>
      </c>
    </row>
    <row r="523" customFormat="false" ht="17.15" hidden="false" customHeight="false" outlineLevel="0" collapsed="false">
      <c r="A523" s="1" t="s">
        <v>954</v>
      </c>
    </row>
    <row r="524" customFormat="false" ht="17.15" hidden="false" customHeight="false" outlineLevel="0" collapsed="false">
      <c r="A524" s="5" t="s">
        <v>21</v>
      </c>
      <c r="B524" s="5" t="s">
        <v>22</v>
      </c>
      <c r="C524" s="15" t="s">
        <v>438</v>
      </c>
      <c r="D524" s="15" t="s">
        <v>552</v>
      </c>
      <c r="E524" s="15" t="s">
        <v>553</v>
      </c>
      <c r="F524" s="15" t="s">
        <v>554</v>
      </c>
      <c r="G524" s="15" t="s">
        <v>555</v>
      </c>
      <c r="H524" s="15" t="s">
        <v>556</v>
      </c>
      <c r="I524" s="15" t="s">
        <v>557</v>
      </c>
      <c r="J524" s="15" t="s">
        <v>558</v>
      </c>
      <c r="K524" s="5" t="s">
        <v>420</v>
      </c>
    </row>
    <row r="525" customFormat="false" ht="17.15" hidden="false" customHeight="false" outlineLevel="0" collapsed="false">
      <c r="A525" s="6" t="s">
        <v>573</v>
      </c>
    </row>
    <row r="526" customFormat="false" ht="17.15" hidden="false" customHeight="false" outlineLevel="0" collapsed="false">
      <c r="A526" s="0" t="s">
        <v>574</v>
      </c>
      <c r="B526" s="0" t="s">
        <v>32</v>
      </c>
      <c r="D526" s="21" t="n">
        <f aca="false">itc_26*1</f>
        <v>781.872916666666</v>
      </c>
      <c r="E526" s="21" t="n">
        <f aca="false">itc_27*1*1</f>
        <v>1565.35</v>
      </c>
      <c r="F526" s="21" t="n">
        <f aca="false">itc_28*um28_A*1</f>
        <v>1984.26388888889</v>
      </c>
      <c r="G526" s="21" t="n">
        <f aca="false">itc_29*um29_A*1</f>
        <v>2260.39027777778</v>
      </c>
    </row>
    <row r="527" customFormat="false" ht="17.15" hidden="false" customHeight="false" outlineLevel="0" collapsed="false">
      <c r="A527" s="4" t="s">
        <v>575</v>
      </c>
      <c r="B527" s="0" t="s">
        <v>32</v>
      </c>
      <c r="D527" s="21" t="n">
        <f aca="false">itpg_gb*(1-vr26)+itpg_vr*vr26</f>
        <v>33.41403216</v>
      </c>
      <c r="E527" s="21" t="n">
        <f aca="false">itpg_vr</f>
        <v>37.586352</v>
      </c>
      <c r="F527" s="21" t="n">
        <f aca="false">itpg_vr</f>
        <v>37.586352</v>
      </c>
      <c r="G527" s="21" t="n">
        <f aca="false">itpg_vr</f>
        <v>37.586352</v>
      </c>
    </row>
    <row r="528" customFormat="false" ht="17.15" hidden="false" customHeight="false" outlineLevel="0" collapsed="false">
      <c r="A528" s="4" t="s">
        <v>576</v>
      </c>
      <c r="B528" s="0" t="s">
        <v>521</v>
      </c>
      <c r="D528" s="22" t="n">
        <f aca="false">D526/D527</f>
        <v>23.3995380420639</v>
      </c>
      <c r="E528" s="22" t="n">
        <f aca="false">E526/E527</f>
        <v>41.6467658260637</v>
      </c>
      <c r="F528" s="22" t="n">
        <f aca="false">F526/F527</f>
        <v>52.792138191248</v>
      </c>
      <c r="G528" s="22" t="n">
        <f aca="false">G526/G527</f>
        <v>60.1385917361116</v>
      </c>
    </row>
    <row r="529" customFormat="false" ht="17.15" hidden="false" customHeight="false" outlineLevel="0" collapsed="false">
      <c r="A529" s="4" t="s">
        <v>577</v>
      </c>
      <c r="B529" s="0" t="s">
        <v>578</v>
      </c>
      <c r="D529" s="18" t="n">
        <f aca="false">(racks_gb*odm_gb*(1-vr26)+racks_vr*odm_vr*vr26)/1000</f>
        <v>27.1209</v>
      </c>
      <c r="E529" s="18" t="n">
        <f aca="false">racks_vr*odm_vr/1000</f>
        <v>27.351</v>
      </c>
      <c r="F529" s="18" t="n">
        <f aca="false">$E529*vpg_28</f>
        <v>27.351</v>
      </c>
      <c r="G529" s="18" t="n">
        <f aca="false">$E529*vpg_29</f>
        <v>27.351</v>
      </c>
      <c r="K529" s="4" t="s">
        <v>579</v>
      </c>
    </row>
    <row r="530" customFormat="false" ht="17.15" hidden="false" customHeight="false" outlineLevel="0" collapsed="false">
      <c r="A530" s="0" t="s">
        <v>580</v>
      </c>
      <c r="B530" s="0" t="s">
        <v>32</v>
      </c>
      <c r="D530" s="21" t="n">
        <f aca="false">D528*D529</f>
        <v>634.61653128501</v>
      </c>
      <c r="E530" s="21" t="n">
        <f aca="false">E528*E529</f>
        <v>1139.08069210867</v>
      </c>
      <c r="F530" s="21" t="n">
        <f aca="false">F528*F529</f>
        <v>1443.91777166882</v>
      </c>
      <c r="G530" s="21" t="n">
        <f aca="false">G528*G529</f>
        <v>1644.85062257439</v>
      </c>
    </row>
    <row r="531" customFormat="false" ht="17.15" hidden="false" customHeight="false" outlineLevel="0" collapsed="false">
      <c r="A531" s="0" t="s">
        <v>581</v>
      </c>
      <c r="B531" s="0" t="s">
        <v>151</v>
      </c>
      <c r="D531" s="21" t="n">
        <f aca="false">D530*fx</f>
        <v>20307.7290011203</v>
      </c>
      <c r="E531" s="21" t="n">
        <f aca="false">E530*fx</f>
        <v>36450.5821474774</v>
      </c>
      <c r="F531" s="21" t="n">
        <f aca="false">F530*fx</f>
        <v>46205.3686934024</v>
      </c>
      <c r="G531" s="21" t="n">
        <f aca="false">G530*fx</f>
        <v>52635.2199223804</v>
      </c>
    </row>
    <row r="532" customFormat="false" ht="17.15" hidden="false" customHeight="false" outlineLevel="0" collapsed="false">
      <c r="A532" s="6" t="s">
        <v>582</v>
      </c>
    </row>
    <row r="533" customFormat="false" ht="17.15" hidden="false" customHeight="false" outlineLevel="0" collapsed="false">
      <c r="A533" s="4" t="s">
        <v>583</v>
      </c>
      <c r="B533" s="0" t="s">
        <v>52</v>
      </c>
      <c r="D533" s="20" t="n">
        <f aca="false">a26_ais/D531</f>
        <v>0.0875096501918447</v>
      </c>
      <c r="K533" s="8" t="s">
        <v>584</v>
      </c>
    </row>
    <row r="534" customFormat="false" ht="17.15" hidden="false" customHeight="false" outlineLevel="0" collapsed="false">
      <c r="A534" s="4" t="s">
        <v>585</v>
      </c>
      <c r="B534" s="0" t="s">
        <v>64</v>
      </c>
      <c r="D534" s="18" t="n">
        <f aca="false">1</f>
        <v>1</v>
      </c>
      <c r="E534" s="18" t="n">
        <f aca="false">rel_27</f>
        <v>1</v>
      </c>
      <c r="F534" s="18" t="n">
        <f aca="false">rel_28</f>
        <v>0.95</v>
      </c>
      <c r="G534" s="18" t="n">
        <f aca="false">rel_29</f>
        <v>0.9</v>
      </c>
    </row>
    <row r="535" customFormat="false" ht="17.15" hidden="false" customHeight="false" outlineLevel="0" collapsed="false">
      <c r="A535" s="4" t="s">
        <v>586</v>
      </c>
      <c r="B535" s="0" t="s">
        <v>52</v>
      </c>
      <c r="D535" s="20" t="n">
        <f aca="false">$D$533*D534</f>
        <v>0.0875096501918447</v>
      </c>
      <c r="E535" s="20" t="n">
        <f aca="false">$D$533*E534</f>
        <v>0.0875096501918447</v>
      </c>
      <c r="F535" s="20" t="n">
        <f aca="false">$D$533*F534</f>
        <v>0.0831341676822525</v>
      </c>
      <c r="G535" s="20" t="n">
        <f aca="false">$D$533*G534</f>
        <v>0.0787586851726602</v>
      </c>
    </row>
    <row r="536" customFormat="false" ht="17.15" hidden="false" customHeight="false" outlineLevel="0" collapsed="false">
      <c r="A536" s="4" t="s">
        <v>587</v>
      </c>
      <c r="B536" s="0" t="s">
        <v>151</v>
      </c>
      <c r="D536" s="21" t="n">
        <f aca="false">D531*D535</f>
        <v>1777.12226107882</v>
      </c>
      <c r="E536" s="21" t="n">
        <f aca="false">E531*E535</f>
        <v>3189.77769301484</v>
      </c>
      <c r="F536" s="21" t="n">
        <f aca="false">F531*F535</f>
        <v>3841.24486877761</v>
      </c>
      <c r="G536" s="21" t="n">
        <f aca="false">G531*G535</f>
        <v>4145.48071486049</v>
      </c>
    </row>
    <row r="537" customFormat="false" ht="17.15" hidden="false" customHeight="false" outlineLevel="0" collapsed="false">
      <c r="A537" s="4" t="s">
        <v>588</v>
      </c>
      <c r="B537" s="0" t="s">
        <v>52</v>
      </c>
      <c r="D537" s="20" t="n">
        <f aca="false">0</f>
        <v>0</v>
      </c>
      <c r="E537" s="20" t="n">
        <f aca="false">cs_27</f>
        <v>0.1</v>
      </c>
      <c r="F537" s="20" t="n">
        <f aca="false">cs_28</f>
        <v>0.2</v>
      </c>
      <c r="G537" s="20" t="n">
        <f aca="false">cs_29</f>
        <v>0.25</v>
      </c>
      <c r="K537" s="8" t="s">
        <v>589</v>
      </c>
    </row>
    <row r="538" customFormat="false" ht="17.15" hidden="false" customHeight="false" outlineLevel="0" collapsed="false">
      <c r="A538" s="4" t="s">
        <v>590</v>
      </c>
      <c r="B538" s="0" t="s">
        <v>151</v>
      </c>
      <c r="D538" s="21" t="n">
        <f aca="false">D536*(1-D537)</f>
        <v>1777.12226107882</v>
      </c>
      <c r="E538" s="21" t="n">
        <f aca="false">E536*(1-E537)</f>
        <v>2870.79992371336</v>
      </c>
      <c r="F538" s="21" t="n">
        <f aca="false">F536*(1-F537)</f>
        <v>3072.99589502209</v>
      </c>
      <c r="G538" s="21" t="n">
        <f aca="false">G536*(1-G537)</f>
        <v>3109.11053614537</v>
      </c>
    </row>
    <row r="539" customFormat="false" ht="17.15" hidden="false" customHeight="false" outlineLevel="0" collapsed="false">
      <c r="A539" s="6" t="s">
        <v>591</v>
      </c>
    </row>
    <row r="540" customFormat="false" ht="17.15" hidden="false" customHeight="false" outlineLevel="0" collapsed="false">
      <c r="A540" s="0" t="s">
        <v>592</v>
      </c>
      <c r="B540" s="4" t="s">
        <v>85</v>
      </c>
      <c r="D540" s="18" t="n">
        <f aca="false">gu_26*1</f>
        <v>8.35</v>
      </c>
      <c r="E540" s="18" t="n">
        <f aca="false">gu_27*1*1</f>
        <v>11.2</v>
      </c>
      <c r="F540" s="18" t="n">
        <f aca="false">gu_28*um28_A*1</f>
        <v>11.5</v>
      </c>
      <c r="G540" s="18" t="n">
        <f aca="false">gu_29*um29_A*1</f>
        <v>12.9</v>
      </c>
    </row>
    <row r="541" customFormat="false" ht="15" hidden="false" customHeight="false" outlineLevel="0" collapsed="false">
      <c r="A541" s="4" t="s">
        <v>593</v>
      </c>
      <c r="B541" s="0" t="s">
        <v>52</v>
      </c>
      <c r="D541" s="20" t="n">
        <f aca="false">bsh_26</f>
        <v>0.5</v>
      </c>
      <c r="E541" s="20" t="n">
        <f aca="false">bsh_26*brel_27</f>
        <v>0.5</v>
      </c>
      <c r="F541" s="20" t="n">
        <f aca="false">bsh_26*brel_28</f>
        <v>0.475</v>
      </c>
      <c r="G541" s="20" t="n">
        <f aca="false">bsh_26*brel_29</f>
        <v>0.45</v>
      </c>
    </row>
    <row r="542" customFormat="false" ht="17.15" hidden="false" customHeight="false" outlineLevel="0" collapsed="false">
      <c r="A542" s="4" t="s">
        <v>594</v>
      </c>
      <c r="B542" s="0" t="s">
        <v>543</v>
      </c>
      <c r="D542" s="24" t="n">
        <f aca="false">a26_brd/fx/D540/D541*1000</f>
        <v>823.353293413174</v>
      </c>
      <c r="E542" s="24" t="n">
        <f aca="false">$D542*bv_27</f>
        <v>946.85628742515</v>
      </c>
      <c r="F542" s="24" t="n">
        <f aca="false">$D542*bv_28</f>
        <v>988.023952095808</v>
      </c>
      <c r="G542" s="24" t="n">
        <f aca="false">$D542*bv_29</f>
        <v>988.023952095808</v>
      </c>
      <c r="K542" s="8" t="s">
        <v>595</v>
      </c>
    </row>
    <row r="543" customFormat="false" ht="17.15" hidden="false" customHeight="false" outlineLevel="0" collapsed="false">
      <c r="A543" s="0" t="s">
        <v>545</v>
      </c>
      <c r="B543" s="0" t="s">
        <v>151</v>
      </c>
      <c r="D543" s="21" t="n">
        <f aca="false">D540*D541*D542*fx/1000</f>
        <v>110</v>
      </c>
      <c r="E543" s="21" t="n">
        <f aca="false">E540*E541*E542*fx/1000</f>
        <v>169.676646706587</v>
      </c>
      <c r="F543" s="21" t="n">
        <f aca="false">F540*F541*F542*fx/1000</f>
        <v>172.706586826347</v>
      </c>
      <c r="G543" s="21" t="n">
        <f aca="false">G540*G541*G542*fx/1000</f>
        <v>183.535329341317</v>
      </c>
    </row>
    <row r="544" customFormat="false" ht="17.15" hidden="false" customHeight="false" outlineLevel="0" collapsed="false">
      <c r="A544" s="6" t="s">
        <v>596</v>
      </c>
    </row>
    <row r="545" customFormat="false" ht="15" hidden="false" customHeight="false" outlineLevel="0" collapsed="false">
      <c r="A545" s="4" t="s">
        <v>597</v>
      </c>
      <c r="B545" s="0" t="s">
        <v>151</v>
      </c>
      <c r="D545" s="21" t="n">
        <f aca="false">a26_gen</f>
        <v>150</v>
      </c>
      <c r="E545" s="21" t="n">
        <f aca="false">D545*(1+g_gen27)</f>
        <v>180</v>
      </c>
      <c r="F545" s="21" t="n">
        <f aca="false">E545*(1+g_gen28)</f>
        <v>198</v>
      </c>
      <c r="G545" s="21" t="n">
        <f aca="false">F545*(1+g_gen29)</f>
        <v>213.84</v>
      </c>
    </row>
    <row r="546" customFormat="false" ht="15" hidden="false" customHeight="false" outlineLevel="0" collapsed="false">
      <c r="A546" s="4" t="s">
        <v>598</v>
      </c>
      <c r="B546" s="0" t="s">
        <v>151</v>
      </c>
      <c r="D546" s="21" t="n">
        <f aca="false">a26_pc</f>
        <v>614.602793131557</v>
      </c>
      <c r="E546" s="21" t="n">
        <f aca="false">D546*(1+g_pc27)</f>
        <v>596.16470933761</v>
      </c>
      <c r="F546" s="21" t="n">
        <f aca="false">E546*(1+g_pc28)</f>
        <v>596.16470933761</v>
      </c>
      <c r="G546" s="21" t="n">
        <f aca="false">F546*(1+g_pc29)</f>
        <v>596.16470933761</v>
      </c>
    </row>
    <row r="547" customFormat="false" ht="15" hidden="false" customHeight="false" outlineLevel="0" collapsed="false">
      <c r="A547" s="4" t="s">
        <v>599</v>
      </c>
      <c r="B547" s="0" t="s">
        <v>151</v>
      </c>
      <c r="C547" s="21" t="n">
        <f aca="false">a25_srev</f>
        <v>1235.86</v>
      </c>
      <c r="D547" s="21" t="n">
        <f aca="false">D538+D543+D545+D546</f>
        <v>2651.72505421038</v>
      </c>
      <c r="E547" s="21" t="n">
        <f aca="false">E538+E543+E545+E546</f>
        <v>3816.64127975756</v>
      </c>
      <c r="F547" s="21" t="n">
        <f aca="false">F538+F543+F545+F546</f>
        <v>4039.86719118605</v>
      </c>
      <c r="G547" s="21" t="n">
        <f aca="false">G538+G543+G545+G546</f>
        <v>4102.6505748243</v>
      </c>
    </row>
    <row r="548" customFormat="false" ht="17.15" hidden="false" customHeight="false" outlineLevel="0" collapsed="false">
      <c r="A548" s="4" t="s">
        <v>600</v>
      </c>
      <c r="B548" s="0" t="s">
        <v>52</v>
      </c>
      <c r="D548" s="20" t="n">
        <f aca="false">a26_wai/D531</f>
        <v>0.0341693013513091</v>
      </c>
      <c r="K548" s="8" t="s">
        <v>601</v>
      </c>
    </row>
    <row r="549" customFormat="false" ht="17.15" hidden="false" customHeight="false" outlineLevel="0" collapsed="false">
      <c r="A549" s="4" t="s">
        <v>527</v>
      </c>
      <c r="B549" s="0" t="s">
        <v>52</v>
      </c>
      <c r="D549" s="20" t="n">
        <f aca="false">D548</f>
        <v>0.0341693013513091</v>
      </c>
      <c r="E549" s="20" t="n">
        <f aca="false">$D$548*wrel_27</f>
        <v>0.0341693013513091</v>
      </c>
      <c r="F549" s="20" t="n">
        <f aca="false">$D$548*wrel_28</f>
        <v>0.0341693013513091</v>
      </c>
      <c r="G549" s="20" t="n">
        <f aca="false">$D$548*wrel_29</f>
        <v>0.0324608362837436</v>
      </c>
    </row>
    <row r="550" customFormat="false" ht="17.15" hidden="false" customHeight="false" outlineLevel="0" collapsed="false">
      <c r="A550" s="4" t="s">
        <v>547</v>
      </c>
      <c r="B550" s="0" t="s">
        <v>151</v>
      </c>
      <c r="D550" s="21" t="n">
        <f aca="false">D531*D549</f>
        <v>693.900912</v>
      </c>
      <c r="E550" s="21" t="n">
        <f aca="false">E531*E549</f>
        <v>1245.4909258278</v>
      </c>
      <c r="F550" s="21" t="n">
        <f aca="false">F531*F549</f>
        <v>1578.80516693321</v>
      </c>
      <c r="G550" s="21" t="n">
        <f aca="false">G531*G549</f>
        <v>1708.58325665923</v>
      </c>
    </row>
    <row r="551" customFormat="false" ht="17.15" hidden="false" customHeight="false" outlineLevel="0" collapsed="false">
      <c r="A551" s="4" t="s">
        <v>602</v>
      </c>
      <c r="B551" s="0" t="s">
        <v>151</v>
      </c>
      <c r="D551" s="21" t="n">
        <f aca="false">a26_wna</f>
        <v>751.725988</v>
      </c>
      <c r="E551" s="21" t="n">
        <f aca="false">D551*(1+g_wn27)</f>
        <v>826.8985868</v>
      </c>
      <c r="F551" s="21" t="n">
        <f aca="false">E551*(1+g_wn28)</f>
        <v>876.512502008</v>
      </c>
      <c r="G551" s="21" t="n">
        <f aca="false">F551*(1+g_wn29)</f>
        <v>920.3381271084</v>
      </c>
    </row>
    <row r="552" customFormat="false" ht="15" hidden="false" customHeight="false" outlineLevel="0" collapsed="false">
      <c r="A552" s="4" t="s">
        <v>458</v>
      </c>
      <c r="B552" s="0" t="s">
        <v>151</v>
      </c>
      <c r="C552" s="21" t="n">
        <f aca="false">a25_wrev</f>
        <v>950.663</v>
      </c>
      <c r="D552" s="21" t="n">
        <f aca="false">D550+D551</f>
        <v>1445.6269</v>
      </c>
      <c r="E552" s="21" t="n">
        <f aca="false">E550+E551</f>
        <v>2072.3895126278</v>
      </c>
      <c r="F552" s="21" t="n">
        <f aca="false">F550+F551</f>
        <v>2455.31766894121</v>
      </c>
      <c r="G552" s="21" t="n">
        <f aca="false">G550+G551</f>
        <v>2628.92138376763</v>
      </c>
    </row>
    <row r="553" customFormat="false" ht="17.15" hidden="false" customHeight="false" outlineLevel="0" collapsed="false">
      <c r="A553" s="4" t="s">
        <v>444</v>
      </c>
      <c r="B553" s="0" t="s">
        <v>151</v>
      </c>
      <c r="C553" s="21" t="n">
        <f aca="false">C547+C552</f>
        <v>2186.523</v>
      </c>
      <c r="D553" s="21" t="n">
        <f aca="false">D547+D552</f>
        <v>4097.35195421038</v>
      </c>
      <c r="E553" s="21" t="n">
        <f aca="false">E547+E552</f>
        <v>5889.03079238536</v>
      </c>
      <c r="F553" s="21" t="n">
        <f aca="false">F547+F552</f>
        <v>6495.18486012725</v>
      </c>
      <c r="G553" s="21" t="n">
        <f aca="false">G547+G552</f>
        <v>6731.57195859193</v>
      </c>
      <c r="H553" s="26" t="n">
        <f aca="false">G553*(1+H558)</f>
        <v>7029.53021064286</v>
      </c>
      <c r="I553" s="26" t="n">
        <f aca="false">H553*(1+I558)</f>
        <v>7395.9894768836</v>
      </c>
      <c r="J553" s="26" t="n">
        <f aca="false">I553*(1+J558)</f>
        <v>7839.74884549662</v>
      </c>
      <c r="K553" s="8" t="s">
        <v>603</v>
      </c>
    </row>
    <row r="554" customFormat="false" ht="17.15" hidden="false" customHeight="false" outlineLevel="0" collapsed="false">
      <c r="A554" s="4" t="s">
        <v>604</v>
      </c>
      <c r="B554" s="0" t="s">
        <v>151</v>
      </c>
      <c r="D554" s="21" t="n">
        <f aca="false">D538+D543+D545+D552</f>
        <v>3482.74916107882</v>
      </c>
      <c r="E554" s="21" t="n">
        <f aca="false">E538+E543+E545+E552</f>
        <v>5292.86608304775</v>
      </c>
      <c r="F554" s="21" t="n">
        <f aca="false">F538+F543+F545+F552</f>
        <v>5899.02015078964</v>
      </c>
      <c r="G554" s="21" t="n">
        <f aca="false">G538+G543+G545+G552</f>
        <v>6135.40724925432</v>
      </c>
      <c r="K554" s="4" t="s">
        <v>605</v>
      </c>
    </row>
    <row r="555" customFormat="false" ht="15" hidden="false" customHeight="false" outlineLevel="0" collapsed="false">
      <c r="A555" s="4" t="s">
        <v>606</v>
      </c>
      <c r="B555" s="0" t="s">
        <v>151</v>
      </c>
      <c r="D555" s="21" t="n">
        <f aca="false">D546</f>
        <v>614.602793131557</v>
      </c>
      <c r="E555" s="21" t="n">
        <f aca="false">E546</f>
        <v>596.16470933761</v>
      </c>
      <c r="F555" s="21" t="n">
        <f aca="false">F546</f>
        <v>596.16470933761</v>
      </c>
      <c r="G555" s="21" t="n">
        <f aca="false">G546</f>
        <v>596.16470933761</v>
      </c>
      <c r="K555" s="4" t="s">
        <v>607</v>
      </c>
    </row>
    <row r="556" customFormat="false" ht="17.15" hidden="false" customHeight="false" outlineLevel="0" collapsed="false">
      <c r="A556" s="4" t="s">
        <v>608</v>
      </c>
      <c r="B556" s="0" t="s">
        <v>151</v>
      </c>
      <c r="D556" s="31" t="n">
        <f aca="false">D554+D555-D553</f>
        <v>0</v>
      </c>
      <c r="E556" s="31" t="n">
        <f aca="false">E554+E555-E553</f>
        <v>0</v>
      </c>
      <c r="F556" s="31" t="n">
        <f aca="false">F554+F555-F553</f>
        <v>0</v>
      </c>
      <c r="G556" s="31" t="n">
        <f aca="false">G554+G555-G553</f>
        <v>0</v>
      </c>
    </row>
    <row r="557" customFormat="false" ht="17.15" hidden="false" customHeight="false" outlineLevel="0" collapsed="false">
      <c r="A557" s="4" t="s">
        <v>609</v>
      </c>
      <c r="B557" s="0" t="s">
        <v>52</v>
      </c>
      <c r="D557" s="20" t="n">
        <f aca="false">D554/D553</f>
        <v>0.85</v>
      </c>
      <c r="E557" s="20" t="n">
        <f aca="false">E554/E553</f>
        <v>0.898766922715286</v>
      </c>
      <c r="F557" s="20" t="n">
        <f aca="false">F554/F553</f>
        <v>0.908214358455391</v>
      </c>
      <c r="G557" s="20" t="n">
        <f aca="false">G554/G553</f>
        <v>0.911437519645514</v>
      </c>
    </row>
    <row r="558" customFormat="false" ht="15" hidden="false" customHeight="false" outlineLevel="0" collapsed="false">
      <c r="A558" s="4" t="s">
        <v>610</v>
      </c>
      <c r="B558" s="0" t="s">
        <v>52</v>
      </c>
      <c r="D558" s="20" t="n">
        <f aca="false">D553/C553-1</f>
        <v>0.873912121761526</v>
      </c>
      <c r="E558" s="20" t="n">
        <f aca="false">E553/D553-1</f>
        <v>0.437277260581405</v>
      </c>
      <c r="F558" s="20" t="n">
        <f aca="false">F553/E553-1</f>
        <v>0.102929342554239</v>
      </c>
      <c r="G558" s="20" t="n">
        <f aca="false">G553/F553-1</f>
        <v>0.0363942064090907</v>
      </c>
      <c r="H558" s="27" t="n">
        <f aca="false">$G558+(fade_gA-$G558)*1/3</f>
        <v>0.0442628042727272</v>
      </c>
      <c r="I558" s="27" t="n">
        <f aca="false">$G558+(fade_gA-$G558)*2/3</f>
        <v>0.0521314021363636</v>
      </c>
      <c r="J558" s="27" t="n">
        <f aca="false">$G558+(fade_gA-$G558)*3/3</f>
        <v>0.06</v>
      </c>
    </row>
    <row r="559" customFormat="false" ht="17.15" hidden="false" customHeight="false" outlineLevel="0" collapsed="false">
      <c r="A559" s="0" t="s">
        <v>611</v>
      </c>
      <c r="B559" s="0" t="s">
        <v>52</v>
      </c>
      <c r="D559" s="20" t="n">
        <f aca="false">(D538+D543+D550)/D553</f>
        <v>0.629924693295288</v>
      </c>
      <c r="E559" s="20" t="n">
        <f aca="false">(E538+E543+E550)/E553</f>
        <v>0.727788263866712</v>
      </c>
      <c r="F559" s="20" t="n">
        <f aca="false">(F538+F543+F550)/F553</f>
        <v>0.742782192143354</v>
      </c>
      <c r="G559" s="20" t="n">
        <f aca="false">(G538+G543+G550)/G553</f>
        <v>0.742951149138729</v>
      </c>
    </row>
    <row r="560" customFormat="false" ht="17.15" hidden="false" customHeight="false" outlineLevel="0" collapsed="false">
      <c r="A560" s="4" t="s">
        <v>612</v>
      </c>
      <c r="B560" s="0" t="s">
        <v>52</v>
      </c>
      <c r="C560" s="20" t="n">
        <f aca="false">C552/C553</f>
        <v>0.434782986504144</v>
      </c>
      <c r="D560" s="20" t="n">
        <f aca="false">D552/D553</f>
        <v>0.352819800728736</v>
      </c>
      <c r="E560" s="20" t="n">
        <f aca="false">E552/E553</f>
        <v>0.351906720424598</v>
      </c>
      <c r="F560" s="20" t="n">
        <f aca="false">F552/F553</f>
        <v>0.378021214455951</v>
      </c>
      <c r="G560" s="20" t="n">
        <f aca="false">G552/G553</f>
        <v>0.390536029316626</v>
      </c>
    </row>
    <row r="561" customFormat="false" ht="17.15" hidden="false" customHeight="false" outlineLevel="0" collapsed="false">
      <c r="A561" s="4" t="s">
        <v>613</v>
      </c>
      <c r="B561" s="4" t="s">
        <v>335</v>
      </c>
      <c r="D561" s="21" t="n">
        <f aca="false">D536/fx/(odm_gb*(1-vr26)+odm_vr*vr26)</f>
        <v>12.0597330420658</v>
      </c>
      <c r="E561" s="21" t="n">
        <f aca="false">E536/fx/odm_vr</f>
        <v>14.7674893195132</v>
      </c>
      <c r="F561" s="21" t="n">
        <f aca="false">F536/fx/odm_vr</f>
        <v>17.7835410591556</v>
      </c>
      <c r="G561" s="21" t="n">
        <f aca="false">G536/fx/odm_vr</f>
        <v>19.1920403465763</v>
      </c>
      <c r="K561" s="4" t="s">
        <v>614</v>
      </c>
    </row>
    <row r="562" customFormat="false" ht="17.15" hidden="false" customHeight="false" outlineLevel="0" collapsed="false">
      <c r="A562" s="6" t="s">
        <v>615</v>
      </c>
    </row>
    <row r="563" customFormat="false" ht="17.15" hidden="false" customHeight="false" outlineLevel="0" collapsed="false">
      <c r="A563" s="4" t="s">
        <v>616</v>
      </c>
      <c r="B563" s="0" t="s">
        <v>52</v>
      </c>
      <c r="D563" s="14" t="n">
        <f aca="false">(a26_sgp-d_ai*D538-d_brd*D543-d_gen*D545)/D547</f>
        <v>0.0436423860147897</v>
      </c>
      <c r="K563" s="8" t="s">
        <v>617</v>
      </c>
    </row>
    <row r="564" customFormat="false" ht="17.15" hidden="false" customHeight="false" outlineLevel="0" collapsed="false">
      <c r="A564" s="4" t="s">
        <v>618</v>
      </c>
      <c r="B564" s="0" t="s">
        <v>151</v>
      </c>
      <c r="D564" s="25" t="n">
        <f aca="false">($D$563+d_ai)*D536*(1-D537*(1-keep_lo))</f>
        <v>59.7866331026896</v>
      </c>
      <c r="E564" s="25" t="n">
        <f aca="false">($D$563+d_ai+vrd)*E536*(1-E537*(1-keep_lo))</f>
        <v>97.9042117518288</v>
      </c>
      <c r="F564" s="25" t="n">
        <f aca="false">($D$563+d_ai+vrd)*F536*(1-F537*(1-keep_lo))</f>
        <v>114.25338374028</v>
      </c>
      <c r="G564" s="25" t="n">
        <f aca="false">($D$563+d_ai+vrd)*G536*(1-G537*(1-keep_lo))</f>
        <v>121.334933421746</v>
      </c>
    </row>
    <row r="565" customFormat="false" ht="15" hidden="false" customHeight="false" outlineLevel="0" collapsed="false">
      <c r="A565" s="4" t="s">
        <v>619</v>
      </c>
      <c r="B565" s="0" t="s">
        <v>151</v>
      </c>
      <c r="C565" s="21" t="n">
        <f aca="false">a25_sgp</f>
        <v>55.529</v>
      </c>
      <c r="D565" s="21" t="n">
        <f aca="false">a26_sgp</f>
        <v>103.50638581015</v>
      </c>
      <c r="E565" s="21" t="n">
        <f aca="false">$D$563*E546+($D$563+d_brd)*E543+($D$563+d_gen)*E545+E564</f>
        <v>146.973284722259</v>
      </c>
      <c r="F565" s="21" t="n">
        <f aca="false">$D$563*F546+($D$563+d_brd)*F543+($D$563+d_gen)*F545+F564</f>
        <v>164.601151678878</v>
      </c>
      <c r="G565" s="21" t="n">
        <f aca="false">$D$563*G546+($D$563+d_brd)*G543+($D$563+d_gen)*G545+G564</f>
        <v>173.40905119116</v>
      </c>
    </row>
    <row r="566" customFormat="false" ht="15" hidden="false" customHeight="false" outlineLevel="0" collapsed="false">
      <c r="A566" s="4" t="s">
        <v>620</v>
      </c>
      <c r="B566" s="0" t="s">
        <v>52</v>
      </c>
      <c r="C566" s="14" t="n">
        <f aca="false">C565/C547</f>
        <v>0.0449314647290146</v>
      </c>
      <c r="D566" s="14" t="n">
        <f aca="false">D565/D547</f>
        <v>0.0390336040479778</v>
      </c>
      <c r="E566" s="14" t="n">
        <f aca="false">E565/E547</f>
        <v>0.0385085403498009</v>
      </c>
      <c r="F566" s="14" t="n">
        <f aca="false">F565/F547</f>
        <v>0.0407441987296007</v>
      </c>
      <c r="G566" s="14" t="n">
        <f aca="false">G565/G547</f>
        <v>0.042267565328443</v>
      </c>
    </row>
    <row r="567" customFormat="false" ht="15" hidden="false" customHeight="false" outlineLevel="0" collapsed="false">
      <c r="A567" s="4" t="s">
        <v>621</v>
      </c>
      <c r="B567" s="0" t="s">
        <v>52</v>
      </c>
      <c r="E567" s="20" t="n">
        <f aca="false">MAX(0,phi*(E547/D547-1))</f>
        <v>0.13179151703879</v>
      </c>
      <c r="F567" s="20" t="n">
        <f aca="false">MAX(0,phi*(F547/E547-1))</f>
        <v>0.0175462582202121</v>
      </c>
      <c r="G567" s="20" t="n">
        <f aca="false">MAX(0,phi*(G547/F547-1))</f>
        <v>0.00466228571388885</v>
      </c>
    </row>
    <row r="568" customFormat="false" ht="15" hidden="false" customHeight="false" outlineLevel="0" collapsed="false">
      <c r="A568" s="4" t="s">
        <v>622</v>
      </c>
      <c r="B568" s="0" t="s">
        <v>151</v>
      </c>
      <c r="C568" s="21" t="n">
        <f aca="false">a25_sopx</f>
        <v>40.894</v>
      </c>
      <c r="D568" s="21" t="n">
        <f aca="false">a26_sopx</f>
        <v>46.9914095398923</v>
      </c>
      <c r="E568" s="21" t="n">
        <f aca="false">D568*(1+E567)+0*E547</f>
        <v>53.1844786909457</v>
      </c>
      <c r="F568" s="21" t="n">
        <f aca="false">E568*(1+F567)+0*F547</f>
        <v>54.1176672873644</v>
      </c>
      <c r="G568" s="21" t="n">
        <f aca="false">F568*(1+G567)+0*G547</f>
        <v>54.3699793144273</v>
      </c>
    </row>
    <row r="569" customFormat="false" ht="15" hidden="false" customHeight="false" outlineLevel="0" collapsed="false">
      <c r="A569" s="4" t="s">
        <v>623</v>
      </c>
      <c r="B569" s="0" t="s">
        <v>151</v>
      </c>
      <c r="C569" s="21" t="n">
        <f aca="false">C565-C568</f>
        <v>14.635</v>
      </c>
      <c r="D569" s="21" t="n">
        <f aca="false">D565-D568</f>
        <v>56.514976270258</v>
      </c>
      <c r="E569" s="21" t="n">
        <f aca="false">E565-E568</f>
        <v>93.7888060313137</v>
      </c>
      <c r="F569" s="21" t="n">
        <f aca="false">F565-F568</f>
        <v>110.483484391513</v>
      </c>
      <c r="G569" s="21" t="n">
        <f aca="false">G565-G568</f>
        <v>119.039071876733</v>
      </c>
    </row>
    <row r="570" customFormat="false" ht="15" hidden="false" customHeight="false" outlineLevel="0" collapsed="false">
      <c r="A570" s="4" t="s">
        <v>624</v>
      </c>
      <c r="B570" s="0" t="s">
        <v>52</v>
      </c>
      <c r="C570" s="14" t="n">
        <f aca="false">C569/C547</f>
        <v>0.011841956208632</v>
      </c>
      <c r="D570" s="14" t="n">
        <f aca="false">D569/D547</f>
        <v>0.0213125324514788</v>
      </c>
      <c r="E570" s="14" t="n">
        <f aca="false">E569/E547</f>
        <v>0.0245736497503039</v>
      </c>
      <c r="F570" s="14" t="n">
        <f aca="false">F569/F547</f>
        <v>0.0273482961599728</v>
      </c>
      <c r="G570" s="14" t="n">
        <f aca="false">G569/G547</f>
        <v>0.0290151621995814</v>
      </c>
    </row>
    <row r="571" customFormat="false" ht="15" hidden="false" customHeight="false" outlineLevel="0" collapsed="false">
      <c r="A571" s="4" t="s">
        <v>625</v>
      </c>
      <c r="B571" s="0" t="s">
        <v>151</v>
      </c>
      <c r="C571" s="21" t="n">
        <f aca="false">a25_sni</f>
        <v>6.9608</v>
      </c>
      <c r="D571" s="21" t="n">
        <f aca="false">a26_sni</f>
        <v>31.133746704</v>
      </c>
      <c r="E571" s="21" t="n">
        <f aca="false">E569*snio</f>
        <v>52.5217313775357</v>
      </c>
      <c r="F571" s="21" t="n">
        <f aca="false">F569*snio</f>
        <v>61.8707512592475</v>
      </c>
      <c r="G571" s="21" t="n">
        <f aca="false">G569*snio</f>
        <v>66.6618802509705</v>
      </c>
    </row>
    <row r="572" customFormat="false" ht="17.15" hidden="false" customHeight="false" outlineLevel="0" collapsed="false">
      <c r="A572" s="6" t="s">
        <v>626</v>
      </c>
    </row>
    <row r="573" customFormat="false" ht="15" hidden="false" customHeight="false" outlineLevel="0" collapsed="false">
      <c r="A573" s="4" t="s">
        <v>462</v>
      </c>
      <c r="B573" s="0" t="s">
        <v>151</v>
      </c>
      <c r="C573" s="21" t="n">
        <f aca="false">a25_wgp</f>
        <v>78.454</v>
      </c>
      <c r="D573" s="21" t="n">
        <f aca="false">a26_wgp</f>
        <v>125.0519932</v>
      </c>
      <c r="E573" s="21" t="n">
        <f aca="false">E552*wgm</f>
        <v>176.153108573363</v>
      </c>
      <c r="F573" s="21" t="n">
        <f aca="false">F552*wgm</f>
        <v>208.702001860003</v>
      </c>
      <c r="G573" s="21" t="n">
        <f aca="false">G552*wgm</f>
        <v>223.458317620249</v>
      </c>
    </row>
    <row r="574" customFormat="false" ht="15" hidden="false" customHeight="false" outlineLevel="0" collapsed="false">
      <c r="A574" s="4" t="s">
        <v>464</v>
      </c>
      <c r="B574" s="0" t="s">
        <v>151</v>
      </c>
      <c r="C574" s="21" t="n">
        <f aca="false">a25_woi</f>
        <v>63.918</v>
      </c>
      <c r="D574" s="21" t="n">
        <f aca="false">a26_woi</f>
        <v>98.2471632</v>
      </c>
      <c r="E574" s="21" t="n">
        <f aca="false">E552*wopm</f>
        <v>134.705318320807</v>
      </c>
      <c r="F574" s="21" t="n">
        <f aca="false">F552*wopm</f>
        <v>159.595648481179</v>
      </c>
      <c r="G574" s="21" t="n">
        <f aca="false">G552*wopm</f>
        <v>170.879889944896</v>
      </c>
    </row>
    <row r="575" customFormat="false" ht="15" hidden="false" customHeight="false" outlineLevel="0" collapsed="false">
      <c r="A575" s="4" t="s">
        <v>472</v>
      </c>
      <c r="B575" s="0" t="s">
        <v>151</v>
      </c>
      <c r="C575" s="21" t="n">
        <f aca="false">a25_wni</f>
        <v>51.118</v>
      </c>
      <c r="D575" s="21" t="n">
        <f aca="false">a26_wni</f>
        <v>75.735026884</v>
      </c>
      <c r="E575" s="21" t="n">
        <f aca="false">E574*wnio</f>
        <v>105.07014829023</v>
      </c>
      <c r="F575" s="21" t="n">
        <f aca="false">F574*wnio</f>
        <v>124.484605815319</v>
      </c>
      <c r="G575" s="21" t="n">
        <f aca="false">G574*wnio</f>
        <v>133.286314157019</v>
      </c>
    </row>
    <row r="576" customFormat="false" ht="15" hidden="false" customHeight="false" outlineLevel="0" collapsed="false">
      <c r="A576" s="4" t="s">
        <v>474</v>
      </c>
      <c r="B576" s="0" t="s">
        <v>52</v>
      </c>
      <c r="C576" s="14" t="n">
        <f aca="false">stake25</f>
        <v>0.4</v>
      </c>
      <c r="D576" s="14" t="n">
        <f aca="false">stake</f>
        <v>0.3768</v>
      </c>
      <c r="E576" s="14" t="n">
        <f aca="false">stake</f>
        <v>0.3768</v>
      </c>
      <c r="F576" s="14" t="n">
        <f aca="false">stake</f>
        <v>0.3768</v>
      </c>
      <c r="G576" s="14" t="n">
        <f aca="false">stake</f>
        <v>0.3768</v>
      </c>
    </row>
    <row r="577" customFormat="false" ht="17.15" hidden="false" customHeight="false" outlineLevel="0" collapsed="false">
      <c r="A577" s="6" t="s">
        <v>627</v>
      </c>
    </row>
    <row r="578" customFormat="false" ht="15" hidden="false" customHeight="false" outlineLevel="0" collapsed="false">
      <c r="A578" s="4" t="s">
        <v>448</v>
      </c>
      <c r="B578" s="0" t="s">
        <v>151</v>
      </c>
      <c r="C578" s="21" t="n">
        <f aca="false">C565+C573</f>
        <v>133.983</v>
      </c>
      <c r="D578" s="21" t="n">
        <f aca="false">D565+D573</f>
        <v>228.55837901015</v>
      </c>
      <c r="E578" s="21" t="n">
        <f aca="false">E565+E573</f>
        <v>323.126393295623</v>
      </c>
      <c r="F578" s="21" t="n">
        <f aca="false">F565+F573</f>
        <v>373.303153538881</v>
      </c>
      <c r="G578" s="21" t="n">
        <f aca="false">G565+G573</f>
        <v>396.867368811409</v>
      </c>
    </row>
    <row r="579" customFormat="false" ht="15" hidden="false" customHeight="false" outlineLevel="0" collapsed="false">
      <c r="A579" s="4" t="s">
        <v>451</v>
      </c>
      <c r="B579" s="0" t="s">
        <v>52</v>
      </c>
      <c r="C579" s="14" t="n">
        <f aca="false">C578/C553</f>
        <v>0.0612767393711386</v>
      </c>
      <c r="D579" s="14" t="n">
        <f aca="false">D578/D553</f>
        <v>0.055781973714825</v>
      </c>
      <c r="E579" s="14" t="n">
        <f aca="false">E578/E553</f>
        <v>0.054869197443055</v>
      </c>
      <c r="F579" s="14" t="n">
        <f aca="false">F578/F553</f>
        <v>0.0574738304725582</v>
      </c>
      <c r="G579" s="14" t="n">
        <f aca="false">G578/G553</f>
        <v>0.058956120688105</v>
      </c>
    </row>
    <row r="580" customFormat="false" ht="15" hidden="false" customHeight="false" outlineLevel="0" collapsed="false">
      <c r="A580" s="4" t="s">
        <v>452</v>
      </c>
      <c r="B580" s="0" t="s">
        <v>151</v>
      </c>
      <c r="C580" s="21" t="n">
        <f aca="false">C569+C574</f>
        <v>78.553</v>
      </c>
      <c r="D580" s="21" t="n">
        <f aca="false">D569+D574</f>
        <v>154.762139470258</v>
      </c>
      <c r="E580" s="21" t="n">
        <f aca="false">E569+E574</f>
        <v>228.494124352121</v>
      </c>
      <c r="F580" s="21" t="n">
        <f aca="false">F569+F574</f>
        <v>270.079132872692</v>
      </c>
      <c r="G580" s="21" t="n">
        <f aca="false">G569+G574</f>
        <v>289.918961821629</v>
      </c>
    </row>
    <row r="581" customFormat="false" ht="15" hidden="false" customHeight="false" outlineLevel="0" collapsed="false">
      <c r="A581" s="4" t="s">
        <v>455</v>
      </c>
      <c r="B581" s="0" t="s">
        <v>52</v>
      </c>
      <c r="C581" s="14" t="n">
        <f aca="false">C580/C553</f>
        <v>0.0359259884300325</v>
      </c>
      <c r="D581" s="14" t="n">
        <f aca="false">D580/D553</f>
        <v>0.0377712584126992</v>
      </c>
      <c r="E581" s="14" t="n">
        <f aca="false">E580/E553</f>
        <v>0.0387999540854106</v>
      </c>
      <c r="F581" s="14" t="n">
        <f aca="false">F580/F553</f>
        <v>0.0415814389719157</v>
      </c>
      <c r="G581" s="14" t="n">
        <f aca="false">G580/G553</f>
        <v>0.0430685378697597</v>
      </c>
    </row>
    <row r="582" customFormat="false" ht="15" hidden="false" customHeight="false" outlineLevel="0" collapsed="false">
      <c r="A582" s="4" t="s">
        <v>485</v>
      </c>
      <c r="B582" s="0" t="s">
        <v>151</v>
      </c>
      <c r="C582" s="21" t="n">
        <f aca="false">C571+C575</f>
        <v>58.0788</v>
      </c>
      <c r="D582" s="21" t="n">
        <f aca="false">D571+D575</f>
        <v>106.868773588</v>
      </c>
      <c r="E582" s="21" t="n">
        <f aca="false">E571+E575</f>
        <v>157.591879667765</v>
      </c>
      <c r="F582" s="21" t="n">
        <f aca="false">F571+F575</f>
        <v>186.355357074567</v>
      </c>
      <c r="G582" s="21" t="n">
        <f aca="false">G571+G575</f>
        <v>199.948194407989</v>
      </c>
    </row>
    <row r="583" customFormat="false" ht="17.15" hidden="false" customHeight="false" outlineLevel="0" collapsed="false">
      <c r="A583" s="4" t="s">
        <v>628</v>
      </c>
      <c r="B583" s="0" t="s">
        <v>151</v>
      </c>
      <c r="C583" s="21" t="n">
        <f aca="false">(1-C576)*C575</f>
        <v>30.6708</v>
      </c>
      <c r="D583" s="21" t="n">
        <f aca="false">(1-D576)*D575</f>
        <v>47.1980687541088</v>
      </c>
      <c r="E583" s="21" t="n">
        <f aca="false">(1-E576)*E575</f>
        <v>65.4797164144711</v>
      </c>
      <c r="F583" s="21" t="n">
        <f aca="false">(1-F576)*F575</f>
        <v>77.578806344107</v>
      </c>
      <c r="G583" s="21" t="n">
        <f aca="false">(1-G576)*G575</f>
        <v>83.0640309826542</v>
      </c>
    </row>
    <row r="584" customFormat="false" ht="15" hidden="false" customHeight="false" outlineLevel="0" collapsed="false">
      <c r="A584" s="4" t="s">
        <v>481</v>
      </c>
      <c r="B584" s="0" t="s">
        <v>151</v>
      </c>
      <c r="C584" s="21" t="n">
        <f aca="false">C582-C583</f>
        <v>27.408</v>
      </c>
      <c r="D584" s="21" t="n">
        <f aca="false">D582-D583</f>
        <v>59.6707048338912</v>
      </c>
      <c r="E584" s="21" t="n">
        <f aca="false">E582-E583</f>
        <v>92.1121632532942</v>
      </c>
      <c r="F584" s="21" t="n">
        <f aca="false">F582-F583</f>
        <v>108.77655073046</v>
      </c>
      <c r="G584" s="21" t="n">
        <f aca="false">G582-G583</f>
        <v>116.884163425335</v>
      </c>
      <c r="H584" s="26" t="n">
        <f aca="false">H553*H589</f>
        <v>123.336254767045</v>
      </c>
      <c r="I584" s="26" t="n">
        <f aca="false">I553*I589</f>
        <v>131.111065615143</v>
      </c>
      <c r="J584" s="26" t="n">
        <f aca="false">J553*J589</f>
        <v>140.403555642067</v>
      </c>
    </row>
    <row r="585" customFormat="false" ht="17.15" hidden="false" customHeight="false" outlineLevel="0" collapsed="false">
      <c r="A585" s="4" t="s">
        <v>629</v>
      </c>
      <c r="B585" s="0" t="s">
        <v>52</v>
      </c>
      <c r="C585" s="20" t="n">
        <f aca="false">C576*C575/C584</f>
        <v>0.746030356100409</v>
      </c>
      <c r="D585" s="20" t="n">
        <f aca="false">D576*D575/D584</f>
        <v>0.478240674537551</v>
      </c>
      <c r="E585" s="20" t="n">
        <f aca="false">E576*E575/E584</f>
        <v>0.429806775538329</v>
      </c>
      <c r="F585" s="20" t="n">
        <f aca="false">F576*F575/F584</f>
        <v>0.431212418083024</v>
      </c>
      <c r="G585" s="20" t="n">
        <f aca="false">G576*G575/G584</f>
        <v>0.429675686616403</v>
      </c>
    </row>
    <row r="586" customFormat="false" ht="17.15" hidden="false" customHeight="false" outlineLevel="0" collapsed="false">
      <c r="A586" s="4" t="s">
        <v>630</v>
      </c>
      <c r="B586" s="4" t="s">
        <v>286</v>
      </c>
      <c r="C586" s="31" t="n">
        <f aca="false">a25_sh</f>
        <v>3.03185840707965</v>
      </c>
      <c r="D586" s="31" t="n">
        <f aca="false">a26_sh</f>
        <v>3.23861720409076</v>
      </c>
      <c r="E586" s="31" t="n">
        <f aca="false">q_sh4*(1+sh_g)</f>
        <v>3.43</v>
      </c>
      <c r="F586" s="31" t="n">
        <f aca="false">E586*(1+sh_g)</f>
        <v>3.43</v>
      </c>
      <c r="G586" s="31" t="n">
        <f aca="false">F586*(1+sh_g)</f>
        <v>3.43</v>
      </c>
      <c r="H586" s="32" t="n">
        <f aca="false">G586*(1+sh_g)</f>
        <v>3.43</v>
      </c>
      <c r="I586" s="32" t="n">
        <f aca="false">H586*(1+sh_g)</f>
        <v>3.43</v>
      </c>
      <c r="J586" s="32" t="n">
        <f aca="false">I586*(1+sh_g)</f>
        <v>3.43</v>
      </c>
      <c r="K586" s="8" t="s">
        <v>631</v>
      </c>
    </row>
    <row r="587" customFormat="false" ht="15" hidden="false" customHeight="false" outlineLevel="0" collapsed="false">
      <c r="A587" s="0" t="s">
        <v>488</v>
      </c>
      <c r="B587" s="0" t="s">
        <v>316</v>
      </c>
      <c r="C587" s="18" t="n">
        <f aca="false">C584/C586</f>
        <v>9.04</v>
      </c>
      <c r="D587" s="18" t="n">
        <f aca="false">D584/D586</f>
        <v>18.4247476850676</v>
      </c>
      <c r="E587" s="18" t="n">
        <f aca="false">E584/E586</f>
        <v>26.8548580913394</v>
      </c>
      <c r="F587" s="18" t="n">
        <f aca="false">F584/F586</f>
        <v>31.713280096344</v>
      </c>
      <c r="G587" s="18" t="n">
        <f aca="false">G584/G586</f>
        <v>34.0770155758995</v>
      </c>
      <c r="H587" s="29" t="n">
        <f aca="false">H584/H586</f>
        <v>35.9580917688177</v>
      </c>
      <c r="I587" s="29" t="n">
        <f aca="false">I584/I586</f>
        <v>38.2248004708872</v>
      </c>
      <c r="J587" s="29" t="n">
        <f aca="false">J584/J586</f>
        <v>40.9339812367544</v>
      </c>
    </row>
    <row r="588" customFormat="false" ht="17.15" hidden="false" customHeight="false" outlineLevel="0" collapsed="false">
      <c r="A588" s="0" t="s">
        <v>632</v>
      </c>
      <c r="B588" s="0" t="s">
        <v>52</v>
      </c>
      <c r="D588" s="20" t="n">
        <f aca="false">D587/C587-1</f>
        <v>1.03813580587031</v>
      </c>
      <c r="E588" s="20" t="n">
        <f aca="false">E587/D587-1</f>
        <v>0.457542787036592</v>
      </c>
      <c r="F588" s="20" t="n">
        <f aca="false">F587/E587-1</f>
        <v>0.18091408222974</v>
      </c>
      <c r="G588" s="20" t="n">
        <f aca="false">G587/F587-1</f>
        <v>0.0745345631979584</v>
      </c>
      <c r="H588" s="27" t="n">
        <f aca="false">H587/G587-1</f>
        <v>0.0552007316699574</v>
      </c>
      <c r="I588" s="27" t="n">
        <f aca="false">I587/H587-1</f>
        <v>0.0630375136879546</v>
      </c>
      <c r="J588" s="27" t="n">
        <f aca="false">J587/I587-1</f>
        <v>0.070874948527998</v>
      </c>
    </row>
    <row r="589" customFormat="false" ht="17.15" hidden="false" customHeight="false" outlineLevel="0" collapsed="false">
      <c r="A589" s="4" t="s">
        <v>633</v>
      </c>
      <c r="B589" s="0" t="s">
        <v>52</v>
      </c>
      <c r="C589" s="14" t="n">
        <f aca="false">C584/C553</f>
        <v>0.0125349699042727</v>
      </c>
      <c r="D589" s="14" t="n">
        <f aca="false">D584/D553</f>
        <v>0.0145632363293992</v>
      </c>
      <c r="E589" s="14" t="n">
        <f aca="false">E584/E553</f>
        <v>0.0156413111937532</v>
      </c>
      <c r="F589" s="14" t="n">
        <f aca="false">F584/F553</f>
        <v>0.0167472601739512</v>
      </c>
      <c r="G589" s="14" t="n">
        <f aca="false">G584/G553</f>
        <v>0.0173635763153581</v>
      </c>
      <c r="H589" s="28" t="n">
        <f aca="false">$G589+(fade_mA-$G589)*1/3</f>
        <v>0.0175454477143168</v>
      </c>
      <c r="I589" s="28" t="n">
        <f aca="false">$G589+(fade_mA-$G589)*2/3</f>
        <v>0.0177273191132755</v>
      </c>
      <c r="J589" s="28" t="n">
        <f aca="false">$G589+(fade_mA-$G589)*3/3</f>
        <v>0.0179091905122343</v>
      </c>
    </row>
    <row r="592" customFormat="false" ht="17.15" hidden="false" customHeight="false" outlineLevel="0" collapsed="false">
      <c r="A592" s="1" t="s">
        <v>955</v>
      </c>
    </row>
    <row r="593" customFormat="false" ht="17.15" hidden="false" customHeight="false" outlineLevel="0" collapsed="false">
      <c r="A593" s="5" t="s">
        <v>21</v>
      </c>
      <c r="B593" s="5" t="s">
        <v>22</v>
      </c>
      <c r="C593" s="15" t="s">
        <v>438</v>
      </c>
      <c r="D593" s="15" t="s">
        <v>552</v>
      </c>
      <c r="E593" s="15" t="s">
        <v>553</v>
      </c>
      <c r="F593" s="15" t="s">
        <v>554</v>
      </c>
      <c r="G593" s="15" t="s">
        <v>555</v>
      </c>
      <c r="H593" s="15" t="s">
        <v>556</v>
      </c>
      <c r="I593" s="15" t="s">
        <v>557</v>
      </c>
      <c r="J593" s="15" t="s">
        <v>558</v>
      </c>
      <c r="K593" s="5" t="s">
        <v>420</v>
      </c>
    </row>
    <row r="594" customFormat="false" ht="17.15" hidden="false" customHeight="false" outlineLevel="0" collapsed="false">
      <c r="A594" s="6" t="s">
        <v>573</v>
      </c>
    </row>
    <row r="595" customFormat="false" ht="17.15" hidden="false" customHeight="false" outlineLevel="0" collapsed="false">
      <c r="A595" s="0" t="s">
        <v>574</v>
      </c>
      <c r="B595" s="0" t="s">
        <v>32</v>
      </c>
      <c r="D595" s="21" t="n">
        <f aca="false">itc_26*1</f>
        <v>781.872916666666</v>
      </c>
      <c r="E595" s="21" t="n">
        <f aca="false">itc_27*1*1</f>
        <v>1565.35</v>
      </c>
      <c r="F595" s="21" t="n">
        <f aca="false">itc_28*um28_A*1</f>
        <v>1984.26388888889</v>
      </c>
      <c r="G595" s="21" t="n">
        <f aca="false">itc_29*um29_A*1</f>
        <v>2260.39027777778</v>
      </c>
    </row>
    <row r="596" customFormat="false" ht="17.15" hidden="false" customHeight="false" outlineLevel="0" collapsed="false">
      <c r="A596" s="4" t="s">
        <v>575</v>
      </c>
      <c r="B596" s="0" t="s">
        <v>32</v>
      </c>
      <c r="D596" s="21" t="n">
        <f aca="false">itpg_gb*(1-vr26)+itpg_vr*vr26</f>
        <v>33.41403216</v>
      </c>
      <c r="E596" s="21" t="n">
        <f aca="false">itpg_vr</f>
        <v>37.586352</v>
      </c>
      <c r="F596" s="21" t="n">
        <f aca="false">itpg_vr</f>
        <v>37.586352</v>
      </c>
      <c r="G596" s="21" t="n">
        <f aca="false">itpg_vr</f>
        <v>37.586352</v>
      </c>
    </row>
    <row r="597" customFormat="false" ht="17.15" hidden="false" customHeight="false" outlineLevel="0" collapsed="false">
      <c r="A597" s="4" t="s">
        <v>576</v>
      </c>
      <c r="B597" s="0" t="s">
        <v>521</v>
      </c>
      <c r="D597" s="22" t="n">
        <f aca="false">D595/D596</f>
        <v>23.3995380420639</v>
      </c>
      <c r="E597" s="22" t="n">
        <f aca="false">E595/E596</f>
        <v>41.6467658260637</v>
      </c>
      <c r="F597" s="22" t="n">
        <f aca="false">F595/F596</f>
        <v>52.792138191248</v>
      </c>
      <c r="G597" s="22" t="n">
        <f aca="false">G595/G596</f>
        <v>60.1385917361116</v>
      </c>
    </row>
    <row r="598" customFormat="false" ht="17.15" hidden="false" customHeight="false" outlineLevel="0" collapsed="false">
      <c r="A598" s="4" t="s">
        <v>577</v>
      </c>
      <c r="B598" s="0" t="s">
        <v>578</v>
      </c>
      <c r="D598" s="18" t="n">
        <f aca="false">(racks_gb*odm_gb*(1-vr26)+racks_vr*odm_vr*vr26)/1000</f>
        <v>27.1209</v>
      </c>
      <c r="E598" s="18" t="n">
        <f aca="false">racks_vr*odm_vr/1000</f>
        <v>27.351</v>
      </c>
      <c r="F598" s="18" t="n">
        <f aca="false">$E598*vpg_28_lo</f>
        <v>23.24835</v>
      </c>
      <c r="G598" s="18" t="n">
        <f aca="false">$E598*vpg_29_lo</f>
        <v>23.24835</v>
      </c>
      <c r="K598" s="4" t="s">
        <v>579</v>
      </c>
    </row>
    <row r="599" customFormat="false" ht="17.15" hidden="false" customHeight="false" outlineLevel="0" collapsed="false">
      <c r="A599" s="0" t="s">
        <v>580</v>
      </c>
      <c r="B599" s="0" t="s">
        <v>32</v>
      </c>
      <c r="D599" s="21" t="n">
        <f aca="false">D597*D598</f>
        <v>634.61653128501</v>
      </c>
      <c r="E599" s="21" t="n">
        <f aca="false">E597*E598</f>
        <v>1139.08069210867</v>
      </c>
      <c r="F599" s="21" t="n">
        <f aca="false">F597*F598</f>
        <v>1227.3301059185</v>
      </c>
      <c r="G599" s="21" t="n">
        <f aca="false">G597*G598</f>
        <v>1398.12302918823</v>
      </c>
    </row>
    <row r="600" customFormat="false" ht="17.15" hidden="false" customHeight="false" outlineLevel="0" collapsed="false">
      <c r="A600" s="0" t="s">
        <v>581</v>
      </c>
      <c r="B600" s="0" t="s">
        <v>151</v>
      </c>
      <c r="D600" s="21" t="n">
        <f aca="false">D599*fx</f>
        <v>20307.7290011203</v>
      </c>
      <c r="E600" s="21" t="n">
        <f aca="false">E599*fx</f>
        <v>36450.5821474774</v>
      </c>
      <c r="F600" s="21" t="n">
        <f aca="false">F599*fx</f>
        <v>39274.563389392</v>
      </c>
      <c r="G600" s="21" t="n">
        <f aca="false">G599*fx</f>
        <v>44739.9369340233</v>
      </c>
    </row>
    <row r="601" customFormat="false" ht="17.15" hidden="false" customHeight="false" outlineLevel="0" collapsed="false">
      <c r="A601" s="6" t="s">
        <v>582</v>
      </c>
    </row>
    <row r="602" customFormat="false" ht="17.15" hidden="false" customHeight="false" outlineLevel="0" collapsed="false">
      <c r="A602" s="4" t="s">
        <v>583</v>
      </c>
      <c r="B602" s="0" t="s">
        <v>52</v>
      </c>
      <c r="D602" s="20" t="n">
        <f aca="false">a26_ais/D600</f>
        <v>0.0875096501918447</v>
      </c>
      <c r="K602" s="8" t="s">
        <v>584</v>
      </c>
    </row>
    <row r="603" customFormat="false" ht="17.15" hidden="false" customHeight="false" outlineLevel="0" collapsed="false">
      <c r="A603" s="4" t="s">
        <v>585</v>
      </c>
      <c r="B603" s="0" t="s">
        <v>64</v>
      </c>
      <c r="D603" s="18" t="n">
        <f aca="false">1</f>
        <v>1</v>
      </c>
      <c r="E603" s="18" t="n">
        <f aca="false">rel_27</f>
        <v>1</v>
      </c>
      <c r="F603" s="18" t="n">
        <f aca="false">rel_28</f>
        <v>0.95</v>
      </c>
      <c r="G603" s="18" t="n">
        <f aca="false">rel_29</f>
        <v>0.9</v>
      </c>
    </row>
    <row r="604" customFormat="false" ht="17.15" hidden="false" customHeight="false" outlineLevel="0" collapsed="false">
      <c r="A604" s="4" t="s">
        <v>586</v>
      </c>
      <c r="B604" s="0" t="s">
        <v>52</v>
      </c>
      <c r="D604" s="20" t="n">
        <f aca="false">$D$602*D603</f>
        <v>0.0875096501918447</v>
      </c>
      <c r="E604" s="20" t="n">
        <f aca="false">$D$602*E603</f>
        <v>0.0875096501918447</v>
      </c>
      <c r="F604" s="20" t="n">
        <f aca="false">$D$602*F603</f>
        <v>0.0831341676822525</v>
      </c>
      <c r="G604" s="20" t="n">
        <f aca="false">$D$602*G603</f>
        <v>0.0787586851726602</v>
      </c>
    </row>
    <row r="605" customFormat="false" ht="17.15" hidden="false" customHeight="false" outlineLevel="0" collapsed="false">
      <c r="A605" s="4" t="s">
        <v>587</v>
      </c>
      <c r="B605" s="0" t="s">
        <v>151</v>
      </c>
      <c r="D605" s="21" t="n">
        <f aca="false">D600*D604</f>
        <v>1777.12226107882</v>
      </c>
      <c r="E605" s="21" t="n">
        <f aca="false">E600*E604</f>
        <v>3189.77769301484</v>
      </c>
      <c r="F605" s="21" t="n">
        <f aca="false">F600*F604</f>
        <v>3265.05813846097</v>
      </c>
      <c r="G605" s="21" t="n">
        <f aca="false">G600*G604</f>
        <v>3523.65860763142</v>
      </c>
    </row>
    <row r="606" customFormat="false" ht="17.15" hidden="false" customHeight="false" outlineLevel="0" collapsed="false">
      <c r="A606" s="4" t="s">
        <v>588</v>
      </c>
      <c r="B606" s="0" t="s">
        <v>52</v>
      </c>
      <c r="D606" s="20" t="n">
        <f aca="false">0</f>
        <v>0</v>
      </c>
      <c r="E606" s="20" t="n">
        <f aca="false">cs_27</f>
        <v>0.1</v>
      </c>
      <c r="F606" s="20" t="n">
        <f aca="false">cs_28</f>
        <v>0.2</v>
      </c>
      <c r="G606" s="20" t="n">
        <f aca="false">cs_29</f>
        <v>0.25</v>
      </c>
      <c r="K606" s="8" t="s">
        <v>589</v>
      </c>
    </row>
    <row r="607" customFormat="false" ht="17.15" hidden="false" customHeight="false" outlineLevel="0" collapsed="false">
      <c r="A607" s="4" t="s">
        <v>590</v>
      </c>
      <c r="B607" s="0" t="s">
        <v>151</v>
      </c>
      <c r="D607" s="21" t="n">
        <f aca="false">D605*(1-D606)</f>
        <v>1777.12226107882</v>
      </c>
      <c r="E607" s="21" t="n">
        <f aca="false">E605*(1-E606)</f>
        <v>2870.79992371336</v>
      </c>
      <c r="F607" s="21" t="n">
        <f aca="false">F605*(1-F606)</f>
        <v>2612.04651076878</v>
      </c>
      <c r="G607" s="21" t="n">
        <f aca="false">G605*(1-G606)</f>
        <v>2642.74395572356</v>
      </c>
    </row>
    <row r="608" customFormat="false" ht="17.15" hidden="false" customHeight="false" outlineLevel="0" collapsed="false">
      <c r="A608" s="6" t="s">
        <v>591</v>
      </c>
    </row>
    <row r="609" customFormat="false" ht="17.15" hidden="false" customHeight="false" outlineLevel="0" collapsed="false">
      <c r="A609" s="0" t="s">
        <v>592</v>
      </c>
      <c r="B609" s="4" t="s">
        <v>85</v>
      </c>
      <c r="D609" s="18" t="n">
        <f aca="false">gu_26*1</f>
        <v>8.35</v>
      </c>
      <c r="E609" s="18" t="n">
        <f aca="false">gu_27*1*1</f>
        <v>11.2</v>
      </c>
      <c r="F609" s="18" t="n">
        <f aca="false">gu_28*um28_A*1</f>
        <v>11.5</v>
      </c>
      <c r="G609" s="18" t="n">
        <f aca="false">gu_29*um29_A*1</f>
        <v>12.9</v>
      </c>
    </row>
    <row r="610" customFormat="false" ht="15" hidden="false" customHeight="false" outlineLevel="0" collapsed="false">
      <c r="A610" s="4" t="s">
        <v>593</v>
      </c>
      <c r="B610" s="0" t="s">
        <v>52</v>
      </c>
      <c r="D610" s="20" t="n">
        <f aca="false">bsh_26</f>
        <v>0.5</v>
      </c>
      <c r="E610" s="20" t="n">
        <f aca="false">bsh_26*brel_27</f>
        <v>0.5</v>
      </c>
      <c r="F610" s="20" t="n">
        <f aca="false">bsh_26*brel_28</f>
        <v>0.475</v>
      </c>
      <c r="G610" s="20" t="n">
        <f aca="false">bsh_26*brel_29</f>
        <v>0.45</v>
      </c>
    </row>
    <row r="611" customFormat="false" ht="17.15" hidden="false" customHeight="false" outlineLevel="0" collapsed="false">
      <c r="A611" s="4" t="s">
        <v>594</v>
      </c>
      <c r="B611" s="0" t="s">
        <v>543</v>
      </c>
      <c r="D611" s="24" t="n">
        <f aca="false">a26_brd/fx/D609/D610*1000</f>
        <v>823.353293413174</v>
      </c>
      <c r="E611" s="24" t="n">
        <f aca="false">$D611*bv_27</f>
        <v>946.85628742515</v>
      </c>
      <c r="F611" s="24" t="n">
        <f aca="false">$D611*bv_28</f>
        <v>988.023952095808</v>
      </c>
      <c r="G611" s="24" t="n">
        <f aca="false">$D611*bv_29</f>
        <v>988.023952095808</v>
      </c>
      <c r="K611" s="8" t="s">
        <v>595</v>
      </c>
    </row>
    <row r="612" customFormat="false" ht="17.15" hidden="false" customHeight="false" outlineLevel="0" collapsed="false">
      <c r="A612" s="0" t="s">
        <v>545</v>
      </c>
      <c r="B612" s="0" t="s">
        <v>151</v>
      </c>
      <c r="D612" s="21" t="n">
        <f aca="false">D609*D610*D611*fx/1000</f>
        <v>110</v>
      </c>
      <c r="E612" s="21" t="n">
        <f aca="false">E609*E610*E611*fx/1000</f>
        <v>169.676646706587</v>
      </c>
      <c r="F612" s="21" t="n">
        <f aca="false">F609*F610*F611*fx/1000</f>
        <v>172.706586826347</v>
      </c>
      <c r="G612" s="21" t="n">
        <f aca="false">G609*G610*G611*fx/1000</f>
        <v>183.535329341317</v>
      </c>
    </row>
    <row r="613" customFormat="false" ht="17.15" hidden="false" customHeight="false" outlineLevel="0" collapsed="false">
      <c r="A613" s="6" t="s">
        <v>596</v>
      </c>
    </row>
    <row r="614" customFormat="false" ht="15" hidden="false" customHeight="false" outlineLevel="0" collapsed="false">
      <c r="A614" s="4" t="s">
        <v>597</v>
      </c>
      <c r="B614" s="0" t="s">
        <v>151</v>
      </c>
      <c r="D614" s="21" t="n">
        <f aca="false">a26_gen</f>
        <v>150</v>
      </c>
      <c r="E614" s="21" t="n">
        <f aca="false">D614*(1+g_gen27)</f>
        <v>180</v>
      </c>
      <c r="F614" s="21" t="n">
        <f aca="false">E614*(1+g_gen28)</f>
        <v>198</v>
      </c>
      <c r="G614" s="21" t="n">
        <f aca="false">F614*(1+g_gen29)</f>
        <v>213.84</v>
      </c>
    </row>
    <row r="615" customFormat="false" ht="15" hidden="false" customHeight="false" outlineLevel="0" collapsed="false">
      <c r="A615" s="4" t="s">
        <v>598</v>
      </c>
      <c r="B615" s="0" t="s">
        <v>151</v>
      </c>
      <c r="D615" s="21" t="n">
        <f aca="false">a26_pc</f>
        <v>614.602793131557</v>
      </c>
      <c r="E615" s="21" t="n">
        <f aca="false">D615*(1+g_pc27)</f>
        <v>596.16470933761</v>
      </c>
      <c r="F615" s="21" t="n">
        <f aca="false">E615*(1+g_pc28)</f>
        <v>596.16470933761</v>
      </c>
      <c r="G615" s="21" t="n">
        <f aca="false">F615*(1+g_pc29)</f>
        <v>596.16470933761</v>
      </c>
    </row>
    <row r="616" customFormat="false" ht="15" hidden="false" customHeight="false" outlineLevel="0" collapsed="false">
      <c r="A616" s="4" t="s">
        <v>599</v>
      </c>
      <c r="B616" s="0" t="s">
        <v>151</v>
      </c>
      <c r="C616" s="21" t="n">
        <f aca="false">a25_srev</f>
        <v>1235.86</v>
      </c>
      <c r="D616" s="21" t="n">
        <f aca="false">D607+D612+D614+D615</f>
        <v>2651.72505421038</v>
      </c>
      <c r="E616" s="21" t="n">
        <f aca="false">E607+E612+E614+E615</f>
        <v>3816.64127975756</v>
      </c>
      <c r="F616" s="21" t="n">
        <f aca="false">F607+F612+F614+F615</f>
        <v>3578.91780693273</v>
      </c>
      <c r="G616" s="21" t="n">
        <f aca="false">G607+G612+G614+G615</f>
        <v>3636.28399440249</v>
      </c>
    </row>
    <row r="617" customFormat="false" ht="17.15" hidden="false" customHeight="false" outlineLevel="0" collapsed="false">
      <c r="A617" s="4" t="s">
        <v>600</v>
      </c>
      <c r="B617" s="0" t="s">
        <v>52</v>
      </c>
      <c r="D617" s="20" t="n">
        <f aca="false">a26_wai/D600</f>
        <v>0.0341693013513091</v>
      </c>
      <c r="K617" s="8" t="s">
        <v>601</v>
      </c>
    </row>
    <row r="618" customFormat="false" ht="17.15" hidden="false" customHeight="false" outlineLevel="0" collapsed="false">
      <c r="A618" s="4" t="s">
        <v>527</v>
      </c>
      <c r="B618" s="0" t="s">
        <v>52</v>
      </c>
      <c r="D618" s="20" t="n">
        <f aca="false">D617</f>
        <v>0.0341693013513091</v>
      </c>
      <c r="E618" s="20" t="n">
        <f aca="false">$D$617*wrel_27</f>
        <v>0.0341693013513091</v>
      </c>
      <c r="F618" s="20" t="n">
        <f aca="false">$D$617*wrel_28</f>
        <v>0.0341693013513091</v>
      </c>
      <c r="G618" s="20" t="n">
        <f aca="false">$D$617*wrel_29</f>
        <v>0.0324608362837436</v>
      </c>
    </row>
    <row r="619" customFormat="false" ht="17.15" hidden="false" customHeight="false" outlineLevel="0" collapsed="false">
      <c r="A619" s="4" t="s">
        <v>547</v>
      </c>
      <c r="B619" s="0" t="s">
        <v>151</v>
      </c>
      <c r="D619" s="21" t="n">
        <f aca="false">D600*D618</f>
        <v>693.900912</v>
      </c>
      <c r="E619" s="21" t="n">
        <f aca="false">E600*E618</f>
        <v>1245.4909258278</v>
      </c>
      <c r="F619" s="21" t="n">
        <f aca="false">F600*F618</f>
        <v>1341.98439189323</v>
      </c>
      <c r="G619" s="21" t="n">
        <f aca="false">G600*G618</f>
        <v>1452.29576816035</v>
      </c>
    </row>
    <row r="620" customFormat="false" ht="17.15" hidden="false" customHeight="false" outlineLevel="0" collapsed="false">
      <c r="A620" s="4" t="s">
        <v>602</v>
      </c>
      <c r="B620" s="0" t="s">
        <v>151</v>
      </c>
      <c r="D620" s="21" t="n">
        <f aca="false">a26_wna</f>
        <v>751.725988</v>
      </c>
      <c r="E620" s="21" t="n">
        <f aca="false">D620*(1+g_wn27)</f>
        <v>826.8985868</v>
      </c>
      <c r="F620" s="21" t="n">
        <f aca="false">E620*(1+g_wn28)</f>
        <v>876.512502008</v>
      </c>
      <c r="G620" s="21" t="n">
        <f aca="false">F620*(1+g_wn29)</f>
        <v>920.3381271084</v>
      </c>
    </row>
    <row r="621" customFormat="false" ht="15" hidden="false" customHeight="false" outlineLevel="0" collapsed="false">
      <c r="A621" s="4" t="s">
        <v>458</v>
      </c>
      <c r="B621" s="0" t="s">
        <v>151</v>
      </c>
      <c r="C621" s="21" t="n">
        <f aca="false">a25_wrev</f>
        <v>950.663</v>
      </c>
      <c r="D621" s="21" t="n">
        <f aca="false">D619+D620</f>
        <v>1445.6269</v>
      </c>
      <c r="E621" s="21" t="n">
        <f aca="false">E619+E620</f>
        <v>2072.3895126278</v>
      </c>
      <c r="F621" s="21" t="n">
        <f aca="false">F619+F620</f>
        <v>2218.49689390123</v>
      </c>
      <c r="G621" s="21" t="n">
        <f aca="false">G619+G620</f>
        <v>2372.63389526875</v>
      </c>
    </row>
    <row r="622" customFormat="false" ht="17.15" hidden="false" customHeight="false" outlineLevel="0" collapsed="false">
      <c r="A622" s="4" t="s">
        <v>444</v>
      </c>
      <c r="B622" s="0" t="s">
        <v>151</v>
      </c>
      <c r="C622" s="21" t="n">
        <f aca="false">C616+C621</f>
        <v>2186.523</v>
      </c>
      <c r="D622" s="21" t="n">
        <f aca="false">D616+D621</f>
        <v>4097.35195421038</v>
      </c>
      <c r="E622" s="21" t="n">
        <f aca="false">E616+E621</f>
        <v>5889.03079238536</v>
      </c>
      <c r="F622" s="21" t="n">
        <f aca="false">F616+F621</f>
        <v>5797.41470083396</v>
      </c>
      <c r="G622" s="21" t="n">
        <f aca="false">G616+G621</f>
        <v>6008.91788967124</v>
      </c>
      <c r="H622" s="26" t="n">
        <f aca="false">G622*(1+H627)</f>
        <v>6275.24245926306</v>
      </c>
      <c r="I622" s="26" t="n">
        <f aca="false">H622*(1+I627)</f>
        <v>6602.56397703073</v>
      </c>
      <c r="J622" s="26" t="n">
        <f aca="false">I622*(1+J627)</f>
        <v>6998.71781565257</v>
      </c>
      <c r="K622" s="8" t="s">
        <v>603</v>
      </c>
    </row>
    <row r="623" customFormat="false" ht="17.15" hidden="false" customHeight="false" outlineLevel="0" collapsed="false">
      <c r="A623" s="4" t="s">
        <v>604</v>
      </c>
      <c r="B623" s="0" t="s">
        <v>151</v>
      </c>
      <c r="D623" s="21" t="n">
        <f aca="false">D607+D612+D614+D621</f>
        <v>3482.74916107882</v>
      </c>
      <c r="E623" s="21" t="n">
        <f aca="false">E607+E612+E614+E621</f>
        <v>5292.86608304775</v>
      </c>
      <c r="F623" s="21" t="n">
        <f aca="false">F607+F612+F614+F621</f>
        <v>5201.24999149635</v>
      </c>
      <c r="G623" s="21" t="n">
        <f aca="false">G607+G612+G614+G621</f>
        <v>5412.75318033363</v>
      </c>
      <c r="K623" s="4" t="s">
        <v>605</v>
      </c>
    </row>
    <row r="624" customFormat="false" ht="15" hidden="false" customHeight="false" outlineLevel="0" collapsed="false">
      <c r="A624" s="4" t="s">
        <v>606</v>
      </c>
      <c r="B624" s="0" t="s">
        <v>151</v>
      </c>
      <c r="D624" s="21" t="n">
        <f aca="false">D615</f>
        <v>614.602793131557</v>
      </c>
      <c r="E624" s="21" t="n">
        <f aca="false">E615</f>
        <v>596.16470933761</v>
      </c>
      <c r="F624" s="21" t="n">
        <f aca="false">F615</f>
        <v>596.16470933761</v>
      </c>
      <c r="G624" s="21" t="n">
        <f aca="false">G615</f>
        <v>596.16470933761</v>
      </c>
      <c r="K624" s="4" t="s">
        <v>607</v>
      </c>
    </row>
    <row r="625" customFormat="false" ht="17.15" hidden="false" customHeight="false" outlineLevel="0" collapsed="false">
      <c r="A625" s="4" t="s">
        <v>608</v>
      </c>
      <c r="B625" s="0" t="s">
        <v>151</v>
      </c>
      <c r="D625" s="31" t="n">
        <f aca="false">D623+D624-D622</f>
        <v>0</v>
      </c>
      <c r="E625" s="31" t="n">
        <f aca="false">E623+E624-E622</f>
        <v>0</v>
      </c>
      <c r="F625" s="31" t="n">
        <f aca="false">F623+F624-F622</f>
        <v>0</v>
      </c>
      <c r="G625" s="31" t="n">
        <f aca="false">G623+G624-G622</f>
        <v>0</v>
      </c>
    </row>
    <row r="626" customFormat="false" ht="17.15" hidden="false" customHeight="false" outlineLevel="0" collapsed="false">
      <c r="A626" s="4" t="s">
        <v>609</v>
      </c>
      <c r="B626" s="0" t="s">
        <v>52</v>
      </c>
      <c r="D626" s="20" t="n">
        <f aca="false">D623/D622</f>
        <v>0.85</v>
      </c>
      <c r="E626" s="20" t="n">
        <f aca="false">E623/E622</f>
        <v>0.898766922715286</v>
      </c>
      <c r="F626" s="20" t="n">
        <f aca="false">F623/F622</f>
        <v>0.897167144304538</v>
      </c>
      <c r="G626" s="20" t="n">
        <f aca="false">G623/G622</f>
        <v>0.90078667735461</v>
      </c>
    </row>
    <row r="627" customFormat="false" ht="15" hidden="false" customHeight="false" outlineLevel="0" collapsed="false">
      <c r="A627" s="4" t="s">
        <v>610</v>
      </c>
      <c r="B627" s="0" t="s">
        <v>52</v>
      </c>
      <c r="D627" s="20" t="n">
        <f aca="false">D622/C622-1</f>
        <v>0.873912121761526</v>
      </c>
      <c r="E627" s="20" t="n">
        <f aca="false">E622/D622-1</f>
        <v>0.437277260581405</v>
      </c>
      <c r="F627" s="20" t="n">
        <f aca="false">F622/E622-1</f>
        <v>-0.0155570746326986</v>
      </c>
      <c r="G627" s="20" t="n">
        <f aca="false">G622/F622-1</f>
        <v>0.0364823287191882</v>
      </c>
      <c r="H627" s="27" t="n">
        <f aca="false">$G627+(fade_gA-$G627)*1/3</f>
        <v>0.0443215524794588</v>
      </c>
      <c r="I627" s="27" t="n">
        <f aca="false">$G627+(fade_gA-$G627)*2/3</f>
        <v>0.0521607762397294</v>
      </c>
      <c r="J627" s="27" t="n">
        <f aca="false">$G627+(fade_gA-$G627)*3/3</f>
        <v>0.06</v>
      </c>
    </row>
    <row r="628" customFormat="false" ht="17.15" hidden="false" customHeight="false" outlineLevel="0" collapsed="false">
      <c r="A628" s="0" t="s">
        <v>611</v>
      </c>
      <c r="B628" s="0" t="s">
        <v>52</v>
      </c>
      <c r="D628" s="20" t="n">
        <f aca="false">(D607+D612+D619)/D622</f>
        <v>0.629924693295288</v>
      </c>
      <c r="E628" s="20" t="n">
        <f aca="false">(E607+E612+E619)/E622</f>
        <v>0.727788263866712</v>
      </c>
      <c r="F628" s="20" t="n">
        <f aca="false">(F607+F612+F619)/F622</f>
        <v>0.711823752903983</v>
      </c>
      <c r="G628" s="20" t="n">
        <f aca="false">(G607+G612+G619)/G622</f>
        <v>0.712037530181548</v>
      </c>
    </row>
    <row r="629" customFormat="false" ht="17.15" hidden="false" customHeight="false" outlineLevel="0" collapsed="false">
      <c r="A629" s="4" t="s">
        <v>612</v>
      </c>
      <c r="B629" s="0" t="s">
        <v>52</v>
      </c>
      <c r="C629" s="20" t="n">
        <f aca="false">C621/C622</f>
        <v>0.434782986504144</v>
      </c>
      <c r="D629" s="20" t="n">
        <f aca="false">D621/D622</f>
        <v>0.352819800728736</v>
      </c>
      <c r="E629" s="20" t="n">
        <f aca="false">E621/E622</f>
        <v>0.351906720424598</v>
      </c>
      <c r="F629" s="20" t="n">
        <f aca="false">F621/F622</f>
        <v>0.382670036280499</v>
      </c>
      <c r="G629" s="20" t="n">
        <f aca="false">G621/G622</f>
        <v>0.394852107955591</v>
      </c>
    </row>
    <row r="630" customFormat="false" ht="17.15" hidden="false" customHeight="false" outlineLevel="0" collapsed="false">
      <c r="A630" s="4" t="s">
        <v>613</v>
      </c>
      <c r="B630" s="4" t="s">
        <v>335</v>
      </c>
      <c r="D630" s="21" t="n">
        <f aca="false">D605/fx/(odm_gb*(1-vr26)+odm_vr*vr26)</f>
        <v>12.0597330420658</v>
      </c>
      <c r="E630" s="21" t="n">
        <f aca="false">E605/fx/odm_vr</f>
        <v>14.7674893195132</v>
      </c>
      <c r="F630" s="21" t="n">
        <f aca="false">F605/fx/odm_vr</f>
        <v>15.1160099002823</v>
      </c>
      <c r="G630" s="21" t="n">
        <f aca="false">G605/fx/odm_vr</f>
        <v>16.3132342945899</v>
      </c>
      <c r="K630" s="4" t="s">
        <v>614</v>
      </c>
    </row>
    <row r="631" customFormat="false" ht="17.15" hidden="false" customHeight="false" outlineLevel="0" collapsed="false">
      <c r="A631" s="6" t="s">
        <v>615</v>
      </c>
    </row>
    <row r="632" customFormat="false" ht="17.15" hidden="false" customHeight="false" outlineLevel="0" collapsed="false">
      <c r="A632" s="4" t="s">
        <v>616</v>
      </c>
      <c r="B632" s="0" t="s">
        <v>52</v>
      </c>
      <c r="D632" s="14" t="n">
        <f aca="false">(a26_sgp-d_ai*D607-d_brd*D612-d_gen*D614)/D616</f>
        <v>0.0436423860147897</v>
      </c>
      <c r="K632" s="8" t="s">
        <v>617</v>
      </c>
    </row>
    <row r="633" customFormat="false" ht="17.15" hidden="false" customHeight="false" outlineLevel="0" collapsed="false">
      <c r="A633" s="4" t="s">
        <v>618</v>
      </c>
      <c r="B633" s="0" t="s">
        <v>151</v>
      </c>
      <c r="D633" s="25" t="n">
        <f aca="false">($D$632+d_ai)*D605*(1-D606*(1-keep))</f>
        <v>59.7866331026896</v>
      </c>
      <c r="E633" s="25" t="n">
        <f aca="false">($D$632+d_ai+vrd)*E605*(1-E606*(1-keep))</f>
        <v>99.9228552931037</v>
      </c>
      <c r="F633" s="25" t="n">
        <f aca="false">($D$632+d_ai+vrd)*F605*(1-F606*(1-keep))</f>
        <v>101.247945378354</v>
      </c>
      <c r="G633" s="25" t="n">
        <f aca="false">($D$632+d_ai+vrd)*G605*(1-G606*(1-keep))</f>
        <v>108.709541700835</v>
      </c>
    </row>
    <row r="634" customFormat="false" ht="15" hidden="false" customHeight="false" outlineLevel="0" collapsed="false">
      <c r="A634" s="4" t="s">
        <v>619</v>
      </c>
      <c r="B634" s="0" t="s">
        <v>151</v>
      </c>
      <c r="C634" s="21" t="n">
        <f aca="false">a25_sgp</f>
        <v>55.529</v>
      </c>
      <c r="D634" s="21" t="n">
        <f aca="false">a26_sgp</f>
        <v>103.50638581015</v>
      </c>
      <c r="E634" s="21" t="n">
        <f aca="false">$D$632*E615+($D$632+d_brd)*E612+($D$632+d_gen)*E614+E633</f>
        <v>148.991928263534</v>
      </c>
      <c r="F634" s="21" t="n">
        <f aca="false">$D$632*F615+($D$632+d_brd)*F612+($D$632+d_gen)*F614+F633</f>
        <v>151.595713316952</v>
      </c>
      <c r="G634" s="21" t="n">
        <f aca="false">$D$632*G615+($D$632+d_brd)*G612+($D$632+d_gen)*G614+G633</f>
        <v>160.783659470249</v>
      </c>
    </row>
    <row r="635" customFormat="false" ht="15" hidden="false" customHeight="false" outlineLevel="0" collapsed="false">
      <c r="A635" s="4" t="s">
        <v>620</v>
      </c>
      <c r="B635" s="0" t="s">
        <v>52</v>
      </c>
      <c r="C635" s="14" t="n">
        <f aca="false">C634/C616</f>
        <v>0.0449314647290146</v>
      </c>
      <c r="D635" s="14" t="n">
        <f aca="false">D634/D616</f>
        <v>0.0390336040479778</v>
      </c>
      <c r="E635" s="14" t="n">
        <f aca="false">E634/E616</f>
        <v>0.0390374461057547</v>
      </c>
      <c r="F635" s="14" t="n">
        <f aca="false">F634/F616</f>
        <v>0.0423579756493138</v>
      </c>
      <c r="G635" s="14" t="n">
        <f aca="false">G634/G616</f>
        <v>0.0442164747631789</v>
      </c>
    </row>
    <row r="636" customFormat="false" ht="15" hidden="false" customHeight="false" outlineLevel="0" collapsed="false">
      <c r="A636" s="4" t="s">
        <v>621</v>
      </c>
      <c r="B636" s="0" t="s">
        <v>52</v>
      </c>
      <c r="E636" s="20" t="n">
        <f aca="false">MAX(0,phi*(E616/D616-1))</f>
        <v>0.13179151703879</v>
      </c>
      <c r="F636" s="20" t="n">
        <f aca="false">MAX(0,phi*(F616/E616-1))</f>
        <v>0</v>
      </c>
      <c r="G636" s="20" t="n">
        <f aca="false">MAX(0,phi*(G616/F616-1))</f>
        <v>0.00480867602144708</v>
      </c>
    </row>
    <row r="637" customFormat="false" ht="15" hidden="false" customHeight="false" outlineLevel="0" collapsed="false">
      <c r="A637" s="4" t="s">
        <v>622</v>
      </c>
      <c r="B637" s="0" t="s">
        <v>151</v>
      </c>
      <c r="C637" s="21" t="n">
        <f aca="false">a25_sopx</f>
        <v>40.894</v>
      </c>
      <c r="D637" s="21" t="n">
        <f aca="false">a26_sopx</f>
        <v>46.9914095398923</v>
      </c>
      <c r="E637" s="21" t="n">
        <f aca="false">D637*(1+E636)+0*E616</f>
        <v>53.1844786909457</v>
      </c>
      <c r="F637" s="21" t="n">
        <f aca="false">E637*(1+F636)+0*F616</f>
        <v>53.1844786909457</v>
      </c>
      <c r="G637" s="21" t="n">
        <f aca="false">F637*(1+G636)+0*G616</f>
        <v>53.44022561834</v>
      </c>
    </row>
    <row r="638" customFormat="false" ht="15" hidden="false" customHeight="false" outlineLevel="0" collapsed="false">
      <c r="A638" s="4" t="s">
        <v>623</v>
      </c>
      <c r="B638" s="0" t="s">
        <v>151</v>
      </c>
      <c r="C638" s="21" t="n">
        <f aca="false">C634-C637</f>
        <v>14.635</v>
      </c>
      <c r="D638" s="21" t="n">
        <f aca="false">D634-D637</f>
        <v>56.514976270258</v>
      </c>
      <c r="E638" s="21" t="n">
        <f aca="false">E634-E637</f>
        <v>95.8074495725885</v>
      </c>
      <c r="F638" s="21" t="n">
        <f aca="false">F634-F637</f>
        <v>98.4112346260066</v>
      </c>
      <c r="G638" s="21" t="n">
        <f aca="false">G634-G637</f>
        <v>107.343433851909</v>
      </c>
    </row>
    <row r="639" customFormat="false" ht="15" hidden="false" customHeight="false" outlineLevel="0" collapsed="false">
      <c r="A639" s="4" t="s">
        <v>624</v>
      </c>
      <c r="B639" s="0" t="s">
        <v>52</v>
      </c>
      <c r="C639" s="14" t="n">
        <f aca="false">C638/C616</f>
        <v>0.011841956208632</v>
      </c>
      <c r="D639" s="14" t="n">
        <f aca="false">D638/D616</f>
        <v>0.0213125324514788</v>
      </c>
      <c r="E639" s="14" t="n">
        <f aca="false">E638/E616</f>
        <v>0.0251025555062577</v>
      </c>
      <c r="F639" s="14" t="n">
        <f aca="false">F638/F616</f>
        <v>0.0274974838582138</v>
      </c>
      <c r="G639" s="14" t="n">
        <f aca="false">G638/G616</f>
        <v>0.0295200908447052</v>
      </c>
    </row>
    <row r="640" customFormat="false" ht="15" hidden="false" customHeight="false" outlineLevel="0" collapsed="false">
      <c r="A640" s="4" t="s">
        <v>625</v>
      </c>
      <c r="B640" s="0" t="s">
        <v>151</v>
      </c>
      <c r="C640" s="21" t="n">
        <f aca="false">a25_sni</f>
        <v>6.9608</v>
      </c>
      <c r="D640" s="21" t="n">
        <f aca="false">a26_sni</f>
        <v>31.133746704</v>
      </c>
      <c r="E640" s="21" t="n">
        <f aca="false">E638*snio</f>
        <v>53.6521717606496</v>
      </c>
      <c r="F640" s="21" t="n">
        <f aca="false">F638*snio</f>
        <v>55.1102913905637</v>
      </c>
      <c r="G640" s="21" t="n">
        <f aca="false">G638*snio</f>
        <v>60.112322957069</v>
      </c>
    </row>
    <row r="641" customFormat="false" ht="17.15" hidden="false" customHeight="false" outlineLevel="0" collapsed="false">
      <c r="A641" s="6" t="s">
        <v>626</v>
      </c>
    </row>
    <row r="642" customFormat="false" ht="15" hidden="false" customHeight="false" outlineLevel="0" collapsed="false">
      <c r="A642" s="4" t="s">
        <v>462</v>
      </c>
      <c r="B642" s="0" t="s">
        <v>151</v>
      </c>
      <c r="C642" s="21" t="n">
        <f aca="false">a25_wgp</f>
        <v>78.454</v>
      </c>
      <c r="D642" s="21" t="n">
        <f aca="false">a26_wgp</f>
        <v>125.0519932</v>
      </c>
      <c r="E642" s="21" t="n">
        <f aca="false">E621*wgm</f>
        <v>176.153108573363</v>
      </c>
      <c r="F642" s="21" t="n">
        <f aca="false">F621*wgm</f>
        <v>188.572235981604</v>
      </c>
      <c r="G642" s="21" t="n">
        <f aca="false">G621*wgm</f>
        <v>201.673881097844</v>
      </c>
    </row>
    <row r="643" customFormat="false" ht="15" hidden="false" customHeight="false" outlineLevel="0" collapsed="false">
      <c r="A643" s="4" t="s">
        <v>464</v>
      </c>
      <c r="B643" s="0" t="s">
        <v>151</v>
      </c>
      <c r="C643" s="21" t="n">
        <f aca="false">a25_woi</f>
        <v>63.918</v>
      </c>
      <c r="D643" s="21" t="n">
        <f aca="false">a26_woi</f>
        <v>98.2471632</v>
      </c>
      <c r="E643" s="21" t="n">
        <f aca="false">E621*wopm</f>
        <v>134.705318320807</v>
      </c>
      <c r="F643" s="21" t="n">
        <f aca="false">F621*wopm</f>
        <v>144.20229810358</v>
      </c>
      <c r="G643" s="21" t="n">
        <f aca="false">G621*wopm</f>
        <v>154.221203192469</v>
      </c>
    </row>
    <row r="644" customFormat="false" ht="15" hidden="false" customHeight="false" outlineLevel="0" collapsed="false">
      <c r="A644" s="4" t="s">
        <v>472</v>
      </c>
      <c r="B644" s="0" t="s">
        <v>151</v>
      </c>
      <c r="C644" s="21" t="n">
        <f aca="false">a25_wni</f>
        <v>51.118</v>
      </c>
      <c r="D644" s="21" t="n">
        <f aca="false">a26_wni</f>
        <v>75.735026884</v>
      </c>
      <c r="E644" s="21" t="n">
        <f aca="false">E643*wnio</f>
        <v>105.07014829023</v>
      </c>
      <c r="F644" s="21" t="n">
        <f aca="false">F643*wnio</f>
        <v>112.477792520792</v>
      </c>
      <c r="G644" s="21" t="n">
        <f aca="false">G643*wnio</f>
        <v>120.292538490126</v>
      </c>
    </row>
    <row r="645" customFormat="false" ht="15" hidden="false" customHeight="false" outlineLevel="0" collapsed="false">
      <c r="A645" s="4" t="s">
        <v>474</v>
      </c>
      <c r="B645" s="0" t="s">
        <v>52</v>
      </c>
      <c r="C645" s="14" t="n">
        <f aca="false">stake25</f>
        <v>0.4</v>
      </c>
      <c r="D645" s="14" t="n">
        <f aca="false">stake</f>
        <v>0.3768</v>
      </c>
      <c r="E645" s="14" t="n">
        <f aca="false">stake</f>
        <v>0.3768</v>
      </c>
      <c r="F645" s="14" t="n">
        <f aca="false">stake</f>
        <v>0.3768</v>
      </c>
      <c r="G645" s="14" t="n">
        <f aca="false">stake</f>
        <v>0.3768</v>
      </c>
    </row>
    <row r="646" customFormat="false" ht="17.15" hidden="false" customHeight="false" outlineLevel="0" collapsed="false">
      <c r="A646" s="6" t="s">
        <v>627</v>
      </c>
    </row>
    <row r="647" customFormat="false" ht="15" hidden="false" customHeight="false" outlineLevel="0" collapsed="false">
      <c r="A647" s="4" t="s">
        <v>448</v>
      </c>
      <c r="B647" s="0" t="s">
        <v>151</v>
      </c>
      <c r="C647" s="21" t="n">
        <f aca="false">C634+C642</f>
        <v>133.983</v>
      </c>
      <c r="D647" s="21" t="n">
        <f aca="false">D634+D642</f>
        <v>228.55837901015</v>
      </c>
      <c r="E647" s="21" t="n">
        <f aca="false">E634+E642</f>
        <v>325.145036836897</v>
      </c>
      <c r="F647" s="21" t="n">
        <f aca="false">F634+F642</f>
        <v>340.167949298557</v>
      </c>
      <c r="G647" s="21" t="n">
        <f aca="false">G634+G642</f>
        <v>362.457540568092</v>
      </c>
    </row>
    <row r="648" customFormat="false" ht="15" hidden="false" customHeight="false" outlineLevel="0" collapsed="false">
      <c r="A648" s="4" t="s">
        <v>451</v>
      </c>
      <c r="B648" s="0" t="s">
        <v>52</v>
      </c>
      <c r="C648" s="14" t="n">
        <f aca="false">C647/C622</f>
        <v>0.0612767393711386</v>
      </c>
      <c r="D648" s="14" t="n">
        <f aca="false">D647/D622</f>
        <v>0.055781973714825</v>
      </c>
      <c r="E648" s="14" t="n">
        <f aca="false">E647/E622</f>
        <v>0.0552119777090174</v>
      </c>
      <c r="F648" s="14" t="n">
        <f aca="false">F647/F622</f>
        <v>0.0586758006546648</v>
      </c>
      <c r="G648" s="14" t="n">
        <f aca="false">G647/G622</f>
        <v>0.0603199356727977</v>
      </c>
    </row>
    <row r="649" customFormat="false" ht="15" hidden="false" customHeight="false" outlineLevel="0" collapsed="false">
      <c r="A649" s="4" t="s">
        <v>452</v>
      </c>
      <c r="B649" s="0" t="s">
        <v>151</v>
      </c>
      <c r="C649" s="21" t="n">
        <f aca="false">C638+C643</f>
        <v>78.553</v>
      </c>
      <c r="D649" s="21" t="n">
        <f aca="false">D638+D643</f>
        <v>154.762139470258</v>
      </c>
      <c r="E649" s="21" t="n">
        <f aca="false">E638+E643</f>
        <v>230.512767893396</v>
      </c>
      <c r="F649" s="21" t="n">
        <f aca="false">F638+F643</f>
        <v>242.613532729586</v>
      </c>
      <c r="G649" s="21" t="n">
        <f aca="false">G638+G643</f>
        <v>261.564637044377</v>
      </c>
    </row>
    <row r="650" customFormat="false" ht="15" hidden="false" customHeight="false" outlineLevel="0" collapsed="false">
      <c r="A650" s="4" t="s">
        <v>455</v>
      </c>
      <c r="B650" s="0" t="s">
        <v>52</v>
      </c>
      <c r="C650" s="14" t="n">
        <f aca="false">C649/C622</f>
        <v>0.0359259884300325</v>
      </c>
      <c r="D650" s="14" t="n">
        <f aca="false">D649/D622</f>
        <v>0.0377712584126992</v>
      </c>
      <c r="E650" s="14" t="n">
        <f aca="false">E649/E622</f>
        <v>0.039142734351373</v>
      </c>
      <c r="F650" s="14" t="n">
        <f aca="false">F649/F622</f>
        <v>0.0418485730708011</v>
      </c>
      <c r="G650" s="14" t="n">
        <f aca="false">G649/G622</f>
        <v>0.0435294077647462</v>
      </c>
    </row>
    <row r="651" customFormat="false" ht="15" hidden="false" customHeight="false" outlineLevel="0" collapsed="false">
      <c r="A651" s="4" t="s">
        <v>485</v>
      </c>
      <c r="B651" s="0" t="s">
        <v>151</v>
      </c>
      <c r="C651" s="21" t="n">
        <f aca="false">C640+C644</f>
        <v>58.0788</v>
      </c>
      <c r="D651" s="21" t="n">
        <f aca="false">D640+D644</f>
        <v>106.868773588</v>
      </c>
      <c r="E651" s="21" t="n">
        <f aca="false">E640+E644</f>
        <v>158.722320050879</v>
      </c>
      <c r="F651" s="21" t="n">
        <f aca="false">F640+F644</f>
        <v>167.588083911356</v>
      </c>
      <c r="G651" s="21" t="n">
        <f aca="false">G640+G644</f>
        <v>180.404861447194</v>
      </c>
    </row>
    <row r="652" customFormat="false" ht="17.15" hidden="false" customHeight="false" outlineLevel="0" collapsed="false">
      <c r="A652" s="4" t="s">
        <v>628</v>
      </c>
      <c r="B652" s="0" t="s">
        <v>151</v>
      </c>
      <c r="C652" s="21" t="n">
        <f aca="false">(1-C645)*C644</f>
        <v>30.6708</v>
      </c>
      <c r="D652" s="21" t="n">
        <f aca="false">(1-D645)*D644</f>
        <v>47.1980687541088</v>
      </c>
      <c r="E652" s="21" t="n">
        <f aca="false">(1-E645)*E644</f>
        <v>65.4797164144711</v>
      </c>
      <c r="F652" s="21" t="n">
        <f aca="false">(1-F645)*F644</f>
        <v>70.0961602989577</v>
      </c>
      <c r="G652" s="21" t="n">
        <f aca="false">(1-G645)*G644</f>
        <v>74.9663099870462</v>
      </c>
    </row>
    <row r="653" customFormat="false" ht="15" hidden="false" customHeight="false" outlineLevel="0" collapsed="false">
      <c r="A653" s="4" t="s">
        <v>481</v>
      </c>
      <c r="B653" s="0" t="s">
        <v>151</v>
      </c>
      <c r="C653" s="21" t="n">
        <f aca="false">C651-C652</f>
        <v>27.408</v>
      </c>
      <c r="D653" s="21" t="n">
        <f aca="false">D651-D652</f>
        <v>59.6707048338912</v>
      </c>
      <c r="E653" s="21" t="n">
        <f aca="false">E651-E652</f>
        <v>93.2426036364081</v>
      </c>
      <c r="F653" s="21" t="n">
        <f aca="false">F651-F652</f>
        <v>97.4919236123982</v>
      </c>
      <c r="G653" s="21" t="n">
        <f aca="false">G651-G652</f>
        <v>105.438551460148</v>
      </c>
      <c r="H653" s="26" t="n">
        <f aca="false">H622*H658</f>
        <v>110.869338739166</v>
      </c>
      <c r="I653" s="26" t="n">
        <f aca="false">I622*I658</f>
        <v>117.449472821422</v>
      </c>
      <c r="J653" s="26" t="n">
        <f aca="false">J622*J658</f>
        <v>125.34137070189</v>
      </c>
    </row>
    <row r="654" customFormat="false" ht="17.15" hidden="false" customHeight="false" outlineLevel="0" collapsed="false">
      <c r="A654" s="4" t="s">
        <v>629</v>
      </c>
      <c r="B654" s="0" t="s">
        <v>52</v>
      </c>
      <c r="C654" s="20" t="n">
        <f aca="false">C645*C644/C653</f>
        <v>0.746030356100409</v>
      </c>
      <c r="D654" s="20" t="n">
        <f aca="false">D645*D644/D653</f>
        <v>0.478240674537551</v>
      </c>
      <c r="E654" s="20" t="n">
        <f aca="false">E645*E644/E653</f>
        <v>0.424595950045949</v>
      </c>
      <c r="F654" s="20" t="n">
        <f aca="false">F645*F644/F653</f>
        <v>0.434719417275348</v>
      </c>
      <c r="G654" s="20" t="n">
        <f aca="false">G645*G644/G653</f>
        <v>0.429882883209097</v>
      </c>
    </row>
    <row r="655" customFormat="false" ht="17.15" hidden="false" customHeight="false" outlineLevel="0" collapsed="false">
      <c r="A655" s="4" t="s">
        <v>630</v>
      </c>
      <c r="B655" s="4" t="s">
        <v>286</v>
      </c>
      <c r="C655" s="31" t="n">
        <f aca="false">a25_sh</f>
        <v>3.03185840707965</v>
      </c>
      <c r="D655" s="31" t="n">
        <f aca="false">a26_sh</f>
        <v>3.23861720409076</v>
      </c>
      <c r="E655" s="31" t="n">
        <f aca="false">q_sh4*(1+sh_g)</f>
        <v>3.43</v>
      </c>
      <c r="F655" s="31" t="n">
        <f aca="false">E655*(1+sh_g)</f>
        <v>3.43</v>
      </c>
      <c r="G655" s="31" t="n">
        <f aca="false">F655*(1+sh_g)</f>
        <v>3.43</v>
      </c>
      <c r="H655" s="32" t="n">
        <f aca="false">G655*(1+sh_g)</f>
        <v>3.43</v>
      </c>
      <c r="I655" s="32" t="n">
        <f aca="false">H655*(1+sh_g)</f>
        <v>3.43</v>
      </c>
      <c r="J655" s="32" t="n">
        <f aca="false">I655*(1+sh_g)</f>
        <v>3.43</v>
      </c>
      <c r="K655" s="8" t="s">
        <v>631</v>
      </c>
    </row>
    <row r="656" customFormat="false" ht="15" hidden="false" customHeight="false" outlineLevel="0" collapsed="false">
      <c r="A656" s="0" t="s">
        <v>488</v>
      </c>
      <c r="B656" s="0" t="s">
        <v>316</v>
      </c>
      <c r="C656" s="18" t="n">
        <f aca="false">C653/C655</f>
        <v>9.04</v>
      </c>
      <c r="D656" s="18" t="n">
        <f aca="false">D653/D655</f>
        <v>18.4247476850676</v>
      </c>
      <c r="E656" s="18" t="n">
        <f aca="false">E653/E655</f>
        <v>27.1844325470577</v>
      </c>
      <c r="F656" s="18" t="n">
        <f aca="false">F653/F655</f>
        <v>28.4233013447225</v>
      </c>
      <c r="G656" s="18" t="n">
        <f aca="false">G653/G655</f>
        <v>30.7401024665155</v>
      </c>
      <c r="H656" s="29" t="n">
        <f aca="false">H653/H655</f>
        <v>32.3234223729347</v>
      </c>
      <c r="I656" s="29" t="n">
        <f aca="false">I653/I655</f>
        <v>34.2418288109103</v>
      </c>
      <c r="J656" s="29" t="n">
        <f aca="false">J653/J655</f>
        <v>36.5426736740204</v>
      </c>
    </row>
    <row r="657" customFormat="false" ht="17.15" hidden="false" customHeight="false" outlineLevel="0" collapsed="false">
      <c r="A657" s="0" t="s">
        <v>632</v>
      </c>
      <c r="B657" s="0" t="s">
        <v>52</v>
      </c>
      <c r="D657" s="20" t="n">
        <f aca="false">D656/C656-1</f>
        <v>1.03813580587031</v>
      </c>
      <c r="E657" s="20" t="n">
        <f aca="false">E656/D656-1</f>
        <v>0.475430383727289</v>
      </c>
      <c r="F657" s="20" t="n">
        <f aca="false">F656/E656-1</f>
        <v>0.0455727297422972</v>
      </c>
      <c r="G657" s="20" t="n">
        <f aca="false">G656/F656-1</f>
        <v>0.081510627273534</v>
      </c>
      <c r="H657" s="27" t="n">
        <f aca="false">H656/G656-1</f>
        <v>0.0515066567570444</v>
      </c>
      <c r="I657" s="27" t="n">
        <f aca="false">I656/H656-1</f>
        <v>0.0593503502148323</v>
      </c>
      <c r="J657" s="27" t="n">
        <f aca="false">J656/I656-1</f>
        <v>0.0671939830029449</v>
      </c>
    </row>
    <row r="658" customFormat="false" ht="17.15" hidden="false" customHeight="false" outlineLevel="0" collapsed="false">
      <c r="A658" s="4" t="s">
        <v>633</v>
      </c>
      <c r="B658" s="0" t="s">
        <v>52</v>
      </c>
      <c r="C658" s="14" t="n">
        <f aca="false">C653/C622</f>
        <v>0.0125349699042727</v>
      </c>
      <c r="D658" s="14" t="n">
        <f aca="false">D653/D622</f>
        <v>0.0145632363293992</v>
      </c>
      <c r="E658" s="14" t="n">
        <f aca="false">E653/E622</f>
        <v>0.0158332681426921</v>
      </c>
      <c r="F658" s="14" t="n">
        <f aca="false">F653/F622</f>
        <v>0.0168164481313324</v>
      </c>
      <c r="G658" s="14" t="n">
        <f aca="false">G653/G622</f>
        <v>0.0175470115245521</v>
      </c>
      <c r="H658" s="28" t="n">
        <f aca="false">$G658+(fade_mA-$G658)*1/3</f>
        <v>0.0176677378537795</v>
      </c>
      <c r="I658" s="28" t="n">
        <f aca="false">$G658+(fade_mA-$G658)*2/3</f>
        <v>0.0177884641830069</v>
      </c>
      <c r="J658" s="28" t="n">
        <f aca="false">$G658+(fade_mA-$G658)*3/3</f>
        <v>0.0179091905122343</v>
      </c>
    </row>
    <row r="661" customFormat="false" ht="17.15" hidden="false" customHeight="false" outlineLevel="0" collapsed="false">
      <c r="A661" s="1" t="s">
        <v>956</v>
      </c>
    </row>
    <row r="662" customFormat="false" ht="17.15" hidden="false" customHeight="false" outlineLevel="0" collapsed="false">
      <c r="A662" s="5" t="s">
        <v>21</v>
      </c>
      <c r="B662" s="5" t="s">
        <v>22</v>
      </c>
      <c r="C662" s="15" t="s">
        <v>438</v>
      </c>
      <c r="D662" s="15" t="s">
        <v>552</v>
      </c>
      <c r="E662" s="15" t="s">
        <v>553</v>
      </c>
      <c r="F662" s="15" t="s">
        <v>554</v>
      </c>
      <c r="G662" s="15" t="s">
        <v>555</v>
      </c>
      <c r="H662" s="15" t="s">
        <v>556</v>
      </c>
      <c r="I662" s="15" t="s">
        <v>557</v>
      </c>
      <c r="J662" s="15" t="s">
        <v>558</v>
      </c>
      <c r="K662" s="5" t="s">
        <v>420</v>
      </c>
    </row>
    <row r="663" customFormat="false" ht="17.15" hidden="false" customHeight="false" outlineLevel="0" collapsed="false">
      <c r="A663" s="6" t="s">
        <v>573</v>
      </c>
    </row>
    <row r="664" customFormat="false" ht="17.15" hidden="false" customHeight="false" outlineLevel="0" collapsed="false">
      <c r="A664" s="0" t="s">
        <v>574</v>
      </c>
      <c r="B664" s="0" t="s">
        <v>32</v>
      </c>
      <c r="D664" s="21" t="n">
        <f aca="false">itc_26*1</f>
        <v>781.872916666666</v>
      </c>
      <c r="E664" s="21" t="n">
        <f aca="false">itc_27*1*1</f>
        <v>1565.35</v>
      </c>
      <c r="F664" s="21" t="n">
        <f aca="false">itc_28*um28_A*1</f>
        <v>1984.26388888889</v>
      </c>
      <c r="G664" s="21" t="n">
        <f aca="false">itc_29*um29_A*1</f>
        <v>2260.39027777778</v>
      </c>
    </row>
    <row r="665" customFormat="false" ht="17.15" hidden="false" customHeight="false" outlineLevel="0" collapsed="false">
      <c r="A665" s="4" t="s">
        <v>575</v>
      </c>
      <c r="B665" s="0" t="s">
        <v>32</v>
      </c>
      <c r="D665" s="21" t="n">
        <f aca="false">itpg_gb*(1-vr26)+itpg_vr*vr26</f>
        <v>33.41403216</v>
      </c>
      <c r="E665" s="21" t="n">
        <f aca="false">itpg_vr</f>
        <v>37.586352</v>
      </c>
      <c r="F665" s="21" t="n">
        <f aca="false">itpg_vr</f>
        <v>37.586352</v>
      </c>
      <c r="G665" s="21" t="n">
        <f aca="false">itpg_vr</f>
        <v>37.586352</v>
      </c>
    </row>
    <row r="666" customFormat="false" ht="17.15" hidden="false" customHeight="false" outlineLevel="0" collapsed="false">
      <c r="A666" s="4" t="s">
        <v>576</v>
      </c>
      <c r="B666" s="0" t="s">
        <v>521</v>
      </c>
      <c r="D666" s="22" t="n">
        <f aca="false">D664/D665</f>
        <v>23.3995380420639</v>
      </c>
      <c r="E666" s="22" t="n">
        <f aca="false">E664/E665</f>
        <v>41.6467658260637</v>
      </c>
      <c r="F666" s="22" t="n">
        <f aca="false">F664/F665</f>
        <v>52.792138191248</v>
      </c>
      <c r="G666" s="22" t="n">
        <f aca="false">G664/G665</f>
        <v>60.1385917361116</v>
      </c>
    </row>
    <row r="667" customFormat="false" ht="17.15" hidden="false" customHeight="false" outlineLevel="0" collapsed="false">
      <c r="A667" s="4" t="s">
        <v>577</v>
      </c>
      <c r="B667" s="0" t="s">
        <v>578</v>
      </c>
      <c r="D667" s="18" t="n">
        <f aca="false">(racks_gb*odm_gb*(1-vr26)+racks_vr*odm_vr*vr26)/1000</f>
        <v>27.1209</v>
      </c>
      <c r="E667" s="18" t="n">
        <f aca="false">racks_vr*odm_vr/1000</f>
        <v>27.351</v>
      </c>
      <c r="F667" s="18" t="n">
        <f aca="false">$E667*vpg_28_hi</f>
        <v>32.8212</v>
      </c>
      <c r="G667" s="18" t="n">
        <f aca="false">$E667*vpg_29_hi</f>
        <v>32.8212</v>
      </c>
      <c r="K667" s="4" t="s">
        <v>579</v>
      </c>
    </row>
    <row r="668" customFormat="false" ht="17.15" hidden="false" customHeight="false" outlineLevel="0" collapsed="false">
      <c r="A668" s="0" t="s">
        <v>580</v>
      </c>
      <c r="B668" s="0" t="s">
        <v>32</v>
      </c>
      <c r="D668" s="21" t="n">
        <f aca="false">D666*D667</f>
        <v>634.61653128501</v>
      </c>
      <c r="E668" s="21" t="n">
        <f aca="false">E666*E667</f>
        <v>1139.08069210867</v>
      </c>
      <c r="F668" s="21" t="n">
        <f aca="false">F666*F667</f>
        <v>1732.70132600259</v>
      </c>
      <c r="G668" s="21" t="n">
        <f aca="false">G666*G667</f>
        <v>1973.82074708926</v>
      </c>
    </row>
    <row r="669" customFormat="false" ht="17.15" hidden="false" customHeight="false" outlineLevel="0" collapsed="false">
      <c r="A669" s="0" t="s">
        <v>581</v>
      </c>
      <c r="B669" s="0" t="s">
        <v>151</v>
      </c>
      <c r="D669" s="21" t="n">
        <f aca="false">D668*fx</f>
        <v>20307.7290011203</v>
      </c>
      <c r="E669" s="21" t="n">
        <f aca="false">E668*fx</f>
        <v>36450.5821474774</v>
      </c>
      <c r="F669" s="21" t="n">
        <f aca="false">F668*fx</f>
        <v>55446.4424320828</v>
      </c>
      <c r="G669" s="21" t="n">
        <f aca="false">G668*fx</f>
        <v>63162.2639068565</v>
      </c>
    </row>
    <row r="670" customFormat="false" ht="17.15" hidden="false" customHeight="false" outlineLevel="0" collapsed="false">
      <c r="A670" s="6" t="s">
        <v>582</v>
      </c>
    </row>
    <row r="671" customFormat="false" ht="17.15" hidden="false" customHeight="false" outlineLevel="0" collapsed="false">
      <c r="A671" s="4" t="s">
        <v>583</v>
      </c>
      <c r="B671" s="0" t="s">
        <v>52</v>
      </c>
      <c r="D671" s="20" t="n">
        <f aca="false">a26_ais/D669</f>
        <v>0.0875096501918447</v>
      </c>
      <c r="K671" s="8" t="s">
        <v>584</v>
      </c>
    </row>
    <row r="672" customFormat="false" ht="17.15" hidden="false" customHeight="false" outlineLevel="0" collapsed="false">
      <c r="A672" s="4" t="s">
        <v>585</v>
      </c>
      <c r="B672" s="0" t="s">
        <v>64</v>
      </c>
      <c r="D672" s="18" t="n">
        <f aca="false">1</f>
        <v>1</v>
      </c>
      <c r="E672" s="18" t="n">
        <f aca="false">rel_27</f>
        <v>1</v>
      </c>
      <c r="F672" s="18" t="n">
        <f aca="false">rel_28</f>
        <v>0.95</v>
      </c>
      <c r="G672" s="18" t="n">
        <f aca="false">rel_29</f>
        <v>0.9</v>
      </c>
    </row>
    <row r="673" customFormat="false" ht="17.15" hidden="false" customHeight="false" outlineLevel="0" collapsed="false">
      <c r="A673" s="4" t="s">
        <v>586</v>
      </c>
      <c r="B673" s="0" t="s">
        <v>52</v>
      </c>
      <c r="D673" s="20" t="n">
        <f aca="false">$D$671*D672</f>
        <v>0.0875096501918447</v>
      </c>
      <c r="E673" s="20" t="n">
        <f aca="false">$D$671*E672</f>
        <v>0.0875096501918447</v>
      </c>
      <c r="F673" s="20" t="n">
        <f aca="false">$D$671*F672</f>
        <v>0.0831341676822525</v>
      </c>
      <c r="G673" s="20" t="n">
        <f aca="false">$D$671*G672</f>
        <v>0.0787586851726602</v>
      </c>
    </row>
    <row r="674" customFormat="false" ht="17.15" hidden="false" customHeight="false" outlineLevel="0" collapsed="false">
      <c r="A674" s="4" t="s">
        <v>587</v>
      </c>
      <c r="B674" s="0" t="s">
        <v>151</v>
      </c>
      <c r="D674" s="21" t="n">
        <f aca="false">D669*D673</f>
        <v>1777.12226107882</v>
      </c>
      <c r="E674" s="21" t="n">
        <f aca="false">E669*E673</f>
        <v>3189.77769301484</v>
      </c>
      <c r="F674" s="21" t="n">
        <f aca="false">F669*F673</f>
        <v>4609.49384253313</v>
      </c>
      <c r="G674" s="21" t="n">
        <f aca="false">G669*G673</f>
        <v>4974.57685783259</v>
      </c>
    </row>
    <row r="675" customFormat="false" ht="17.15" hidden="false" customHeight="false" outlineLevel="0" collapsed="false">
      <c r="A675" s="4" t="s">
        <v>588</v>
      </c>
      <c r="B675" s="0" t="s">
        <v>52</v>
      </c>
      <c r="D675" s="20" t="n">
        <f aca="false">0</f>
        <v>0</v>
      </c>
      <c r="E675" s="20" t="n">
        <f aca="false">cs_27</f>
        <v>0.1</v>
      </c>
      <c r="F675" s="20" t="n">
        <f aca="false">cs_28</f>
        <v>0.2</v>
      </c>
      <c r="G675" s="20" t="n">
        <f aca="false">cs_29</f>
        <v>0.25</v>
      </c>
      <c r="K675" s="8" t="s">
        <v>589</v>
      </c>
    </row>
    <row r="676" customFormat="false" ht="17.15" hidden="false" customHeight="false" outlineLevel="0" collapsed="false">
      <c r="A676" s="4" t="s">
        <v>590</v>
      </c>
      <c r="B676" s="0" t="s">
        <v>151</v>
      </c>
      <c r="D676" s="21" t="n">
        <f aca="false">D674*(1-D675)</f>
        <v>1777.12226107882</v>
      </c>
      <c r="E676" s="21" t="n">
        <f aca="false">E674*(1-E675)</f>
        <v>2870.79992371336</v>
      </c>
      <c r="F676" s="21" t="n">
        <f aca="false">F674*(1-F675)</f>
        <v>3687.59507402651</v>
      </c>
      <c r="G676" s="21" t="n">
        <f aca="false">G674*(1-G675)</f>
        <v>3730.93264337444</v>
      </c>
    </row>
    <row r="677" customFormat="false" ht="17.15" hidden="false" customHeight="false" outlineLevel="0" collapsed="false">
      <c r="A677" s="6" t="s">
        <v>591</v>
      </c>
    </row>
    <row r="678" customFormat="false" ht="17.15" hidden="false" customHeight="false" outlineLevel="0" collapsed="false">
      <c r="A678" s="0" t="s">
        <v>592</v>
      </c>
      <c r="B678" s="4" t="s">
        <v>85</v>
      </c>
      <c r="D678" s="18" t="n">
        <f aca="false">gu_26*1</f>
        <v>8.35</v>
      </c>
      <c r="E678" s="18" t="n">
        <f aca="false">gu_27*1*1</f>
        <v>11.2</v>
      </c>
      <c r="F678" s="18" t="n">
        <f aca="false">gu_28*um28_A*1</f>
        <v>11.5</v>
      </c>
      <c r="G678" s="18" t="n">
        <f aca="false">gu_29*um29_A*1</f>
        <v>12.9</v>
      </c>
    </row>
    <row r="679" customFormat="false" ht="15" hidden="false" customHeight="false" outlineLevel="0" collapsed="false">
      <c r="A679" s="4" t="s">
        <v>593</v>
      </c>
      <c r="B679" s="0" t="s">
        <v>52</v>
      </c>
      <c r="D679" s="20" t="n">
        <f aca="false">bsh_26</f>
        <v>0.5</v>
      </c>
      <c r="E679" s="20" t="n">
        <f aca="false">bsh_26*brel_27</f>
        <v>0.5</v>
      </c>
      <c r="F679" s="20" t="n">
        <f aca="false">bsh_26*brel_28</f>
        <v>0.475</v>
      </c>
      <c r="G679" s="20" t="n">
        <f aca="false">bsh_26*brel_29</f>
        <v>0.45</v>
      </c>
    </row>
    <row r="680" customFormat="false" ht="17.15" hidden="false" customHeight="false" outlineLevel="0" collapsed="false">
      <c r="A680" s="4" t="s">
        <v>594</v>
      </c>
      <c r="B680" s="0" t="s">
        <v>543</v>
      </c>
      <c r="D680" s="24" t="n">
        <f aca="false">a26_brd/fx/D678/D679*1000</f>
        <v>823.353293413174</v>
      </c>
      <c r="E680" s="24" t="n">
        <f aca="false">$D680*bv_27</f>
        <v>946.85628742515</v>
      </c>
      <c r="F680" s="24" t="n">
        <f aca="false">$D680*bv_28</f>
        <v>988.023952095808</v>
      </c>
      <c r="G680" s="24" t="n">
        <f aca="false">$D680*bv_29</f>
        <v>988.023952095808</v>
      </c>
      <c r="K680" s="8" t="s">
        <v>595</v>
      </c>
    </row>
    <row r="681" customFormat="false" ht="17.15" hidden="false" customHeight="false" outlineLevel="0" collapsed="false">
      <c r="A681" s="0" t="s">
        <v>545</v>
      </c>
      <c r="B681" s="0" t="s">
        <v>151</v>
      </c>
      <c r="D681" s="21" t="n">
        <f aca="false">D678*D679*D680*fx/1000</f>
        <v>110</v>
      </c>
      <c r="E681" s="21" t="n">
        <f aca="false">E678*E679*E680*fx/1000</f>
        <v>169.676646706587</v>
      </c>
      <c r="F681" s="21" t="n">
        <f aca="false">F678*F679*F680*fx/1000</f>
        <v>172.706586826347</v>
      </c>
      <c r="G681" s="21" t="n">
        <f aca="false">G678*G679*G680*fx/1000</f>
        <v>183.535329341317</v>
      </c>
    </row>
    <row r="682" customFormat="false" ht="17.15" hidden="false" customHeight="false" outlineLevel="0" collapsed="false">
      <c r="A682" s="6" t="s">
        <v>596</v>
      </c>
    </row>
    <row r="683" customFormat="false" ht="15" hidden="false" customHeight="false" outlineLevel="0" collapsed="false">
      <c r="A683" s="4" t="s">
        <v>597</v>
      </c>
      <c r="B683" s="0" t="s">
        <v>151</v>
      </c>
      <c r="D683" s="21" t="n">
        <f aca="false">a26_gen</f>
        <v>150</v>
      </c>
      <c r="E683" s="21" t="n">
        <f aca="false">D683*(1+g_gen27)</f>
        <v>180</v>
      </c>
      <c r="F683" s="21" t="n">
        <f aca="false">E683*(1+g_gen28)</f>
        <v>198</v>
      </c>
      <c r="G683" s="21" t="n">
        <f aca="false">F683*(1+g_gen29)</f>
        <v>213.84</v>
      </c>
    </row>
    <row r="684" customFormat="false" ht="15" hidden="false" customHeight="false" outlineLevel="0" collapsed="false">
      <c r="A684" s="4" t="s">
        <v>598</v>
      </c>
      <c r="B684" s="0" t="s">
        <v>151</v>
      </c>
      <c r="D684" s="21" t="n">
        <f aca="false">a26_pc</f>
        <v>614.602793131557</v>
      </c>
      <c r="E684" s="21" t="n">
        <f aca="false">D684*(1+g_pc27)</f>
        <v>596.16470933761</v>
      </c>
      <c r="F684" s="21" t="n">
        <f aca="false">E684*(1+g_pc28)</f>
        <v>596.16470933761</v>
      </c>
      <c r="G684" s="21" t="n">
        <f aca="false">F684*(1+g_pc29)</f>
        <v>596.16470933761</v>
      </c>
    </row>
    <row r="685" customFormat="false" ht="15" hidden="false" customHeight="false" outlineLevel="0" collapsed="false">
      <c r="A685" s="4" t="s">
        <v>599</v>
      </c>
      <c r="B685" s="0" t="s">
        <v>151</v>
      </c>
      <c r="C685" s="21" t="n">
        <f aca="false">a25_srev</f>
        <v>1235.86</v>
      </c>
      <c r="D685" s="21" t="n">
        <f aca="false">D676+D681+D683+D684</f>
        <v>2651.72505421038</v>
      </c>
      <c r="E685" s="21" t="n">
        <f aca="false">E676+E681+E683+E684</f>
        <v>3816.64127975756</v>
      </c>
      <c r="F685" s="21" t="n">
        <f aca="false">F676+F681+F683+F684</f>
        <v>4654.46637019046</v>
      </c>
      <c r="G685" s="21" t="n">
        <f aca="false">G676+G681+G683+G684</f>
        <v>4724.47268205337</v>
      </c>
    </row>
    <row r="686" customFormat="false" ht="17.15" hidden="false" customHeight="false" outlineLevel="0" collapsed="false">
      <c r="A686" s="4" t="s">
        <v>600</v>
      </c>
      <c r="B686" s="0" t="s">
        <v>52</v>
      </c>
      <c r="D686" s="20" t="n">
        <f aca="false">a26_wai/D669</f>
        <v>0.0341693013513091</v>
      </c>
      <c r="K686" s="8" t="s">
        <v>601</v>
      </c>
    </row>
    <row r="687" customFormat="false" ht="17.15" hidden="false" customHeight="false" outlineLevel="0" collapsed="false">
      <c r="A687" s="4" t="s">
        <v>527</v>
      </c>
      <c r="B687" s="0" t="s">
        <v>52</v>
      </c>
      <c r="D687" s="20" t="n">
        <f aca="false">D686</f>
        <v>0.0341693013513091</v>
      </c>
      <c r="E687" s="20" t="n">
        <f aca="false">$D$686*wrel_27</f>
        <v>0.0341693013513091</v>
      </c>
      <c r="F687" s="20" t="n">
        <f aca="false">$D$686*wrel_28</f>
        <v>0.0341693013513091</v>
      </c>
      <c r="G687" s="20" t="n">
        <f aca="false">$D$686*wrel_29</f>
        <v>0.0324608362837436</v>
      </c>
    </row>
    <row r="688" customFormat="false" ht="17.15" hidden="false" customHeight="false" outlineLevel="0" collapsed="false">
      <c r="A688" s="4" t="s">
        <v>547</v>
      </c>
      <c r="B688" s="0" t="s">
        <v>151</v>
      </c>
      <c r="D688" s="21" t="n">
        <f aca="false">D669*D687</f>
        <v>693.900912</v>
      </c>
      <c r="E688" s="21" t="n">
        <f aca="false">E669*E687</f>
        <v>1245.4909258278</v>
      </c>
      <c r="F688" s="21" t="n">
        <f aca="false">F669*F687</f>
        <v>1894.56620031985</v>
      </c>
      <c r="G688" s="21" t="n">
        <f aca="false">G669*G687</f>
        <v>2050.29990799108</v>
      </c>
    </row>
    <row r="689" customFormat="false" ht="17.15" hidden="false" customHeight="false" outlineLevel="0" collapsed="false">
      <c r="A689" s="4" t="s">
        <v>602</v>
      </c>
      <c r="B689" s="0" t="s">
        <v>151</v>
      </c>
      <c r="D689" s="21" t="n">
        <f aca="false">a26_wna</f>
        <v>751.725988</v>
      </c>
      <c r="E689" s="21" t="n">
        <f aca="false">D689*(1+g_wn27)</f>
        <v>826.8985868</v>
      </c>
      <c r="F689" s="21" t="n">
        <f aca="false">E689*(1+g_wn28)</f>
        <v>876.512502008</v>
      </c>
      <c r="G689" s="21" t="n">
        <f aca="false">F689*(1+g_wn29)</f>
        <v>920.3381271084</v>
      </c>
    </row>
    <row r="690" customFormat="false" ht="15" hidden="false" customHeight="false" outlineLevel="0" collapsed="false">
      <c r="A690" s="4" t="s">
        <v>458</v>
      </c>
      <c r="B690" s="0" t="s">
        <v>151</v>
      </c>
      <c r="C690" s="21" t="n">
        <f aca="false">a25_wrev</f>
        <v>950.663</v>
      </c>
      <c r="D690" s="21" t="n">
        <f aca="false">D688+D689</f>
        <v>1445.6269</v>
      </c>
      <c r="E690" s="21" t="n">
        <f aca="false">E688+E689</f>
        <v>2072.3895126278</v>
      </c>
      <c r="F690" s="21" t="n">
        <f aca="false">F688+F689</f>
        <v>2771.07870232785</v>
      </c>
      <c r="G690" s="21" t="n">
        <f aca="false">G688+G689</f>
        <v>2970.63803509948</v>
      </c>
    </row>
    <row r="691" customFormat="false" ht="17.15" hidden="false" customHeight="false" outlineLevel="0" collapsed="false">
      <c r="A691" s="4" t="s">
        <v>444</v>
      </c>
      <c r="B691" s="0" t="s">
        <v>151</v>
      </c>
      <c r="C691" s="21" t="n">
        <f aca="false">C685+C690</f>
        <v>2186.523</v>
      </c>
      <c r="D691" s="21" t="n">
        <f aca="false">D685+D690</f>
        <v>4097.35195421038</v>
      </c>
      <c r="E691" s="21" t="n">
        <f aca="false">E685+E690</f>
        <v>5889.03079238536</v>
      </c>
      <c r="F691" s="21" t="n">
        <f aca="false">F685+F690</f>
        <v>7425.54507251831</v>
      </c>
      <c r="G691" s="21" t="n">
        <f aca="false">G685+G690</f>
        <v>7695.11071715285</v>
      </c>
      <c r="H691" s="26" t="n">
        <f aca="false">G691*(1+H696)</f>
        <v>8035.24729415843</v>
      </c>
      <c r="I691" s="26" t="n">
        <f aca="false">H691*(1+I696)</f>
        <v>8453.89030014934</v>
      </c>
      <c r="J691" s="26" t="n">
        <f aca="false">I691*(1+J696)</f>
        <v>8961.1237181583</v>
      </c>
      <c r="K691" s="8" t="s">
        <v>603</v>
      </c>
    </row>
    <row r="692" customFormat="false" ht="17.15" hidden="false" customHeight="false" outlineLevel="0" collapsed="false">
      <c r="A692" s="4" t="s">
        <v>604</v>
      </c>
      <c r="B692" s="0" t="s">
        <v>151</v>
      </c>
      <c r="D692" s="21" t="n">
        <f aca="false">D676+D681+D683+D690</f>
        <v>3482.74916107882</v>
      </c>
      <c r="E692" s="21" t="n">
        <f aca="false">E676+E681+E683+E690</f>
        <v>5292.86608304775</v>
      </c>
      <c r="F692" s="21" t="n">
        <f aca="false">F676+F681+F683+F690</f>
        <v>6829.3803631807</v>
      </c>
      <c r="G692" s="21" t="n">
        <f aca="false">G676+G681+G683+G690</f>
        <v>7098.94600781524</v>
      </c>
      <c r="K692" s="4" t="s">
        <v>605</v>
      </c>
    </row>
    <row r="693" customFormat="false" ht="15" hidden="false" customHeight="false" outlineLevel="0" collapsed="false">
      <c r="A693" s="4" t="s">
        <v>606</v>
      </c>
      <c r="B693" s="0" t="s">
        <v>151</v>
      </c>
      <c r="D693" s="21" t="n">
        <f aca="false">D684</f>
        <v>614.602793131557</v>
      </c>
      <c r="E693" s="21" t="n">
        <f aca="false">E684</f>
        <v>596.16470933761</v>
      </c>
      <c r="F693" s="21" t="n">
        <f aca="false">F684</f>
        <v>596.16470933761</v>
      </c>
      <c r="G693" s="21" t="n">
        <f aca="false">G684</f>
        <v>596.16470933761</v>
      </c>
      <c r="K693" s="4" t="s">
        <v>607</v>
      </c>
    </row>
    <row r="694" customFormat="false" ht="17.15" hidden="false" customHeight="false" outlineLevel="0" collapsed="false">
      <c r="A694" s="4" t="s">
        <v>608</v>
      </c>
      <c r="B694" s="0" t="s">
        <v>151</v>
      </c>
      <c r="D694" s="31" t="n">
        <f aca="false">D692+D693-D691</f>
        <v>0</v>
      </c>
      <c r="E694" s="31" t="n">
        <f aca="false">E692+E693-E691</f>
        <v>0</v>
      </c>
      <c r="F694" s="31" t="n">
        <f aca="false">F692+F693-F691</f>
        <v>0</v>
      </c>
      <c r="G694" s="31" t="n">
        <f aca="false">G692+G693-G691</f>
        <v>0</v>
      </c>
    </row>
    <row r="695" customFormat="false" ht="17.15" hidden="false" customHeight="false" outlineLevel="0" collapsed="false">
      <c r="A695" s="4" t="s">
        <v>609</v>
      </c>
      <c r="B695" s="0" t="s">
        <v>52</v>
      </c>
      <c r="D695" s="20" t="n">
        <f aca="false">D692/D691</f>
        <v>0.85</v>
      </c>
      <c r="E695" s="20" t="n">
        <f aca="false">E692/E691</f>
        <v>0.898766922715286</v>
      </c>
      <c r="F695" s="20" t="n">
        <f aca="false">F692/F691</f>
        <v>0.91971435045974</v>
      </c>
      <c r="G695" s="20" t="n">
        <f aca="false">G692/G691</f>
        <v>0.92252681848895</v>
      </c>
    </row>
    <row r="696" customFormat="false" ht="15" hidden="false" customHeight="false" outlineLevel="0" collapsed="false">
      <c r="A696" s="4" t="s">
        <v>610</v>
      </c>
      <c r="B696" s="0" t="s">
        <v>52</v>
      </c>
      <c r="D696" s="20" t="n">
        <f aca="false">D691/C691-1</f>
        <v>0.873912121761526</v>
      </c>
      <c r="E696" s="20" t="n">
        <f aca="false">E691/D691-1</f>
        <v>0.437277260581405</v>
      </c>
      <c r="F696" s="20" t="n">
        <f aca="false">F691/E691-1</f>
        <v>0.260911232136823</v>
      </c>
      <c r="G696" s="20" t="n">
        <f aca="false">G691/F691-1</f>
        <v>0.0363024723440422</v>
      </c>
      <c r="H696" s="27" t="n">
        <f aca="false">$G696+(fade_gA-$G696)*1/3</f>
        <v>0.0442016482293614</v>
      </c>
      <c r="I696" s="27" t="n">
        <f aca="false">$G696+(fade_gA-$G696)*2/3</f>
        <v>0.0521008241146807</v>
      </c>
      <c r="J696" s="27" t="n">
        <f aca="false">$G696+(fade_gA-$G696)*3/3</f>
        <v>0.06</v>
      </c>
    </row>
    <row r="697" customFormat="false" ht="17.15" hidden="false" customHeight="false" outlineLevel="0" collapsed="false">
      <c r="A697" s="0" t="s">
        <v>611</v>
      </c>
      <c r="B697" s="0" t="s">
        <v>52</v>
      </c>
      <c r="D697" s="20" t="n">
        <f aca="false">(D676+D681+D688)/D691</f>
        <v>0.629924693295288</v>
      </c>
      <c r="E697" s="20" t="n">
        <f aca="false">(E676+E681+E688)/E691</f>
        <v>0.727788263866712</v>
      </c>
      <c r="F697" s="20" t="n">
        <f aca="false">(F676+F681+F688)/F691</f>
        <v>0.775009484821696</v>
      </c>
      <c r="G697" s="20" t="n">
        <f aca="false">(G676+G681+G688)/G691</f>
        <v>0.775137369682157</v>
      </c>
    </row>
    <row r="698" customFormat="false" ht="17.15" hidden="false" customHeight="false" outlineLevel="0" collapsed="false">
      <c r="A698" s="4" t="s">
        <v>612</v>
      </c>
      <c r="B698" s="0" t="s">
        <v>52</v>
      </c>
      <c r="C698" s="20" t="n">
        <f aca="false">C690/C691</f>
        <v>0.434782986504144</v>
      </c>
      <c r="D698" s="20" t="n">
        <f aca="false">D690/D691</f>
        <v>0.352819800728736</v>
      </c>
      <c r="E698" s="20" t="n">
        <f aca="false">E690/E691</f>
        <v>0.351906720424598</v>
      </c>
      <c r="F698" s="20" t="n">
        <f aca="false">F690/F691</f>
        <v>0.37318185739435</v>
      </c>
      <c r="G698" s="20" t="n">
        <f aca="false">G690/G691</f>
        <v>0.386042273372072</v>
      </c>
    </row>
    <row r="699" customFormat="false" ht="17.15" hidden="false" customHeight="false" outlineLevel="0" collapsed="false">
      <c r="A699" s="4" t="s">
        <v>613</v>
      </c>
      <c r="B699" s="4" t="s">
        <v>335</v>
      </c>
      <c r="D699" s="21" t="n">
        <f aca="false">D674/fx/(odm_gb*(1-vr26)+odm_vr*vr26)</f>
        <v>12.0597330420658</v>
      </c>
      <c r="E699" s="21" t="n">
        <f aca="false">E674/fx/odm_vr</f>
        <v>14.7674893195132</v>
      </c>
      <c r="F699" s="21" t="n">
        <f aca="false">F674/fx/odm_vr</f>
        <v>21.3402492709867</v>
      </c>
      <c r="G699" s="21" t="n">
        <f aca="false">G674/fx/odm_vr</f>
        <v>23.0304484158916</v>
      </c>
      <c r="K699" s="4" t="s">
        <v>614</v>
      </c>
    </row>
    <row r="700" customFormat="false" ht="17.15" hidden="false" customHeight="false" outlineLevel="0" collapsed="false">
      <c r="A700" s="6" t="s">
        <v>615</v>
      </c>
    </row>
    <row r="701" customFormat="false" ht="17.15" hidden="false" customHeight="false" outlineLevel="0" collapsed="false">
      <c r="A701" s="4" t="s">
        <v>616</v>
      </c>
      <c r="B701" s="0" t="s">
        <v>52</v>
      </c>
      <c r="D701" s="14" t="n">
        <f aca="false">(a26_sgp-d_ai*D676-d_brd*D681-d_gen*D683)/D685</f>
        <v>0.0436423860147897</v>
      </c>
      <c r="K701" s="8" t="s">
        <v>617</v>
      </c>
    </row>
    <row r="702" customFormat="false" ht="17.15" hidden="false" customHeight="false" outlineLevel="0" collapsed="false">
      <c r="A702" s="4" t="s">
        <v>618</v>
      </c>
      <c r="B702" s="0" t="s">
        <v>151</v>
      </c>
      <c r="D702" s="25" t="n">
        <f aca="false">($D$701+d_ai)*D674*(1-D675*(1-keep))</f>
        <v>59.7866331026896</v>
      </c>
      <c r="E702" s="25" t="n">
        <f aca="false">($D$701+d_ai+vrd)*E674*(1-E675*(1-keep))</f>
        <v>99.9228552931037</v>
      </c>
      <c r="F702" s="25" t="n">
        <f aca="false">($D$701+d_ai+vrd)*F674*(1-F675*(1-keep))</f>
        <v>142.938275828265</v>
      </c>
      <c r="G702" s="25" t="n">
        <f aca="false">($D$701+d_ai+vrd)*G674*(1-G675*(1-keep))</f>
        <v>153.472294165884</v>
      </c>
    </row>
    <row r="703" customFormat="false" ht="15" hidden="false" customHeight="false" outlineLevel="0" collapsed="false">
      <c r="A703" s="4" t="s">
        <v>619</v>
      </c>
      <c r="B703" s="0" t="s">
        <v>151</v>
      </c>
      <c r="C703" s="21" t="n">
        <f aca="false">a25_sgp</f>
        <v>55.529</v>
      </c>
      <c r="D703" s="21" t="n">
        <f aca="false">a26_sgp</f>
        <v>103.50638581015</v>
      </c>
      <c r="E703" s="21" t="n">
        <f aca="false">$D$701*E684+($D$701+d_brd)*E681+($D$701+d_gen)*E683+E702</f>
        <v>148.991928263534</v>
      </c>
      <c r="F703" s="21" t="n">
        <f aca="false">$D$701*F684+($D$701+d_brd)*F681+($D$701+d_gen)*F683+F702</f>
        <v>193.286043766863</v>
      </c>
      <c r="G703" s="21" t="n">
        <f aca="false">$D$701*G684+($D$701+d_brd)*G681+($D$701+d_gen)*G683+G702</f>
        <v>205.546411935298</v>
      </c>
    </row>
    <row r="704" customFormat="false" ht="15" hidden="false" customHeight="false" outlineLevel="0" collapsed="false">
      <c r="A704" s="4" t="s">
        <v>620</v>
      </c>
      <c r="B704" s="0" t="s">
        <v>52</v>
      </c>
      <c r="C704" s="14" t="n">
        <f aca="false">C703/C685</f>
        <v>0.0449314647290146</v>
      </c>
      <c r="D704" s="14" t="n">
        <f aca="false">D703/D685</f>
        <v>0.0390336040479778</v>
      </c>
      <c r="E704" s="14" t="n">
        <f aca="false">E703/E685</f>
        <v>0.0390374461057547</v>
      </c>
      <c r="F704" s="14" t="n">
        <f aca="false">F703/F685</f>
        <v>0.0415270040417015</v>
      </c>
      <c r="G704" s="14" t="n">
        <f aca="false">G703/G685</f>
        <v>0.0435067415494004</v>
      </c>
    </row>
    <row r="705" customFormat="false" ht="15" hidden="false" customHeight="false" outlineLevel="0" collapsed="false">
      <c r="A705" s="4" t="s">
        <v>621</v>
      </c>
      <c r="B705" s="0" t="s">
        <v>52</v>
      </c>
      <c r="E705" s="20" t="n">
        <f aca="false">MAX(0,phi*(E685/D685-1))</f>
        <v>0.13179151703879</v>
      </c>
      <c r="F705" s="20" t="n">
        <f aca="false">MAX(0,phi*(F685/E685-1))</f>
        <v>0.0658556853280795</v>
      </c>
      <c r="G705" s="20" t="n">
        <f aca="false">MAX(0,phi*(G685/F685-1))</f>
        <v>0.00451220223512163</v>
      </c>
    </row>
    <row r="706" customFormat="false" ht="15" hidden="false" customHeight="false" outlineLevel="0" collapsed="false">
      <c r="A706" s="4" t="s">
        <v>622</v>
      </c>
      <c r="B706" s="0" t="s">
        <v>151</v>
      </c>
      <c r="C706" s="21" t="n">
        <f aca="false">a25_sopx</f>
        <v>40.894</v>
      </c>
      <c r="D706" s="21" t="n">
        <f aca="false">a26_sopx</f>
        <v>46.9914095398923</v>
      </c>
      <c r="E706" s="21" t="n">
        <f aca="false">D706*(1+E705)+0*E685</f>
        <v>53.1844786909457</v>
      </c>
      <c r="F706" s="21" t="n">
        <f aca="false">E706*(1+F705)+0*F685</f>
        <v>56.6869789839546</v>
      </c>
      <c r="G706" s="21" t="n">
        <f aca="false">F706*(1+G705)+0*G685</f>
        <v>56.9427620972283</v>
      </c>
    </row>
    <row r="707" customFormat="false" ht="15" hidden="false" customHeight="false" outlineLevel="0" collapsed="false">
      <c r="A707" s="4" t="s">
        <v>623</v>
      </c>
      <c r="B707" s="0" t="s">
        <v>151</v>
      </c>
      <c r="C707" s="21" t="n">
        <f aca="false">C703-C706</f>
        <v>14.635</v>
      </c>
      <c r="D707" s="21" t="n">
        <f aca="false">D703-D706</f>
        <v>56.514976270258</v>
      </c>
      <c r="E707" s="21" t="n">
        <f aca="false">E703-E706</f>
        <v>95.8074495725885</v>
      </c>
      <c r="F707" s="21" t="n">
        <f aca="false">F703-F706</f>
        <v>136.599064782908</v>
      </c>
      <c r="G707" s="21" t="n">
        <f aca="false">G703-G706</f>
        <v>148.60364983807</v>
      </c>
    </row>
    <row r="708" customFormat="false" ht="15" hidden="false" customHeight="false" outlineLevel="0" collapsed="false">
      <c r="A708" s="4" t="s">
        <v>624</v>
      </c>
      <c r="B708" s="0" t="s">
        <v>52</v>
      </c>
      <c r="C708" s="14" t="n">
        <f aca="false">C707/C685</f>
        <v>0.011841956208632</v>
      </c>
      <c r="D708" s="14" t="n">
        <f aca="false">D707/D685</f>
        <v>0.0213125324514788</v>
      </c>
      <c r="E708" s="14" t="n">
        <f aca="false">E707/E685</f>
        <v>0.0251025555062577</v>
      </c>
      <c r="F708" s="14" t="n">
        <f aca="false">F707/F685</f>
        <v>0.0293479539690645</v>
      </c>
      <c r="G708" s="14" t="n">
        <f aca="false">G707/G685</f>
        <v>0.031454018223571</v>
      </c>
    </row>
    <row r="709" customFormat="false" ht="15" hidden="false" customHeight="false" outlineLevel="0" collapsed="false">
      <c r="A709" s="4" t="s">
        <v>625</v>
      </c>
      <c r="B709" s="0" t="s">
        <v>151</v>
      </c>
      <c r="C709" s="21" t="n">
        <f aca="false">a25_sni</f>
        <v>6.9608</v>
      </c>
      <c r="D709" s="21" t="n">
        <f aca="false">a26_sni</f>
        <v>31.133746704</v>
      </c>
      <c r="E709" s="21" t="n">
        <f aca="false">E707*snio</f>
        <v>53.6521717606496</v>
      </c>
      <c r="F709" s="21" t="n">
        <f aca="false">F707*snio</f>
        <v>76.4954762784287</v>
      </c>
      <c r="G709" s="21" t="n">
        <f aca="false">G707*snio</f>
        <v>83.2180439093192</v>
      </c>
    </row>
    <row r="710" customFormat="false" ht="17.15" hidden="false" customHeight="false" outlineLevel="0" collapsed="false">
      <c r="A710" s="6" t="s">
        <v>626</v>
      </c>
    </row>
    <row r="711" customFormat="false" ht="15" hidden="false" customHeight="false" outlineLevel="0" collapsed="false">
      <c r="A711" s="4" t="s">
        <v>462</v>
      </c>
      <c r="B711" s="0" t="s">
        <v>151</v>
      </c>
      <c r="C711" s="21" t="n">
        <f aca="false">a25_wgp</f>
        <v>78.454</v>
      </c>
      <c r="D711" s="21" t="n">
        <f aca="false">a26_wgp</f>
        <v>125.0519932</v>
      </c>
      <c r="E711" s="21" t="n">
        <f aca="false">E690*wgm</f>
        <v>176.153108573363</v>
      </c>
      <c r="F711" s="21" t="n">
        <f aca="false">F690*wgm</f>
        <v>235.541689697867</v>
      </c>
      <c r="G711" s="21" t="n">
        <f aca="false">G690*wgm</f>
        <v>252.504232983456</v>
      </c>
    </row>
    <row r="712" customFormat="false" ht="15" hidden="false" customHeight="false" outlineLevel="0" collapsed="false">
      <c r="A712" s="4" t="s">
        <v>464</v>
      </c>
      <c r="B712" s="0" t="s">
        <v>151</v>
      </c>
      <c r="C712" s="21" t="n">
        <f aca="false">a25_woi</f>
        <v>63.918</v>
      </c>
      <c r="D712" s="21" t="n">
        <f aca="false">a26_woi</f>
        <v>98.2471632</v>
      </c>
      <c r="E712" s="21" t="n">
        <f aca="false">E690*wopm</f>
        <v>134.705318320807</v>
      </c>
      <c r="F712" s="21" t="n">
        <f aca="false">F690*wopm</f>
        <v>180.12011565131</v>
      </c>
      <c r="G712" s="21" t="n">
        <f aca="false">G690*wopm</f>
        <v>193.091472281466</v>
      </c>
    </row>
    <row r="713" customFormat="false" ht="15" hidden="false" customHeight="false" outlineLevel="0" collapsed="false">
      <c r="A713" s="4" t="s">
        <v>472</v>
      </c>
      <c r="B713" s="0" t="s">
        <v>151</v>
      </c>
      <c r="C713" s="21" t="n">
        <f aca="false">a25_wni</f>
        <v>51.118</v>
      </c>
      <c r="D713" s="21" t="n">
        <f aca="false">a26_wni</f>
        <v>75.735026884</v>
      </c>
      <c r="E713" s="21" t="n">
        <f aca="false">E712*wnio</f>
        <v>105.07014829023</v>
      </c>
      <c r="F713" s="21" t="n">
        <f aca="false">F712*wnio</f>
        <v>140.493690208022</v>
      </c>
      <c r="G713" s="21" t="n">
        <f aca="false">G712*wnio</f>
        <v>150.611348379544</v>
      </c>
    </row>
    <row r="714" customFormat="false" ht="15" hidden="false" customHeight="false" outlineLevel="0" collapsed="false">
      <c r="A714" s="4" t="s">
        <v>474</v>
      </c>
      <c r="B714" s="0" t="s">
        <v>52</v>
      </c>
      <c r="C714" s="14" t="n">
        <f aca="false">stake25</f>
        <v>0.4</v>
      </c>
      <c r="D714" s="14" t="n">
        <f aca="false">stake</f>
        <v>0.3768</v>
      </c>
      <c r="E714" s="14" t="n">
        <f aca="false">stake</f>
        <v>0.3768</v>
      </c>
      <c r="F714" s="14" t="n">
        <f aca="false">stake</f>
        <v>0.3768</v>
      </c>
      <c r="G714" s="14" t="n">
        <f aca="false">stake</f>
        <v>0.3768</v>
      </c>
    </row>
    <row r="715" customFormat="false" ht="17.15" hidden="false" customHeight="false" outlineLevel="0" collapsed="false">
      <c r="A715" s="6" t="s">
        <v>627</v>
      </c>
    </row>
    <row r="716" customFormat="false" ht="15" hidden="false" customHeight="false" outlineLevel="0" collapsed="false">
      <c r="A716" s="4" t="s">
        <v>448</v>
      </c>
      <c r="B716" s="0" t="s">
        <v>151</v>
      </c>
      <c r="C716" s="21" t="n">
        <f aca="false">C703+C711</f>
        <v>133.983</v>
      </c>
      <c r="D716" s="21" t="n">
        <f aca="false">D703+D711</f>
        <v>228.55837901015</v>
      </c>
      <c r="E716" s="21" t="n">
        <f aca="false">E703+E711</f>
        <v>325.145036836897</v>
      </c>
      <c r="F716" s="21" t="n">
        <f aca="false">F703+F711</f>
        <v>428.82773346473</v>
      </c>
      <c r="G716" s="21" t="n">
        <f aca="false">G703+G711</f>
        <v>458.050644918754</v>
      </c>
    </row>
    <row r="717" customFormat="false" ht="15" hidden="false" customHeight="false" outlineLevel="0" collapsed="false">
      <c r="A717" s="4" t="s">
        <v>451</v>
      </c>
      <c r="B717" s="0" t="s">
        <v>52</v>
      </c>
      <c r="C717" s="14" t="n">
        <f aca="false">C716/C691</f>
        <v>0.0612767393711386</v>
      </c>
      <c r="D717" s="14" t="n">
        <f aca="false">D716/D691</f>
        <v>0.055781973714825</v>
      </c>
      <c r="E717" s="14" t="n">
        <f aca="false">E716/E691</f>
        <v>0.0552119777090174</v>
      </c>
      <c r="F717" s="14" t="n">
        <f aca="false">F716/F691</f>
        <v>0.0577503374199164</v>
      </c>
      <c r="G717" s="14" t="n">
        <f aca="false">G716/G691</f>
        <v>0.0595248933712848</v>
      </c>
    </row>
    <row r="718" customFormat="false" ht="15" hidden="false" customHeight="false" outlineLevel="0" collapsed="false">
      <c r="A718" s="4" t="s">
        <v>452</v>
      </c>
      <c r="B718" s="0" t="s">
        <v>151</v>
      </c>
      <c r="C718" s="21" t="n">
        <f aca="false">C707+C712</f>
        <v>78.553</v>
      </c>
      <c r="D718" s="21" t="n">
        <f aca="false">D707+D712</f>
        <v>154.762139470258</v>
      </c>
      <c r="E718" s="21" t="n">
        <f aca="false">E707+E712</f>
        <v>230.512767893396</v>
      </c>
      <c r="F718" s="21" t="n">
        <f aca="false">F707+F712</f>
        <v>316.719180434219</v>
      </c>
      <c r="G718" s="21" t="n">
        <f aca="false">G707+G712</f>
        <v>341.695122119536</v>
      </c>
    </row>
    <row r="719" customFormat="false" ht="15" hidden="false" customHeight="false" outlineLevel="0" collapsed="false">
      <c r="A719" s="4" t="s">
        <v>455</v>
      </c>
      <c r="B719" s="0" t="s">
        <v>52</v>
      </c>
      <c r="C719" s="14" t="n">
        <f aca="false">C718/C691</f>
        <v>0.0359259884300325</v>
      </c>
      <c r="D719" s="14" t="n">
        <f aca="false">D718/D691</f>
        <v>0.0377712584126992</v>
      </c>
      <c r="E719" s="14" t="n">
        <f aca="false">E718/E691</f>
        <v>0.039142734351373</v>
      </c>
      <c r="F719" s="14" t="n">
        <f aca="false">F718/F691</f>
        <v>0.0426526507267979</v>
      </c>
      <c r="G719" s="14" t="n">
        <f aca="false">G718/G691</f>
        <v>0.0444041852910417</v>
      </c>
    </row>
    <row r="720" customFormat="false" ht="15" hidden="false" customHeight="false" outlineLevel="0" collapsed="false">
      <c r="A720" s="4" t="s">
        <v>485</v>
      </c>
      <c r="B720" s="0" t="s">
        <v>151</v>
      </c>
      <c r="C720" s="21" t="n">
        <f aca="false">C709+C713</f>
        <v>58.0788</v>
      </c>
      <c r="D720" s="21" t="n">
        <f aca="false">D709+D713</f>
        <v>106.868773588</v>
      </c>
      <c r="E720" s="21" t="n">
        <f aca="false">E709+E713</f>
        <v>158.722320050879</v>
      </c>
      <c r="F720" s="21" t="n">
        <f aca="false">F709+F713</f>
        <v>216.989166486451</v>
      </c>
      <c r="G720" s="21" t="n">
        <f aca="false">G709+G713</f>
        <v>233.829392288863</v>
      </c>
    </row>
    <row r="721" customFormat="false" ht="17.15" hidden="false" customHeight="false" outlineLevel="0" collapsed="false">
      <c r="A721" s="4" t="s">
        <v>628</v>
      </c>
      <c r="B721" s="0" t="s">
        <v>151</v>
      </c>
      <c r="C721" s="21" t="n">
        <f aca="false">(1-C714)*C713</f>
        <v>30.6708</v>
      </c>
      <c r="D721" s="21" t="n">
        <f aca="false">(1-D714)*D713</f>
        <v>47.1980687541088</v>
      </c>
      <c r="E721" s="21" t="n">
        <f aca="false">(1-E714)*E713</f>
        <v>65.4797164144711</v>
      </c>
      <c r="F721" s="21" t="n">
        <f aca="false">(1-F714)*F713</f>
        <v>87.5556677376393</v>
      </c>
      <c r="G721" s="21" t="n">
        <f aca="false">(1-G714)*G713</f>
        <v>93.8609923101315</v>
      </c>
    </row>
    <row r="722" customFormat="false" ht="15" hidden="false" customHeight="false" outlineLevel="0" collapsed="false">
      <c r="A722" s="4" t="s">
        <v>481</v>
      </c>
      <c r="B722" s="0" t="s">
        <v>151</v>
      </c>
      <c r="C722" s="21" t="n">
        <f aca="false">C720-C721</f>
        <v>27.408</v>
      </c>
      <c r="D722" s="21" t="n">
        <f aca="false">D720-D721</f>
        <v>59.6707048338912</v>
      </c>
      <c r="E722" s="21" t="n">
        <f aca="false">E720-E721</f>
        <v>93.2426036364081</v>
      </c>
      <c r="F722" s="21" t="n">
        <f aca="false">F720-F721</f>
        <v>129.433498748811</v>
      </c>
      <c r="G722" s="21" t="n">
        <f aca="false">G720-G721</f>
        <v>139.968399978731</v>
      </c>
      <c r="H722" s="26" t="n">
        <f aca="false">H691*H727</f>
        <v>145.405080839878</v>
      </c>
      <c r="I722" s="26" t="n">
        <f aca="false">I691*I727</f>
        <v>152.191568668501</v>
      </c>
      <c r="J722" s="26" t="n">
        <f aca="false">J691*J727</f>
        <v>160.486471872198</v>
      </c>
    </row>
    <row r="723" customFormat="false" ht="17.15" hidden="false" customHeight="false" outlineLevel="0" collapsed="false">
      <c r="A723" s="4" t="s">
        <v>629</v>
      </c>
      <c r="B723" s="0" t="s">
        <v>52</v>
      </c>
      <c r="C723" s="20" t="n">
        <f aca="false">C714*C713/C722</f>
        <v>0.746030356100409</v>
      </c>
      <c r="D723" s="20" t="n">
        <f aca="false">D714*D713/D722</f>
        <v>0.478240674537551</v>
      </c>
      <c r="E723" s="20" t="n">
        <f aca="false">E714*E713/E722</f>
        <v>0.424595950045949</v>
      </c>
      <c r="F723" s="20" t="n">
        <f aca="false">F714*F713/F722</f>
        <v>0.40899784817776</v>
      </c>
      <c r="G723" s="20" t="n">
        <f aca="false">G714*G713/G722</f>
        <v>0.405451202400224</v>
      </c>
    </row>
    <row r="724" customFormat="false" ht="17.15" hidden="false" customHeight="false" outlineLevel="0" collapsed="false">
      <c r="A724" s="4" t="s">
        <v>630</v>
      </c>
      <c r="B724" s="4" t="s">
        <v>286</v>
      </c>
      <c r="C724" s="31" t="n">
        <f aca="false">a25_sh</f>
        <v>3.03185840707965</v>
      </c>
      <c r="D724" s="31" t="n">
        <f aca="false">a26_sh</f>
        <v>3.23861720409076</v>
      </c>
      <c r="E724" s="31" t="n">
        <f aca="false">q_sh4*(1+sh_g)</f>
        <v>3.43</v>
      </c>
      <c r="F724" s="31" t="n">
        <f aca="false">E724*(1+sh_g)</f>
        <v>3.43</v>
      </c>
      <c r="G724" s="31" t="n">
        <f aca="false">F724*(1+sh_g)</f>
        <v>3.43</v>
      </c>
      <c r="H724" s="32" t="n">
        <f aca="false">G724*(1+sh_g)</f>
        <v>3.43</v>
      </c>
      <c r="I724" s="32" t="n">
        <f aca="false">H724*(1+sh_g)</f>
        <v>3.43</v>
      </c>
      <c r="J724" s="32" t="n">
        <f aca="false">I724*(1+sh_g)</f>
        <v>3.43</v>
      </c>
      <c r="K724" s="8" t="s">
        <v>631</v>
      </c>
    </row>
    <row r="725" customFormat="false" ht="15" hidden="false" customHeight="false" outlineLevel="0" collapsed="false">
      <c r="A725" s="0" t="s">
        <v>488</v>
      </c>
      <c r="B725" s="0" t="s">
        <v>316</v>
      </c>
      <c r="C725" s="18" t="n">
        <f aca="false">C722/C724</f>
        <v>9.04</v>
      </c>
      <c r="D725" s="18" t="n">
        <f aca="false">D722/D724</f>
        <v>18.4247476850676</v>
      </c>
      <c r="E725" s="18" t="n">
        <f aca="false">E722/E724</f>
        <v>27.1844325470577</v>
      </c>
      <c r="F725" s="18" t="n">
        <f aca="false">F722/F724</f>
        <v>37.7357139209363</v>
      </c>
      <c r="G725" s="18" t="n">
        <f aca="false">G722/G724</f>
        <v>40.8071136964231</v>
      </c>
      <c r="H725" s="29" t="n">
        <f aca="false">H722/H724</f>
        <v>42.3921518483609</v>
      </c>
      <c r="I725" s="29" t="n">
        <f aca="false">I722/I724</f>
        <v>44.3707197284258</v>
      </c>
      <c r="J725" s="29" t="n">
        <f aca="false">J722/J724</f>
        <v>46.7890588548682</v>
      </c>
    </row>
    <row r="726" customFormat="false" ht="17.15" hidden="false" customHeight="false" outlineLevel="0" collapsed="false">
      <c r="A726" s="0" t="s">
        <v>632</v>
      </c>
      <c r="B726" s="0" t="s">
        <v>52</v>
      </c>
      <c r="D726" s="20" t="n">
        <f aca="false">D725/C725-1</f>
        <v>1.03813580587031</v>
      </c>
      <c r="E726" s="20" t="n">
        <f aca="false">E725/D725-1</f>
        <v>0.475430383727289</v>
      </c>
      <c r="F726" s="20" t="n">
        <f aca="false">F725/E725-1</f>
        <v>0.388136899882449</v>
      </c>
      <c r="G726" s="20" t="n">
        <f aca="false">G725/F725-1</f>
        <v>0.0813923855242813</v>
      </c>
      <c r="H726" s="27" t="n">
        <f aca="false">H725/G725-1</f>
        <v>0.0388422019682493</v>
      </c>
      <c r="I726" s="27" t="n">
        <f aca="false">I725/H725-1</f>
        <v>0.0466729758645508</v>
      </c>
      <c r="J726" s="27" t="n">
        <f aca="false">J725/I725-1</f>
        <v>0.0545030403212756</v>
      </c>
    </row>
    <row r="727" customFormat="false" ht="17.15" hidden="false" customHeight="false" outlineLevel="0" collapsed="false">
      <c r="A727" s="4" t="s">
        <v>633</v>
      </c>
      <c r="B727" s="0" t="s">
        <v>52</v>
      </c>
      <c r="C727" s="14" t="n">
        <f aca="false">C722/C691</f>
        <v>0.0125349699042727</v>
      </c>
      <c r="D727" s="14" t="n">
        <f aca="false">D722/D691</f>
        <v>0.0145632363293992</v>
      </c>
      <c r="E727" s="14" t="n">
        <f aca="false">E722/E691</f>
        <v>0.0158332681426921</v>
      </c>
      <c r="F727" s="14" t="n">
        <f aca="false">F722/F691</f>
        <v>0.0174308414378684</v>
      </c>
      <c r="G727" s="14" t="n">
        <f aca="false">G722/G691</f>
        <v>0.0181892639525944</v>
      </c>
      <c r="H727" s="28" t="n">
        <f aca="false">$G727+(fade_mA-$G727)*1/3</f>
        <v>0.018095906139141</v>
      </c>
      <c r="I727" s="28" t="n">
        <f aca="false">$G727+(fade_mA-$G727)*2/3</f>
        <v>0.0180025483256876</v>
      </c>
      <c r="J727" s="28" t="n">
        <f aca="false">$G727+(fade_mA-$G727)*3/3</f>
        <v>0.0179091905122343</v>
      </c>
    </row>
    <row r="730" customFormat="false" ht="17.15" hidden="false" customHeight="false" outlineLevel="0" collapsed="false">
      <c r="A730" s="1" t="s">
        <v>957</v>
      </c>
    </row>
    <row r="731" customFormat="false" ht="17.15" hidden="false" customHeight="false" outlineLevel="0" collapsed="false">
      <c r="A731" s="5" t="s">
        <v>21</v>
      </c>
      <c r="B731" s="5" t="s">
        <v>22</v>
      </c>
      <c r="C731" s="15" t="s">
        <v>438</v>
      </c>
      <c r="D731" s="15" t="s">
        <v>552</v>
      </c>
      <c r="E731" s="15" t="s">
        <v>553</v>
      </c>
      <c r="F731" s="15" t="s">
        <v>554</v>
      </c>
      <c r="G731" s="15" t="s">
        <v>555</v>
      </c>
      <c r="H731" s="15" t="s">
        <v>556</v>
      </c>
      <c r="I731" s="15" t="s">
        <v>557</v>
      </c>
      <c r="J731" s="15" t="s">
        <v>558</v>
      </c>
      <c r="K731" s="5" t="s">
        <v>420</v>
      </c>
    </row>
    <row r="732" customFormat="false" ht="17.15" hidden="false" customHeight="false" outlineLevel="0" collapsed="false">
      <c r="A732" s="6" t="s">
        <v>573</v>
      </c>
    </row>
    <row r="733" customFormat="false" ht="17.15" hidden="false" customHeight="false" outlineLevel="0" collapsed="false">
      <c r="A733" s="0" t="s">
        <v>574</v>
      </c>
      <c r="B733" s="0" t="s">
        <v>32</v>
      </c>
      <c r="D733" s="21" t="n">
        <f aca="false">itc_26*1</f>
        <v>781.872916666666</v>
      </c>
      <c r="E733" s="21" t="n">
        <f aca="false">itc_27*1*1</f>
        <v>1565.35</v>
      </c>
      <c r="F733" s="21" t="n">
        <f aca="false">itc_28*um28_A*1</f>
        <v>1984.26388888889</v>
      </c>
      <c r="G733" s="21" t="n">
        <f aca="false">itc_29*um29_A*1</f>
        <v>2260.39027777778</v>
      </c>
    </row>
    <row r="734" customFormat="false" ht="17.15" hidden="false" customHeight="false" outlineLevel="0" collapsed="false">
      <c r="A734" s="4" t="s">
        <v>575</v>
      </c>
      <c r="B734" s="0" t="s">
        <v>32</v>
      </c>
      <c r="D734" s="21" t="n">
        <f aca="false">itpg_gb*(1-vr26)+itpg_vr*vr26</f>
        <v>33.41403216</v>
      </c>
      <c r="E734" s="21" t="n">
        <f aca="false">itpg_vr</f>
        <v>37.586352</v>
      </c>
      <c r="F734" s="21" t="n">
        <f aca="false">itpg_vr</f>
        <v>37.586352</v>
      </c>
      <c r="G734" s="21" t="n">
        <f aca="false">itpg_vr</f>
        <v>37.586352</v>
      </c>
    </row>
    <row r="735" customFormat="false" ht="17.15" hidden="false" customHeight="false" outlineLevel="0" collapsed="false">
      <c r="A735" s="4" t="s">
        <v>576</v>
      </c>
      <c r="B735" s="0" t="s">
        <v>521</v>
      </c>
      <c r="D735" s="22" t="n">
        <f aca="false">D733/D734</f>
        <v>23.3995380420639</v>
      </c>
      <c r="E735" s="22" t="n">
        <f aca="false">E733/E734</f>
        <v>41.6467658260637</v>
      </c>
      <c r="F735" s="22" t="n">
        <f aca="false">F733/F734</f>
        <v>52.792138191248</v>
      </c>
      <c r="G735" s="22" t="n">
        <f aca="false">G733/G734</f>
        <v>60.1385917361116</v>
      </c>
    </row>
    <row r="736" customFormat="false" ht="17.15" hidden="false" customHeight="false" outlineLevel="0" collapsed="false">
      <c r="A736" s="4" t="s">
        <v>577</v>
      </c>
      <c r="B736" s="0" t="s">
        <v>578</v>
      </c>
      <c r="D736" s="18" t="n">
        <f aca="false">(racks_gb*odm_gb*(1-vr26)+racks_vr*odm_vr*vr26)/1000</f>
        <v>27.1209</v>
      </c>
      <c r="E736" s="18" t="n">
        <f aca="false">racks_vr*odm_vr/1000</f>
        <v>27.351</v>
      </c>
      <c r="F736" s="18" t="n">
        <f aca="false">$E736*vpg_28</f>
        <v>27.351</v>
      </c>
      <c r="G736" s="18" t="n">
        <f aca="false">$E736*vpg_29</f>
        <v>27.351</v>
      </c>
      <c r="K736" s="4" t="s">
        <v>579</v>
      </c>
    </row>
    <row r="737" customFormat="false" ht="17.15" hidden="false" customHeight="false" outlineLevel="0" collapsed="false">
      <c r="A737" s="0" t="s">
        <v>580</v>
      </c>
      <c r="B737" s="0" t="s">
        <v>32</v>
      </c>
      <c r="D737" s="21" t="n">
        <f aca="false">D735*D736</f>
        <v>634.61653128501</v>
      </c>
      <c r="E737" s="21" t="n">
        <f aca="false">E735*E736</f>
        <v>1139.08069210867</v>
      </c>
      <c r="F737" s="21" t="n">
        <f aca="false">F735*F736</f>
        <v>1443.91777166882</v>
      </c>
      <c r="G737" s="21" t="n">
        <f aca="false">G735*G736</f>
        <v>1644.85062257439</v>
      </c>
    </row>
    <row r="738" customFormat="false" ht="17.15" hidden="false" customHeight="false" outlineLevel="0" collapsed="false">
      <c r="A738" s="0" t="s">
        <v>581</v>
      </c>
      <c r="B738" s="0" t="s">
        <v>151</v>
      </c>
      <c r="D738" s="21" t="n">
        <f aca="false">D737*fx</f>
        <v>20307.7290011203</v>
      </c>
      <c r="E738" s="21" t="n">
        <f aca="false">E737*fx</f>
        <v>36450.5821474774</v>
      </c>
      <c r="F738" s="21" t="n">
        <f aca="false">F737*fx</f>
        <v>46205.3686934024</v>
      </c>
      <c r="G738" s="21" t="n">
        <f aca="false">G737*fx</f>
        <v>52635.2199223804</v>
      </c>
    </row>
    <row r="739" customFormat="false" ht="17.15" hidden="false" customHeight="false" outlineLevel="0" collapsed="false">
      <c r="A739" s="6" t="s">
        <v>582</v>
      </c>
    </row>
    <row r="740" customFormat="false" ht="17.15" hidden="false" customHeight="false" outlineLevel="0" collapsed="false">
      <c r="A740" s="4" t="s">
        <v>583</v>
      </c>
      <c r="B740" s="0" t="s">
        <v>52</v>
      </c>
      <c r="D740" s="20" t="n">
        <f aca="false">a26_ais/D738</f>
        <v>0.0875096501918447</v>
      </c>
      <c r="K740" s="8" t="s">
        <v>584</v>
      </c>
    </row>
    <row r="741" customFormat="false" ht="17.15" hidden="false" customHeight="false" outlineLevel="0" collapsed="false">
      <c r="A741" s="4" t="s">
        <v>585</v>
      </c>
      <c r="B741" s="0" t="s">
        <v>64</v>
      </c>
      <c r="D741" s="18" t="n">
        <f aca="false">1</f>
        <v>1</v>
      </c>
      <c r="E741" s="18" t="n">
        <f aca="false">rel_27</f>
        <v>1</v>
      </c>
      <c r="F741" s="18" t="n">
        <f aca="false">rel_28</f>
        <v>0.95</v>
      </c>
      <c r="G741" s="18" t="n">
        <f aca="false">rel_29</f>
        <v>0.9</v>
      </c>
    </row>
    <row r="742" customFormat="false" ht="17.15" hidden="false" customHeight="false" outlineLevel="0" collapsed="false">
      <c r="A742" s="4" t="s">
        <v>586</v>
      </c>
      <c r="B742" s="0" t="s">
        <v>52</v>
      </c>
      <c r="D742" s="20" t="n">
        <f aca="false">$D$740*D741</f>
        <v>0.0875096501918447</v>
      </c>
      <c r="E742" s="20" t="n">
        <f aca="false">$D$740*E741</f>
        <v>0.0875096501918447</v>
      </c>
      <c r="F742" s="20" t="n">
        <f aca="false">$D$740*F741</f>
        <v>0.0831341676822525</v>
      </c>
      <c r="G742" s="20" t="n">
        <f aca="false">$D$740*G741</f>
        <v>0.0787586851726602</v>
      </c>
    </row>
    <row r="743" customFormat="false" ht="17.15" hidden="false" customHeight="false" outlineLevel="0" collapsed="false">
      <c r="A743" s="4" t="s">
        <v>587</v>
      </c>
      <c r="B743" s="0" t="s">
        <v>151</v>
      </c>
      <c r="D743" s="21" t="n">
        <f aca="false">D738*D742</f>
        <v>1777.12226107882</v>
      </c>
      <c r="E743" s="21" t="n">
        <f aca="false">E738*E742</f>
        <v>3189.77769301484</v>
      </c>
      <c r="F743" s="21" t="n">
        <f aca="false">F738*F742</f>
        <v>3841.24486877761</v>
      </c>
      <c r="G743" s="21" t="n">
        <f aca="false">G738*G742</f>
        <v>4145.48071486049</v>
      </c>
    </row>
    <row r="744" customFormat="false" ht="17.15" hidden="false" customHeight="false" outlineLevel="0" collapsed="false">
      <c r="A744" s="4" t="s">
        <v>588</v>
      </c>
      <c r="B744" s="0" t="s">
        <v>52</v>
      </c>
      <c r="D744" s="20" t="n">
        <f aca="false">0</f>
        <v>0</v>
      </c>
      <c r="E744" s="20" t="n">
        <f aca="false">cs_27</f>
        <v>0.1</v>
      </c>
      <c r="F744" s="20" t="n">
        <f aca="false">cs_28</f>
        <v>0.2</v>
      </c>
      <c r="G744" s="20" t="n">
        <f aca="false">cs_29</f>
        <v>0.25</v>
      </c>
      <c r="K744" s="8" t="s">
        <v>589</v>
      </c>
    </row>
    <row r="745" customFormat="false" ht="17.15" hidden="false" customHeight="false" outlineLevel="0" collapsed="false">
      <c r="A745" s="4" t="s">
        <v>590</v>
      </c>
      <c r="B745" s="0" t="s">
        <v>151</v>
      </c>
      <c r="D745" s="21" t="n">
        <f aca="false">D743*(1-D744)</f>
        <v>1777.12226107882</v>
      </c>
      <c r="E745" s="21" t="n">
        <f aca="false">E743*(1-E744)</f>
        <v>2870.79992371336</v>
      </c>
      <c r="F745" s="21" t="n">
        <f aca="false">F743*(1-F744)</f>
        <v>3072.99589502209</v>
      </c>
      <c r="G745" s="21" t="n">
        <f aca="false">G743*(1-G744)</f>
        <v>3109.11053614537</v>
      </c>
    </row>
    <row r="746" customFormat="false" ht="17.15" hidden="false" customHeight="false" outlineLevel="0" collapsed="false">
      <c r="A746" s="6" t="s">
        <v>591</v>
      </c>
    </row>
    <row r="747" customFormat="false" ht="17.15" hidden="false" customHeight="false" outlineLevel="0" collapsed="false">
      <c r="A747" s="0" t="s">
        <v>592</v>
      </c>
      <c r="B747" s="4" t="s">
        <v>85</v>
      </c>
      <c r="D747" s="18" t="n">
        <f aca="false">gu_26*1</f>
        <v>8.35</v>
      </c>
      <c r="E747" s="18" t="n">
        <f aca="false">gu_27*1*1</f>
        <v>11.2</v>
      </c>
      <c r="F747" s="18" t="n">
        <f aca="false">gu_28*um28_A*1</f>
        <v>11.5</v>
      </c>
      <c r="G747" s="18" t="n">
        <f aca="false">gu_29*um29_A*1</f>
        <v>12.9</v>
      </c>
    </row>
    <row r="748" customFormat="false" ht="15" hidden="false" customHeight="false" outlineLevel="0" collapsed="false">
      <c r="A748" s="4" t="s">
        <v>593</v>
      </c>
      <c r="B748" s="0" t="s">
        <v>52</v>
      </c>
      <c r="D748" s="20" t="n">
        <f aca="false">bsh_26</f>
        <v>0.5</v>
      </c>
      <c r="E748" s="20" t="n">
        <f aca="false">bsh_26*brel_27_lo</f>
        <v>0.4</v>
      </c>
      <c r="F748" s="20" t="n">
        <f aca="false">bsh_26*brel_28_lo</f>
        <v>0.35</v>
      </c>
      <c r="G748" s="20" t="n">
        <f aca="false">bsh_26*brel_29_lo</f>
        <v>0.325</v>
      </c>
    </row>
    <row r="749" customFormat="false" ht="17.15" hidden="false" customHeight="false" outlineLevel="0" collapsed="false">
      <c r="A749" s="4" t="s">
        <v>594</v>
      </c>
      <c r="B749" s="0" t="s">
        <v>543</v>
      </c>
      <c r="D749" s="24" t="n">
        <f aca="false">a26_brd/fx/D747/D748*1000</f>
        <v>823.353293413174</v>
      </c>
      <c r="E749" s="24" t="n">
        <f aca="false">$D749*bv_27</f>
        <v>946.85628742515</v>
      </c>
      <c r="F749" s="24" t="n">
        <f aca="false">$D749*bv_28</f>
        <v>988.023952095808</v>
      </c>
      <c r="G749" s="24" t="n">
        <f aca="false">$D749*bv_29</f>
        <v>988.023952095808</v>
      </c>
      <c r="K749" s="8" t="s">
        <v>595</v>
      </c>
    </row>
    <row r="750" customFormat="false" ht="17.15" hidden="false" customHeight="false" outlineLevel="0" collapsed="false">
      <c r="A750" s="0" t="s">
        <v>545</v>
      </c>
      <c r="B750" s="0" t="s">
        <v>151</v>
      </c>
      <c r="D750" s="21" t="n">
        <f aca="false">D747*D748*D749*fx/1000</f>
        <v>110</v>
      </c>
      <c r="E750" s="21" t="n">
        <f aca="false">E747*E748*E749*fx/1000</f>
        <v>135.741317365269</v>
      </c>
      <c r="F750" s="21" t="n">
        <f aca="false">F747*F748*F749*fx/1000</f>
        <v>127.25748502994</v>
      </c>
      <c r="G750" s="21" t="n">
        <f aca="false">G747*G748*G749*fx/1000</f>
        <v>132.553293413174</v>
      </c>
    </row>
    <row r="751" customFormat="false" ht="17.15" hidden="false" customHeight="false" outlineLevel="0" collapsed="false">
      <c r="A751" s="6" t="s">
        <v>596</v>
      </c>
    </row>
    <row r="752" customFormat="false" ht="15" hidden="false" customHeight="false" outlineLevel="0" collapsed="false">
      <c r="A752" s="4" t="s">
        <v>597</v>
      </c>
      <c r="B752" s="0" t="s">
        <v>151</v>
      </c>
      <c r="D752" s="21" t="n">
        <f aca="false">a26_gen</f>
        <v>150</v>
      </c>
      <c r="E752" s="21" t="n">
        <f aca="false">D752*(1+g_gen27)</f>
        <v>180</v>
      </c>
      <c r="F752" s="21" t="n">
        <f aca="false">E752*(1+g_gen28)</f>
        <v>198</v>
      </c>
      <c r="G752" s="21" t="n">
        <f aca="false">F752*(1+g_gen29)</f>
        <v>213.84</v>
      </c>
    </row>
    <row r="753" customFormat="false" ht="15" hidden="false" customHeight="false" outlineLevel="0" collapsed="false">
      <c r="A753" s="4" t="s">
        <v>598</v>
      </c>
      <c r="B753" s="0" t="s">
        <v>151</v>
      </c>
      <c r="D753" s="21" t="n">
        <f aca="false">a26_pc</f>
        <v>614.602793131557</v>
      </c>
      <c r="E753" s="21" t="n">
        <f aca="false">D753*(1+g_pc27)</f>
        <v>596.16470933761</v>
      </c>
      <c r="F753" s="21" t="n">
        <f aca="false">E753*(1+g_pc28)</f>
        <v>596.16470933761</v>
      </c>
      <c r="G753" s="21" t="n">
        <f aca="false">F753*(1+g_pc29)</f>
        <v>596.16470933761</v>
      </c>
    </row>
    <row r="754" customFormat="false" ht="15" hidden="false" customHeight="false" outlineLevel="0" collapsed="false">
      <c r="A754" s="4" t="s">
        <v>599</v>
      </c>
      <c r="B754" s="0" t="s">
        <v>151</v>
      </c>
      <c r="C754" s="21" t="n">
        <f aca="false">a25_srev</f>
        <v>1235.86</v>
      </c>
      <c r="D754" s="21" t="n">
        <f aca="false">D745+D750+D752+D753</f>
        <v>2651.72505421038</v>
      </c>
      <c r="E754" s="21" t="n">
        <f aca="false">E745+E750+E752+E753</f>
        <v>3782.70595041624</v>
      </c>
      <c r="F754" s="21" t="n">
        <f aca="false">F745+F750+F752+F753</f>
        <v>3994.41808938964</v>
      </c>
      <c r="G754" s="21" t="n">
        <f aca="false">G745+G750+G752+G753</f>
        <v>4051.66853889615</v>
      </c>
    </row>
    <row r="755" customFormat="false" ht="17.15" hidden="false" customHeight="false" outlineLevel="0" collapsed="false">
      <c r="A755" s="4" t="s">
        <v>600</v>
      </c>
      <c r="B755" s="0" t="s">
        <v>52</v>
      </c>
      <c r="D755" s="20" t="n">
        <f aca="false">a26_wai/D738</f>
        <v>0.0341693013513091</v>
      </c>
      <c r="K755" s="8" t="s">
        <v>601</v>
      </c>
    </row>
    <row r="756" customFormat="false" ht="17.15" hidden="false" customHeight="false" outlineLevel="0" collapsed="false">
      <c r="A756" s="4" t="s">
        <v>527</v>
      </c>
      <c r="B756" s="0" t="s">
        <v>52</v>
      </c>
      <c r="D756" s="20" t="n">
        <f aca="false">D755</f>
        <v>0.0341693013513091</v>
      </c>
      <c r="E756" s="20" t="n">
        <f aca="false">$D$755*wrel_27</f>
        <v>0.0341693013513091</v>
      </c>
      <c r="F756" s="20" t="n">
        <f aca="false">$D$755*wrel_28</f>
        <v>0.0341693013513091</v>
      </c>
      <c r="G756" s="20" t="n">
        <f aca="false">$D$755*wrel_29</f>
        <v>0.0324608362837436</v>
      </c>
    </row>
    <row r="757" customFormat="false" ht="17.15" hidden="false" customHeight="false" outlineLevel="0" collapsed="false">
      <c r="A757" s="4" t="s">
        <v>547</v>
      </c>
      <c r="B757" s="0" t="s">
        <v>151</v>
      </c>
      <c r="D757" s="21" t="n">
        <f aca="false">D738*D756</f>
        <v>693.900912</v>
      </c>
      <c r="E757" s="21" t="n">
        <f aca="false">E738*E756</f>
        <v>1245.4909258278</v>
      </c>
      <c r="F757" s="21" t="n">
        <f aca="false">F738*F756</f>
        <v>1578.80516693321</v>
      </c>
      <c r="G757" s="21" t="n">
        <f aca="false">G738*G756</f>
        <v>1708.58325665923</v>
      </c>
    </row>
    <row r="758" customFormat="false" ht="17.15" hidden="false" customHeight="false" outlineLevel="0" collapsed="false">
      <c r="A758" s="4" t="s">
        <v>602</v>
      </c>
      <c r="B758" s="0" t="s">
        <v>151</v>
      </c>
      <c r="D758" s="21" t="n">
        <f aca="false">a26_wna</f>
        <v>751.725988</v>
      </c>
      <c r="E758" s="21" t="n">
        <f aca="false">D758*(1+g_wn27)</f>
        <v>826.8985868</v>
      </c>
      <c r="F758" s="21" t="n">
        <f aca="false">E758*(1+g_wn28)</f>
        <v>876.512502008</v>
      </c>
      <c r="G758" s="21" t="n">
        <f aca="false">F758*(1+g_wn29)</f>
        <v>920.3381271084</v>
      </c>
    </row>
    <row r="759" customFormat="false" ht="15" hidden="false" customHeight="false" outlineLevel="0" collapsed="false">
      <c r="A759" s="4" t="s">
        <v>458</v>
      </c>
      <c r="B759" s="0" t="s">
        <v>151</v>
      </c>
      <c r="C759" s="21" t="n">
        <f aca="false">a25_wrev</f>
        <v>950.663</v>
      </c>
      <c r="D759" s="21" t="n">
        <f aca="false">D757+D758</f>
        <v>1445.6269</v>
      </c>
      <c r="E759" s="21" t="n">
        <f aca="false">E757+E758</f>
        <v>2072.3895126278</v>
      </c>
      <c r="F759" s="21" t="n">
        <f aca="false">F757+F758</f>
        <v>2455.31766894121</v>
      </c>
      <c r="G759" s="21" t="n">
        <f aca="false">G757+G758</f>
        <v>2628.92138376763</v>
      </c>
    </row>
    <row r="760" customFormat="false" ht="17.15" hidden="false" customHeight="false" outlineLevel="0" collapsed="false">
      <c r="A760" s="4" t="s">
        <v>444</v>
      </c>
      <c r="B760" s="0" t="s">
        <v>151</v>
      </c>
      <c r="C760" s="21" t="n">
        <f aca="false">C754+C759</f>
        <v>2186.523</v>
      </c>
      <c r="D760" s="21" t="n">
        <f aca="false">D754+D759</f>
        <v>4097.35195421038</v>
      </c>
      <c r="E760" s="21" t="n">
        <f aca="false">E754+E759</f>
        <v>5855.09546304404</v>
      </c>
      <c r="F760" s="21" t="n">
        <f aca="false">F754+F759</f>
        <v>6449.73575833085</v>
      </c>
      <c r="G760" s="21" t="n">
        <f aca="false">G754+G759</f>
        <v>6680.58992266378</v>
      </c>
      <c r="H760" s="26" t="n">
        <f aca="false">G760*(1+H765)</f>
        <v>6973.61311011394</v>
      </c>
      <c r="I760" s="26" t="n">
        <f aca="false">H760*(1+I765)</f>
        <v>7335.75937007473</v>
      </c>
      <c r="J760" s="26" t="n">
        <f aca="false">I760*(1+J765)</f>
        <v>7775.90493227921</v>
      </c>
      <c r="K760" s="8" t="s">
        <v>603</v>
      </c>
    </row>
    <row r="761" customFormat="false" ht="17.15" hidden="false" customHeight="false" outlineLevel="0" collapsed="false">
      <c r="A761" s="4" t="s">
        <v>604</v>
      </c>
      <c r="B761" s="0" t="s">
        <v>151</v>
      </c>
      <c r="D761" s="21" t="n">
        <f aca="false">D745+D750+D752+D759</f>
        <v>3482.74916107882</v>
      </c>
      <c r="E761" s="21" t="n">
        <f aca="false">E745+E750+E752+E759</f>
        <v>5258.93075370643</v>
      </c>
      <c r="F761" s="21" t="n">
        <f aca="false">F745+F750+F752+F759</f>
        <v>5853.57104899324</v>
      </c>
      <c r="G761" s="21" t="n">
        <f aca="false">G745+G750+G752+G759</f>
        <v>6084.42521332617</v>
      </c>
      <c r="K761" s="4" t="s">
        <v>605</v>
      </c>
    </row>
    <row r="762" customFormat="false" ht="15" hidden="false" customHeight="false" outlineLevel="0" collapsed="false">
      <c r="A762" s="4" t="s">
        <v>606</v>
      </c>
      <c r="B762" s="0" t="s">
        <v>151</v>
      </c>
      <c r="D762" s="21" t="n">
        <f aca="false">D753</f>
        <v>614.602793131557</v>
      </c>
      <c r="E762" s="21" t="n">
        <f aca="false">E753</f>
        <v>596.16470933761</v>
      </c>
      <c r="F762" s="21" t="n">
        <f aca="false">F753</f>
        <v>596.16470933761</v>
      </c>
      <c r="G762" s="21" t="n">
        <f aca="false">G753</f>
        <v>596.16470933761</v>
      </c>
      <c r="K762" s="4" t="s">
        <v>607</v>
      </c>
    </row>
    <row r="763" customFormat="false" ht="17.15" hidden="false" customHeight="false" outlineLevel="0" collapsed="false">
      <c r="A763" s="4" t="s">
        <v>608</v>
      </c>
      <c r="B763" s="0" t="s">
        <v>151</v>
      </c>
      <c r="D763" s="31" t="n">
        <f aca="false">D761+D762-D760</f>
        <v>0</v>
      </c>
      <c r="E763" s="31" t="n">
        <f aca="false">E761+E762-E760</f>
        <v>0</v>
      </c>
      <c r="F763" s="31" t="n">
        <f aca="false">F761+F762-F760</f>
        <v>0</v>
      </c>
      <c r="G763" s="31" t="n">
        <f aca="false">G761+G762-G760</f>
        <v>0</v>
      </c>
    </row>
    <row r="764" customFormat="false" ht="17.15" hidden="false" customHeight="false" outlineLevel="0" collapsed="false">
      <c r="A764" s="4" t="s">
        <v>609</v>
      </c>
      <c r="B764" s="0" t="s">
        <v>52</v>
      </c>
      <c r="D764" s="20" t="n">
        <f aca="false">D761/D760</f>
        <v>0.85</v>
      </c>
      <c r="E764" s="20" t="n">
        <f aca="false">E761/E760</f>
        <v>0.898180189699646</v>
      </c>
      <c r="F764" s="20" t="n">
        <f aca="false">F761/F760</f>
        <v>0.907567576149524</v>
      </c>
      <c r="G764" s="20" t="n">
        <f aca="false">G761/G760</f>
        <v>0.910761666822996</v>
      </c>
    </row>
    <row r="765" customFormat="false" ht="15" hidden="false" customHeight="false" outlineLevel="0" collapsed="false">
      <c r="A765" s="4" t="s">
        <v>610</v>
      </c>
      <c r="B765" s="0" t="s">
        <v>52</v>
      </c>
      <c r="D765" s="20" t="n">
        <f aca="false">D760/C760-1</f>
        <v>0.873912121761526</v>
      </c>
      <c r="E765" s="20" t="n">
        <f aca="false">E760/D760-1</f>
        <v>0.428995001766307</v>
      </c>
      <c r="F765" s="20" t="n">
        <f aca="false">F760/E760-1</f>
        <v>0.10155945347775</v>
      </c>
      <c r="G765" s="20" t="n">
        <f aca="false">G760/F760-1</f>
        <v>0.035792809656543</v>
      </c>
      <c r="H765" s="27" t="n">
        <f aca="false">$G765+(fade_gA-$G765)*1/3</f>
        <v>0.043861873104362</v>
      </c>
      <c r="I765" s="27" t="n">
        <f aca="false">$G765+(fade_gA-$G765)*2/3</f>
        <v>0.051930936552181</v>
      </c>
      <c r="J765" s="27" t="n">
        <f aca="false">$G765+(fade_gA-$G765)*3/3</f>
        <v>0.06</v>
      </c>
    </row>
    <row r="766" customFormat="false" ht="17.15" hidden="false" customHeight="false" outlineLevel="0" collapsed="false">
      <c r="A766" s="0" t="s">
        <v>611</v>
      </c>
      <c r="B766" s="0" t="s">
        <v>52</v>
      </c>
      <c r="D766" s="20" t="n">
        <f aca="false">(D745+D750+D757)/D760</f>
        <v>0.629924693295288</v>
      </c>
      <c r="E766" s="20" t="n">
        <f aca="false">(E745+E750+E757)/E760</f>
        <v>0.726210562021446</v>
      </c>
      <c r="F766" s="20" t="n">
        <f aca="false">(F745+F750+F757)/F760</f>
        <v>0.740969665433554</v>
      </c>
      <c r="G766" s="20" t="n">
        <f aca="false">(G745+G750+G757)/G760</f>
        <v>0.740989514926541</v>
      </c>
    </row>
    <row r="767" customFormat="false" ht="17.15" hidden="false" customHeight="false" outlineLevel="0" collapsed="false">
      <c r="A767" s="4" t="s">
        <v>612</v>
      </c>
      <c r="B767" s="0" t="s">
        <v>52</v>
      </c>
      <c r="C767" s="20" t="n">
        <f aca="false">C759/C760</f>
        <v>0.434782986504144</v>
      </c>
      <c r="D767" s="20" t="n">
        <f aca="false">D759/D760</f>
        <v>0.352819800728736</v>
      </c>
      <c r="E767" s="20" t="n">
        <f aca="false">E759/E760</f>
        <v>0.353946323455907</v>
      </c>
      <c r="F767" s="20" t="n">
        <f aca="false">F759/F760</f>
        <v>0.380685001826591</v>
      </c>
      <c r="G767" s="20" t="n">
        <f aca="false">G759/G760</f>
        <v>0.393516353226391</v>
      </c>
    </row>
    <row r="768" customFormat="false" ht="17.15" hidden="false" customHeight="false" outlineLevel="0" collapsed="false">
      <c r="A768" s="4" t="s">
        <v>613</v>
      </c>
      <c r="B768" s="4" t="s">
        <v>335</v>
      </c>
      <c r="D768" s="21" t="n">
        <f aca="false">D743/fx/(odm_gb*(1-vr26)+odm_vr*vr26)</f>
        <v>12.0597330420658</v>
      </c>
      <c r="E768" s="21" t="n">
        <f aca="false">E743/fx/odm_vr</f>
        <v>14.7674893195132</v>
      </c>
      <c r="F768" s="21" t="n">
        <f aca="false">F743/fx/odm_vr</f>
        <v>17.7835410591556</v>
      </c>
      <c r="G768" s="21" t="n">
        <f aca="false">G743/fx/odm_vr</f>
        <v>19.1920403465763</v>
      </c>
      <c r="K768" s="4" t="s">
        <v>614</v>
      </c>
    </row>
    <row r="769" customFormat="false" ht="17.15" hidden="false" customHeight="false" outlineLevel="0" collapsed="false">
      <c r="A769" s="6" t="s">
        <v>615</v>
      </c>
    </row>
    <row r="770" customFormat="false" ht="17.15" hidden="false" customHeight="false" outlineLevel="0" collapsed="false">
      <c r="A770" s="4" t="s">
        <v>616</v>
      </c>
      <c r="B770" s="0" t="s">
        <v>52</v>
      </c>
      <c r="D770" s="14" t="n">
        <f aca="false">(a26_sgp-d_ai*D745-d_brd*D750-d_gen*D752)/D754</f>
        <v>0.0436423860147897</v>
      </c>
      <c r="K770" s="8" t="s">
        <v>617</v>
      </c>
    </row>
    <row r="771" customFormat="false" ht="17.15" hidden="false" customHeight="false" outlineLevel="0" collapsed="false">
      <c r="A771" s="4" t="s">
        <v>618</v>
      </c>
      <c r="B771" s="0" t="s">
        <v>151</v>
      </c>
      <c r="D771" s="25" t="n">
        <f aca="false">($D$770+d_ai)*D743*(1-D744*(1-keep))</f>
        <v>59.7866331026896</v>
      </c>
      <c r="E771" s="25" t="n">
        <f aca="false">($D$770+d_ai+vrd)*E743*(1-E744*(1-keep))</f>
        <v>99.9228552931037</v>
      </c>
      <c r="F771" s="25" t="n">
        <f aca="false">($D$770+d_ai+vrd)*F743*(1-F744*(1-keep))</f>
        <v>119.115229856888</v>
      </c>
      <c r="G771" s="25" t="n">
        <f aca="false">($D$770+d_ai+vrd)*G743*(1-G744*(1-keep))</f>
        <v>127.89357847157</v>
      </c>
    </row>
    <row r="772" customFormat="false" ht="15" hidden="false" customHeight="false" outlineLevel="0" collapsed="false">
      <c r="A772" s="4" t="s">
        <v>619</v>
      </c>
      <c r="B772" s="0" t="s">
        <v>151</v>
      </c>
      <c r="C772" s="21" t="n">
        <f aca="false">a25_sgp</f>
        <v>55.529</v>
      </c>
      <c r="D772" s="21" t="n">
        <f aca="false">a26_sgp</f>
        <v>103.50638581015</v>
      </c>
      <c r="E772" s="21" t="n">
        <f aca="false">$D$770*E753+($D$770+d_brd)*E750+($D$770+d_gen)*E752+E771</f>
        <v>146.492849640642</v>
      </c>
      <c r="F772" s="21" t="n">
        <f aca="false">$D$770*F753+($D$770+d_brd)*F750+($D$770+d_gen)*F752+F771</f>
        <v>166.116017496969</v>
      </c>
      <c r="G772" s="21" t="n">
        <f aca="false">$D$770*G753+($D$770+d_brd)*G750+($D$770+d_gen)*G752+G771</f>
        <v>176.213257471344</v>
      </c>
    </row>
    <row r="773" customFormat="false" ht="15" hidden="false" customHeight="false" outlineLevel="0" collapsed="false">
      <c r="A773" s="4" t="s">
        <v>620</v>
      </c>
      <c r="B773" s="0" t="s">
        <v>52</v>
      </c>
      <c r="C773" s="14" t="n">
        <f aca="false">C772/C754</f>
        <v>0.0449314647290146</v>
      </c>
      <c r="D773" s="14" t="n">
        <f aca="false">D772/D754</f>
        <v>0.0390336040479778</v>
      </c>
      <c r="E773" s="14" t="n">
        <f aca="false">E772/E754</f>
        <v>0.0387269990215661</v>
      </c>
      <c r="F773" s="14" t="n">
        <f aca="false">F772/F754</f>
        <v>0.0415870381566272</v>
      </c>
      <c r="G773" s="14" t="n">
        <f aca="false">G772/G754</f>
        <v>0.043491528435678</v>
      </c>
    </row>
    <row r="774" customFormat="false" ht="15" hidden="false" customHeight="false" outlineLevel="0" collapsed="false">
      <c r="A774" s="4" t="s">
        <v>621</v>
      </c>
      <c r="B774" s="0" t="s">
        <v>52</v>
      </c>
      <c r="E774" s="20" t="n">
        <f aca="false">MAX(0,phi*(E754/D754-1))</f>
        <v>0.127952280845645</v>
      </c>
      <c r="F774" s="20" t="n">
        <f aca="false">MAX(0,phi*(F754/E754-1))</f>
        <v>0.0167905310443259</v>
      </c>
      <c r="G774" s="20" t="n">
        <f aca="false">MAX(0,phi*(G754/F754-1))</f>
        <v>0.00429978396542323</v>
      </c>
    </row>
    <row r="775" customFormat="false" ht="15" hidden="false" customHeight="false" outlineLevel="0" collapsed="false">
      <c r="A775" s="4" t="s">
        <v>622</v>
      </c>
      <c r="B775" s="0" t="s">
        <v>151</v>
      </c>
      <c r="C775" s="21" t="n">
        <f aca="false">a25_sopx</f>
        <v>40.894</v>
      </c>
      <c r="D775" s="21" t="n">
        <f aca="false">a26_sopx</f>
        <v>46.9914095398923</v>
      </c>
      <c r="E775" s="21" t="n">
        <f aca="false">D775*(1+E774)+0*E754</f>
        <v>53.0040675706733</v>
      </c>
      <c r="F775" s="21" t="n">
        <f aca="false">E775*(1+F774)+0*F754</f>
        <v>53.8940340126942</v>
      </c>
      <c r="G775" s="21" t="n">
        <f aca="false">F775*(1+G774)+0*G754</f>
        <v>54.125766715974</v>
      </c>
    </row>
    <row r="776" customFormat="false" ht="15" hidden="false" customHeight="false" outlineLevel="0" collapsed="false">
      <c r="A776" s="4" t="s">
        <v>623</v>
      </c>
      <c r="B776" s="0" t="s">
        <v>151</v>
      </c>
      <c r="C776" s="21" t="n">
        <f aca="false">C772-C775</f>
        <v>14.635</v>
      </c>
      <c r="D776" s="21" t="n">
        <f aca="false">D772-D775</f>
        <v>56.514976270258</v>
      </c>
      <c r="E776" s="21" t="n">
        <f aca="false">E772-E775</f>
        <v>93.4887820699687</v>
      </c>
      <c r="F776" s="21" t="n">
        <f aca="false">F772-F775</f>
        <v>112.221983484275</v>
      </c>
      <c r="G776" s="21" t="n">
        <f aca="false">G772-G775</f>
        <v>122.08749075537</v>
      </c>
    </row>
    <row r="777" customFormat="false" ht="15" hidden="false" customHeight="false" outlineLevel="0" collapsed="false">
      <c r="A777" s="4" t="s">
        <v>624</v>
      </c>
      <c r="B777" s="0" t="s">
        <v>52</v>
      </c>
      <c r="C777" s="14" t="n">
        <f aca="false">C776/C754</f>
        <v>0.011841956208632</v>
      </c>
      <c r="D777" s="14" t="n">
        <f aca="false">D776/D754</f>
        <v>0.0213125324514788</v>
      </c>
      <c r="E777" s="14" t="n">
        <f aca="false">E776/E754</f>
        <v>0.0247147897022451</v>
      </c>
      <c r="F777" s="14" t="n">
        <f aca="false">F776/F754</f>
        <v>0.0280947013990272</v>
      </c>
      <c r="G777" s="14" t="n">
        <f aca="false">G776/G754</f>
        <v>0.0301326452505495</v>
      </c>
    </row>
    <row r="778" customFormat="false" ht="15" hidden="false" customHeight="false" outlineLevel="0" collapsed="false">
      <c r="A778" s="4" t="s">
        <v>625</v>
      </c>
      <c r="B778" s="0" t="s">
        <v>151</v>
      </c>
      <c r="C778" s="21" t="n">
        <f aca="false">a25_sni</f>
        <v>6.9608</v>
      </c>
      <c r="D778" s="21" t="n">
        <f aca="false">a26_sni</f>
        <v>31.133746704</v>
      </c>
      <c r="E778" s="21" t="n">
        <f aca="false">E776*snio</f>
        <v>52.3537179591825</v>
      </c>
      <c r="F778" s="21" t="n">
        <f aca="false">F776*snio</f>
        <v>62.8443107511939</v>
      </c>
      <c r="G778" s="21" t="n">
        <f aca="false">G776*snio</f>
        <v>68.3689948230073</v>
      </c>
    </row>
    <row r="779" customFormat="false" ht="17.15" hidden="false" customHeight="false" outlineLevel="0" collapsed="false">
      <c r="A779" s="6" t="s">
        <v>626</v>
      </c>
    </row>
    <row r="780" customFormat="false" ht="15" hidden="false" customHeight="false" outlineLevel="0" collapsed="false">
      <c r="A780" s="4" t="s">
        <v>462</v>
      </c>
      <c r="B780" s="0" t="s">
        <v>151</v>
      </c>
      <c r="C780" s="21" t="n">
        <f aca="false">a25_wgp</f>
        <v>78.454</v>
      </c>
      <c r="D780" s="21" t="n">
        <f aca="false">a26_wgp</f>
        <v>125.0519932</v>
      </c>
      <c r="E780" s="21" t="n">
        <f aca="false">E759*wgm</f>
        <v>176.153108573363</v>
      </c>
      <c r="F780" s="21" t="n">
        <f aca="false">F759*wgm</f>
        <v>208.702001860003</v>
      </c>
      <c r="G780" s="21" t="n">
        <f aca="false">G759*wgm</f>
        <v>223.458317620249</v>
      </c>
    </row>
    <row r="781" customFormat="false" ht="15" hidden="false" customHeight="false" outlineLevel="0" collapsed="false">
      <c r="A781" s="4" t="s">
        <v>464</v>
      </c>
      <c r="B781" s="0" t="s">
        <v>151</v>
      </c>
      <c r="C781" s="21" t="n">
        <f aca="false">a25_woi</f>
        <v>63.918</v>
      </c>
      <c r="D781" s="21" t="n">
        <f aca="false">a26_woi</f>
        <v>98.2471632</v>
      </c>
      <c r="E781" s="21" t="n">
        <f aca="false">E759*wopm</f>
        <v>134.705318320807</v>
      </c>
      <c r="F781" s="21" t="n">
        <f aca="false">F759*wopm</f>
        <v>159.595648481179</v>
      </c>
      <c r="G781" s="21" t="n">
        <f aca="false">G759*wopm</f>
        <v>170.879889944896</v>
      </c>
    </row>
    <row r="782" customFormat="false" ht="15" hidden="false" customHeight="false" outlineLevel="0" collapsed="false">
      <c r="A782" s="4" t="s">
        <v>472</v>
      </c>
      <c r="B782" s="0" t="s">
        <v>151</v>
      </c>
      <c r="C782" s="21" t="n">
        <f aca="false">a25_wni</f>
        <v>51.118</v>
      </c>
      <c r="D782" s="21" t="n">
        <f aca="false">a26_wni</f>
        <v>75.735026884</v>
      </c>
      <c r="E782" s="21" t="n">
        <f aca="false">E781*wnio</f>
        <v>105.07014829023</v>
      </c>
      <c r="F782" s="21" t="n">
        <f aca="false">F781*wnio</f>
        <v>124.484605815319</v>
      </c>
      <c r="G782" s="21" t="n">
        <f aca="false">G781*wnio</f>
        <v>133.286314157019</v>
      </c>
    </row>
    <row r="783" customFormat="false" ht="15" hidden="false" customHeight="false" outlineLevel="0" collapsed="false">
      <c r="A783" s="4" t="s">
        <v>474</v>
      </c>
      <c r="B783" s="0" t="s">
        <v>52</v>
      </c>
      <c r="C783" s="14" t="n">
        <f aca="false">stake25</f>
        <v>0.4</v>
      </c>
      <c r="D783" s="14" t="n">
        <f aca="false">stake</f>
        <v>0.3768</v>
      </c>
      <c r="E783" s="14" t="n">
        <f aca="false">stake</f>
        <v>0.3768</v>
      </c>
      <c r="F783" s="14" t="n">
        <f aca="false">stake</f>
        <v>0.3768</v>
      </c>
      <c r="G783" s="14" t="n">
        <f aca="false">stake</f>
        <v>0.3768</v>
      </c>
    </row>
    <row r="784" customFormat="false" ht="17.15" hidden="false" customHeight="false" outlineLevel="0" collapsed="false">
      <c r="A784" s="6" t="s">
        <v>627</v>
      </c>
    </row>
    <row r="785" customFormat="false" ht="15" hidden="false" customHeight="false" outlineLevel="0" collapsed="false">
      <c r="A785" s="4" t="s">
        <v>448</v>
      </c>
      <c r="B785" s="0" t="s">
        <v>151</v>
      </c>
      <c r="C785" s="21" t="n">
        <f aca="false">C772+C780</f>
        <v>133.983</v>
      </c>
      <c r="D785" s="21" t="n">
        <f aca="false">D772+D780</f>
        <v>228.55837901015</v>
      </c>
      <c r="E785" s="21" t="n">
        <f aca="false">E772+E780</f>
        <v>322.645958214005</v>
      </c>
      <c r="F785" s="21" t="n">
        <f aca="false">F772+F780</f>
        <v>374.818019356972</v>
      </c>
      <c r="G785" s="21" t="n">
        <f aca="false">G772+G780</f>
        <v>399.671575091593</v>
      </c>
    </row>
    <row r="786" customFormat="false" ht="15" hidden="false" customHeight="false" outlineLevel="0" collapsed="false">
      <c r="A786" s="4" t="s">
        <v>451</v>
      </c>
      <c r="B786" s="0" t="s">
        <v>52</v>
      </c>
      <c r="C786" s="14" t="n">
        <f aca="false">C785/C760</f>
        <v>0.0612767393711386</v>
      </c>
      <c r="D786" s="14" t="n">
        <f aca="false">D785/D760</f>
        <v>0.055781973714825</v>
      </c>
      <c r="E786" s="14" t="n">
        <f aca="false">E785/E760</f>
        <v>0.0551051575931544</v>
      </c>
      <c r="F786" s="14" t="n">
        <f aca="false">F785/F760</f>
        <v>0.0581137016152693</v>
      </c>
      <c r="G786" s="14" t="n">
        <f aca="false">G785/G760</f>
        <v>0.0598257907936714</v>
      </c>
    </row>
    <row r="787" customFormat="false" ht="15" hidden="false" customHeight="false" outlineLevel="0" collapsed="false">
      <c r="A787" s="4" t="s">
        <v>452</v>
      </c>
      <c r="B787" s="0" t="s">
        <v>151</v>
      </c>
      <c r="C787" s="21" t="n">
        <f aca="false">C776+C781</f>
        <v>78.553</v>
      </c>
      <c r="D787" s="21" t="n">
        <f aca="false">D776+D781</f>
        <v>154.762139470258</v>
      </c>
      <c r="E787" s="21" t="n">
        <f aca="false">E776+E781</f>
        <v>228.194100390776</v>
      </c>
      <c r="F787" s="21" t="n">
        <f aca="false">F776+F781</f>
        <v>271.817631965453</v>
      </c>
      <c r="G787" s="21" t="n">
        <f aca="false">G776+G781</f>
        <v>292.967380700266</v>
      </c>
    </row>
    <row r="788" customFormat="false" ht="15" hidden="false" customHeight="false" outlineLevel="0" collapsed="false">
      <c r="A788" s="4" t="s">
        <v>455</v>
      </c>
      <c r="B788" s="0" t="s">
        <v>52</v>
      </c>
      <c r="C788" s="14" t="n">
        <f aca="false">C787/C760</f>
        <v>0.0359259884300325</v>
      </c>
      <c r="D788" s="14" t="n">
        <f aca="false">D787/D760</f>
        <v>0.0377712584126992</v>
      </c>
      <c r="E788" s="14" t="n">
        <f aca="false">E787/E760</f>
        <v>0.0389735917767836</v>
      </c>
      <c r="F788" s="14" t="n">
        <f aca="false">F787/F760</f>
        <v>0.0421439950643495</v>
      </c>
      <c r="G788" s="14" t="n">
        <f aca="false">G787/G760</f>
        <v>0.0438535195382042</v>
      </c>
    </row>
    <row r="789" customFormat="false" ht="15" hidden="false" customHeight="false" outlineLevel="0" collapsed="false">
      <c r="A789" s="4" t="s">
        <v>485</v>
      </c>
      <c r="B789" s="0" t="s">
        <v>151</v>
      </c>
      <c r="C789" s="21" t="n">
        <f aca="false">C778+C782</f>
        <v>58.0788</v>
      </c>
      <c r="D789" s="21" t="n">
        <f aca="false">D778+D782</f>
        <v>106.868773588</v>
      </c>
      <c r="E789" s="21" t="n">
        <f aca="false">E778+E782</f>
        <v>157.423866249412</v>
      </c>
      <c r="F789" s="21" t="n">
        <f aca="false">F778+F782</f>
        <v>187.328916566513</v>
      </c>
      <c r="G789" s="21" t="n">
        <f aca="false">G778+G782</f>
        <v>201.655308980026</v>
      </c>
    </row>
    <row r="790" customFormat="false" ht="17.15" hidden="false" customHeight="false" outlineLevel="0" collapsed="false">
      <c r="A790" s="4" t="s">
        <v>628</v>
      </c>
      <c r="B790" s="0" t="s">
        <v>151</v>
      </c>
      <c r="C790" s="21" t="n">
        <f aca="false">(1-C783)*C782</f>
        <v>30.6708</v>
      </c>
      <c r="D790" s="21" t="n">
        <f aca="false">(1-D783)*D782</f>
        <v>47.1980687541088</v>
      </c>
      <c r="E790" s="21" t="n">
        <f aca="false">(1-E783)*E782</f>
        <v>65.4797164144711</v>
      </c>
      <c r="F790" s="21" t="n">
        <f aca="false">(1-F783)*F782</f>
        <v>77.578806344107</v>
      </c>
      <c r="G790" s="21" t="n">
        <f aca="false">(1-G783)*G782</f>
        <v>83.0640309826542</v>
      </c>
    </row>
    <row r="791" customFormat="false" ht="15" hidden="false" customHeight="false" outlineLevel="0" collapsed="false">
      <c r="A791" s="4" t="s">
        <v>481</v>
      </c>
      <c r="B791" s="0" t="s">
        <v>151</v>
      </c>
      <c r="C791" s="21" t="n">
        <f aca="false">C789-C790</f>
        <v>27.408</v>
      </c>
      <c r="D791" s="21" t="n">
        <f aca="false">D789-D790</f>
        <v>59.6707048338912</v>
      </c>
      <c r="E791" s="21" t="n">
        <f aca="false">E789-E790</f>
        <v>91.944149834941</v>
      </c>
      <c r="F791" s="21" t="n">
        <f aca="false">F789-F790</f>
        <v>109.750110222406</v>
      </c>
      <c r="G791" s="21" t="n">
        <f aca="false">G789-G790</f>
        <v>118.591277997372</v>
      </c>
      <c r="H791" s="26" t="n">
        <f aca="false">H760*H796</f>
        <v>124.159197638666</v>
      </c>
      <c r="I791" s="26" t="n">
        <f aca="false">I760*I796</f>
        <v>130.992206582093</v>
      </c>
      <c r="J791" s="26" t="n">
        <f aca="false">J760*J796</f>
        <v>139.26016283721</v>
      </c>
    </row>
    <row r="792" customFormat="false" ht="17.15" hidden="false" customHeight="false" outlineLevel="0" collapsed="false">
      <c r="A792" s="4" t="s">
        <v>629</v>
      </c>
      <c r="B792" s="0" t="s">
        <v>52</v>
      </c>
      <c r="C792" s="20" t="n">
        <f aca="false">C783*C782/C791</f>
        <v>0.746030356100409</v>
      </c>
      <c r="D792" s="20" t="n">
        <f aca="false">D783*D782/D791</f>
        <v>0.478240674537551</v>
      </c>
      <c r="E792" s="20" t="n">
        <f aca="false">E783*E782/E791</f>
        <v>0.430592179565874</v>
      </c>
      <c r="F792" s="20" t="n">
        <f aca="false">F783*F782/F791</f>
        <v>0.427387265271613</v>
      </c>
      <c r="G792" s="20" t="n">
        <f aca="false">G783*G782/G791</f>
        <v>0.423490530015855</v>
      </c>
    </row>
    <row r="793" customFormat="false" ht="17.15" hidden="false" customHeight="false" outlineLevel="0" collapsed="false">
      <c r="A793" s="4" t="s">
        <v>630</v>
      </c>
      <c r="B793" s="4" t="s">
        <v>286</v>
      </c>
      <c r="C793" s="31" t="n">
        <f aca="false">a25_sh</f>
        <v>3.03185840707965</v>
      </c>
      <c r="D793" s="31" t="n">
        <f aca="false">a26_sh</f>
        <v>3.23861720409076</v>
      </c>
      <c r="E793" s="31" t="n">
        <f aca="false">q_sh4*(1+sh_g)</f>
        <v>3.43</v>
      </c>
      <c r="F793" s="31" t="n">
        <f aca="false">E793*(1+sh_g)</f>
        <v>3.43</v>
      </c>
      <c r="G793" s="31" t="n">
        <f aca="false">F793*(1+sh_g)</f>
        <v>3.43</v>
      </c>
      <c r="H793" s="32" t="n">
        <f aca="false">G793*(1+sh_g)</f>
        <v>3.43</v>
      </c>
      <c r="I793" s="32" t="n">
        <f aca="false">H793*(1+sh_g)</f>
        <v>3.43</v>
      </c>
      <c r="J793" s="32" t="n">
        <f aca="false">I793*(1+sh_g)</f>
        <v>3.43</v>
      </c>
      <c r="K793" s="8" t="s">
        <v>631</v>
      </c>
    </row>
    <row r="794" customFormat="false" ht="15" hidden="false" customHeight="false" outlineLevel="0" collapsed="false">
      <c r="A794" s="0" t="s">
        <v>488</v>
      </c>
      <c r="B794" s="0" t="s">
        <v>316</v>
      </c>
      <c r="C794" s="18" t="n">
        <f aca="false">C791/C793</f>
        <v>9.04</v>
      </c>
      <c r="D794" s="18" t="n">
        <f aca="false">D791/D793</f>
        <v>18.4247476850676</v>
      </c>
      <c r="E794" s="18" t="n">
        <f aca="false">E791/E793</f>
        <v>26.8058745874463</v>
      </c>
      <c r="F794" s="18" t="n">
        <f aca="false">F791/F793</f>
        <v>31.9971166829173</v>
      </c>
      <c r="G794" s="18" t="n">
        <f aca="false">G791/G793</f>
        <v>34.5747166173096</v>
      </c>
      <c r="H794" s="29" t="n">
        <f aca="false">H791/H793</f>
        <v>36.1980168042759</v>
      </c>
      <c r="I794" s="29" t="n">
        <f aca="false">I791/I793</f>
        <v>38.1901476915722</v>
      </c>
      <c r="J794" s="29" t="n">
        <f aca="false">J791/J793</f>
        <v>40.6006305647844</v>
      </c>
    </row>
    <row r="795" customFormat="false" ht="17.15" hidden="false" customHeight="false" outlineLevel="0" collapsed="false">
      <c r="A795" s="0" t="s">
        <v>632</v>
      </c>
      <c r="B795" s="0" t="s">
        <v>52</v>
      </c>
      <c r="D795" s="20" t="n">
        <f aca="false">D794/C794-1</f>
        <v>1.03813580587031</v>
      </c>
      <c r="E795" s="20" t="n">
        <f aca="false">E794/D794-1</f>
        <v>0.454884215818667</v>
      </c>
      <c r="F795" s="20" t="n">
        <f aca="false">F794/E794-1</f>
        <v>0.193660612659214</v>
      </c>
      <c r="G795" s="20" t="n">
        <f aca="false">G794/F794-1</f>
        <v>0.0805572564533137</v>
      </c>
      <c r="H795" s="27" t="n">
        <f aca="false">H794/G794-1</f>
        <v>0.0469504986818476</v>
      </c>
      <c r="I795" s="27" t="n">
        <f aca="false">I794/H794-1</f>
        <v>0.0550342549998764</v>
      </c>
      <c r="J795" s="27" t="n">
        <f aca="false">J794/I794-1</f>
        <v>0.0631179248815552</v>
      </c>
    </row>
    <row r="796" customFormat="false" ht="17.15" hidden="false" customHeight="false" outlineLevel="0" collapsed="false">
      <c r="A796" s="4" t="s">
        <v>633</v>
      </c>
      <c r="B796" s="0" t="s">
        <v>52</v>
      </c>
      <c r="C796" s="14" t="n">
        <f aca="false">C791/C760</f>
        <v>0.0125349699042727</v>
      </c>
      <c r="D796" s="14" t="n">
        <f aca="false">D791/D760</f>
        <v>0.0145632363293992</v>
      </c>
      <c r="E796" s="14" t="n">
        <f aca="false">E791/E760</f>
        <v>0.0157032708373878</v>
      </c>
      <c r="F796" s="14" t="n">
        <f aca="false">F791/F760</f>
        <v>0.0170162180800425</v>
      </c>
      <c r="G796" s="14" t="n">
        <f aca="false">G791/G760</f>
        <v>0.0177516176520659</v>
      </c>
      <c r="H796" s="28" t="n">
        <f aca="false">$G796+(fade_mA-$G796)*1/3</f>
        <v>0.0178041419387887</v>
      </c>
      <c r="I796" s="28" t="n">
        <f aca="false">$G796+(fade_mA-$G796)*2/3</f>
        <v>0.0178566662255115</v>
      </c>
      <c r="J796" s="28" t="n">
        <f aca="false">$G796+(fade_mA-$G796)*3/3</f>
        <v>0.0179091905122343</v>
      </c>
    </row>
    <row r="799" customFormat="false" ht="17.15" hidden="false" customHeight="false" outlineLevel="0" collapsed="false">
      <c r="A799" s="1" t="s">
        <v>958</v>
      </c>
    </row>
    <row r="800" customFormat="false" ht="17.15" hidden="false" customHeight="false" outlineLevel="0" collapsed="false">
      <c r="A800" s="5" t="s">
        <v>21</v>
      </c>
      <c r="B800" s="5" t="s">
        <v>22</v>
      </c>
      <c r="C800" s="15" t="s">
        <v>438</v>
      </c>
      <c r="D800" s="15" t="s">
        <v>552</v>
      </c>
      <c r="E800" s="15" t="s">
        <v>553</v>
      </c>
      <c r="F800" s="15" t="s">
        <v>554</v>
      </c>
      <c r="G800" s="15" t="s">
        <v>555</v>
      </c>
      <c r="H800" s="15" t="s">
        <v>556</v>
      </c>
      <c r="I800" s="15" t="s">
        <v>557</v>
      </c>
      <c r="J800" s="15" t="s">
        <v>558</v>
      </c>
      <c r="K800" s="5" t="s">
        <v>420</v>
      </c>
    </row>
    <row r="801" customFormat="false" ht="17.15" hidden="false" customHeight="false" outlineLevel="0" collapsed="false">
      <c r="A801" s="6" t="s">
        <v>573</v>
      </c>
    </row>
    <row r="802" customFormat="false" ht="17.15" hidden="false" customHeight="false" outlineLevel="0" collapsed="false">
      <c r="A802" s="0" t="s">
        <v>574</v>
      </c>
      <c r="B802" s="0" t="s">
        <v>32</v>
      </c>
      <c r="D802" s="21" t="n">
        <f aca="false">itc_26*1</f>
        <v>781.872916666666</v>
      </c>
      <c r="E802" s="21" t="n">
        <f aca="false">itc_27*1*1</f>
        <v>1565.35</v>
      </c>
      <c r="F802" s="21" t="n">
        <f aca="false">itc_28*um28_A*1</f>
        <v>1984.26388888889</v>
      </c>
      <c r="G802" s="21" t="n">
        <f aca="false">itc_29*um29_A*1</f>
        <v>2260.39027777778</v>
      </c>
    </row>
    <row r="803" customFormat="false" ht="17.15" hidden="false" customHeight="false" outlineLevel="0" collapsed="false">
      <c r="A803" s="4" t="s">
        <v>575</v>
      </c>
      <c r="B803" s="0" t="s">
        <v>32</v>
      </c>
      <c r="D803" s="21" t="n">
        <f aca="false">itpg_gb*(1-vr26)+itpg_vr*vr26</f>
        <v>33.41403216</v>
      </c>
      <c r="E803" s="21" t="n">
        <f aca="false">itpg_vr</f>
        <v>37.586352</v>
      </c>
      <c r="F803" s="21" t="n">
        <f aca="false">itpg_vr</f>
        <v>37.586352</v>
      </c>
      <c r="G803" s="21" t="n">
        <f aca="false">itpg_vr</f>
        <v>37.586352</v>
      </c>
    </row>
    <row r="804" customFormat="false" ht="17.15" hidden="false" customHeight="false" outlineLevel="0" collapsed="false">
      <c r="A804" s="4" t="s">
        <v>576</v>
      </c>
      <c r="B804" s="0" t="s">
        <v>521</v>
      </c>
      <c r="D804" s="22" t="n">
        <f aca="false">D802/D803</f>
        <v>23.3995380420639</v>
      </c>
      <c r="E804" s="22" t="n">
        <f aca="false">E802/E803</f>
        <v>41.6467658260637</v>
      </c>
      <c r="F804" s="22" t="n">
        <f aca="false">F802/F803</f>
        <v>52.792138191248</v>
      </c>
      <c r="G804" s="22" t="n">
        <f aca="false">G802/G803</f>
        <v>60.1385917361116</v>
      </c>
    </row>
    <row r="805" customFormat="false" ht="17.15" hidden="false" customHeight="false" outlineLevel="0" collapsed="false">
      <c r="A805" s="4" t="s">
        <v>577</v>
      </c>
      <c r="B805" s="0" t="s">
        <v>578</v>
      </c>
      <c r="D805" s="18" t="n">
        <f aca="false">(racks_gb*odm_gb*(1-vr26)+racks_vr*odm_vr*vr26)/1000</f>
        <v>27.1209</v>
      </c>
      <c r="E805" s="18" t="n">
        <f aca="false">racks_vr*odm_vr/1000</f>
        <v>27.351</v>
      </c>
      <c r="F805" s="18" t="n">
        <f aca="false">$E805*vpg_28</f>
        <v>27.351</v>
      </c>
      <c r="G805" s="18" t="n">
        <f aca="false">$E805*vpg_29</f>
        <v>27.351</v>
      </c>
      <c r="K805" s="4" t="s">
        <v>579</v>
      </c>
    </row>
    <row r="806" customFormat="false" ht="17.15" hidden="false" customHeight="false" outlineLevel="0" collapsed="false">
      <c r="A806" s="0" t="s">
        <v>580</v>
      </c>
      <c r="B806" s="0" t="s">
        <v>32</v>
      </c>
      <c r="D806" s="21" t="n">
        <f aca="false">D804*D805</f>
        <v>634.61653128501</v>
      </c>
      <c r="E806" s="21" t="n">
        <f aca="false">E804*E805</f>
        <v>1139.08069210867</v>
      </c>
      <c r="F806" s="21" t="n">
        <f aca="false">F804*F805</f>
        <v>1443.91777166882</v>
      </c>
      <c r="G806" s="21" t="n">
        <f aca="false">G804*G805</f>
        <v>1644.85062257439</v>
      </c>
    </row>
    <row r="807" customFormat="false" ht="17.15" hidden="false" customHeight="false" outlineLevel="0" collapsed="false">
      <c r="A807" s="0" t="s">
        <v>581</v>
      </c>
      <c r="B807" s="0" t="s">
        <v>151</v>
      </c>
      <c r="D807" s="21" t="n">
        <f aca="false">D806*fx</f>
        <v>20307.7290011203</v>
      </c>
      <c r="E807" s="21" t="n">
        <f aca="false">E806*fx</f>
        <v>36450.5821474774</v>
      </c>
      <c r="F807" s="21" t="n">
        <f aca="false">F806*fx</f>
        <v>46205.3686934024</v>
      </c>
      <c r="G807" s="21" t="n">
        <f aca="false">G806*fx</f>
        <v>52635.2199223804</v>
      </c>
    </row>
    <row r="808" customFormat="false" ht="17.15" hidden="false" customHeight="false" outlineLevel="0" collapsed="false">
      <c r="A808" s="6" t="s">
        <v>582</v>
      </c>
    </row>
    <row r="809" customFormat="false" ht="17.15" hidden="false" customHeight="false" outlineLevel="0" collapsed="false">
      <c r="A809" s="4" t="s">
        <v>583</v>
      </c>
      <c r="B809" s="0" t="s">
        <v>52</v>
      </c>
      <c r="D809" s="20" t="n">
        <f aca="false">a26_ais/D807</f>
        <v>0.0875096501918447</v>
      </c>
      <c r="K809" s="8" t="s">
        <v>584</v>
      </c>
    </row>
    <row r="810" customFormat="false" ht="17.15" hidden="false" customHeight="false" outlineLevel="0" collapsed="false">
      <c r="A810" s="4" t="s">
        <v>585</v>
      </c>
      <c r="B810" s="0" t="s">
        <v>64</v>
      </c>
      <c r="D810" s="18" t="n">
        <f aca="false">1</f>
        <v>1</v>
      </c>
      <c r="E810" s="18" t="n">
        <f aca="false">rel_27</f>
        <v>1</v>
      </c>
      <c r="F810" s="18" t="n">
        <f aca="false">rel_28</f>
        <v>0.95</v>
      </c>
      <c r="G810" s="18" t="n">
        <f aca="false">rel_29</f>
        <v>0.9</v>
      </c>
    </row>
    <row r="811" customFormat="false" ht="17.15" hidden="false" customHeight="false" outlineLevel="0" collapsed="false">
      <c r="A811" s="4" t="s">
        <v>586</v>
      </c>
      <c r="B811" s="0" t="s">
        <v>52</v>
      </c>
      <c r="D811" s="20" t="n">
        <f aca="false">$D$809*D810</f>
        <v>0.0875096501918447</v>
      </c>
      <c r="E811" s="20" t="n">
        <f aca="false">$D$809*E810</f>
        <v>0.0875096501918447</v>
      </c>
      <c r="F811" s="20" t="n">
        <f aca="false">$D$809*F810</f>
        <v>0.0831341676822525</v>
      </c>
      <c r="G811" s="20" t="n">
        <f aca="false">$D$809*G810</f>
        <v>0.0787586851726602</v>
      </c>
    </row>
    <row r="812" customFormat="false" ht="17.15" hidden="false" customHeight="false" outlineLevel="0" collapsed="false">
      <c r="A812" s="4" t="s">
        <v>587</v>
      </c>
      <c r="B812" s="0" t="s">
        <v>151</v>
      </c>
      <c r="D812" s="21" t="n">
        <f aca="false">D807*D811</f>
        <v>1777.12226107882</v>
      </c>
      <c r="E812" s="21" t="n">
        <f aca="false">E807*E811</f>
        <v>3189.77769301484</v>
      </c>
      <c r="F812" s="21" t="n">
        <f aca="false">F807*F811</f>
        <v>3841.24486877761</v>
      </c>
      <c r="G812" s="21" t="n">
        <f aca="false">G807*G811</f>
        <v>4145.48071486049</v>
      </c>
    </row>
    <row r="813" customFormat="false" ht="17.15" hidden="false" customHeight="false" outlineLevel="0" collapsed="false">
      <c r="A813" s="4" t="s">
        <v>588</v>
      </c>
      <c r="B813" s="0" t="s">
        <v>52</v>
      </c>
      <c r="D813" s="20" t="n">
        <f aca="false">0</f>
        <v>0</v>
      </c>
      <c r="E813" s="20" t="n">
        <f aca="false">cs_27</f>
        <v>0.1</v>
      </c>
      <c r="F813" s="20" t="n">
        <f aca="false">cs_28</f>
        <v>0.2</v>
      </c>
      <c r="G813" s="20" t="n">
        <f aca="false">cs_29</f>
        <v>0.25</v>
      </c>
      <c r="K813" s="8" t="s">
        <v>589</v>
      </c>
    </row>
    <row r="814" customFormat="false" ht="17.15" hidden="false" customHeight="false" outlineLevel="0" collapsed="false">
      <c r="A814" s="4" t="s">
        <v>590</v>
      </c>
      <c r="B814" s="0" t="s">
        <v>151</v>
      </c>
      <c r="D814" s="21" t="n">
        <f aca="false">D812*(1-D813)</f>
        <v>1777.12226107882</v>
      </c>
      <c r="E814" s="21" t="n">
        <f aca="false">E812*(1-E813)</f>
        <v>2870.79992371336</v>
      </c>
      <c r="F814" s="21" t="n">
        <f aca="false">F812*(1-F813)</f>
        <v>3072.99589502209</v>
      </c>
      <c r="G814" s="21" t="n">
        <f aca="false">G812*(1-G813)</f>
        <v>3109.11053614537</v>
      </c>
    </row>
    <row r="815" customFormat="false" ht="17.15" hidden="false" customHeight="false" outlineLevel="0" collapsed="false">
      <c r="A815" s="6" t="s">
        <v>591</v>
      </c>
    </row>
    <row r="816" customFormat="false" ht="17.15" hidden="false" customHeight="false" outlineLevel="0" collapsed="false">
      <c r="A816" s="0" t="s">
        <v>592</v>
      </c>
      <c r="B816" s="4" t="s">
        <v>85</v>
      </c>
      <c r="D816" s="18" t="n">
        <f aca="false">gu_26*1</f>
        <v>8.35</v>
      </c>
      <c r="E816" s="18" t="n">
        <f aca="false">gu_27*1*1</f>
        <v>11.2</v>
      </c>
      <c r="F816" s="18" t="n">
        <f aca="false">gu_28*um28_A*1</f>
        <v>11.5</v>
      </c>
      <c r="G816" s="18" t="n">
        <f aca="false">gu_29*um29_A*1</f>
        <v>12.9</v>
      </c>
    </row>
    <row r="817" customFormat="false" ht="15" hidden="false" customHeight="false" outlineLevel="0" collapsed="false">
      <c r="A817" s="4" t="s">
        <v>593</v>
      </c>
      <c r="B817" s="0" t="s">
        <v>52</v>
      </c>
      <c r="D817" s="20" t="n">
        <f aca="false">bsh_26</f>
        <v>0.5</v>
      </c>
      <c r="E817" s="20" t="n">
        <f aca="false">bsh_26*brel_27</f>
        <v>0.5</v>
      </c>
      <c r="F817" s="20" t="n">
        <f aca="false">bsh_26*brel_28</f>
        <v>0.475</v>
      </c>
      <c r="G817" s="20" t="n">
        <f aca="false">bsh_26*brel_29</f>
        <v>0.45</v>
      </c>
    </row>
    <row r="818" customFormat="false" ht="17.15" hidden="false" customHeight="false" outlineLevel="0" collapsed="false">
      <c r="A818" s="4" t="s">
        <v>594</v>
      </c>
      <c r="B818" s="0" t="s">
        <v>543</v>
      </c>
      <c r="D818" s="24" t="n">
        <f aca="false">a26_brd/fx/D816/D817*1000</f>
        <v>823.353293413174</v>
      </c>
      <c r="E818" s="24" t="n">
        <f aca="false">$D818*bv_27_hi</f>
        <v>1152.69461077844</v>
      </c>
      <c r="F818" s="24" t="n">
        <f aca="false">$D818*bv_28_hi</f>
        <v>1235.02994011976</v>
      </c>
      <c r="G818" s="24" t="n">
        <f aca="false">$D818*bv_29_hi</f>
        <v>1235.02994011976</v>
      </c>
      <c r="K818" s="8" t="s">
        <v>595</v>
      </c>
    </row>
    <row r="819" customFormat="false" ht="17.15" hidden="false" customHeight="false" outlineLevel="0" collapsed="false">
      <c r="A819" s="0" t="s">
        <v>545</v>
      </c>
      <c r="B819" s="0" t="s">
        <v>151</v>
      </c>
      <c r="D819" s="21" t="n">
        <f aca="false">D816*D817*D818*fx/1000</f>
        <v>110</v>
      </c>
      <c r="E819" s="21" t="n">
        <f aca="false">E816*E817*E818*fx/1000</f>
        <v>206.562874251497</v>
      </c>
      <c r="F819" s="21" t="n">
        <f aca="false">F816*F817*F818*fx/1000</f>
        <v>215.883233532934</v>
      </c>
      <c r="G819" s="21" t="n">
        <f aca="false">G816*G817*G818*fx/1000</f>
        <v>229.419161676647</v>
      </c>
    </row>
    <row r="820" customFormat="false" ht="17.15" hidden="false" customHeight="false" outlineLevel="0" collapsed="false">
      <c r="A820" s="6" t="s">
        <v>596</v>
      </c>
    </row>
    <row r="821" customFormat="false" ht="15" hidden="false" customHeight="false" outlineLevel="0" collapsed="false">
      <c r="A821" s="4" t="s">
        <v>597</v>
      </c>
      <c r="B821" s="0" t="s">
        <v>151</v>
      </c>
      <c r="D821" s="21" t="n">
        <f aca="false">a26_gen</f>
        <v>150</v>
      </c>
      <c r="E821" s="21" t="n">
        <f aca="false">D821*(1+g_gen27)</f>
        <v>180</v>
      </c>
      <c r="F821" s="21" t="n">
        <f aca="false">E821*(1+g_gen28)</f>
        <v>198</v>
      </c>
      <c r="G821" s="21" t="n">
        <f aca="false">F821*(1+g_gen29)</f>
        <v>213.84</v>
      </c>
    </row>
    <row r="822" customFormat="false" ht="15" hidden="false" customHeight="false" outlineLevel="0" collapsed="false">
      <c r="A822" s="4" t="s">
        <v>598</v>
      </c>
      <c r="B822" s="0" t="s">
        <v>151</v>
      </c>
      <c r="D822" s="21" t="n">
        <f aca="false">a26_pc</f>
        <v>614.602793131557</v>
      </c>
      <c r="E822" s="21" t="n">
        <f aca="false">D822*(1+g_pc27)</f>
        <v>596.16470933761</v>
      </c>
      <c r="F822" s="21" t="n">
        <f aca="false">E822*(1+g_pc28)</f>
        <v>596.16470933761</v>
      </c>
      <c r="G822" s="21" t="n">
        <f aca="false">F822*(1+g_pc29)</f>
        <v>596.16470933761</v>
      </c>
    </row>
    <row r="823" customFormat="false" ht="15" hidden="false" customHeight="false" outlineLevel="0" collapsed="false">
      <c r="A823" s="4" t="s">
        <v>599</v>
      </c>
      <c r="B823" s="0" t="s">
        <v>151</v>
      </c>
      <c r="C823" s="21" t="n">
        <f aca="false">a25_srev</f>
        <v>1235.86</v>
      </c>
      <c r="D823" s="21" t="n">
        <f aca="false">D814+D819+D821+D822</f>
        <v>2651.72505421038</v>
      </c>
      <c r="E823" s="21" t="n">
        <f aca="false">E814+E819+E821+E822</f>
        <v>3853.52750730247</v>
      </c>
      <c r="F823" s="21" t="n">
        <f aca="false">F814+F819+F821+F822</f>
        <v>4083.04383789263</v>
      </c>
      <c r="G823" s="21" t="n">
        <f aca="false">G814+G819+G821+G822</f>
        <v>4148.53440715963</v>
      </c>
    </row>
    <row r="824" customFormat="false" ht="17.15" hidden="false" customHeight="false" outlineLevel="0" collapsed="false">
      <c r="A824" s="4" t="s">
        <v>600</v>
      </c>
      <c r="B824" s="0" t="s">
        <v>52</v>
      </c>
      <c r="D824" s="20" t="n">
        <f aca="false">a26_wai/D807</f>
        <v>0.0341693013513091</v>
      </c>
      <c r="K824" s="8" t="s">
        <v>601</v>
      </c>
    </row>
    <row r="825" customFormat="false" ht="17.15" hidden="false" customHeight="false" outlineLevel="0" collapsed="false">
      <c r="A825" s="4" t="s">
        <v>527</v>
      </c>
      <c r="B825" s="0" t="s">
        <v>52</v>
      </c>
      <c r="D825" s="20" t="n">
        <f aca="false">D824</f>
        <v>0.0341693013513091</v>
      </c>
      <c r="E825" s="20" t="n">
        <f aca="false">$D$824*wrel_27</f>
        <v>0.0341693013513091</v>
      </c>
      <c r="F825" s="20" t="n">
        <f aca="false">$D$824*wrel_28</f>
        <v>0.0341693013513091</v>
      </c>
      <c r="G825" s="20" t="n">
        <f aca="false">$D$824*wrel_29</f>
        <v>0.0324608362837436</v>
      </c>
    </row>
    <row r="826" customFormat="false" ht="17.15" hidden="false" customHeight="false" outlineLevel="0" collapsed="false">
      <c r="A826" s="4" t="s">
        <v>547</v>
      </c>
      <c r="B826" s="0" t="s">
        <v>151</v>
      </c>
      <c r="D826" s="21" t="n">
        <f aca="false">D807*D825</f>
        <v>693.900912</v>
      </c>
      <c r="E826" s="21" t="n">
        <f aca="false">E807*E825</f>
        <v>1245.4909258278</v>
      </c>
      <c r="F826" s="21" t="n">
        <f aca="false">F807*F825</f>
        <v>1578.80516693321</v>
      </c>
      <c r="G826" s="21" t="n">
        <f aca="false">G807*G825</f>
        <v>1708.58325665923</v>
      </c>
    </row>
    <row r="827" customFormat="false" ht="17.15" hidden="false" customHeight="false" outlineLevel="0" collapsed="false">
      <c r="A827" s="4" t="s">
        <v>602</v>
      </c>
      <c r="B827" s="0" t="s">
        <v>151</v>
      </c>
      <c r="D827" s="21" t="n">
        <f aca="false">a26_wna</f>
        <v>751.725988</v>
      </c>
      <c r="E827" s="21" t="n">
        <f aca="false">D827*(1+g_wn27)</f>
        <v>826.8985868</v>
      </c>
      <c r="F827" s="21" t="n">
        <f aca="false">E827*(1+g_wn28)</f>
        <v>876.512502008</v>
      </c>
      <c r="G827" s="21" t="n">
        <f aca="false">F827*(1+g_wn29)</f>
        <v>920.3381271084</v>
      </c>
    </row>
    <row r="828" customFormat="false" ht="15" hidden="false" customHeight="false" outlineLevel="0" collapsed="false">
      <c r="A828" s="4" t="s">
        <v>458</v>
      </c>
      <c r="B828" s="0" t="s">
        <v>151</v>
      </c>
      <c r="C828" s="21" t="n">
        <f aca="false">a25_wrev</f>
        <v>950.663</v>
      </c>
      <c r="D828" s="21" t="n">
        <f aca="false">D826+D827</f>
        <v>1445.6269</v>
      </c>
      <c r="E828" s="21" t="n">
        <f aca="false">E826+E827</f>
        <v>2072.3895126278</v>
      </c>
      <c r="F828" s="21" t="n">
        <f aca="false">F826+F827</f>
        <v>2455.31766894121</v>
      </c>
      <c r="G828" s="21" t="n">
        <f aca="false">G826+G827</f>
        <v>2628.92138376763</v>
      </c>
    </row>
    <row r="829" customFormat="false" ht="17.15" hidden="false" customHeight="false" outlineLevel="0" collapsed="false">
      <c r="A829" s="4" t="s">
        <v>444</v>
      </c>
      <c r="B829" s="0" t="s">
        <v>151</v>
      </c>
      <c r="C829" s="21" t="n">
        <f aca="false">C823+C828</f>
        <v>2186.523</v>
      </c>
      <c r="D829" s="21" t="n">
        <f aca="false">D823+D828</f>
        <v>4097.35195421038</v>
      </c>
      <c r="E829" s="21" t="n">
        <f aca="false">E823+E828</f>
        <v>5925.91701993027</v>
      </c>
      <c r="F829" s="21" t="n">
        <f aca="false">F823+F828</f>
        <v>6538.36150683384</v>
      </c>
      <c r="G829" s="21" t="n">
        <f aca="false">G823+G828</f>
        <v>6777.45579092726</v>
      </c>
      <c r="H829" s="26" t="n">
        <f aca="false">G829*(1+H834)</f>
        <v>7078.22988333082</v>
      </c>
      <c r="I829" s="26" t="n">
        <f aca="false">H829*(1+I834)</f>
        <v>7447.63779466116</v>
      </c>
      <c r="J829" s="26" t="n">
        <f aca="false">I829*(1+J834)</f>
        <v>7894.49606234083</v>
      </c>
      <c r="K829" s="8" t="s">
        <v>603</v>
      </c>
    </row>
    <row r="830" customFormat="false" ht="17.15" hidden="false" customHeight="false" outlineLevel="0" collapsed="false">
      <c r="A830" s="4" t="s">
        <v>604</v>
      </c>
      <c r="B830" s="0" t="s">
        <v>151</v>
      </c>
      <c r="D830" s="21" t="n">
        <f aca="false">D814+D819+D821+D828</f>
        <v>3482.74916107882</v>
      </c>
      <c r="E830" s="21" t="n">
        <f aca="false">E814+E819+E821+E828</f>
        <v>5329.75231059266</v>
      </c>
      <c r="F830" s="21" t="n">
        <f aca="false">F814+F819+F821+F828</f>
        <v>5942.19679749623</v>
      </c>
      <c r="G830" s="21" t="n">
        <f aca="false">G814+G819+G821+G828</f>
        <v>6181.29108158965</v>
      </c>
      <c r="K830" s="4" t="s">
        <v>605</v>
      </c>
    </row>
    <row r="831" customFormat="false" ht="15" hidden="false" customHeight="false" outlineLevel="0" collapsed="false">
      <c r="A831" s="4" t="s">
        <v>606</v>
      </c>
      <c r="B831" s="0" t="s">
        <v>151</v>
      </c>
      <c r="D831" s="21" t="n">
        <f aca="false">D822</f>
        <v>614.602793131557</v>
      </c>
      <c r="E831" s="21" t="n">
        <f aca="false">E822</f>
        <v>596.16470933761</v>
      </c>
      <c r="F831" s="21" t="n">
        <f aca="false">F822</f>
        <v>596.16470933761</v>
      </c>
      <c r="G831" s="21" t="n">
        <f aca="false">G822</f>
        <v>596.16470933761</v>
      </c>
      <c r="K831" s="4" t="s">
        <v>607</v>
      </c>
    </row>
    <row r="832" customFormat="false" ht="17.15" hidden="false" customHeight="false" outlineLevel="0" collapsed="false">
      <c r="A832" s="4" t="s">
        <v>608</v>
      </c>
      <c r="B832" s="0" t="s">
        <v>151</v>
      </c>
      <c r="D832" s="31" t="n">
        <f aca="false">D830+D831-D829</f>
        <v>0</v>
      </c>
      <c r="E832" s="31" t="n">
        <f aca="false">E830+E831-E829</f>
        <v>0</v>
      </c>
      <c r="F832" s="31" t="n">
        <f aca="false">F830+F831-F829</f>
        <v>0</v>
      </c>
      <c r="G832" s="31" t="n">
        <f aca="false">G830+G831-G829</f>
        <v>0</v>
      </c>
    </row>
    <row r="833" customFormat="false" ht="17.15" hidden="false" customHeight="false" outlineLevel="0" collapsed="false">
      <c r="A833" s="4" t="s">
        <v>609</v>
      </c>
      <c r="B833" s="0" t="s">
        <v>52</v>
      </c>
      <c r="D833" s="20" t="n">
        <f aca="false">D830/D829</f>
        <v>0.85</v>
      </c>
      <c r="E833" s="20" t="n">
        <f aca="false">E830/E829</f>
        <v>0.899397054104442</v>
      </c>
      <c r="F833" s="20" t="n">
        <f aca="false">F830/F829</f>
        <v>0.908820473032196</v>
      </c>
      <c r="G833" s="20" t="n">
        <f aca="false">G830/G829</f>
        <v>0.912037093604406</v>
      </c>
    </row>
    <row r="834" customFormat="false" ht="15" hidden="false" customHeight="false" outlineLevel="0" collapsed="false">
      <c r="A834" s="4" t="s">
        <v>610</v>
      </c>
      <c r="B834" s="0" t="s">
        <v>52</v>
      </c>
      <c r="D834" s="20" t="n">
        <f aca="false">D829/C829-1</f>
        <v>0.873912121761526</v>
      </c>
      <c r="E834" s="20" t="n">
        <f aca="false">E829/D829-1</f>
        <v>0.446279715815207</v>
      </c>
      <c r="F834" s="20" t="n">
        <f aca="false">F829/E829-1</f>
        <v>0.10335016248857</v>
      </c>
      <c r="G834" s="20" t="n">
        <f aca="false">G829/F829-1</f>
        <v>0.0365679205476046</v>
      </c>
      <c r="H834" s="27" t="n">
        <f aca="false">$G834+(fade_gA-$G834)*1/3</f>
        <v>0.0443786136984031</v>
      </c>
      <c r="I834" s="27" t="n">
        <f aca="false">$G834+(fade_gA-$G834)*2/3</f>
        <v>0.0521893068492015</v>
      </c>
      <c r="J834" s="27" t="n">
        <f aca="false">$G834+(fade_gA-$G834)*3/3</f>
        <v>0.06</v>
      </c>
    </row>
    <row r="835" customFormat="false" ht="17.15" hidden="false" customHeight="false" outlineLevel="0" collapsed="false">
      <c r="A835" s="0" t="s">
        <v>611</v>
      </c>
      <c r="B835" s="0" t="s">
        <v>52</v>
      </c>
      <c r="D835" s="20" t="n">
        <f aca="false">(D814+D819+D826)/D829</f>
        <v>0.629924693295288</v>
      </c>
      <c r="E835" s="20" t="n">
        <f aca="false">(E814+E819+E826)/E829</f>
        <v>0.729482662219851</v>
      </c>
      <c r="F835" s="20" t="n">
        <f aca="false">(F814+F819+F826)/F829</f>
        <v>0.744480752616778</v>
      </c>
      <c r="G835" s="20" t="n">
        <f aca="false">(G814+G819+G826)/G829</f>
        <v>0.744691387177714</v>
      </c>
    </row>
    <row r="836" customFormat="false" ht="17.15" hidden="false" customHeight="false" outlineLevel="0" collapsed="false">
      <c r="A836" s="4" t="s">
        <v>612</v>
      </c>
      <c r="B836" s="0" t="s">
        <v>52</v>
      </c>
      <c r="C836" s="20" t="n">
        <f aca="false">C828/C829</f>
        <v>0.434782986504144</v>
      </c>
      <c r="D836" s="20" t="n">
        <f aca="false">D828/D829</f>
        <v>0.352819800728736</v>
      </c>
      <c r="E836" s="20" t="n">
        <f aca="false">E828/E829</f>
        <v>0.349716255839875</v>
      </c>
      <c r="F836" s="20" t="n">
        <f aca="false">F828/F829</f>
        <v>0.375524918035647</v>
      </c>
      <c r="G836" s="20" t="n">
        <f aca="false">G828/G829</f>
        <v>0.387892074085806</v>
      </c>
    </row>
    <row r="837" customFormat="false" ht="17.15" hidden="false" customHeight="false" outlineLevel="0" collapsed="false">
      <c r="A837" s="4" t="s">
        <v>613</v>
      </c>
      <c r="B837" s="4" t="s">
        <v>335</v>
      </c>
      <c r="D837" s="21" t="n">
        <f aca="false">D812/fx/(odm_gb*(1-vr26)+odm_vr*vr26)</f>
        <v>12.0597330420658</v>
      </c>
      <c r="E837" s="21" t="n">
        <f aca="false">E812/fx/odm_vr</f>
        <v>14.7674893195132</v>
      </c>
      <c r="F837" s="21" t="n">
        <f aca="false">F812/fx/odm_vr</f>
        <v>17.7835410591556</v>
      </c>
      <c r="G837" s="21" t="n">
        <f aca="false">G812/fx/odm_vr</f>
        <v>19.1920403465763</v>
      </c>
      <c r="K837" s="4" t="s">
        <v>614</v>
      </c>
    </row>
    <row r="838" customFormat="false" ht="17.15" hidden="false" customHeight="false" outlineLevel="0" collapsed="false">
      <c r="A838" s="6" t="s">
        <v>615</v>
      </c>
    </row>
    <row r="839" customFormat="false" ht="17.15" hidden="false" customHeight="false" outlineLevel="0" collapsed="false">
      <c r="A839" s="4" t="s">
        <v>616</v>
      </c>
      <c r="B839" s="0" t="s">
        <v>52</v>
      </c>
      <c r="D839" s="14" t="n">
        <f aca="false">(a26_sgp-d_ai*D814-d_brd*D819-d_gen*D821)/D823</f>
        <v>0.0436423860147897</v>
      </c>
      <c r="K839" s="8" t="s">
        <v>617</v>
      </c>
    </row>
    <row r="840" customFormat="false" ht="17.15" hidden="false" customHeight="false" outlineLevel="0" collapsed="false">
      <c r="A840" s="4" t="s">
        <v>618</v>
      </c>
      <c r="B840" s="0" t="s">
        <v>151</v>
      </c>
      <c r="D840" s="25" t="n">
        <f aca="false">($D$839+d_ai)*D812*(1-D813*(1-keep))</f>
        <v>59.7866331026896</v>
      </c>
      <c r="E840" s="25" t="n">
        <f aca="false">($D$839+d_ai+vrd)*E812*(1-E813*(1-keep))</f>
        <v>99.9228552931037</v>
      </c>
      <c r="F840" s="25" t="n">
        <f aca="false">($D$839+d_ai+vrd)*F812*(1-F813*(1-keep))</f>
        <v>119.115229856888</v>
      </c>
      <c r="G840" s="25" t="n">
        <f aca="false">($D$839+d_ai+vrd)*G812*(1-G813*(1-keep))</f>
        <v>127.89357847157</v>
      </c>
    </row>
    <row r="841" customFormat="false" ht="15" hidden="false" customHeight="false" outlineLevel="0" collapsed="false">
      <c r="A841" s="4" t="s">
        <v>619</v>
      </c>
      <c r="B841" s="0" t="s">
        <v>151</v>
      </c>
      <c r="C841" s="21" t="n">
        <f aca="false">a25_sgp</f>
        <v>55.529</v>
      </c>
      <c r="D841" s="21" t="n">
        <f aca="false">a26_sgp</f>
        <v>103.50638581015</v>
      </c>
      <c r="E841" s="21" t="n">
        <f aca="false">$D$839*E822+($D$839+d_brd)*E819+($D$839+d_gen)*E821+E840</f>
        <v>151.708318071026</v>
      </c>
      <c r="F841" s="21" t="n">
        <f aca="false">$D$839*F822+($D$839+d_brd)*F819+($D$839+d_gen)*F821+F840</f>
        <v>172.642629079076</v>
      </c>
      <c r="G841" s="21" t="n">
        <f aca="false">$D$839*G822+($D$839+d_brd)*G819+($D$839+d_gen)*G821+G840</f>
        <v>183.346691133661</v>
      </c>
    </row>
    <row r="842" customFormat="false" ht="15" hidden="false" customHeight="false" outlineLevel="0" collapsed="false">
      <c r="A842" s="4" t="s">
        <v>620</v>
      </c>
      <c r="B842" s="0" t="s">
        <v>52</v>
      </c>
      <c r="C842" s="14" t="n">
        <f aca="false">C841/C823</f>
        <v>0.0449314647290146</v>
      </c>
      <c r="D842" s="14" t="n">
        <f aca="false">D841/D823</f>
        <v>0.0390336040479778</v>
      </c>
      <c r="E842" s="14" t="n">
        <f aca="false">E841/E823</f>
        <v>0.0393686869455421</v>
      </c>
      <c r="F842" s="14" t="n">
        <f aca="false">F841/F823</f>
        <v>0.0422828252483769</v>
      </c>
      <c r="G842" s="14" t="n">
        <f aca="false">G841/G823</f>
        <v>0.044195533443627</v>
      </c>
    </row>
    <row r="843" customFormat="false" ht="15" hidden="false" customHeight="false" outlineLevel="0" collapsed="false">
      <c r="A843" s="4" t="s">
        <v>621</v>
      </c>
      <c r="B843" s="0" t="s">
        <v>52</v>
      </c>
      <c r="E843" s="20" t="n">
        <f aca="false">MAX(0,phi*(E823/D823-1))</f>
        <v>0.135964599857427</v>
      </c>
      <c r="F843" s="20" t="n">
        <f aca="false">MAX(0,phi*(F823/E823-1))</f>
        <v>0.0178680180812435</v>
      </c>
      <c r="G843" s="20" t="n">
        <f aca="false">MAX(0,phi*(G823/F823-1))</f>
        <v>0.00481189317581225</v>
      </c>
    </row>
    <row r="844" customFormat="false" ht="15" hidden="false" customHeight="false" outlineLevel="0" collapsed="false">
      <c r="A844" s="4" t="s">
        <v>622</v>
      </c>
      <c r="B844" s="0" t="s">
        <v>151</v>
      </c>
      <c r="C844" s="21" t="n">
        <f aca="false">a25_sopx</f>
        <v>40.894</v>
      </c>
      <c r="D844" s="21" t="n">
        <f aca="false">a26_sopx</f>
        <v>46.9914095398923</v>
      </c>
      <c r="E844" s="21" t="n">
        <f aca="false">D844*(1+E843)+0*E823</f>
        <v>53.3805777347202</v>
      </c>
      <c r="F844" s="21" t="n">
        <f aca="false">E844*(1+F843)+0*F823</f>
        <v>54.3343828628714</v>
      </c>
      <c r="G844" s="21" t="n">
        <f aca="false">F844*(1+G843)+0*G823</f>
        <v>54.5958341089812</v>
      </c>
    </row>
    <row r="845" customFormat="false" ht="15" hidden="false" customHeight="false" outlineLevel="0" collapsed="false">
      <c r="A845" s="4" t="s">
        <v>623</v>
      </c>
      <c r="B845" s="0" t="s">
        <v>151</v>
      </c>
      <c r="C845" s="21" t="n">
        <f aca="false">C841-C844</f>
        <v>14.635</v>
      </c>
      <c r="D845" s="21" t="n">
        <f aca="false">D841-D844</f>
        <v>56.514976270258</v>
      </c>
      <c r="E845" s="21" t="n">
        <f aca="false">E841-E844</f>
        <v>98.3277403363057</v>
      </c>
      <c r="F845" s="21" t="n">
        <f aca="false">F841-F844</f>
        <v>118.308246216205</v>
      </c>
      <c r="G845" s="21" t="n">
        <f aca="false">G841-G844</f>
        <v>128.750857024679</v>
      </c>
    </row>
    <row r="846" customFormat="false" ht="15" hidden="false" customHeight="false" outlineLevel="0" collapsed="false">
      <c r="A846" s="4" t="s">
        <v>624</v>
      </c>
      <c r="B846" s="0" t="s">
        <v>52</v>
      </c>
      <c r="C846" s="14" t="n">
        <f aca="false">C845/C823</f>
        <v>0.011841956208632</v>
      </c>
      <c r="D846" s="14" t="n">
        <f aca="false">D845/D823</f>
        <v>0.0213125324514788</v>
      </c>
      <c r="E846" s="14" t="n">
        <f aca="false">E845/E823</f>
        <v>0.0255162938761885</v>
      </c>
      <c r="F846" s="14" t="n">
        <f aca="false">F845/F823</f>
        <v>0.0289755023245763</v>
      </c>
      <c r="G846" s="14" t="n">
        <f aca="false">G845/G823</f>
        <v>0.0310352631528085</v>
      </c>
    </row>
    <row r="847" customFormat="false" ht="15" hidden="false" customHeight="false" outlineLevel="0" collapsed="false">
      <c r="A847" s="4" t="s">
        <v>625</v>
      </c>
      <c r="B847" s="0" t="s">
        <v>151</v>
      </c>
      <c r="C847" s="21" t="n">
        <f aca="false">a25_sni</f>
        <v>6.9608</v>
      </c>
      <c r="D847" s="21" t="n">
        <f aca="false">a26_sni</f>
        <v>31.133746704</v>
      </c>
      <c r="E847" s="21" t="n">
        <f aca="false">E845*snio</f>
        <v>55.0635345883312</v>
      </c>
      <c r="F847" s="21" t="n">
        <f aca="false">F845*snio</f>
        <v>66.2526178810747</v>
      </c>
      <c r="G847" s="21" t="n">
        <f aca="false">G845*snio</f>
        <v>72.1004799338205</v>
      </c>
    </row>
    <row r="848" customFormat="false" ht="17.15" hidden="false" customHeight="false" outlineLevel="0" collapsed="false">
      <c r="A848" s="6" t="s">
        <v>626</v>
      </c>
    </row>
    <row r="849" customFormat="false" ht="15" hidden="false" customHeight="false" outlineLevel="0" collapsed="false">
      <c r="A849" s="4" t="s">
        <v>462</v>
      </c>
      <c r="B849" s="0" t="s">
        <v>151</v>
      </c>
      <c r="C849" s="21" t="n">
        <f aca="false">a25_wgp</f>
        <v>78.454</v>
      </c>
      <c r="D849" s="21" t="n">
        <f aca="false">a26_wgp</f>
        <v>125.0519932</v>
      </c>
      <c r="E849" s="21" t="n">
        <f aca="false">E828*wgm</f>
        <v>176.153108573363</v>
      </c>
      <c r="F849" s="21" t="n">
        <f aca="false">F828*wgm</f>
        <v>208.702001860003</v>
      </c>
      <c r="G849" s="21" t="n">
        <f aca="false">G828*wgm</f>
        <v>223.458317620249</v>
      </c>
    </row>
    <row r="850" customFormat="false" ht="15" hidden="false" customHeight="false" outlineLevel="0" collapsed="false">
      <c r="A850" s="4" t="s">
        <v>464</v>
      </c>
      <c r="B850" s="0" t="s">
        <v>151</v>
      </c>
      <c r="C850" s="21" t="n">
        <f aca="false">a25_woi</f>
        <v>63.918</v>
      </c>
      <c r="D850" s="21" t="n">
        <f aca="false">a26_woi</f>
        <v>98.2471632</v>
      </c>
      <c r="E850" s="21" t="n">
        <f aca="false">E828*wopm</f>
        <v>134.705318320807</v>
      </c>
      <c r="F850" s="21" t="n">
        <f aca="false">F828*wopm</f>
        <v>159.595648481179</v>
      </c>
      <c r="G850" s="21" t="n">
        <f aca="false">G828*wopm</f>
        <v>170.879889944896</v>
      </c>
    </row>
    <row r="851" customFormat="false" ht="15" hidden="false" customHeight="false" outlineLevel="0" collapsed="false">
      <c r="A851" s="4" t="s">
        <v>472</v>
      </c>
      <c r="B851" s="0" t="s">
        <v>151</v>
      </c>
      <c r="C851" s="21" t="n">
        <f aca="false">a25_wni</f>
        <v>51.118</v>
      </c>
      <c r="D851" s="21" t="n">
        <f aca="false">a26_wni</f>
        <v>75.735026884</v>
      </c>
      <c r="E851" s="21" t="n">
        <f aca="false">E850*wnio</f>
        <v>105.07014829023</v>
      </c>
      <c r="F851" s="21" t="n">
        <f aca="false">F850*wnio</f>
        <v>124.484605815319</v>
      </c>
      <c r="G851" s="21" t="n">
        <f aca="false">G850*wnio</f>
        <v>133.286314157019</v>
      </c>
    </row>
    <row r="852" customFormat="false" ht="15" hidden="false" customHeight="false" outlineLevel="0" collapsed="false">
      <c r="A852" s="4" t="s">
        <v>474</v>
      </c>
      <c r="B852" s="0" t="s">
        <v>52</v>
      </c>
      <c r="C852" s="14" t="n">
        <f aca="false">stake25</f>
        <v>0.4</v>
      </c>
      <c r="D852" s="14" t="n">
        <f aca="false">stake</f>
        <v>0.3768</v>
      </c>
      <c r="E852" s="14" t="n">
        <f aca="false">stake</f>
        <v>0.3768</v>
      </c>
      <c r="F852" s="14" t="n">
        <f aca="false">stake</f>
        <v>0.3768</v>
      </c>
      <c r="G852" s="14" t="n">
        <f aca="false">stake</f>
        <v>0.3768</v>
      </c>
    </row>
    <row r="853" customFormat="false" ht="17.15" hidden="false" customHeight="false" outlineLevel="0" collapsed="false">
      <c r="A853" s="6" t="s">
        <v>627</v>
      </c>
    </row>
    <row r="854" customFormat="false" ht="15" hidden="false" customHeight="false" outlineLevel="0" collapsed="false">
      <c r="A854" s="4" t="s">
        <v>448</v>
      </c>
      <c r="B854" s="0" t="s">
        <v>151</v>
      </c>
      <c r="C854" s="21" t="n">
        <f aca="false">C841+C849</f>
        <v>133.983</v>
      </c>
      <c r="D854" s="21" t="n">
        <f aca="false">D841+D849</f>
        <v>228.55837901015</v>
      </c>
      <c r="E854" s="21" t="n">
        <f aca="false">E841+E849</f>
        <v>327.861426644389</v>
      </c>
      <c r="F854" s="21" t="n">
        <f aca="false">F841+F849</f>
        <v>381.344630939079</v>
      </c>
      <c r="G854" s="21" t="n">
        <f aca="false">G841+G849</f>
        <v>406.805008753909</v>
      </c>
    </row>
    <row r="855" customFormat="false" ht="15" hidden="false" customHeight="false" outlineLevel="0" collapsed="false">
      <c r="A855" s="4" t="s">
        <v>451</v>
      </c>
      <c r="B855" s="0" t="s">
        <v>52</v>
      </c>
      <c r="C855" s="14" t="n">
        <f aca="false">C854/C829</f>
        <v>0.0612767393711386</v>
      </c>
      <c r="D855" s="14" t="n">
        <f aca="false">D854/D829</f>
        <v>0.055781973714825</v>
      </c>
      <c r="E855" s="14" t="n">
        <f aca="false">E854/E829</f>
        <v>0.0553266988960043</v>
      </c>
      <c r="F855" s="14" t="n">
        <f aca="false">F854/F829</f>
        <v>0.0583241887956946</v>
      </c>
      <c r="G855" s="14" t="n">
        <f aca="false">G854/G829</f>
        <v>0.0600232626081434</v>
      </c>
    </row>
    <row r="856" customFormat="false" ht="15" hidden="false" customHeight="false" outlineLevel="0" collapsed="false">
      <c r="A856" s="4" t="s">
        <v>452</v>
      </c>
      <c r="B856" s="0" t="s">
        <v>151</v>
      </c>
      <c r="C856" s="21" t="n">
        <f aca="false">C845+C850</f>
        <v>78.553</v>
      </c>
      <c r="D856" s="21" t="n">
        <f aca="false">D845+D850</f>
        <v>154.762139470258</v>
      </c>
      <c r="E856" s="21" t="n">
        <f aca="false">E845+E850</f>
        <v>233.033058657113</v>
      </c>
      <c r="F856" s="21" t="n">
        <f aca="false">F845+F850</f>
        <v>277.903894697383</v>
      </c>
      <c r="G856" s="21" t="n">
        <f aca="false">G845+G850</f>
        <v>299.630746969575</v>
      </c>
    </row>
    <row r="857" customFormat="false" ht="15" hidden="false" customHeight="false" outlineLevel="0" collapsed="false">
      <c r="A857" s="4" t="s">
        <v>455</v>
      </c>
      <c r="B857" s="0" t="s">
        <v>52</v>
      </c>
      <c r="C857" s="14" t="n">
        <f aca="false">C856/C829</f>
        <v>0.0359259884300325</v>
      </c>
      <c r="D857" s="14" t="n">
        <f aca="false">D856/D829</f>
        <v>0.0377712584126992</v>
      </c>
      <c r="E857" s="14" t="n">
        <f aca="false">E856/E829</f>
        <v>0.0393243877484898</v>
      </c>
      <c r="F857" s="14" t="n">
        <f aca="false">F856/F829</f>
        <v>0.0425035988614151</v>
      </c>
      <c r="G857" s="14" t="n">
        <f aca="false">G856/G829</f>
        <v>0.0442099153742442</v>
      </c>
    </row>
    <row r="858" customFormat="false" ht="15" hidden="false" customHeight="false" outlineLevel="0" collapsed="false">
      <c r="A858" s="4" t="s">
        <v>485</v>
      </c>
      <c r="B858" s="0" t="s">
        <v>151</v>
      </c>
      <c r="C858" s="21" t="n">
        <f aca="false">C847+C851</f>
        <v>58.0788</v>
      </c>
      <c r="D858" s="21" t="n">
        <f aca="false">D847+D851</f>
        <v>106.868773588</v>
      </c>
      <c r="E858" s="21" t="n">
        <f aca="false">E847+E851</f>
        <v>160.133682878561</v>
      </c>
      <c r="F858" s="21" t="n">
        <f aca="false">F847+F851</f>
        <v>190.737223696394</v>
      </c>
      <c r="G858" s="21" t="n">
        <f aca="false">G847+G851</f>
        <v>205.386794090839</v>
      </c>
    </row>
    <row r="859" customFormat="false" ht="17.15" hidden="false" customHeight="false" outlineLevel="0" collapsed="false">
      <c r="A859" s="4" t="s">
        <v>628</v>
      </c>
      <c r="B859" s="0" t="s">
        <v>151</v>
      </c>
      <c r="C859" s="21" t="n">
        <f aca="false">(1-C852)*C851</f>
        <v>30.6708</v>
      </c>
      <c r="D859" s="21" t="n">
        <f aca="false">(1-D852)*D851</f>
        <v>47.1980687541088</v>
      </c>
      <c r="E859" s="21" t="n">
        <f aca="false">(1-E852)*E851</f>
        <v>65.4797164144711</v>
      </c>
      <c r="F859" s="21" t="n">
        <f aca="false">(1-F852)*F851</f>
        <v>77.578806344107</v>
      </c>
      <c r="G859" s="21" t="n">
        <f aca="false">(1-G852)*G851</f>
        <v>83.0640309826542</v>
      </c>
    </row>
    <row r="860" customFormat="false" ht="15" hidden="false" customHeight="false" outlineLevel="0" collapsed="false">
      <c r="A860" s="4" t="s">
        <v>481</v>
      </c>
      <c r="B860" s="0" t="s">
        <v>151</v>
      </c>
      <c r="C860" s="21" t="n">
        <f aca="false">C858-C859</f>
        <v>27.408</v>
      </c>
      <c r="D860" s="21" t="n">
        <f aca="false">D858-D859</f>
        <v>59.6707048338912</v>
      </c>
      <c r="E860" s="21" t="n">
        <f aca="false">E858-E859</f>
        <v>94.6539664640897</v>
      </c>
      <c r="F860" s="21" t="n">
        <f aca="false">F858-F859</f>
        <v>113.158417352287</v>
      </c>
      <c r="G860" s="21" t="n">
        <f aca="false">G858-G859</f>
        <v>122.322763108185</v>
      </c>
      <c r="H860" s="26" t="n">
        <f aca="false">H829*H865</f>
        <v>127.422640995777</v>
      </c>
      <c r="I860" s="26" t="n">
        <f aca="false">I829*I865</f>
        <v>133.726952218472</v>
      </c>
      <c r="J860" s="26" t="n">
        <f aca="false">J829*J865</f>
        <v>141.384033978545</v>
      </c>
    </row>
    <row r="861" customFormat="false" ht="17.15" hidden="false" customHeight="false" outlineLevel="0" collapsed="false">
      <c r="A861" s="4" t="s">
        <v>629</v>
      </c>
      <c r="B861" s="0" t="s">
        <v>52</v>
      </c>
      <c r="C861" s="20" t="n">
        <f aca="false">C852*C851/C860</f>
        <v>0.746030356100409</v>
      </c>
      <c r="D861" s="20" t="n">
        <f aca="false">D852*D851/D860</f>
        <v>0.478240674537551</v>
      </c>
      <c r="E861" s="20" t="n">
        <f aca="false">E852*E851/E860</f>
        <v>0.418264900613315</v>
      </c>
      <c r="F861" s="20" t="n">
        <f aca="false">F852*F851/F860</f>
        <v>0.414514453000737</v>
      </c>
      <c r="G861" s="20" t="n">
        <f aca="false">G852*G851/G860</f>
        <v>0.410571850228293</v>
      </c>
    </row>
    <row r="862" customFormat="false" ht="17.15" hidden="false" customHeight="false" outlineLevel="0" collapsed="false">
      <c r="A862" s="4" t="s">
        <v>630</v>
      </c>
      <c r="B862" s="4" t="s">
        <v>286</v>
      </c>
      <c r="C862" s="31" t="n">
        <f aca="false">a25_sh</f>
        <v>3.03185840707965</v>
      </c>
      <c r="D862" s="31" t="n">
        <f aca="false">a26_sh</f>
        <v>3.23861720409076</v>
      </c>
      <c r="E862" s="31" t="n">
        <f aca="false">q_sh4*(1+sh_g)</f>
        <v>3.43</v>
      </c>
      <c r="F862" s="31" t="n">
        <f aca="false">E862*(1+sh_g)</f>
        <v>3.43</v>
      </c>
      <c r="G862" s="31" t="n">
        <f aca="false">F862*(1+sh_g)</f>
        <v>3.43</v>
      </c>
      <c r="H862" s="32" t="n">
        <f aca="false">G862*(1+sh_g)</f>
        <v>3.43</v>
      </c>
      <c r="I862" s="32" t="n">
        <f aca="false">H862*(1+sh_g)</f>
        <v>3.43</v>
      </c>
      <c r="J862" s="32" t="n">
        <f aca="false">I862*(1+sh_g)</f>
        <v>3.43</v>
      </c>
      <c r="K862" s="8" t="s">
        <v>631</v>
      </c>
    </row>
    <row r="863" customFormat="false" ht="15" hidden="false" customHeight="false" outlineLevel="0" collapsed="false">
      <c r="A863" s="0" t="s">
        <v>488</v>
      </c>
      <c r="B863" s="0" t="s">
        <v>316</v>
      </c>
      <c r="C863" s="18" t="n">
        <f aca="false">C860/C862</f>
        <v>9.04</v>
      </c>
      <c r="D863" s="18" t="n">
        <f aca="false">D860/D862</f>
        <v>18.4247476850676</v>
      </c>
      <c r="E863" s="18" t="n">
        <f aca="false">E860/E862</f>
        <v>27.5959085901136</v>
      </c>
      <c r="F863" s="18" t="n">
        <f aca="false">F860/F862</f>
        <v>32.9907922309875</v>
      </c>
      <c r="G863" s="18" t="n">
        <f aca="false">G860/G862</f>
        <v>35.6626131510744</v>
      </c>
      <c r="H863" s="29" t="n">
        <f aca="false">H860/H862</f>
        <v>37.1494580162615</v>
      </c>
      <c r="I863" s="29" t="n">
        <f aca="false">I860/I862</f>
        <v>38.9874496263767</v>
      </c>
      <c r="J863" s="29" t="n">
        <f aca="false">J860/J862</f>
        <v>41.2198349791677</v>
      </c>
    </row>
    <row r="864" customFormat="false" ht="17.15" hidden="false" customHeight="false" outlineLevel="0" collapsed="false">
      <c r="A864" s="0" t="s">
        <v>632</v>
      </c>
      <c r="B864" s="0" t="s">
        <v>52</v>
      </c>
      <c r="D864" s="20" t="n">
        <f aca="false">D863/C863-1</f>
        <v>1.03813580587031</v>
      </c>
      <c r="E864" s="20" t="n">
        <f aca="false">E863/D863-1</f>
        <v>0.497763174932314</v>
      </c>
      <c r="F864" s="20" t="n">
        <f aca="false">F863/E863-1</f>
        <v>0.195495778776662</v>
      </c>
      <c r="G864" s="20" t="n">
        <f aca="false">G863/F863-1</f>
        <v>0.0809868675289756</v>
      </c>
      <c r="H864" s="27" t="n">
        <f aca="false">H863/G863-1</f>
        <v>0.0416919775028399</v>
      </c>
      <c r="I864" s="27" t="n">
        <f aca="false">I863/H863-1</f>
        <v>0.0494755969067073</v>
      </c>
      <c r="J864" s="27" t="n">
        <f aca="false">J863/I863-1</f>
        <v>0.0572590762972272</v>
      </c>
    </row>
    <row r="865" customFormat="false" ht="17.15" hidden="false" customHeight="false" outlineLevel="0" collapsed="false">
      <c r="A865" s="4" t="s">
        <v>633</v>
      </c>
      <c r="B865" s="0" t="s">
        <v>52</v>
      </c>
      <c r="C865" s="14" t="n">
        <f aca="false">C860/C829</f>
        <v>0.0125349699042727</v>
      </c>
      <c r="D865" s="14" t="n">
        <f aca="false">D860/D829</f>
        <v>0.0145632363293992</v>
      </c>
      <c r="E865" s="14" t="n">
        <f aca="false">E860/E829</f>
        <v>0.0159728808462464</v>
      </c>
      <c r="F865" s="14" t="n">
        <f aca="false">F860/F829</f>
        <v>0.0173068462540676</v>
      </c>
      <c r="G865" s="14" t="n">
        <f aca="false">G860/G829</f>
        <v>0.0180484782020909</v>
      </c>
      <c r="H865" s="28" t="n">
        <f aca="false">$G865+(fade_mA-$G865)*1/3</f>
        <v>0.0180020489721387</v>
      </c>
      <c r="I865" s="28" t="n">
        <f aca="false">$G865+(fade_mA-$G865)*2/3</f>
        <v>0.0179556197421865</v>
      </c>
      <c r="J865" s="28" t="n">
        <f aca="false">$G865+(fade_mA-$G865)*3/3</f>
        <v>0.0179091905122343</v>
      </c>
    </row>
    <row r="868" customFormat="false" ht="17.15" hidden="false" customHeight="false" outlineLevel="0" collapsed="false">
      <c r="A868" s="1" t="s">
        <v>959</v>
      </c>
    </row>
    <row r="869" customFormat="false" ht="17.15" hidden="false" customHeight="false" outlineLevel="0" collapsed="false">
      <c r="A869" s="5" t="s">
        <v>21</v>
      </c>
      <c r="B869" s="5" t="s">
        <v>22</v>
      </c>
      <c r="C869" s="15" t="s">
        <v>438</v>
      </c>
      <c r="D869" s="15" t="s">
        <v>552</v>
      </c>
      <c r="E869" s="15" t="s">
        <v>553</v>
      </c>
      <c r="F869" s="15" t="s">
        <v>554</v>
      </c>
      <c r="G869" s="15" t="s">
        <v>555</v>
      </c>
      <c r="H869" s="15" t="s">
        <v>556</v>
      </c>
      <c r="I869" s="15" t="s">
        <v>557</v>
      </c>
      <c r="J869" s="15" t="s">
        <v>558</v>
      </c>
      <c r="K869" s="5" t="s">
        <v>420</v>
      </c>
    </row>
    <row r="870" customFormat="false" ht="17.15" hidden="false" customHeight="false" outlineLevel="0" collapsed="false">
      <c r="A870" s="6" t="s">
        <v>573</v>
      </c>
    </row>
    <row r="871" customFormat="false" ht="17.15" hidden="false" customHeight="false" outlineLevel="0" collapsed="false">
      <c r="A871" s="0" t="s">
        <v>574</v>
      </c>
      <c r="B871" s="0" t="s">
        <v>32</v>
      </c>
      <c r="D871" s="21" t="n">
        <f aca="false">itc_26*1</f>
        <v>781.872916666666</v>
      </c>
      <c r="E871" s="21" t="n">
        <f aca="false">itc_27*1*1</f>
        <v>1565.35</v>
      </c>
      <c r="F871" s="21" t="n">
        <f aca="false">itc_28*um28_A*1</f>
        <v>1984.26388888889</v>
      </c>
      <c r="G871" s="21" t="n">
        <f aca="false">itc_29*um29_A*1</f>
        <v>2260.39027777778</v>
      </c>
    </row>
    <row r="872" customFormat="false" ht="17.15" hidden="false" customHeight="false" outlineLevel="0" collapsed="false">
      <c r="A872" s="4" t="s">
        <v>575</v>
      </c>
      <c r="B872" s="0" t="s">
        <v>32</v>
      </c>
      <c r="D872" s="21" t="n">
        <f aca="false">itpg_gb*(1-vr26)+itpg_vr*vr26</f>
        <v>33.41403216</v>
      </c>
      <c r="E872" s="21" t="n">
        <f aca="false">itpg_vr</f>
        <v>37.586352</v>
      </c>
      <c r="F872" s="21" t="n">
        <f aca="false">itpg_vr</f>
        <v>37.586352</v>
      </c>
      <c r="G872" s="21" t="n">
        <f aca="false">itpg_vr</f>
        <v>37.586352</v>
      </c>
    </row>
    <row r="873" customFormat="false" ht="17.15" hidden="false" customHeight="false" outlineLevel="0" collapsed="false">
      <c r="A873" s="4" t="s">
        <v>576</v>
      </c>
      <c r="B873" s="0" t="s">
        <v>521</v>
      </c>
      <c r="D873" s="22" t="n">
        <f aca="false">D871/D872</f>
        <v>23.3995380420639</v>
      </c>
      <c r="E873" s="22" t="n">
        <f aca="false">E871/E872</f>
        <v>41.6467658260637</v>
      </c>
      <c r="F873" s="22" t="n">
        <f aca="false">F871/F872</f>
        <v>52.792138191248</v>
      </c>
      <c r="G873" s="22" t="n">
        <f aca="false">G871/G872</f>
        <v>60.1385917361116</v>
      </c>
    </row>
    <row r="874" customFormat="false" ht="17.15" hidden="false" customHeight="false" outlineLevel="0" collapsed="false">
      <c r="A874" s="4" t="s">
        <v>577</v>
      </c>
      <c r="B874" s="0" t="s">
        <v>578</v>
      </c>
      <c r="D874" s="18" t="n">
        <f aca="false">(racks_gb*odm_gb*(1-vr26)+racks_vr*odm_vr*vr26)/1000</f>
        <v>27.1209</v>
      </c>
      <c r="E874" s="18" t="n">
        <f aca="false">racks_vr*odm_vr/1000</f>
        <v>27.351</v>
      </c>
      <c r="F874" s="18" t="n">
        <f aca="false">$E874*vpg_28</f>
        <v>27.351</v>
      </c>
      <c r="G874" s="18" t="n">
        <f aca="false">$E874*vpg_29</f>
        <v>27.351</v>
      </c>
      <c r="K874" s="4" t="s">
        <v>579</v>
      </c>
    </row>
    <row r="875" customFormat="false" ht="17.15" hidden="false" customHeight="false" outlineLevel="0" collapsed="false">
      <c r="A875" s="0" t="s">
        <v>580</v>
      </c>
      <c r="B875" s="0" t="s">
        <v>32</v>
      </c>
      <c r="D875" s="21" t="n">
        <f aca="false">D873*D874</f>
        <v>634.61653128501</v>
      </c>
      <c r="E875" s="21" t="n">
        <f aca="false">E873*E874</f>
        <v>1139.08069210867</v>
      </c>
      <c r="F875" s="21" t="n">
        <f aca="false">F873*F874</f>
        <v>1443.91777166882</v>
      </c>
      <c r="G875" s="21" t="n">
        <f aca="false">G873*G874</f>
        <v>1644.85062257439</v>
      </c>
    </row>
    <row r="876" customFormat="false" ht="17.15" hidden="false" customHeight="false" outlineLevel="0" collapsed="false">
      <c r="A876" s="0" t="s">
        <v>581</v>
      </c>
      <c r="B876" s="0" t="s">
        <v>151</v>
      </c>
      <c r="D876" s="21" t="n">
        <f aca="false">D875*fx</f>
        <v>20307.7290011203</v>
      </c>
      <c r="E876" s="21" t="n">
        <f aca="false">E875*fx</f>
        <v>36450.5821474774</v>
      </c>
      <c r="F876" s="21" t="n">
        <f aca="false">F875*fx</f>
        <v>46205.3686934024</v>
      </c>
      <c r="G876" s="21" t="n">
        <f aca="false">G875*fx</f>
        <v>52635.2199223804</v>
      </c>
    </row>
    <row r="877" customFormat="false" ht="17.15" hidden="false" customHeight="false" outlineLevel="0" collapsed="false">
      <c r="A877" s="6" t="s">
        <v>582</v>
      </c>
    </row>
    <row r="878" customFormat="false" ht="17.15" hidden="false" customHeight="false" outlineLevel="0" collapsed="false">
      <c r="A878" s="4" t="s">
        <v>583</v>
      </c>
      <c r="B878" s="0" t="s">
        <v>52</v>
      </c>
      <c r="D878" s="20" t="n">
        <f aca="false">a26_ais/D876</f>
        <v>0.0875096501918447</v>
      </c>
      <c r="K878" s="8" t="s">
        <v>584</v>
      </c>
    </row>
    <row r="879" customFormat="false" ht="17.15" hidden="false" customHeight="false" outlineLevel="0" collapsed="false">
      <c r="A879" s="4" t="s">
        <v>585</v>
      </c>
      <c r="B879" s="0" t="s">
        <v>64</v>
      </c>
      <c r="D879" s="18" t="n">
        <f aca="false">1</f>
        <v>1</v>
      </c>
      <c r="E879" s="18" t="n">
        <f aca="false">rel_27</f>
        <v>1</v>
      </c>
      <c r="F879" s="18" t="n">
        <f aca="false">rel_28</f>
        <v>0.95</v>
      </c>
      <c r="G879" s="18" t="n">
        <f aca="false">rel_29</f>
        <v>0.9</v>
      </c>
    </row>
    <row r="880" customFormat="false" ht="17.15" hidden="false" customHeight="false" outlineLevel="0" collapsed="false">
      <c r="A880" s="4" t="s">
        <v>586</v>
      </c>
      <c r="B880" s="0" t="s">
        <v>52</v>
      </c>
      <c r="D880" s="20" t="n">
        <f aca="false">$D$878*D879</f>
        <v>0.0875096501918447</v>
      </c>
      <c r="E880" s="20" t="n">
        <f aca="false">$D$878*E879</f>
        <v>0.0875096501918447</v>
      </c>
      <c r="F880" s="20" t="n">
        <f aca="false">$D$878*F879</f>
        <v>0.0831341676822525</v>
      </c>
      <c r="G880" s="20" t="n">
        <f aca="false">$D$878*G879</f>
        <v>0.0787586851726602</v>
      </c>
    </row>
    <row r="881" customFormat="false" ht="17.15" hidden="false" customHeight="false" outlineLevel="0" collapsed="false">
      <c r="A881" s="4" t="s">
        <v>587</v>
      </c>
      <c r="B881" s="0" t="s">
        <v>151</v>
      </c>
      <c r="D881" s="21" t="n">
        <f aca="false">D876*D880</f>
        <v>1777.12226107882</v>
      </c>
      <c r="E881" s="21" t="n">
        <f aca="false">E876*E880</f>
        <v>3189.77769301484</v>
      </c>
      <c r="F881" s="21" t="n">
        <f aca="false">F876*F880</f>
        <v>3841.24486877761</v>
      </c>
      <c r="G881" s="21" t="n">
        <f aca="false">G876*G880</f>
        <v>4145.48071486049</v>
      </c>
    </row>
    <row r="882" customFormat="false" ht="17.15" hidden="false" customHeight="false" outlineLevel="0" collapsed="false">
      <c r="A882" s="4" t="s">
        <v>588</v>
      </c>
      <c r="B882" s="0" t="s">
        <v>52</v>
      </c>
      <c r="D882" s="20" t="n">
        <f aca="false">0</f>
        <v>0</v>
      </c>
      <c r="E882" s="20" t="n">
        <f aca="false">cs_27</f>
        <v>0.1</v>
      </c>
      <c r="F882" s="20" t="n">
        <f aca="false">cs_28</f>
        <v>0.2</v>
      </c>
      <c r="G882" s="20" t="n">
        <f aca="false">cs_29</f>
        <v>0.25</v>
      </c>
      <c r="K882" s="8" t="s">
        <v>589</v>
      </c>
    </row>
    <row r="883" customFormat="false" ht="17.15" hidden="false" customHeight="false" outlineLevel="0" collapsed="false">
      <c r="A883" s="4" t="s">
        <v>590</v>
      </c>
      <c r="B883" s="0" t="s">
        <v>151</v>
      </c>
      <c r="D883" s="21" t="n">
        <f aca="false">D881*(1-D882)</f>
        <v>1777.12226107882</v>
      </c>
      <c r="E883" s="21" t="n">
        <f aca="false">E881*(1-E882)</f>
        <v>2870.79992371336</v>
      </c>
      <c r="F883" s="21" t="n">
        <f aca="false">F881*(1-F882)</f>
        <v>3072.99589502209</v>
      </c>
      <c r="G883" s="21" t="n">
        <f aca="false">G881*(1-G882)</f>
        <v>3109.11053614537</v>
      </c>
    </row>
    <row r="884" customFormat="false" ht="17.15" hidden="false" customHeight="false" outlineLevel="0" collapsed="false">
      <c r="A884" s="6" t="s">
        <v>591</v>
      </c>
    </row>
    <row r="885" customFormat="false" ht="17.15" hidden="false" customHeight="false" outlineLevel="0" collapsed="false">
      <c r="A885" s="0" t="s">
        <v>592</v>
      </c>
      <c r="B885" s="4" t="s">
        <v>85</v>
      </c>
      <c r="D885" s="18" t="n">
        <f aca="false">gu_26*1</f>
        <v>8.35</v>
      </c>
      <c r="E885" s="18" t="n">
        <f aca="false">gu_27*1*1</f>
        <v>11.2</v>
      </c>
      <c r="F885" s="18" t="n">
        <f aca="false">gu_28*um28_A*1</f>
        <v>11.5</v>
      </c>
      <c r="G885" s="18" t="n">
        <f aca="false">gu_29*um29_A*1</f>
        <v>12.9</v>
      </c>
    </row>
    <row r="886" customFormat="false" ht="15" hidden="false" customHeight="false" outlineLevel="0" collapsed="false">
      <c r="A886" s="4" t="s">
        <v>593</v>
      </c>
      <c r="B886" s="0" t="s">
        <v>52</v>
      </c>
      <c r="D886" s="20" t="n">
        <f aca="false">bsh_26</f>
        <v>0.5</v>
      </c>
      <c r="E886" s="20" t="n">
        <f aca="false">bsh_26*brel_27</f>
        <v>0.5</v>
      </c>
      <c r="F886" s="20" t="n">
        <f aca="false">bsh_26*brel_28</f>
        <v>0.475</v>
      </c>
      <c r="G886" s="20" t="n">
        <f aca="false">bsh_26*brel_29</f>
        <v>0.45</v>
      </c>
    </row>
    <row r="887" customFormat="false" ht="17.15" hidden="false" customHeight="false" outlineLevel="0" collapsed="false">
      <c r="A887" s="4" t="s">
        <v>594</v>
      </c>
      <c r="B887" s="0" t="s">
        <v>543</v>
      </c>
      <c r="D887" s="24" t="n">
        <f aca="false">a26_brd/fx/D885/D886*1000</f>
        <v>823.353293413174</v>
      </c>
      <c r="E887" s="24" t="n">
        <f aca="false">$D887*bv_27</f>
        <v>946.85628742515</v>
      </c>
      <c r="F887" s="24" t="n">
        <f aca="false">$D887*bv_28</f>
        <v>988.023952095808</v>
      </c>
      <c r="G887" s="24" t="n">
        <f aca="false">$D887*bv_29</f>
        <v>988.023952095808</v>
      </c>
      <c r="K887" s="8" t="s">
        <v>595</v>
      </c>
    </row>
    <row r="888" customFormat="false" ht="17.15" hidden="false" customHeight="false" outlineLevel="0" collapsed="false">
      <c r="A888" s="0" t="s">
        <v>545</v>
      </c>
      <c r="B888" s="0" t="s">
        <v>151</v>
      </c>
      <c r="D888" s="21" t="n">
        <f aca="false">D885*D886*D887*fx/1000</f>
        <v>110</v>
      </c>
      <c r="E888" s="21" t="n">
        <f aca="false">E885*E886*E887*fx/1000</f>
        <v>169.676646706587</v>
      </c>
      <c r="F888" s="21" t="n">
        <f aca="false">F885*F886*F887*fx/1000</f>
        <v>172.706586826347</v>
      </c>
      <c r="G888" s="21" t="n">
        <f aca="false">G885*G886*G887*fx/1000</f>
        <v>183.535329341317</v>
      </c>
    </row>
    <row r="889" customFormat="false" ht="17.15" hidden="false" customHeight="false" outlineLevel="0" collapsed="false">
      <c r="A889" s="6" t="s">
        <v>596</v>
      </c>
    </row>
    <row r="890" customFormat="false" ht="15" hidden="false" customHeight="false" outlineLevel="0" collapsed="false">
      <c r="A890" s="4" t="s">
        <v>597</v>
      </c>
      <c r="B890" s="0" t="s">
        <v>151</v>
      </c>
      <c r="D890" s="21" t="n">
        <f aca="false">a26_gen</f>
        <v>150</v>
      </c>
      <c r="E890" s="21" t="n">
        <f aca="false">D890*(1+g_gen27)</f>
        <v>180</v>
      </c>
      <c r="F890" s="21" t="n">
        <f aca="false">E890*(1+g_gen28)</f>
        <v>198</v>
      </c>
      <c r="G890" s="21" t="n">
        <f aca="false">F890*(1+g_gen29)</f>
        <v>213.84</v>
      </c>
    </row>
    <row r="891" customFormat="false" ht="15" hidden="false" customHeight="false" outlineLevel="0" collapsed="false">
      <c r="A891" s="4" t="s">
        <v>598</v>
      </c>
      <c r="B891" s="0" t="s">
        <v>151</v>
      </c>
      <c r="D891" s="21" t="n">
        <f aca="false">a26_pc</f>
        <v>614.602793131557</v>
      </c>
      <c r="E891" s="21" t="n">
        <f aca="false">D891*(1+g_pc27)</f>
        <v>596.16470933761</v>
      </c>
      <c r="F891" s="21" t="n">
        <f aca="false">E891*(1+g_pc28)</f>
        <v>596.16470933761</v>
      </c>
      <c r="G891" s="21" t="n">
        <f aca="false">F891*(1+g_pc29)</f>
        <v>596.16470933761</v>
      </c>
    </row>
    <row r="892" customFormat="false" ht="15" hidden="false" customHeight="false" outlineLevel="0" collapsed="false">
      <c r="A892" s="4" t="s">
        <v>599</v>
      </c>
      <c r="B892" s="0" t="s">
        <v>151</v>
      </c>
      <c r="C892" s="21" t="n">
        <f aca="false">a25_srev</f>
        <v>1235.86</v>
      </c>
      <c r="D892" s="21" t="n">
        <f aca="false">D883+D888+D890+D891</f>
        <v>2651.72505421038</v>
      </c>
      <c r="E892" s="21" t="n">
        <f aca="false">E883+E888+E890+E891</f>
        <v>3816.64127975756</v>
      </c>
      <c r="F892" s="21" t="n">
        <f aca="false">F883+F888+F890+F891</f>
        <v>4039.86719118605</v>
      </c>
      <c r="G892" s="21" t="n">
        <f aca="false">G883+G888+G890+G891</f>
        <v>4102.6505748243</v>
      </c>
    </row>
    <row r="893" customFormat="false" ht="17.15" hidden="false" customHeight="false" outlineLevel="0" collapsed="false">
      <c r="A893" s="4" t="s">
        <v>600</v>
      </c>
      <c r="B893" s="0" t="s">
        <v>52</v>
      </c>
      <c r="D893" s="20" t="n">
        <f aca="false">a26_wai/D876</f>
        <v>0.0341693013513091</v>
      </c>
      <c r="K893" s="8" t="s">
        <v>601</v>
      </c>
    </row>
    <row r="894" customFormat="false" ht="17.15" hidden="false" customHeight="false" outlineLevel="0" collapsed="false">
      <c r="A894" s="4" t="s">
        <v>527</v>
      </c>
      <c r="B894" s="0" t="s">
        <v>52</v>
      </c>
      <c r="D894" s="20" t="n">
        <f aca="false">D893</f>
        <v>0.0341693013513091</v>
      </c>
      <c r="E894" s="20" t="n">
        <f aca="false">$D$893*wrel_27</f>
        <v>0.0341693013513091</v>
      </c>
      <c r="F894" s="20" t="n">
        <f aca="false">$D$893*wrel_28</f>
        <v>0.0341693013513091</v>
      </c>
      <c r="G894" s="20" t="n">
        <f aca="false">$D$893*wrel_29</f>
        <v>0.0324608362837436</v>
      </c>
    </row>
    <row r="895" customFormat="false" ht="17.15" hidden="false" customHeight="false" outlineLevel="0" collapsed="false">
      <c r="A895" s="4" t="s">
        <v>547</v>
      </c>
      <c r="B895" s="0" t="s">
        <v>151</v>
      </c>
      <c r="D895" s="21" t="n">
        <f aca="false">D876*D894</f>
        <v>693.900912</v>
      </c>
      <c r="E895" s="21" t="n">
        <f aca="false">E876*E894</f>
        <v>1245.4909258278</v>
      </c>
      <c r="F895" s="21" t="n">
        <f aca="false">F876*F894</f>
        <v>1578.80516693321</v>
      </c>
      <c r="G895" s="21" t="n">
        <f aca="false">G876*G894</f>
        <v>1708.58325665923</v>
      </c>
    </row>
    <row r="896" customFormat="false" ht="17.15" hidden="false" customHeight="false" outlineLevel="0" collapsed="false">
      <c r="A896" s="4" t="s">
        <v>602</v>
      </c>
      <c r="B896" s="0" t="s">
        <v>151</v>
      </c>
      <c r="D896" s="21" t="n">
        <f aca="false">a26_wna</f>
        <v>751.725988</v>
      </c>
      <c r="E896" s="21" t="n">
        <f aca="false">D896*(1+g_wn27)</f>
        <v>826.8985868</v>
      </c>
      <c r="F896" s="21" t="n">
        <f aca="false">E896*(1+g_wn28)</f>
        <v>876.512502008</v>
      </c>
      <c r="G896" s="21" t="n">
        <f aca="false">F896*(1+g_wn29)</f>
        <v>920.3381271084</v>
      </c>
    </row>
    <row r="897" customFormat="false" ht="15" hidden="false" customHeight="false" outlineLevel="0" collapsed="false">
      <c r="A897" s="4" t="s">
        <v>458</v>
      </c>
      <c r="B897" s="0" t="s">
        <v>151</v>
      </c>
      <c r="C897" s="21" t="n">
        <f aca="false">a25_wrev</f>
        <v>950.663</v>
      </c>
      <c r="D897" s="21" t="n">
        <f aca="false">D895+D896</f>
        <v>1445.6269</v>
      </c>
      <c r="E897" s="21" t="n">
        <f aca="false">E895+E896</f>
        <v>2072.3895126278</v>
      </c>
      <c r="F897" s="21" t="n">
        <f aca="false">F895+F896</f>
        <v>2455.31766894121</v>
      </c>
      <c r="G897" s="21" t="n">
        <f aca="false">G895+G896</f>
        <v>2628.92138376763</v>
      </c>
    </row>
    <row r="898" customFormat="false" ht="17.15" hidden="false" customHeight="false" outlineLevel="0" collapsed="false">
      <c r="A898" s="4" t="s">
        <v>444</v>
      </c>
      <c r="B898" s="0" t="s">
        <v>151</v>
      </c>
      <c r="C898" s="21" t="n">
        <f aca="false">C892+C897</f>
        <v>2186.523</v>
      </c>
      <c r="D898" s="21" t="n">
        <f aca="false">D892+D897</f>
        <v>4097.35195421038</v>
      </c>
      <c r="E898" s="21" t="n">
        <f aca="false">E892+E897</f>
        <v>5889.03079238536</v>
      </c>
      <c r="F898" s="21" t="n">
        <f aca="false">F892+F897</f>
        <v>6495.18486012725</v>
      </c>
      <c r="G898" s="21" t="n">
        <f aca="false">G892+G897</f>
        <v>6731.57195859193</v>
      </c>
      <c r="H898" s="26" t="n">
        <f aca="false">G898*(1+H903)</f>
        <v>7029.53021064286</v>
      </c>
      <c r="I898" s="26" t="n">
        <f aca="false">H898*(1+I903)</f>
        <v>7395.9894768836</v>
      </c>
      <c r="J898" s="26" t="n">
        <f aca="false">I898*(1+J903)</f>
        <v>7839.74884549662</v>
      </c>
      <c r="K898" s="8" t="s">
        <v>603</v>
      </c>
    </row>
    <row r="899" customFormat="false" ht="17.15" hidden="false" customHeight="false" outlineLevel="0" collapsed="false">
      <c r="A899" s="4" t="s">
        <v>604</v>
      </c>
      <c r="B899" s="0" t="s">
        <v>151</v>
      </c>
      <c r="D899" s="21" t="n">
        <f aca="false">D883+D888+D890+D897</f>
        <v>3482.74916107882</v>
      </c>
      <c r="E899" s="21" t="n">
        <f aca="false">E883+E888+E890+E897</f>
        <v>5292.86608304775</v>
      </c>
      <c r="F899" s="21" t="n">
        <f aca="false">F883+F888+F890+F897</f>
        <v>5899.02015078964</v>
      </c>
      <c r="G899" s="21" t="n">
        <f aca="false">G883+G888+G890+G897</f>
        <v>6135.40724925432</v>
      </c>
      <c r="K899" s="4" t="s">
        <v>605</v>
      </c>
    </row>
    <row r="900" customFormat="false" ht="15" hidden="false" customHeight="false" outlineLevel="0" collapsed="false">
      <c r="A900" s="4" t="s">
        <v>606</v>
      </c>
      <c r="B900" s="0" t="s">
        <v>151</v>
      </c>
      <c r="D900" s="21" t="n">
        <f aca="false">D891</f>
        <v>614.602793131557</v>
      </c>
      <c r="E900" s="21" t="n">
        <f aca="false">E891</f>
        <v>596.16470933761</v>
      </c>
      <c r="F900" s="21" t="n">
        <f aca="false">F891</f>
        <v>596.16470933761</v>
      </c>
      <c r="G900" s="21" t="n">
        <f aca="false">G891</f>
        <v>596.16470933761</v>
      </c>
      <c r="K900" s="4" t="s">
        <v>607</v>
      </c>
    </row>
    <row r="901" customFormat="false" ht="17.15" hidden="false" customHeight="false" outlineLevel="0" collapsed="false">
      <c r="A901" s="4" t="s">
        <v>608</v>
      </c>
      <c r="B901" s="0" t="s">
        <v>151</v>
      </c>
      <c r="D901" s="31" t="n">
        <f aca="false">D899+D900-D898</f>
        <v>0</v>
      </c>
      <c r="E901" s="31" t="n">
        <f aca="false">E899+E900-E898</f>
        <v>0</v>
      </c>
      <c r="F901" s="31" t="n">
        <f aca="false">F899+F900-F898</f>
        <v>0</v>
      </c>
      <c r="G901" s="31" t="n">
        <f aca="false">G899+G900-G898</f>
        <v>0</v>
      </c>
    </row>
    <row r="902" customFormat="false" ht="17.15" hidden="false" customHeight="false" outlineLevel="0" collapsed="false">
      <c r="A902" s="4" t="s">
        <v>609</v>
      </c>
      <c r="B902" s="0" t="s">
        <v>52</v>
      </c>
      <c r="D902" s="20" t="n">
        <f aca="false">D899/D898</f>
        <v>0.85</v>
      </c>
      <c r="E902" s="20" t="n">
        <f aca="false">E899/E898</f>
        <v>0.898766922715286</v>
      </c>
      <c r="F902" s="20" t="n">
        <f aca="false">F899/F898</f>
        <v>0.908214358455391</v>
      </c>
      <c r="G902" s="20" t="n">
        <f aca="false">G899/G898</f>
        <v>0.911437519645514</v>
      </c>
    </row>
    <row r="903" customFormat="false" ht="15" hidden="false" customHeight="false" outlineLevel="0" collapsed="false">
      <c r="A903" s="4" t="s">
        <v>610</v>
      </c>
      <c r="B903" s="0" t="s">
        <v>52</v>
      </c>
      <c r="D903" s="20" t="n">
        <f aca="false">D898/C898-1</f>
        <v>0.873912121761526</v>
      </c>
      <c r="E903" s="20" t="n">
        <f aca="false">E898/D898-1</f>
        <v>0.437277260581405</v>
      </c>
      <c r="F903" s="20" t="n">
        <f aca="false">F898/E898-1</f>
        <v>0.102929342554239</v>
      </c>
      <c r="G903" s="20" t="n">
        <f aca="false">G898/F898-1</f>
        <v>0.0363942064090907</v>
      </c>
      <c r="H903" s="27" t="n">
        <f aca="false">$G903+(fade_gA-$G903)*1/3</f>
        <v>0.0442628042727272</v>
      </c>
      <c r="I903" s="27" t="n">
        <f aca="false">$G903+(fade_gA-$G903)*2/3</f>
        <v>0.0521314021363636</v>
      </c>
      <c r="J903" s="27" t="n">
        <f aca="false">$G903+(fade_gA-$G903)*3/3</f>
        <v>0.06</v>
      </c>
    </row>
    <row r="904" customFormat="false" ht="17.15" hidden="false" customHeight="false" outlineLevel="0" collapsed="false">
      <c r="A904" s="0" t="s">
        <v>611</v>
      </c>
      <c r="B904" s="0" t="s">
        <v>52</v>
      </c>
      <c r="D904" s="20" t="n">
        <f aca="false">(D883+D888+D895)/D898</f>
        <v>0.629924693295288</v>
      </c>
      <c r="E904" s="20" t="n">
        <f aca="false">(E883+E888+E895)/E898</f>
        <v>0.727788263866712</v>
      </c>
      <c r="F904" s="20" t="n">
        <f aca="false">(F883+F888+F895)/F898</f>
        <v>0.742782192143354</v>
      </c>
      <c r="G904" s="20" t="n">
        <f aca="false">(G883+G888+G895)/G898</f>
        <v>0.742951149138729</v>
      </c>
    </row>
    <row r="905" customFormat="false" ht="17.15" hidden="false" customHeight="false" outlineLevel="0" collapsed="false">
      <c r="A905" s="4" t="s">
        <v>612</v>
      </c>
      <c r="B905" s="0" t="s">
        <v>52</v>
      </c>
      <c r="C905" s="20" t="n">
        <f aca="false">C897/C898</f>
        <v>0.434782986504144</v>
      </c>
      <c r="D905" s="20" t="n">
        <f aca="false">D897/D898</f>
        <v>0.352819800728736</v>
      </c>
      <c r="E905" s="20" t="n">
        <f aca="false">E897/E898</f>
        <v>0.351906720424598</v>
      </c>
      <c r="F905" s="20" t="n">
        <f aca="false">F897/F898</f>
        <v>0.378021214455951</v>
      </c>
      <c r="G905" s="20" t="n">
        <f aca="false">G897/G898</f>
        <v>0.390536029316626</v>
      </c>
    </row>
    <row r="906" customFormat="false" ht="17.15" hidden="false" customHeight="false" outlineLevel="0" collapsed="false">
      <c r="A906" s="4" t="s">
        <v>613</v>
      </c>
      <c r="B906" s="4" t="s">
        <v>335</v>
      </c>
      <c r="D906" s="21" t="n">
        <f aca="false">D881/fx/(odm_gb*(1-vr26)+odm_vr*vr26)</f>
        <v>12.0597330420658</v>
      </c>
      <c r="E906" s="21" t="n">
        <f aca="false">E881/fx/odm_vr</f>
        <v>14.7674893195132</v>
      </c>
      <c r="F906" s="21" t="n">
        <f aca="false">F881/fx/odm_vr</f>
        <v>17.7835410591556</v>
      </c>
      <c r="G906" s="21" t="n">
        <f aca="false">G881/fx/odm_vr</f>
        <v>19.1920403465763</v>
      </c>
      <c r="K906" s="4" t="s">
        <v>614</v>
      </c>
    </row>
    <row r="907" customFormat="false" ht="17.15" hidden="false" customHeight="false" outlineLevel="0" collapsed="false">
      <c r="A907" s="6" t="s">
        <v>615</v>
      </c>
    </row>
    <row r="908" customFormat="false" ht="17.15" hidden="false" customHeight="false" outlineLevel="0" collapsed="false">
      <c r="A908" s="4" t="s">
        <v>616</v>
      </c>
      <c r="B908" s="0" t="s">
        <v>52</v>
      </c>
      <c r="D908" s="14" t="n">
        <f aca="false">(a26_sgp-d_ai_lo*D883-d_brd*D888-d_gen*D890)/D892</f>
        <v>0.0503441451517603</v>
      </c>
      <c r="K908" s="8" t="s">
        <v>617</v>
      </c>
    </row>
    <row r="909" customFormat="false" ht="17.15" hidden="false" customHeight="false" outlineLevel="0" collapsed="false">
      <c r="A909" s="4" t="s">
        <v>618</v>
      </c>
      <c r="B909" s="0" t="s">
        <v>151</v>
      </c>
      <c r="D909" s="25" t="n">
        <f aca="false">($D$908+d_ai_lo)*D881*(1-D882*(1-keep))</f>
        <v>53.9252558426002</v>
      </c>
      <c r="E909" s="25" t="n">
        <f aca="false">($D$908+d_ai_lo+vrd)*E881*(1-E882*(1-keep))</f>
        <v>89.5074067133332</v>
      </c>
      <c r="F909" s="25" t="n">
        <f aca="false">($D$908+d_ai_lo+vrd)*F881*(1-F882*(1-keep))</f>
        <v>106.699266081605</v>
      </c>
      <c r="G909" s="25" t="n">
        <f aca="false">($D$908+d_ai_lo+vrd)*G881*(1-G882*(1-keep))</f>
        <v>114.562604428183</v>
      </c>
    </row>
    <row r="910" customFormat="false" ht="15" hidden="false" customHeight="false" outlineLevel="0" collapsed="false">
      <c r="A910" s="4" t="s">
        <v>619</v>
      </c>
      <c r="B910" s="0" t="s">
        <v>151</v>
      </c>
      <c r="C910" s="21" t="n">
        <f aca="false">a25_sgp</f>
        <v>55.529</v>
      </c>
      <c r="D910" s="21" t="n">
        <f aca="false">a26_sgp</f>
        <v>103.50638581015</v>
      </c>
      <c r="E910" s="21" t="n">
        <f aca="false">$D$908*E891+($D$908+d_brd)*E888+($D$908+d_gen)*E890+E909</f>
        <v>144.915280633758</v>
      </c>
      <c r="F910" s="21" t="n">
        <f aca="false">$D$908*F891+($D$908+d_brd)*F888+($D$908+d_gen)*F890+F909</f>
        <v>163.526772563545</v>
      </c>
      <c r="G910" s="21" t="n">
        <f aca="false">$D$908*G891+($D$908+d_brd)*G888+($D$908+d_gen)*G890+G909</f>
        <v>173.29518822976</v>
      </c>
    </row>
    <row r="911" customFormat="false" ht="15" hidden="false" customHeight="false" outlineLevel="0" collapsed="false">
      <c r="A911" s="4" t="s">
        <v>620</v>
      </c>
      <c r="B911" s="0" t="s">
        <v>52</v>
      </c>
      <c r="C911" s="14" t="n">
        <f aca="false">C910/C892</f>
        <v>0.0449314647290146</v>
      </c>
      <c r="D911" s="14" t="n">
        <f aca="false">D910/D892</f>
        <v>0.0390336040479778</v>
      </c>
      <c r="E911" s="14" t="n">
        <f aca="false">E910/E892</f>
        <v>0.0379693217181163</v>
      </c>
      <c r="F911" s="14" t="n">
        <f aca="false">F910/F892</f>
        <v>0.0404782545625059</v>
      </c>
      <c r="G911" s="14" t="n">
        <f aca="false">G910/G892</f>
        <v>0.0422398118165795</v>
      </c>
    </row>
    <row r="912" customFormat="false" ht="15" hidden="false" customHeight="false" outlineLevel="0" collapsed="false">
      <c r="A912" s="4" t="s">
        <v>621</v>
      </c>
      <c r="B912" s="0" t="s">
        <v>52</v>
      </c>
      <c r="E912" s="20" t="n">
        <f aca="false">MAX(0,phi*(E892/D892-1))</f>
        <v>0.13179151703879</v>
      </c>
      <c r="F912" s="20" t="n">
        <f aca="false">MAX(0,phi*(F892/E892-1))</f>
        <v>0.0175462582202121</v>
      </c>
      <c r="G912" s="20" t="n">
        <f aca="false">MAX(0,phi*(G892/F892-1))</f>
        <v>0.00466228571388885</v>
      </c>
    </row>
    <row r="913" customFormat="false" ht="15" hidden="false" customHeight="false" outlineLevel="0" collapsed="false">
      <c r="A913" s="4" t="s">
        <v>622</v>
      </c>
      <c r="B913" s="0" t="s">
        <v>151</v>
      </c>
      <c r="C913" s="21" t="n">
        <f aca="false">a25_sopx</f>
        <v>40.894</v>
      </c>
      <c r="D913" s="21" t="n">
        <f aca="false">a26_sopx</f>
        <v>46.9914095398923</v>
      </c>
      <c r="E913" s="21" t="n">
        <f aca="false">D913*(1+E912)+0*E892</f>
        <v>53.1844786909457</v>
      </c>
      <c r="F913" s="21" t="n">
        <f aca="false">E913*(1+F912)+0*F892</f>
        <v>54.1176672873644</v>
      </c>
      <c r="G913" s="21" t="n">
        <f aca="false">F913*(1+G912)+0*G892</f>
        <v>54.3699793144273</v>
      </c>
    </row>
    <row r="914" customFormat="false" ht="15" hidden="false" customHeight="false" outlineLevel="0" collapsed="false">
      <c r="A914" s="4" t="s">
        <v>623</v>
      </c>
      <c r="B914" s="0" t="s">
        <v>151</v>
      </c>
      <c r="C914" s="21" t="n">
        <f aca="false">C910-C913</f>
        <v>14.635</v>
      </c>
      <c r="D914" s="21" t="n">
        <f aca="false">D910-D913</f>
        <v>56.514976270258</v>
      </c>
      <c r="E914" s="21" t="n">
        <f aca="false">E910-E913</f>
        <v>91.7308019428119</v>
      </c>
      <c r="F914" s="21" t="n">
        <f aca="false">F910-F913</f>
        <v>109.40910527618</v>
      </c>
      <c r="G914" s="21" t="n">
        <f aca="false">G910-G913</f>
        <v>118.925208915333</v>
      </c>
    </row>
    <row r="915" customFormat="false" ht="15" hidden="false" customHeight="false" outlineLevel="0" collapsed="false">
      <c r="A915" s="4" t="s">
        <v>624</v>
      </c>
      <c r="B915" s="0" t="s">
        <v>52</v>
      </c>
      <c r="C915" s="14" t="n">
        <f aca="false">C914/C892</f>
        <v>0.011841956208632</v>
      </c>
      <c r="D915" s="14" t="n">
        <f aca="false">D914/D892</f>
        <v>0.0213125324514788</v>
      </c>
      <c r="E915" s="14" t="n">
        <f aca="false">E914/E892</f>
        <v>0.0240344311186193</v>
      </c>
      <c r="F915" s="14" t="n">
        <f aca="false">F914/F892</f>
        <v>0.0270823519928781</v>
      </c>
      <c r="G915" s="14" t="n">
        <f aca="false">G914/G892</f>
        <v>0.0289874086877179</v>
      </c>
    </row>
    <row r="916" customFormat="false" ht="15" hidden="false" customHeight="false" outlineLevel="0" collapsed="false">
      <c r="A916" s="4" t="s">
        <v>625</v>
      </c>
      <c r="B916" s="0" t="s">
        <v>151</v>
      </c>
      <c r="C916" s="21" t="n">
        <f aca="false">a25_sni</f>
        <v>6.9608</v>
      </c>
      <c r="D916" s="21" t="n">
        <f aca="false">a26_sni</f>
        <v>31.133746704</v>
      </c>
      <c r="E916" s="21" t="n">
        <f aca="false">E914*snio</f>
        <v>51.3692490879747</v>
      </c>
      <c r="F916" s="21" t="n">
        <f aca="false">F914*snio</f>
        <v>61.2690989546609</v>
      </c>
      <c r="G916" s="21" t="n">
        <f aca="false">G914*snio</f>
        <v>66.5981169925863</v>
      </c>
    </row>
    <row r="917" customFormat="false" ht="17.15" hidden="false" customHeight="false" outlineLevel="0" collapsed="false">
      <c r="A917" s="6" t="s">
        <v>626</v>
      </c>
    </row>
    <row r="918" customFormat="false" ht="15" hidden="false" customHeight="false" outlineLevel="0" collapsed="false">
      <c r="A918" s="4" t="s">
        <v>462</v>
      </c>
      <c r="B918" s="0" t="s">
        <v>151</v>
      </c>
      <c r="C918" s="21" t="n">
        <f aca="false">a25_wgp</f>
        <v>78.454</v>
      </c>
      <c r="D918" s="21" t="n">
        <f aca="false">a26_wgp</f>
        <v>125.0519932</v>
      </c>
      <c r="E918" s="21" t="n">
        <f aca="false">E897*wgm</f>
        <v>176.153108573363</v>
      </c>
      <c r="F918" s="21" t="n">
        <f aca="false">F897*wgm</f>
        <v>208.702001860003</v>
      </c>
      <c r="G918" s="21" t="n">
        <f aca="false">G897*wgm</f>
        <v>223.458317620249</v>
      </c>
    </row>
    <row r="919" customFormat="false" ht="15" hidden="false" customHeight="false" outlineLevel="0" collapsed="false">
      <c r="A919" s="4" t="s">
        <v>464</v>
      </c>
      <c r="B919" s="0" t="s">
        <v>151</v>
      </c>
      <c r="C919" s="21" t="n">
        <f aca="false">a25_woi</f>
        <v>63.918</v>
      </c>
      <c r="D919" s="21" t="n">
        <f aca="false">a26_woi</f>
        <v>98.2471632</v>
      </c>
      <c r="E919" s="21" t="n">
        <f aca="false">E897*wopm</f>
        <v>134.705318320807</v>
      </c>
      <c r="F919" s="21" t="n">
        <f aca="false">F897*wopm</f>
        <v>159.595648481179</v>
      </c>
      <c r="G919" s="21" t="n">
        <f aca="false">G897*wopm</f>
        <v>170.879889944896</v>
      </c>
    </row>
    <row r="920" customFormat="false" ht="15" hidden="false" customHeight="false" outlineLevel="0" collapsed="false">
      <c r="A920" s="4" t="s">
        <v>472</v>
      </c>
      <c r="B920" s="0" t="s">
        <v>151</v>
      </c>
      <c r="C920" s="21" t="n">
        <f aca="false">a25_wni</f>
        <v>51.118</v>
      </c>
      <c r="D920" s="21" t="n">
        <f aca="false">a26_wni</f>
        <v>75.735026884</v>
      </c>
      <c r="E920" s="21" t="n">
        <f aca="false">E919*wnio</f>
        <v>105.07014829023</v>
      </c>
      <c r="F920" s="21" t="n">
        <f aca="false">F919*wnio</f>
        <v>124.484605815319</v>
      </c>
      <c r="G920" s="21" t="n">
        <f aca="false">G919*wnio</f>
        <v>133.286314157019</v>
      </c>
    </row>
    <row r="921" customFormat="false" ht="15" hidden="false" customHeight="false" outlineLevel="0" collapsed="false">
      <c r="A921" s="4" t="s">
        <v>474</v>
      </c>
      <c r="B921" s="0" t="s">
        <v>52</v>
      </c>
      <c r="C921" s="14" t="n">
        <f aca="false">stake25</f>
        <v>0.4</v>
      </c>
      <c r="D921" s="14" t="n">
        <f aca="false">stake</f>
        <v>0.3768</v>
      </c>
      <c r="E921" s="14" t="n">
        <f aca="false">stake</f>
        <v>0.3768</v>
      </c>
      <c r="F921" s="14" t="n">
        <f aca="false">stake</f>
        <v>0.3768</v>
      </c>
      <c r="G921" s="14" t="n">
        <f aca="false">stake</f>
        <v>0.3768</v>
      </c>
    </row>
    <row r="922" customFormat="false" ht="17.15" hidden="false" customHeight="false" outlineLevel="0" collapsed="false">
      <c r="A922" s="6" t="s">
        <v>627</v>
      </c>
    </row>
    <row r="923" customFormat="false" ht="15" hidden="false" customHeight="false" outlineLevel="0" collapsed="false">
      <c r="A923" s="4" t="s">
        <v>448</v>
      </c>
      <c r="B923" s="0" t="s">
        <v>151</v>
      </c>
      <c r="C923" s="21" t="n">
        <f aca="false">C910+C918</f>
        <v>133.983</v>
      </c>
      <c r="D923" s="21" t="n">
        <f aca="false">D910+D918</f>
        <v>228.55837901015</v>
      </c>
      <c r="E923" s="21" t="n">
        <f aca="false">E910+E918</f>
        <v>321.068389207121</v>
      </c>
      <c r="F923" s="21" t="n">
        <f aca="false">F910+F918</f>
        <v>372.228774423547</v>
      </c>
      <c r="G923" s="21" t="n">
        <f aca="false">G910+G918</f>
        <v>396.753505850009</v>
      </c>
    </row>
    <row r="924" customFormat="false" ht="15" hidden="false" customHeight="false" outlineLevel="0" collapsed="false">
      <c r="A924" s="4" t="s">
        <v>451</v>
      </c>
      <c r="B924" s="0" t="s">
        <v>52</v>
      </c>
      <c r="C924" s="14" t="n">
        <f aca="false">C923/C898</f>
        <v>0.0612767393711386</v>
      </c>
      <c r="D924" s="14" t="n">
        <f aca="false">D923/D898</f>
        <v>0.055781973714825</v>
      </c>
      <c r="E924" s="14" t="n">
        <f aca="false">E923/E898</f>
        <v>0.0545197334716383</v>
      </c>
      <c r="F924" s="14" t="n">
        <f aca="false">F923/F898</f>
        <v>0.0573084188424861</v>
      </c>
      <c r="G924" s="14" t="n">
        <f aca="false">G923/G898</f>
        <v>0.0589392059225643</v>
      </c>
    </row>
    <row r="925" customFormat="false" ht="15" hidden="false" customHeight="false" outlineLevel="0" collapsed="false">
      <c r="A925" s="4" t="s">
        <v>452</v>
      </c>
      <c r="B925" s="0" t="s">
        <v>151</v>
      </c>
      <c r="C925" s="21" t="n">
        <f aca="false">C914+C919</f>
        <v>78.553</v>
      </c>
      <c r="D925" s="21" t="n">
        <f aca="false">D914+D919</f>
        <v>154.762139470258</v>
      </c>
      <c r="E925" s="21" t="n">
        <f aca="false">E914+E919</f>
        <v>226.436120263619</v>
      </c>
      <c r="F925" s="21" t="n">
        <f aca="false">F914+F919</f>
        <v>269.004753757359</v>
      </c>
      <c r="G925" s="21" t="n">
        <f aca="false">G914+G919</f>
        <v>289.805098860229</v>
      </c>
    </row>
    <row r="926" customFormat="false" ht="15" hidden="false" customHeight="false" outlineLevel="0" collapsed="false">
      <c r="A926" s="4" t="s">
        <v>455</v>
      </c>
      <c r="B926" s="0" t="s">
        <v>52</v>
      </c>
      <c r="C926" s="14" t="n">
        <f aca="false">C925/C898</f>
        <v>0.0359259884300325</v>
      </c>
      <c r="D926" s="14" t="n">
        <f aca="false">D925/D898</f>
        <v>0.0377712584126992</v>
      </c>
      <c r="E926" s="14" t="n">
        <f aca="false">E925/E898</f>
        <v>0.0384504901139939</v>
      </c>
      <c r="F926" s="14" t="n">
        <f aca="false">F925/F898</f>
        <v>0.0414160273418436</v>
      </c>
      <c r="G926" s="14" t="n">
        <f aca="false">G925/G898</f>
        <v>0.043051623104219</v>
      </c>
    </row>
    <row r="927" customFormat="false" ht="15" hidden="false" customHeight="false" outlineLevel="0" collapsed="false">
      <c r="A927" s="4" t="s">
        <v>485</v>
      </c>
      <c r="B927" s="0" t="s">
        <v>151</v>
      </c>
      <c r="C927" s="21" t="n">
        <f aca="false">C916+C920</f>
        <v>58.0788</v>
      </c>
      <c r="D927" s="21" t="n">
        <f aca="false">D916+D920</f>
        <v>106.868773588</v>
      </c>
      <c r="E927" s="21" t="n">
        <f aca="false">E916+E920</f>
        <v>156.439397378204</v>
      </c>
      <c r="F927" s="21" t="n">
        <f aca="false">F916+F920</f>
        <v>185.75370476998</v>
      </c>
      <c r="G927" s="21" t="n">
        <f aca="false">G916+G920</f>
        <v>199.884431149605</v>
      </c>
    </row>
    <row r="928" customFormat="false" ht="17.15" hidden="false" customHeight="false" outlineLevel="0" collapsed="false">
      <c r="A928" s="4" t="s">
        <v>628</v>
      </c>
      <c r="B928" s="0" t="s">
        <v>151</v>
      </c>
      <c r="C928" s="21" t="n">
        <f aca="false">(1-C921)*C920</f>
        <v>30.6708</v>
      </c>
      <c r="D928" s="21" t="n">
        <f aca="false">(1-D921)*D920</f>
        <v>47.1980687541088</v>
      </c>
      <c r="E928" s="21" t="n">
        <f aca="false">(1-E921)*E920</f>
        <v>65.4797164144711</v>
      </c>
      <c r="F928" s="21" t="n">
        <f aca="false">(1-F921)*F920</f>
        <v>77.578806344107</v>
      </c>
      <c r="G928" s="21" t="n">
        <f aca="false">(1-G921)*G920</f>
        <v>83.0640309826542</v>
      </c>
    </row>
    <row r="929" customFormat="false" ht="15" hidden="false" customHeight="false" outlineLevel="0" collapsed="false">
      <c r="A929" s="4" t="s">
        <v>481</v>
      </c>
      <c r="B929" s="0" t="s">
        <v>151</v>
      </c>
      <c r="C929" s="21" t="n">
        <f aca="false">C927-C928</f>
        <v>27.408</v>
      </c>
      <c r="D929" s="21" t="n">
        <f aca="false">D927-D928</f>
        <v>59.6707048338912</v>
      </c>
      <c r="E929" s="21" t="n">
        <f aca="false">E927-E928</f>
        <v>90.9596809637332</v>
      </c>
      <c r="F929" s="21" t="n">
        <f aca="false">F927-F928</f>
        <v>108.174898425873</v>
      </c>
      <c r="G929" s="21" t="n">
        <f aca="false">G927-G928</f>
        <v>116.820400166951</v>
      </c>
      <c r="H929" s="26" t="n">
        <f aca="false">H898*H934</f>
        <v>123.291864367705</v>
      </c>
      <c r="I929" s="26" t="n">
        <f aca="false">I898*I934</f>
        <v>131.087713348594</v>
      </c>
      <c r="J929" s="26" t="n">
        <f aca="false">J898*J934</f>
        <v>140.403555642067</v>
      </c>
    </row>
    <row r="930" customFormat="false" ht="17.15" hidden="false" customHeight="false" outlineLevel="0" collapsed="false">
      <c r="A930" s="4" t="s">
        <v>629</v>
      </c>
      <c r="B930" s="0" t="s">
        <v>52</v>
      </c>
      <c r="C930" s="20" t="n">
        <f aca="false">C921*C920/C929</f>
        <v>0.746030356100409</v>
      </c>
      <c r="D930" s="20" t="n">
        <f aca="false">D921*D920/D929</f>
        <v>0.478240674537551</v>
      </c>
      <c r="E930" s="20" t="n">
        <f aca="false">E921*E920/E929</f>
        <v>0.435252536687587</v>
      </c>
      <c r="F930" s="20" t="n">
        <f aca="false">F921*F920/F929</f>
        <v>0.433610755857141</v>
      </c>
      <c r="G930" s="20" t="n">
        <f aca="false">G921*G920/G929</f>
        <v>0.429910213478046</v>
      </c>
    </row>
    <row r="931" customFormat="false" ht="17.15" hidden="false" customHeight="false" outlineLevel="0" collapsed="false">
      <c r="A931" s="4" t="s">
        <v>630</v>
      </c>
      <c r="B931" s="4" t="s">
        <v>286</v>
      </c>
      <c r="C931" s="31" t="n">
        <f aca="false">a25_sh</f>
        <v>3.03185840707965</v>
      </c>
      <c r="D931" s="31" t="n">
        <f aca="false">a26_sh</f>
        <v>3.23861720409076</v>
      </c>
      <c r="E931" s="31" t="n">
        <f aca="false">q_sh4*(1+sh_g)</f>
        <v>3.43</v>
      </c>
      <c r="F931" s="31" t="n">
        <f aca="false">E931*(1+sh_g)</f>
        <v>3.43</v>
      </c>
      <c r="G931" s="31" t="n">
        <f aca="false">F931*(1+sh_g)</f>
        <v>3.43</v>
      </c>
      <c r="H931" s="32" t="n">
        <f aca="false">G931*(1+sh_g)</f>
        <v>3.43</v>
      </c>
      <c r="I931" s="32" t="n">
        <f aca="false">H931*(1+sh_g)</f>
        <v>3.43</v>
      </c>
      <c r="J931" s="32" t="n">
        <f aca="false">I931*(1+sh_g)</f>
        <v>3.43</v>
      </c>
      <c r="K931" s="8" t="s">
        <v>631</v>
      </c>
    </row>
    <row r="932" customFormat="false" ht="15" hidden="false" customHeight="false" outlineLevel="0" collapsed="false">
      <c r="A932" s="0" t="s">
        <v>488</v>
      </c>
      <c r="B932" s="0" t="s">
        <v>316</v>
      </c>
      <c r="C932" s="18" t="n">
        <f aca="false">C929/C931</f>
        <v>9.04</v>
      </c>
      <c r="D932" s="18" t="n">
        <f aca="false">D929/D931</f>
        <v>18.4247476850676</v>
      </c>
      <c r="E932" s="18" t="n">
        <f aca="false">E929/E931</f>
        <v>26.5188574238289</v>
      </c>
      <c r="F932" s="18" t="n">
        <f aca="false">F929/F931</f>
        <v>31.5378712611875</v>
      </c>
      <c r="G932" s="18" t="n">
        <f aca="false">G929/G931</f>
        <v>34.0584257046505</v>
      </c>
      <c r="H932" s="29" t="n">
        <f aca="false">H929/H931</f>
        <v>35.94514996143</v>
      </c>
      <c r="I932" s="29" t="n">
        <f aca="false">I929/I931</f>
        <v>38.2179922299107</v>
      </c>
      <c r="J932" s="29" t="n">
        <f aca="false">J929/J931</f>
        <v>40.9339812367544</v>
      </c>
    </row>
    <row r="933" customFormat="false" ht="17.15" hidden="false" customHeight="false" outlineLevel="0" collapsed="false">
      <c r="A933" s="0" t="s">
        <v>632</v>
      </c>
      <c r="B933" s="0" t="s">
        <v>52</v>
      </c>
      <c r="D933" s="20" t="n">
        <f aca="false">D932/C932-1</f>
        <v>1.03813580587031</v>
      </c>
      <c r="E933" s="20" t="n">
        <f aca="false">E932/D932-1</f>
        <v>0.439306408810213</v>
      </c>
      <c r="F933" s="20" t="n">
        <f aca="false">F932/E932-1</f>
        <v>0.189262069520714</v>
      </c>
      <c r="G933" s="20" t="n">
        <f aca="false">G932/F932-1</f>
        <v>0.0799215147588257</v>
      </c>
      <c r="H933" s="27" t="n">
        <f aca="false">H932/G932-1</f>
        <v>0.0553966960522743</v>
      </c>
      <c r="I933" s="27" t="n">
        <f aca="false">I932/H932-1</f>
        <v>0.0632308467462119</v>
      </c>
      <c r="J933" s="27" t="n">
        <f aca="false">J932/I932-1</f>
        <v>0.0710657166526398</v>
      </c>
    </row>
    <row r="934" customFormat="false" ht="17.15" hidden="false" customHeight="false" outlineLevel="0" collapsed="false">
      <c r="A934" s="4" t="s">
        <v>633</v>
      </c>
      <c r="B934" s="0" t="s">
        <v>52</v>
      </c>
      <c r="C934" s="14" t="n">
        <f aca="false">C929/C898</f>
        <v>0.0125349699042727</v>
      </c>
      <c r="D934" s="14" t="n">
        <f aca="false">D929/D898</f>
        <v>0.0145632363293992</v>
      </c>
      <c r="E934" s="14" t="n">
        <f aca="false">E929/E898</f>
        <v>0.0154456113697599</v>
      </c>
      <c r="F934" s="14" t="n">
        <f aca="false">F929/F898</f>
        <v>0.0166546296611108</v>
      </c>
      <c r="G934" s="14" t="n">
        <f aca="false">G929/G898</f>
        <v>0.0173541040466552</v>
      </c>
      <c r="H934" s="28" t="n">
        <f aca="false">$G934+(fade_mA-$G934)*1/3</f>
        <v>0.0175391328685149</v>
      </c>
      <c r="I934" s="28" t="n">
        <f aca="false">$G934+(fade_mA-$G934)*2/3</f>
        <v>0.0177241616903746</v>
      </c>
      <c r="J934" s="28" t="n">
        <f aca="false">$G934+(fade_mA-$G934)*3/3</f>
        <v>0.0179091905122343</v>
      </c>
    </row>
    <row r="937" customFormat="false" ht="17.15" hidden="false" customHeight="false" outlineLevel="0" collapsed="false">
      <c r="A937" s="1" t="s">
        <v>960</v>
      </c>
    </row>
    <row r="938" customFormat="false" ht="17.15" hidden="false" customHeight="false" outlineLevel="0" collapsed="false">
      <c r="A938" s="5" t="s">
        <v>21</v>
      </c>
      <c r="B938" s="5" t="s">
        <v>22</v>
      </c>
      <c r="C938" s="15" t="s">
        <v>438</v>
      </c>
      <c r="D938" s="15" t="s">
        <v>552</v>
      </c>
      <c r="E938" s="15" t="s">
        <v>553</v>
      </c>
      <c r="F938" s="15" t="s">
        <v>554</v>
      </c>
      <c r="G938" s="15" t="s">
        <v>555</v>
      </c>
      <c r="H938" s="15" t="s">
        <v>556</v>
      </c>
      <c r="I938" s="15" t="s">
        <v>557</v>
      </c>
      <c r="J938" s="15" t="s">
        <v>558</v>
      </c>
      <c r="K938" s="5" t="s">
        <v>420</v>
      </c>
    </row>
    <row r="939" customFormat="false" ht="17.15" hidden="false" customHeight="false" outlineLevel="0" collapsed="false">
      <c r="A939" s="6" t="s">
        <v>573</v>
      </c>
    </row>
    <row r="940" customFormat="false" ht="17.15" hidden="false" customHeight="false" outlineLevel="0" collapsed="false">
      <c r="A940" s="0" t="s">
        <v>574</v>
      </c>
      <c r="B940" s="0" t="s">
        <v>32</v>
      </c>
      <c r="D940" s="21" t="n">
        <f aca="false">itc_26*1</f>
        <v>781.872916666666</v>
      </c>
      <c r="E940" s="21" t="n">
        <f aca="false">itc_27*1*1</f>
        <v>1565.35</v>
      </c>
      <c r="F940" s="21" t="n">
        <f aca="false">itc_28*um28_A*1</f>
        <v>1984.26388888889</v>
      </c>
      <c r="G940" s="21" t="n">
        <f aca="false">itc_29*um29_A*1</f>
        <v>2260.39027777778</v>
      </c>
    </row>
    <row r="941" customFormat="false" ht="17.15" hidden="false" customHeight="false" outlineLevel="0" collapsed="false">
      <c r="A941" s="4" t="s">
        <v>575</v>
      </c>
      <c r="B941" s="0" t="s">
        <v>32</v>
      </c>
      <c r="D941" s="21" t="n">
        <f aca="false">itpg_gb*(1-vr26)+itpg_vr*vr26</f>
        <v>33.41403216</v>
      </c>
      <c r="E941" s="21" t="n">
        <f aca="false">itpg_vr</f>
        <v>37.586352</v>
      </c>
      <c r="F941" s="21" t="n">
        <f aca="false">itpg_vr</f>
        <v>37.586352</v>
      </c>
      <c r="G941" s="21" t="n">
        <f aca="false">itpg_vr</f>
        <v>37.586352</v>
      </c>
    </row>
    <row r="942" customFormat="false" ht="17.15" hidden="false" customHeight="false" outlineLevel="0" collapsed="false">
      <c r="A942" s="4" t="s">
        <v>576</v>
      </c>
      <c r="B942" s="0" t="s">
        <v>521</v>
      </c>
      <c r="D942" s="22" t="n">
        <f aca="false">D940/D941</f>
        <v>23.3995380420639</v>
      </c>
      <c r="E942" s="22" t="n">
        <f aca="false">E940/E941</f>
        <v>41.6467658260637</v>
      </c>
      <c r="F942" s="22" t="n">
        <f aca="false">F940/F941</f>
        <v>52.792138191248</v>
      </c>
      <c r="G942" s="22" t="n">
        <f aca="false">G940/G941</f>
        <v>60.1385917361116</v>
      </c>
    </row>
    <row r="943" customFormat="false" ht="17.15" hidden="false" customHeight="false" outlineLevel="0" collapsed="false">
      <c r="A943" s="4" t="s">
        <v>577</v>
      </c>
      <c r="B943" s="0" t="s">
        <v>578</v>
      </c>
      <c r="D943" s="18" t="n">
        <f aca="false">(racks_gb*odm_gb*(1-vr26)+racks_vr*odm_vr*vr26)/1000</f>
        <v>27.1209</v>
      </c>
      <c r="E943" s="18" t="n">
        <f aca="false">racks_vr*odm_vr/1000</f>
        <v>27.351</v>
      </c>
      <c r="F943" s="18" t="n">
        <f aca="false">$E943*vpg_28</f>
        <v>27.351</v>
      </c>
      <c r="G943" s="18" t="n">
        <f aca="false">$E943*vpg_29</f>
        <v>27.351</v>
      </c>
      <c r="K943" s="4" t="s">
        <v>579</v>
      </c>
    </row>
    <row r="944" customFormat="false" ht="17.15" hidden="false" customHeight="false" outlineLevel="0" collapsed="false">
      <c r="A944" s="0" t="s">
        <v>580</v>
      </c>
      <c r="B944" s="0" t="s">
        <v>32</v>
      </c>
      <c r="D944" s="21" t="n">
        <f aca="false">D942*D943</f>
        <v>634.61653128501</v>
      </c>
      <c r="E944" s="21" t="n">
        <f aca="false">E942*E943</f>
        <v>1139.08069210867</v>
      </c>
      <c r="F944" s="21" t="n">
        <f aca="false">F942*F943</f>
        <v>1443.91777166882</v>
      </c>
      <c r="G944" s="21" t="n">
        <f aca="false">G942*G943</f>
        <v>1644.85062257439</v>
      </c>
    </row>
    <row r="945" customFormat="false" ht="17.15" hidden="false" customHeight="false" outlineLevel="0" collapsed="false">
      <c r="A945" s="0" t="s">
        <v>581</v>
      </c>
      <c r="B945" s="0" t="s">
        <v>151</v>
      </c>
      <c r="D945" s="21" t="n">
        <f aca="false">D944*fx</f>
        <v>20307.7290011203</v>
      </c>
      <c r="E945" s="21" t="n">
        <f aca="false">E944*fx</f>
        <v>36450.5821474774</v>
      </c>
      <c r="F945" s="21" t="n">
        <f aca="false">F944*fx</f>
        <v>46205.3686934024</v>
      </c>
      <c r="G945" s="21" t="n">
        <f aca="false">G944*fx</f>
        <v>52635.2199223804</v>
      </c>
    </row>
    <row r="946" customFormat="false" ht="17.15" hidden="false" customHeight="false" outlineLevel="0" collapsed="false">
      <c r="A946" s="6" t="s">
        <v>582</v>
      </c>
    </row>
    <row r="947" customFormat="false" ht="17.15" hidden="false" customHeight="false" outlineLevel="0" collapsed="false">
      <c r="A947" s="4" t="s">
        <v>583</v>
      </c>
      <c r="B947" s="0" t="s">
        <v>52</v>
      </c>
      <c r="D947" s="20" t="n">
        <f aca="false">a26_ais/D945</f>
        <v>0.0875096501918447</v>
      </c>
      <c r="K947" s="8" t="s">
        <v>584</v>
      </c>
    </row>
    <row r="948" customFormat="false" ht="17.15" hidden="false" customHeight="false" outlineLevel="0" collapsed="false">
      <c r="A948" s="4" t="s">
        <v>585</v>
      </c>
      <c r="B948" s="0" t="s">
        <v>64</v>
      </c>
      <c r="D948" s="18" t="n">
        <f aca="false">1</f>
        <v>1</v>
      </c>
      <c r="E948" s="18" t="n">
        <f aca="false">rel_27</f>
        <v>1</v>
      </c>
      <c r="F948" s="18" t="n">
        <f aca="false">rel_28</f>
        <v>0.95</v>
      </c>
      <c r="G948" s="18" t="n">
        <f aca="false">rel_29</f>
        <v>0.9</v>
      </c>
    </row>
    <row r="949" customFormat="false" ht="17.15" hidden="false" customHeight="false" outlineLevel="0" collapsed="false">
      <c r="A949" s="4" t="s">
        <v>586</v>
      </c>
      <c r="B949" s="0" t="s">
        <v>52</v>
      </c>
      <c r="D949" s="20" t="n">
        <f aca="false">$D$947*D948</f>
        <v>0.0875096501918447</v>
      </c>
      <c r="E949" s="20" t="n">
        <f aca="false">$D$947*E948</f>
        <v>0.0875096501918447</v>
      </c>
      <c r="F949" s="20" t="n">
        <f aca="false">$D$947*F948</f>
        <v>0.0831341676822525</v>
      </c>
      <c r="G949" s="20" t="n">
        <f aca="false">$D$947*G948</f>
        <v>0.0787586851726602</v>
      </c>
    </row>
    <row r="950" customFormat="false" ht="17.15" hidden="false" customHeight="false" outlineLevel="0" collapsed="false">
      <c r="A950" s="4" t="s">
        <v>587</v>
      </c>
      <c r="B950" s="0" t="s">
        <v>151</v>
      </c>
      <c r="D950" s="21" t="n">
        <f aca="false">D945*D949</f>
        <v>1777.12226107882</v>
      </c>
      <c r="E950" s="21" t="n">
        <f aca="false">E945*E949</f>
        <v>3189.77769301484</v>
      </c>
      <c r="F950" s="21" t="n">
        <f aca="false">F945*F949</f>
        <v>3841.24486877761</v>
      </c>
      <c r="G950" s="21" t="n">
        <f aca="false">G945*G949</f>
        <v>4145.48071486049</v>
      </c>
    </row>
    <row r="951" customFormat="false" ht="17.15" hidden="false" customHeight="false" outlineLevel="0" collapsed="false">
      <c r="A951" s="4" t="s">
        <v>588</v>
      </c>
      <c r="B951" s="0" t="s">
        <v>52</v>
      </c>
      <c r="D951" s="20" t="n">
        <f aca="false">0</f>
        <v>0</v>
      </c>
      <c r="E951" s="20" t="n">
        <f aca="false">cs_27</f>
        <v>0.1</v>
      </c>
      <c r="F951" s="20" t="n">
        <f aca="false">cs_28</f>
        <v>0.2</v>
      </c>
      <c r="G951" s="20" t="n">
        <f aca="false">cs_29</f>
        <v>0.25</v>
      </c>
      <c r="K951" s="8" t="s">
        <v>589</v>
      </c>
    </row>
    <row r="952" customFormat="false" ht="17.15" hidden="false" customHeight="false" outlineLevel="0" collapsed="false">
      <c r="A952" s="4" t="s">
        <v>590</v>
      </c>
      <c r="B952" s="0" t="s">
        <v>151</v>
      </c>
      <c r="D952" s="21" t="n">
        <f aca="false">D950*(1-D951)</f>
        <v>1777.12226107882</v>
      </c>
      <c r="E952" s="21" t="n">
        <f aca="false">E950*(1-E951)</f>
        <v>2870.79992371336</v>
      </c>
      <c r="F952" s="21" t="n">
        <f aca="false">F950*(1-F951)</f>
        <v>3072.99589502209</v>
      </c>
      <c r="G952" s="21" t="n">
        <f aca="false">G950*(1-G951)</f>
        <v>3109.11053614537</v>
      </c>
    </row>
    <row r="953" customFormat="false" ht="17.15" hidden="false" customHeight="false" outlineLevel="0" collapsed="false">
      <c r="A953" s="6" t="s">
        <v>591</v>
      </c>
    </row>
    <row r="954" customFormat="false" ht="17.15" hidden="false" customHeight="false" outlineLevel="0" collapsed="false">
      <c r="A954" s="0" t="s">
        <v>592</v>
      </c>
      <c r="B954" s="4" t="s">
        <v>85</v>
      </c>
      <c r="D954" s="18" t="n">
        <f aca="false">gu_26*1</f>
        <v>8.35</v>
      </c>
      <c r="E954" s="18" t="n">
        <f aca="false">gu_27*1*1</f>
        <v>11.2</v>
      </c>
      <c r="F954" s="18" t="n">
        <f aca="false">gu_28*um28_A*1</f>
        <v>11.5</v>
      </c>
      <c r="G954" s="18" t="n">
        <f aca="false">gu_29*um29_A*1</f>
        <v>12.9</v>
      </c>
    </row>
    <row r="955" customFormat="false" ht="15" hidden="false" customHeight="false" outlineLevel="0" collapsed="false">
      <c r="A955" s="4" t="s">
        <v>593</v>
      </c>
      <c r="B955" s="0" t="s">
        <v>52</v>
      </c>
      <c r="D955" s="20" t="n">
        <f aca="false">bsh_26</f>
        <v>0.5</v>
      </c>
      <c r="E955" s="20" t="n">
        <f aca="false">bsh_26*brel_27</f>
        <v>0.5</v>
      </c>
      <c r="F955" s="20" t="n">
        <f aca="false">bsh_26*brel_28</f>
        <v>0.475</v>
      </c>
      <c r="G955" s="20" t="n">
        <f aca="false">bsh_26*brel_29</f>
        <v>0.45</v>
      </c>
    </row>
    <row r="956" customFormat="false" ht="17.15" hidden="false" customHeight="false" outlineLevel="0" collapsed="false">
      <c r="A956" s="4" t="s">
        <v>594</v>
      </c>
      <c r="B956" s="0" t="s">
        <v>543</v>
      </c>
      <c r="D956" s="24" t="n">
        <f aca="false">a26_brd/fx/D954/D955*1000</f>
        <v>823.353293413174</v>
      </c>
      <c r="E956" s="24" t="n">
        <f aca="false">$D956*bv_27</f>
        <v>946.85628742515</v>
      </c>
      <c r="F956" s="24" t="n">
        <f aca="false">$D956*bv_28</f>
        <v>988.023952095808</v>
      </c>
      <c r="G956" s="24" t="n">
        <f aca="false">$D956*bv_29</f>
        <v>988.023952095808</v>
      </c>
      <c r="K956" s="8" t="s">
        <v>595</v>
      </c>
    </row>
    <row r="957" customFormat="false" ht="17.15" hidden="false" customHeight="false" outlineLevel="0" collapsed="false">
      <c r="A957" s="0" t="s">
        <v>545</v>
      </c>
      <c r="B957" s="0" t="s">
        <v>151</v>
      </c>
      <c r="D957" s="21" t="n">
        <f aca="false">D954*D955*D956*fx/1000</f>
        <v>110</v>
      </c>
      <c r="E957" s="21" t="n">
        <f aca="false">E954*E955*E956*fx/1000</f>
        <v>169.676646706587</v>
      </c>
      <c r="F957" s="21" t="n">
        <f aca="false">F954*F955*F956*fx/1000</f>
        <v>172.706586826347</v>
      </c>
      <c r="G957" s="21" t="n">
        <f aca="false">G954*G955*G956*fx/1000</f>
        <v>183.535329341317</v>
      </c>
    </row>
    <row r="958" customFormat="false" ht="17.15" hidden="false" customHeight="false" outlineLevel="0" collapsed="false">
      <c r="A958" s="6" t="s">
        <v>596</v>
      </c>
    </row>
    <row r="959" customFormat="false" ht="15" hidden="false" customHeight="false" outlineLevel="0" collapsed="false">
      <c r="A959" s="4" t="s">
        <v>597</v>
      </c>
      <c r="B959" s="0" t="s">
        <v>151</v>
      </c>
      <c r="D959" s="21" t="n">
        <f aca="false">a26_gen</f>
        <v>150</v>
      </c>
      <c r="E959" s="21" t="n">
        <f aca="false">D959*(1+g_gen27)</f>
        <v>180</v>
      </c>
      <c r="F959" s="21" t="n">
        <f aca="false">E959*(1+g_gen28)</f>
        <v>198</v>
      </c>
      <c r="G959" s="21" t="n">
        <f aca="false">F959*(1+g_gen29)</f>
        <v>213.84</v>
      </c>
    </row>
    <row r="960" customFormat="false" ht="15" hidden="false" customHeight="false" outlineLevel="0" collapsed="false">
      <c r="A960" s="4" t="s">
        <v>598</v>
      </c>
      <c r="B960" s="0" t="s">
        <v>151</v>
      </c>
      <c r="D960" s="21" t="n">
        <f aca="false">a26_pc</f>
        <v>614.602793131557</v>
      </c>
      <c r="E960" s="21" t="n">
        <f aca="false">D960*(1+g_pc27)</f>
        <v>596.16470933761</v>
      </c>
      <c r="F960" s="21" t="n">
        <f aca="false">E960*(1+g_pc28)</f>
        <v>596.16470933761</v>
      </c>
      <c r="G960" s="21" t="n">
        <f aca="false">F960*(1+g_pc29)</f>
        <v>596.16470933761</v>
      </c>
    </row>
    <row r="961" customFormat="false" ht="15" hidden="false" customHeight="false" outlineLevel="0" collapsed="false">
      <c r="A961" s="4" t="s">
        <v>599</v>
      </c>
      <c r="B961" s="0" t="s">
        <v>151</v>
      </c>
      <c r="C961" s="21" t="n">
        <f aca="false">a25_srev</f>
        <v>1235.86</v>
      </c>
      <c r="D961" s="21" t="n">
        <f aca="false">D952+D957+D959+D960</f>
        <v>2651.72505421038</v>
      </c>
      <c r="E961" s="21" t="n">
        <f aca="false">E952+E957+E959+E960</f>
        <v>3816.64127975756</v>
      </c>
      <c r="F961" s="21" t="n">
        <f aca="false">F952+F957+F959+F960</f>
        <v>4039.86719118605</v>
      </c>
      <c r="G961" s="21" t="n">
        <f aca="false">G952+G957+G959+G960</f>
        <v>4102.6505748243</v>
      </c>
    </row>
    <row r="962" customFormat="false" ht="17.15" hidden="false" customHeight="false" outlineLevel="0" collapsed="false">
      <c r="A962" s="4" t="s">
        <v>600</v>
      </c>
      <c r="B962" s="0" t="s">
        <v>52</v>
      </c>
      <c r="D962" s="20" t="n">
        <f aca="false">a26_wai/D945</f>
        <v>0.0341693013513091</v>
      </c>
      <c r="K962" s="8" t="s">
        <v>601</v>
      </c>
    </row>
    <row r="963" customFormat="false" ht="17.15" hidden="false" customHeight="false" outlineLevel="0" collapsed="false">
      <c r="A963" s="4" t="s">
        <v>527</v>
      </c>
      <c r="B963" s="0" t="s">
        <v>52</v>
      </c>
      <c r="D963" s="20" t="n">
        <f aca="false">D962</f>
        <v>0.0341693013513091</v>
      </c>
      <c r="E963" s="20" t="n">
        <f aca="false">$D$962*wrel_27</f>
        <v>0.0341693013513091</v>
      </c>
      <c r="F963" s="20" t="n">
        <f aca="false">$D$962*wrel_28</f>
        <v>0.0341693013513091</v>
      </c>
      <c r="G963" s="20" t="n">
        <f aca="false">$D$962*wrel_29</f>
        <v>0.0324608362837436</v>
      </c>
    </row>
    <row r="964" customFormat="false" ht="17.15" hidden="false" customHeight="false" outlineLevel="0" collapsed="false">
      <c r="A964" s="4" t="s">
        <v>547</v>
      </c>
      <c r="B964" s="0" t="s">
        <v>151</v>
      </c>
      <c r="D964" s="21" t="n">
        <f aca="false">D945*D963</f>
        <v>693.900912</v>
      </c>
      <c r="E964" s="21" t="n">
        <f aca="false">E945*E963</f>
        <v>1245.4909258278</v>
      </c>
      <c r="F964" s="21" t="n">
        <f aca="false">F945*F963</f>
        <v>1578.80516693321</v>
      </c>
      <c r="G964" s="21" t="n">
        <f aca="false">G945*G963</f>
        <v>1708.58325665923</v>
      </c>
    </row>
    <row r="965" customFormat="false" ht="17.15" hidden="false" customHeight="false" outlineLevel="0" collapsed="false">
      <c r="A965" s="4" t="s">
        <v>602</v>
      </c>
      <c r="B965" s="0" t="s">
        <v>151</v>
      </c>
      <c r="D965" s="21" t="n">
        <f aca="false">a26_wna</f>
        <v>751.725988</v>
      </c>
      <c r="E965" s="21" t="n">
        <f aca="false">D965*(1+g_wn27)</f>
        <v>826.8985868</v>
      </c>
      <c r="F965" s="21" t="n">
        <f aca="false">E965*(1+g_wn28)</f>
        <v>876.512502008</v>
      </c>
      <c r="G965" s="21" t="n">
        <f aca="false">F965*(1+g_wn29)</f>
        <v>920.3381271084</v>
      </c>
    </row>
    <row r="966" customFormat="false" ht="15" hidden="false" customHeight="false" outlineLevel="0" collapsed="false">
      <c r="A966" s="4" t="s">
        <v>458</v>
      </c>
      <c r="B966" s="0" t="s">
        <v>151</v>
      </c>
      <c r="C966" s="21" t="n">
        <f aca="false">a25_wrev</f>
        <v>950.663</v>
      </c>
      <c r="D966" s="21" t="n">
        <f aca="false">D964+D965</f>
        <v>1445.6269</v>
      </c>
      <c r="E966" s="21" t="n">
        <f aca="false">E964+E965</f>
        <v>2072.3895126278</v>
      </c>
      <c r="F966" s="21" t="n">
        <f aca="false">F964+F965</f>
        <v>2455.31766894121</v>
      </c>
      <c r="G966" s="21" t="n">
        <f aca="false">G964+G965</f>
        <v>2628.92138376763</v>
      </c>
    </row>
    <row r="967" customFormat="false" ht="17.15" hidden="false" customHeight="false" outlineLevel="0" collapsed="false">
      <c r="A967" s="4" t="s">
        <v>444</v>
      </c>
      <c r="B967" s="0" t="s">
        <v>151</v>
      </c>
      <c r="C967" s="21" t="n">
        <f aca="false">C961+C966</f>
        <v>2186.523</v>
      </c>
      <c r="D967" s="21" t="n">
        <f aca="false">D961+D966</f>
        <v>4097.35195421038</v>
      </c>
      <c r="E967" s="21" t="n">
        <f aca="false">E961+E966</f>
        <v>5889.03079238536</v>
      </c>
      <c r="F967" s="21" t="n">
        <f aca="false">F961+F966</f>
        <v>6495.18486012725</v>
      </c>
      <c r="G967" s="21" t="n">
        <f aca="false">G961+G966</f>
        <v>6731.57195859193</v>
      </c>
      <c r="H967" s="26" t="n">
        <f aca="false">G967*(1+H972)</f>
        <v>7029.53021064286</v>
      </c>
      <c r="I967" s="26" t="n">
        <f aca="false">H967*(1+I972)</f>
        <v>7395.9894768836</v>
      </c>
      <c r="J967" s="26" t="n">
        <f aca="false">I967*(1+J972)</f>
        <v>7839.74884549662</v>
      </c>
      <c r="K967" s="8" t="s">
        <v>603</v>
      </c>
    </row>
    <row r="968" customFormat="false" ht="17.15" hidden="false" customHeight="false" outlineLevel="0" collapsed="false">
      <c r="A968" s="4" t="s">
        <v>604</v>
      </c>
      <c r="B968" s="0" t="s">
        <v>151</v>
      </c>
      <c r="D968" s="21" t="n">
        <f aca="false">D952+D957+D959+D966</f>
        <v>3482.74916107882</v>
      </c>
      <c r="E968" s="21" t="n">
        <f aca="false">E952+E957+E959+E966</f>
        <v>5292.86608304775</v>
      </c>
      <c r="F968" s="21" t="n">
        <f aca="false">F952+F957+F959+F966</f>
        <v>5899.02015078964</v>
      </c>
      <c r="G968" s="21" t="n">
        <f aca="false">G952+G957+G959+G966</f>
        <v>6135.40724925432</v>
      </c>
      <c r="K968" s="4" t="s">
        <v>605</v>
      </c>
    </row>
    <row r="969" customFormat="false" ht="15" hidden="false" customHeight="false" outlineLevel="0" collapsed="false">
      <c r="A969" s="4" t="s">
        <v>606</v>
      </c>
      <c r="B969" s="0" t="s">
        <v>151</v>
      </c>
      <c r="D969" s="21" t="n">
        <f aca="false">D960</f>
        <v>614.602793131557</v>
      </c>
      <c r="E969" s="21" t="n">
        <f aca="false">E960</f>
        <v>596.16470933761</v>
      </c>
      <c r="F969" s="21" t="n">
        <f aca="false">F960</f>
        <v>596.16470933761</v>
      </c>
      <c r="G969" s="21" t="n">
        <f aca="false">G960</f>
        <v>596.16470933761</v>
      </c>
      <c r="K969" s="4" t="s">
        <v>607</v>
      </c>
    </row>
    <row r="970" customFormat="false" ht="17.15" hidden="false" customHeight="false" outlineLevel="0" collapsed="false">
      <c r="A970" s="4" t="s">
        <v>608</v>
      </c>
      <c r="B970" s="0" t="s">
        <v>151</v>
      </c>
      <c r="D970" s="31" t="n">
        <f aca="false">D968+D969-D967</f>
        <v>0</v>
      </c>
      <c r="E970" s="31" t="n">
        <f aca="false">E968+E969-E967</f>
        <v>0</v>
      </c>
      <c r="F970" s="31" t="n">
        <f aca="false">F968+F969-F967</f>
        <v>0</v>
      </c>
      <c r="G970" s="31" t="n">
        <f aca="false">G968+G969-G967</f>
        <v>0</v>
      </c>
    </row>
    <row r="971" customFormat="false" ht="17.15" hidden="false" customHeight="false" outlineLevel="0" collapsed="false">
      <c r="A971" s="4" t="s">
        <v>609</v>
      </c>
      <c r="B971" s="0" t="s">
        <v>52</v>
      </c>
      <c r="D971" s="20" t="n">
        <f aca="false">D968/D967</f>
        <v>0.85</v>
      </c>
      <c r="E971" s="20" t="n">
        <f aca="false">E968/E967</f>
        <v>0.898766922715286</v>
      </c>
      <c r="F971" s="20" t="n">
        <f aca="false">F968/F967</f>
        <v>0.908214358455391</v>
      </c>
      <c r="G971" s="20" t="n">
        <f aca="false">G968/G967</f>
        <v>0.911437519645514</v>
      </c>
    </row>
    <row r="972" customFormat="false" ht="15" hidden="false" customHeight="false" outlineLevel="0" collapsed="false">
      <c r="A972" s="4" t="s">
        <v>610</v>
      </c>
      <c r="B972" s="0" t="s">
        <v>52</v>
      </c>
      <c r="D972" s="20" t="n">
        <f aca="false">D967/C967-1</f>
        <v>0.873912121761526</v>
      </c>
      <c r="E972" s="20" t="n">
        <f aca="false">E967/D967-1</f>
        <v>0.437277260581405</v>
      </c>
      <c r="F972" s="20" t="n">
        <f aca="false">F967/E967-1</f>
        <v>0.102929342554239</v>
      </c>
      <c r="G972" s="20" t="n">
        <f aca="false">G967/F967-1</f>
        <v>0.0363942064090907</v>
      </c>
      <c r="H972" s="27" t="n">
        <f aca="false">$G972+(fade_gA-$G972)*1/3</f>
        <v>0.0442628042727272</v>
      </c>
      <c r="I972" s="27" t="n">
        <f aca="false">$G972+(fade_gA-$G972)*2/3</f>
        <v>0.0521314021363636</v>
      </c>
      <c r="J972" s="27" t="n">
        <f aca="false">$G972+(fade_gA-$G972)*3/3</f>
        <v>0.06</v>
      </c>
    </row>
    <row r="973" customFormat="false" ht="17.15" hidden="false" customHeight="false" outlineLevel="0" collapsed="false">
      <c r="A973" s="0" t="s">
        <v>611</v>
      </c>
      <c r="B973" s="0" t="s">
        <v>52</v>
      </c>
      <c r="D973" s="20" t="n">
        <f aca="false">(D952+D957+D964)/D967</f>
        <v>0.629924693295288</v>
      </c>
      <c r="E973" s="20" t="n">
        <f aca="false">(E952+E957+E964)/E967</f>
        <v>0.727788263866712</v>
      </c>
      <c r="F973" s="20" t="n">
        <f aca="false">(F952+F957+F964)/F967</f>
        <v>0.742782192143354</v>
      </c>
      <c r="G973" s="20" t="n">
        <f aca="false">(G952+G957+G964)/G967</f>
        <v>0.742951149138729</v>
      </c>
    </row>
    <row r="974" customFormat="false" ht="17.15" hidden="false" customHeight="false" outlineLevel="0" collapsed="false">
      <c r="A974" s="4" t="s">
        <v>612</v>
      </c>
      <c r="B974" s="0" t="s">
        <v>52</v>
      </c>
      <c r="C974" s="20" t="n">
        <f aca="false">C966/C967</f>
        <v>0.434782986504144</v>
      </c>
      <c r="D974" s="20" t="n">
        <f aca="false">D966/D967</f>
        <v>0.352819800728736</v>
      </c>
      <c r="E974" s="20" t="n">
        <f aca="false">E966/E967</f>
        <v>0.351906720424598</v>
      </c>
      <c r="F974" s="20" t="n">
        <f aca="false">F966/F967</f>
        <v>0.378021214455951</v>
      </c>
      <c r="G974" s="20" t="n">
        <f aca="false">G966/G967</f>
        <v>0.390536029316626</v>
      </c>
    </row>
    <row r="975" customFormat="false" ht="17.15" hidden="false" customHeight="false" outlineLevel="0" collapsed="false">
      <c r="A975" s="4" t="s">
        <v>613</v>
      </c>
      <c r="B975" s="4" t="s">
        <v>335</v>
      </c>
      <c r="D975" s="21" t="n">
        <f aca="false">D950/fx/(odm_gb*(1-vr26)+odm_vr*vr26)</f>
        <v>12.0597330420658</v>
      </c>
      <c r="E975" s="21" t="n">
        <f aca="false">E950/fx/odm_vr</f>
        <v>14.7674893195132</v>
      </c>
      <c r="F975" s="21" t="n">
        <f aca="false">F950/fx/odm_vr</f>
        <v>17.7835410591556</v>
      </c>
      <c r="G975" s="21" t="n">
        <f aca="false">G950/fx/odm_vr</f>
        <v>19.1920403465763</v>
      </c>
      <c r="K975" s="4" t="s">
        <v>614</v>
      </c>
    </row>
    <row r="976" customFormat="false" ht="17.15" hidden="false" customHeight="false" outlineLevel="0" collapsed="false">
      <c r="A976" s="6" t="s">
        <v>615</v>
      </c>
    </row>
    <row r="977" customFormat="false" ht="17.15" hidden="false" customHeight="false" outlineLevel="0" collapsed="false">
      <c r="A977" s="4" t="s">
        <v>616</v>
      </c>
      <c r="B977" s="0" t="s">
        <v>52</v>
      </c>
      <c r="D977" s="14" t="n">
        <f aca="false">(a26_sgp-d_ai*D952-d_brd*D957-d_gen*D959)/D961</f>
        <v>0.0436423860147897</v>
      </c>
      <c r="K977" s="8" t="s">
        <v>617</v>
      </c>
    </row>
    <row r="978" customFormat="false" ht="17.15" hidden="false" customHeight="false" outlineLevel="0" collapsed="false">
      <c r="A978" s="4" t="s">
        <v>618</v>
      </c>
      <c r="B978" s="0" t="s">
        <v>151</v>
      </c>
      <c r="D978" s="25" t="n">
        <f aca="false">($D$977+d_ai)*D950*(1-D951*(1-keep))</f>
        <v>59.7866331026896</v>
      </c>
      <c r="E978" s="25" t="n">
        <f aca="false">($D$977+d_ai+vrd)*E950*(1-E951*(1-keep))</f>
        <v>99.9228552931037</v>
      </c>
      <c r="F978" s="25" t="n">
        <f aca="false">($D$977+d_ai+vrd)*F950*(1-F951*(1-keep))</f>
        <v>119.115229856888</v>
      </c>
      <c r="G978" s="25" t="n">
        <f aca="false">($D$977+d_ai+vrd)*G950*(1-G951*(1-keep))</f>
        <v>127.89357847157</v>
      </c>
    </row>
    <row r="979" customFormat="false" ht="15" hidden="false" customHeight="false" outlineLevel="0" collapsed="false">
      <c r="A979" s="4" t="s">
        <v>619</v>
      </c>
      <c r="B979" s="0" t="s">
        <v>151</v>
      </c>
      <c r="C979" s="21" t="n">
        <f aca="false">a25_sgp</f>
        <v>55.529</v>
      </c>
      <c r="D979" s="21" t="n">
        <f aca="false">a26_sgp</f>
        <v>103.50638581015</v>
      </c>
      <c r="E979" s="21" t="n">
        <f aca="false">$D$977*E960+($D$977+d_brd)*E957+($D$977+d_gen)*E959+E978</f>
        <v>148.991928263534</v>
      </c>
      <c r="F979" s="21" t="n">
        <f aca="false">$D$977*F960+($D$977+d_brd)*F957+($D$977+d_gen)*F959+F978</f>
        <v>169.462997795485</v>
      </c>
      <c r="G979" s="21" t="n">
        <f aca="false">$D$977*G960+($D$977+d_brd)*G957+($D$977+d_gen)*G959+G978</f>
        <v>179.967696240984</v>
      </c>
    </row>
    <row r="980" customFormat="false" ht="15" hidden="false" customHeight="false" outlineLevel="0" collapsed="false">
      <c r="A980" s="4" t="s">
        <v>620</v>
      </c>
      <c r="B980" s="0" t="s">
        <v>52</v>
      </c>
      <c r="C980" s="14" t="n">
        <f aca="false">C979/C961</f>
        <v>0.0449314647290146</v>
      </c>
      <c r="D980" s="14" t="n">
        <f aca="false">D979/D961</f>
        <v>0.0390336040479778</v>
      </c>
      <c r="E980" s="14" t="n">
        <f aca="false">E979/E961</f>
        <v>0.0390374461057547</v>
      </c>
      <c r="F980" s="14" t="n">
        <f aca="false">F979/F961</f>
        <v>0.0419476655483156</v>
      </c>
      <c r="G980" s="14" t="n">
        <f aca="false">G979/G961</f>
        <v>0.0438662013639053</v>
      </c>
    </row>
    <row r="981" customFormat="false" ht="15" hidden="false" customHeight="false" outlineLevel="0" collapsed="false">
      <c r="A981" s="4" t="s">
        <v>621</v>
      </c>
      <c r="B981" s="0" t="s">
        <v>52</v>
      </c>
      <c r="E981" s="20" t="n">
        <f aca="false">MAX(0,phi*(E961/D961-1))</f>
        <v>0.13179151703879</v>
      </c>
      <c r="F981" s="20" t="n">
        <f aca="false">MAX(0,phi*(F961/E961-1))</f>
        <v>0.0175462582202121</v>
      </c>
      <c r="G981" s="20" t="n">
        <f aca="false">MAX(0,phi*(G961/F961-1))</f>
        <v>0.00466228571388885</v>
      </c>
    </row>
    <row r="982" customFormat="false" ht="15" hidden="false" customHeight="false" outlineLevel="0" collapsed="false">
      <c r="A982" s="4" t="s">
        <v>622</v>
      </c>
      <c r="B982" s="0" t="s">
        <v>151</v>
      </c>
      <c r="C982" s="21" t="n">
        <f aca="false">a25_sopx</f>
        <v>40.894</v>
      </c>
      <c r="D982" s="21" t="n">
        <f aca="false">a26_sopx</f>
        <v>46.9914095398923</v>
      </c>
      <c r="E982" s="21" t="n">
        <f aca="false">D982*(1+E981)+0*E961</f>
        <v>53.1844786909457</v>
      </c>
      <c r="F982" s="21" t="n">
        <f aca="false">E982*(1+F981)+0*F961</f>
        <v>54.1176672873644</v>
      </c>
      <c r="G982" s="21" t="n">
        <f aca="false">F982*(1+G981)+0*G961</f>
        <v>54.3699793144273</v>
      </c>
    </row>
    <row r="983" customFormat="false" ht="15" hidden="false" customHeight="false" outlineLevel="0" collapsed="false">
      <c r="A983" s="4" t="s">
        <v>623</v>
      </c>
      <c r="B983" s="0" t="s">
        <v>151</v>
      </c>
      <c r="C983" s="21" t="n">
        <f aca="false">C979-C982</f>
        <v>14.635</v>
      </c>
      <c r="D983" s="21" t="n">
        <f aca="false">D979-D982</f>
        <v>56.514976270258</v>
      </c>
      <c r="E983" s="21" t="n">
        <f aca="false">E979-E982</f>
        <v>95.8074495725885</v>
      </c>
      <c r="F983" s="21" t="n">
        <f aca="false">F979-F982</f>
        <v>115.345330508121</v>
      </c>
      <c r="G983" s="21" t="n">
        <f aca="false">G979-G982</f>
        <v>125.597716926557</v>
      </c>
    </row>
    <row r="984" customFormat="false" ht="15" hidden="false" customHeight="false" outlineLevel="0" collapsed="false">
      <c r="A984" s="4" t="s">
        <v>624</v>
      </c>
      <c r="B984" s="0" t="s">
        <v>52</v>
      </c>
      <c r="C984" s="14" t="n">
        <f aca="false">C983/C961</f>
        <v>0.011841956208632</v>
      </c>
      <c r="D984" s="14" t="n">
        <f aca="false">D983/D961</f>
        <v>0.0213125324514788</v>
      </c>
      <c r="E984" s="14" t="n">
        <f aca="false">E983/E961</f>
        <v>0.0251025555062577</v>
      </c>
      <c r="F984" s="14" t="n">
        <f aca="false">F983/F961</f>
        <v>0.0285517629786878</v>
      </c>
      <c r="G984" s="14" t="n">
        <f aca="false">G983/G961</f>
        <v>0.0306137982350437</v>
      </c>
    </row>
    <row r="985" customFormat="false" ht="15" hidden="false" customHeight="false" outlineLevel="0" collapsed="false">
      <c r="A985" s="4" t="s">
        <v>625</v>
      </c>
      <c r="B985" s="0" t="s">
        <v>151</v>
      </c>
      <c r="C985" s="21" t="n">
        <f aca="false">a25_sni</f>
        <v>6.9608</v>
      </c>
      <c r="D985" s="21" t="n">
        <f aca="false">a26_sni</f>
        <v>31.133746704</v>
      </c>
      <c r="E985" s="21" t="n">
        <f aca="false">E983*snio</f>
        <v>53.6521717606496</v>
      </c>
      <c r="F985" s="21" t="n">
        <f aca="false">F983*snio</f>
        <v>64.5933850845478</v>
      </c>
      <c r="G985" s="21" t="n">
        <f aca="false">G983*snio</f>
        <v>70.334721478872</v>
      </c>
    </row>
    <row r="986" customFormat="false" ht="17.15" hidden="false" customHeight="false" outlineLevel="0" collapsed="false">
      <c r="A986" s="6" t="s">
        <v>626</v>
      </c>
    </row>
    <row r="987" customFormat="false" ht="15" hidden="false" customHeight="false" outlineLevel="0" collapsed="false">
      <c r="A987" s="4" t="s">
        <v>462</v>
      </c>
      <c r="B987" s="0" t="s">
        <v>151</v>
      </c>
      <c r="C987" s="21" t="n">
        <f aca="false">a25_wgp</f>
        <v>78.454</v>
      </c>
      <c r="D987" s="21" t="n">
        <f aca="false">a26_wgp</f>
        <v>125.0519932</v>
      </c>
      <c r="E987" s="21" t="n">
        <f aca="false">E966*wgm</f>
        <v>176.153108573363</v>
      </c>
      <c r="F987" s="21" t="n">
        <f aca="false">F966*wgm</f>
        <v>208.702001860003</v>
      </c>
      <c r="G987" s="21" t="n">
        <f aca="false">G966*wgm</f>
        <v>223.458317620249</v>
      </c>
    </row>
    <row r="988" customFormat="false" ht="15" hidden="false" customHeight="false" outlineLevel="0" collapsed="false">
      <c r="A988" s="4" t="s">
        <v>464</v>
      </c>
      <c r="B988" s="0" t="s">
        <v>151</v>
      </c>
      <c r="C988" s="21" t="n">
        <f aca="false">a25_woi</f>
        <v>63.918</v>
      </c>
      <c r="D988" s="21" t="n">
        <f aca="false">a26_woi</f>
        <v>98.2471632</v>
      </c>
      <c r="E988" s="21" t="n">
        <f aca="false">E966*wopm_lo</f>
        <v>113.981423194529</v>
      </c>
      <c r="F988" s="21" t="n">
        <f aca="false">F966*wopm_lo</f>
        <v>135.042471791767</v>
      </c>
      <c r="G988" s="21" t="n">
        <f aca="false">G966*wopm_lo</f>
        <v>144.59067610722</v>
      </c>
    </row>
    <row r="989" customFormat="false" ht="15" hidden="false" customHeight="false" outlineLevel="0" collapsed="false">
      <c r="A989" s="4" t="s">
        <v>472</v>
      </c>
      <c r="B989" s="0" t="s">
        <v>151</v>
      </c>
      <c r="C989" s="21" t="n">
        <f aca="false">a25_wni</f>
        <v>51.118</v>
      </c>
      <c r="D989" s="21" t="n">
        <f aca="false">a26_wni</f>
        <v>75.735026884</v>
      </c>
      <c r="E989" s="21" t="n">
        <f aca="false">E988*wnio</f>
        <v>88.9055100917327</v>
      </c>
      <c r="F989" s="21" t="n">
        <f aca="false">F988*wnio</f>
        <v>105.333127997578</v>
      </c>
      <c r="G989" s="21" t="n">
        <f aca="false">G988*wnio</f>
        <v>112.780727363631</v>
      </c>
    </row>
    <row r="990" customFormat="false" ht="15" hidden="false" customHeight="false" outlineLevel="0" collapsed="false">
      <c r="A990" s="4" t="s">
        <v>474</v>
      </c>
      <c r="B990" s="0" t="s">
        <v>52</v>
      </c>
      <c r="C990" s="14" t="n">
        <f aca="false">stake25</f>
        <v>0.4</v>
      </c>
      <c r="D990" s="14" t="n">
        <f aca="false">stake</f>
        <v>0.3768</v>
      </c>
      <c r="E990" s="14" t="n">
        <f aca="false">stake</f>
        <v>0.3768</v>
      </c>
      <c r="F990" s="14" t="n">
        <f aca="false">stake</f>
        <v>0.3768</v>
      </c>
      <c r="G990" s="14" t="n">
        <f aca="false">stake</f>
        <v>0.3768</v>
      </c>
    </row>
    <row r="991" customFormat="false" ht="17.15" hidden="false" customHeight="false" outlineLevel="0" collapsed="false">
      <c r="A991" s="6" t="s">
        <v>627</v>
      </c>
    </row>
    <row r="992" customFormat="false" ht="15" hidden="false" customHeight="false" outlineLevel="0" collapsed="false">
      <c r="A992" s="4" t="s">
        <v>448</v>
      </c>
      <c r="B992" s="0" t="s">
        <v>151</v>
      </c>
      <c r="C992" s="21" t="n">
        <f aca="false">C979+C987</f>
        <v>133.983</v>
      </c>
      <c r="D992" s="21" t="n">
        <f aca="false">D979+D987</f>
        <v>228.55837901015</v>
      </c>
      <c r="E992" s="21" t="n">
        <f aca="false">E979+E987</f>
        <v>325.145036836897</v>
      </c>
      <c r="F992" s="21" t="n">
        <f aca="false">F979+F987</f>
        <v>378.164999655488</v>
      </c>
      <c r="G992" s="21" t="n">
        <f aca="false">G979+G987</f>
        <v>403.426013861233</v>
      </c>
    </row>
    <row r="993" customFormat="false" ht="15" hidden="false" customHeight="false" outlineLevel="0" collapsed="false">
      <c r="A993" s="4" t="s">
        <v>451</v>
      </c>
      <c r="B993" s="0" t="s">
        <v>52</v>
      </c>
      <c r="C993" s="14" t="n">
        <f aca="false">C992/C967</f>
        <v>0.0612767393711386</v>
      </c>
      <c r="D993" s="14" t="n">
        <f aca="false">D992/D967</f>
        <v>0.055781973714825</v>
      </c>
      <c r="E993" s="14" t="n">
        <f aca="false">E992/E967</f>
        <v>0.0552119777090174</v>
      </c>
      <c r="F993" s="14" t="n">
        <f aca="false">F992/F967</f>
        <v>0.0582223613029051</v>
      </c>
      <c r="G993" s="14" t="n">
        <f aca="false">G992/G967</f>
        <v>0.0599304317539554</v>
      </c>
    </row>
    <row r="994" customFormat="false" ht="15" hidden="false" customHeight="false" outlineLevel="0" collapsed="false">
      <c r="A994" s="4" t="s">
        <v>452</v>
      </c>
      <c r="B994" s="0" t="s">
        <v>151</v>
      </c>
      <c r="C994" s="21" t="n">
        <f aca="false">C983+C988</f>
        <v>78.553</v>
      </c>
      <c r="D994" s="21" t="n">
        <f aca="false">D983+D988</f>
        <v>154.762139470258</v>
      </c>
      <c r="E994" s="21" t="n">
        <f aca="false">E983+E988</f>
        <v>209.788872767118</v>
      </c>
      <c r="F994" s="21" t="n">
        <f aca="false">F983+F988</f>
        <v>250.387802299888</v>
      </c>
      <c r="G994" s="21" t="n">
        <f aca="false">G983+G988</f>
        <v>270.188393033777</v>
      </c>
    </row>
    <row r="995" customFormat="false" ht="15" hidden="false" customHeight="false" outlineLevel="0" collapsed="false">
      <c r="A995" s="4" t="s">
        <v>455</v>
      </c>
      <c r="B995" s="0" t="s">
        <v>52</v>
      </c>
      <c r="C995" s="14" t="n">
        <f aca="false">C994/C967</f>
        <v>0.0359259884300325</v>
      </c>
      <c r="D995" s="14" t="n">
        <f aca="false">D994/D967</f>
        <v>0.0377712584126992</v>
      </c>
      <c r="E995" s="14" t="n">
        <f aca="false">E994/E967</f>
        <v>0.035623667147127</v>
      </c>
      <c r="F995" s="14" t="n">
        <f aca="false">F994/F967</f>
        <v>0.0385497576577031</v>
      </c>
      <c r="G995" s="14" t="n">
        <f aca="false">G994/G967</f>
        <v>0.0401374886424438</v>
      </c>
    </row>
    <row r="996" customFormat="false" ht="15" hidden="false" customHeight="false" outlineLevel="0" collapsed="false">
      <c r="A996" s="4" t="s">
        <v>485</v>
      </c>
      <c r="B996" s="0" t="s">
        <v>151</v>
      </c>
      <c r="C996" s="21" t="n">
        <f aca="false">C985+C989</f>
        <v>58.0788</v>
      </c>
      <c r="D996" s="21" t="n">
        <f aca="false">D985+D989</f>
        <v>106.868773588</v>
      </c>
      <c r="E996" s="21" t="n">
        <f aca="false">E985+E989</f>
        <v>142.557681852382</v>
      </c>
      <c r="F996" s="21" t="n">
        <f aca="false">F985+F989</f>
        <v>169.926513082126</v>
      </c>
      <c r="G996" s="21" t="n">
        <f aca="false">G985+G989</f>
        <v>183.115448842503</v>
      </c>
    </row>
    <row r="997" customFormat="false" ht="17.15" hidden="false" customHeight="false" outlineLevel="0" collapsed="false">
      <c r="A997" s="4" t="s">
        <v>628</v>
      </c>
      <c r="B997" s="0" t="s">
        <v>151</v>
      </c>
      <c r="C997" s="21" t="n">
        <f aca="false">(1-C990)*C989</f>
        <v>30.6708</v>
      </c>
      <c r="D997" s="21" t="n">
        <f aca="false">(1-D990)*D989</f>
        <v>47.1980687541088</v>
      </c>
      <c r="E997" s="21" t="n">
        <f aca="false">(1-E990)*E989</f>
        <v>55.4059138891678</v>
      </c>
      <c r="F997" s="21" t="n">
        <f aca="false">(1-F990)*F989</f>
        <v>65.6436053680905</v>
      </c>
      <c r="G997" s="21" t="n">
        <f aca="false">(1-G990)*G989</f>
        <v>70.2849492930151</v>
      </c>
    </row>
    <row r="998" customFormat="false" ht="15" hidden="false" customHeight="false" outlineLevel="0" collapsed="false">
      <c r="A998" s="4" t="s">
        <v>481</v>
      </c>
      <c r="B998" s="0" t="s">
        <v>151</v>
      </c>
      <c r="C998" s="21" t="n">
        <f aca="false">C996-C997</f>
        <v>27.408</v>
      </c>
      <c r="D998" s="21" t="n">
        <f aca="false">D996-D997</f>
        <v>59.6707048338912</v>
      </c>
      <c r="E998" s="21" t="n">
        <f aca="false">E996-E997</f>
        <v>87.1517679632145</v>
      </c>
      <c r="F998" s="21" t="n">
        <f aca="false">F996-F997</f>
        <v>104.282907714035</v>
      </c>
      <c r="G998" s="21" t="n">
        <f aca="false">G996-G997</f>
        <v>112.830499549488</v>
      </c>
      <c r="H998" s="26" t="n">
        <f aca="false">H967*H1003</f>
        <v>120.514194495997</v>
      </c>
      <c r="I998" s="26" t="n">
        <f aca="false">I967*I1003</f>
        <v>129.626476500198</v>
      </c>
      <c r="J998" s="26" t="n">
        <f aca="false">J967*J1003</f>
        <v>140.403555642067</v>
      </c>
    </row>
    <row r="999" customFormat="false" ht="17.15" hidden="false" customHeight="false" outlineLevel="0" collapsed="false">
      <c r="A999" s="4" t="s">
        <v>629</v>
      </c>
      <c r="B999" s="0" t="s">
        <v>52</v>
      </c>
      <c r="C999" s="20" t="n">
        <f aca="false">C990*C989/C998</f>
        <v>0.746030356100409</v>
      </c>
      <c r="D999" s="20" t="n">
        <f aca="false">D990*D989/D998</f>
        <v>0.478240674537551</v>
      </c>
      <c r="E999" s="20" t="n">
        <f aca="false">E990*E989/E998</f>
        <v>0.384382290634707</v>
      </c>
      <c r="F999" s="20" t="n">
        <f aca="false">F990*F989/F998</f>
        <v>0.380594706261203</v>
      </c>
      <c r="G999" s="20" t="n">
        <f aca="false">G990*G989/G998</f>
        <v>0.376633784661898</v>
      </c>
    </row>
    <row r="1000" customFormat="false" ht="17.15" hidden="false" customHeight="false" outlineLevel="0" collapsed="false">
      <c r="A1000" s="4" t="s">
        <v>630</v>
      </c>
      <c r="B1000" s="4" t="s">
        <v>286</v>
      </c>
      <c r="C1000" s="31" t="n">
        <f aca="false">a25_sh</f>
        <v>3.03185840707965</v>
      </c>
      <c r="D1000" s="31" t="n">
        <f aca="false">a26_sh</f>
        <v>3.23861720409076</v>
      </c>
      <c r="E1000" s="31" t="n">
        <f aca="false">q_sh4*(1+sh_g)</f>
        <v>3.43</v>
      </c>
      <c r="F1000" s="31" t="n">
        <f aca="false">E1000*(1+sh_g)</f>
        <v>3.43</v>
      </c>
      <c r="G1000" s="31" t="n">
        <f aca="false">F1000*(1+sh_g)</f>
        <v>3.43</v>
      </c>
      <c r="H1000" s="32" t="n">
        <f aca="false">G1000*(1+sh_g)</f>
        <v>3.43</v>
      </c>
      <c r="I1000" s="32" t="n">
        <f aca="false">H1000*(1+sh_g)</f>
        <v>3.43</v>
      </c>
      <c r="J1000" s="32" t="n">
        <f aca="false">I1000*(1+sh_g)</f>
        <v>3.43</v>
      </c>
      <c r="K1000" s="8" t="s">
        <v>631</v>
      </c>
    </row>
    <row r="1001" customFormat="false" ht="15" hidden="false" customHeight="false" outlineLevel="0" collapsed="false">
      <c r="A1001" s="0" t="s">
        <v>488</v>
      </c>
      <c r="B1001" s="0" t="s">
        <v>316</v>
      </c>
      <c r="C1001" s="18" t="n">
        <f aca="false">C998/C1000</f>
        <v>9.04</v>
      </c>
      <c r="D1001" s="18" t="n">
        <f aca="false">D998/D1000</f>
        <v>18.4247476850676</v>
      </c>
      <c r="E1001" s="18" t="n">
        <f aca="false">E998/E1000</f>
        <v>25.4086787064765</v>
      </c>
      <c r="F1001" s="18" t="n">
        <f aca="false">F998/F1000</f>
        <v>30.4031800915554</v>
      </c>
      <c r="G1001" s="18" t="n">
        <f aca="false">G998/G1000</f>
        <v>32.8951893730287</v>
      </c>
      <c r="H1001" s="29" t="n">
        <f aca="false">H998/H1000</f>
        <v>35.1353336723024</v>
      </c>
      <c r="I1001" s="29" t="n">
        <f aca="false">I998/I1000</f>
        <v>37.7919756560344</v>
      </c>
      <c r="J1001" s="29" t="n">
        <f aca="false">J998/J1000</f>
        <v>40.9339812367544</v>
      </c>
    </row>
    <row r="1002" customFormat="false" ht="17.15" hidden="false" customHeight="false" outlineLevel="0" collapsed="false">
      <c r="A1002" s="0" t="s">
        <v>632</v>
      </c>
      <c r="B1002" s="0" t="s">
        <v>52</v>
      </c>
      <c r="D1002" s="20" t="n">
        <f aca="false">D1001/C1001-1</f>
        <v>1.03813580587031</v>
      </c>
      <c r="E1002" s="20" t="n">
        <f aca="false">E1001/D1001-1</f>
        <v>0.37905165057262</v>
      </c>
      <c r="F1002" s="20" t="n">
        <f aca="false">F1001/E1001-1</f>
        <v>0.196566749604569</v>
      </c>
      <c r="G1002" s="20" t="n">
        <f aca="false">G1001/F1001-1</f>
        <v>0.0819654152614577</v>
      </c>
      <c r="H1002" s="27" t="n">
        <f aca="false">H1001/G1001-1</f>
        <v>0.0680994498578715</v>
      </c>
      <c r="I1002" s="27" t="n">
        <f aca="false">I1001/H1001-1</f>
        <v>0.0756116907415703</v>
      </c>
      <c r="J1002" s="27" t="n">
        <f aca="false">J1001/I1001-1</f>
        <v>0.0831394899625537</v>
      </c>
    </row>
    <row r="1003" customFormat="false" ht="17.15" hidden="false" customHeight="false" outlineLevel="0" collapsed="false">
      <c r="A1003" s="4" t="s">
        <v>633</v>
      </c>
      <c r="B1003" s="0" t="s">
        <v>52</v>
      </c>
      <c r="C1003" s="14" t="n">
        <f aca="false">C998/C967</f>
        <v>0.0125349699042727</v>
      </c>
      <c r="D1003" s="14" t="n">
        <f aca="false">D998/D967</f>
        <v>0.0145632363293992</v>
      </c>
      <c r="E1003" s="14" t="n">
        <f aca="false">E998/E967</f>
        <v>0.0147990002150954</v>
      </c>
      <c r="F1003" s="14" t="n">
        <f aca="false">F998/F967</f>
        <v>0.0160554179688108</v>
      </c>
      <c r="G1003" s="14" t="n">
        <f aca="false">G998/G967</f>
        <v>0.0167613895006315</v>
      </c>
      <c r="H1003" s="28" t="n">
        <f aca="false">$G1003+(fade_mA-$G1003)*1/3</f>
        <v>0.0171439898378324</v>
      </c>
      <c r="I1003" s="28" t="n">
        <f aca="false">$G1003+(fade_mA-$G1003)*2/3</f>
        <v>0.0175265901750333</v>
      </c>
      <c r="J1003" s="28" t="n">
        <f aca="false">$G1003+(fade_mA-$G1003)*3/3</f>
        <v>0.0179091905122343</v>
      </c>
    </row>
    <row r="1006" customFormat="false" ht="17.15" hidden="false" customHeight="false" outlineLevel="0" collapsed="false">
      <c r="A1006" s="1" t="s">
        <v>961</v>
      </c>
    </row>
    <row r="1007" customFormat="false" ht="17.15" hidden="false" customHeight="false" outlineLevel="0" collapsed="false">
      <c r="A1007" s="5" t="s">
        <v>21</v>
      </c>
      <c r="B1007" s="5" t="s">
        <v>22</v>
      </c>
      <c r="C1007" s="15" t="s">
        <v>438</v>
      </c>
      <c r="D1007" s="15" t="s">
        <v>552</v>
      </c>
      <c r="E1007" s="15" t="s">
        <v>553</v>
      </c>
      <c r="F1007" s="15" t="s">
        <v>554</v>
      </c>
      <c r="G1007" s="15" t="s">
        <v>555</v>
      </c>
      <c r="H1007" s="15" t="s">
        <v>556</v>
      </c>
      <c r="I1007" s="15" t="s">
        <v>557</v>
      </c>
      <c r="J1007" s="15" t="s">
        <v>558</v>
      </c>
      <c r="K1007" s="5" t="s">
        <v>420</v>
      </c>
    </row>
    <row r="1008" customFormat="false" ht="17.15" hidden="false" customHeight="false" outlineLevel="0" collapsed="false">
      <c r="A1008" s="6" t="s">
        <v>573</v>
      </c>
    </row>
    <row r="1009" customFormat="false" ht="17.15" hidden="false" customHeight="false" outlineLevel="0" collapsed="false">
      <c r="A1009" s="0" t="s">
        <v>574</v>
      </c>
      <c r="B1009" s="0" t="s">
        <v>32</v>
      </c>
      <c r="D1009" s="21" t="n">
        <f aca="false">itc_26*1</f>
        <v>781.872916666666</v>
      </c>
      <c r="E1009" s="21" t="n">
        <f aca="false">itc_27*1*1</f>
        <v>1565.35</v>
      </c>
      <c r="F1009" s="21" t="n">
        <f aca="false">itc_28*um28_A*1</f>
        <v>1984.26388888889</v>
      </c>
      <c r="G1009" s="21" t="n">
        <f aca="false">itc_29*um29_A*1</f>
        <v>2260.39027777778</v>
      </c>
    </row>
    <row r="1010" customFormat="false" ht="17.15" hidden="false" customHeight="false" outlineLevel="0" collapsed="false">
      <c r="A1010" s="4" t="s">
        <v>575</v>
      </c>
      <c r="B1010" s="0" t="s">
        <v>32</v>
      </c>
      <c r="D1010" s="21" t="n">
        <f aca="false">itpg_gb*(1-vr26)+itpg_vr*vr26</f>
        <v>33.41403216</v>
      </c>
      <c r="E1010" s="21" t="n">
        <f aca="false">itpg_vr</f>
        <v>37.586352</v>
      </c>
      <c r="F1010" s="21" t="n">
        <f aca="false">itpg_vr</f>
        <v>37.586352</v>
      </c>
      <c r="G1010" s="21" t="n">
        <f aca="false">itpg_vr</f>
        <v>37.586352</v>
      </c>
    </row>
    <row r="1011" customFormat="false" ht="17.15" hidden="false" customHeight="false" outlineLevel="0" collapsed="false">
      <c r="A1011" s="4" t="s">
        <v>576</v>
      </c>
      <c r="B1011" s="0" t="s">
        <v>521</v>
      </c>
      <c r="D1011" s="22" t="n">
        <f aca="false">D1009/D1010</f>
        <v>23.3995380420639</v>
      </c>
      <c r="E1011" s="22" t="n">
        <f aca="false">E1009/E1010</f>
        <v>41.6467658260637</v>
      </c>
      <c r="F1011" s="22" t="n">
        <f aca="false">F1009/F1010</f>
        <v>52.792138191248</v>
      </c>
      <c r="G1011" s="22" t="n">
        <f aca="false">G1009/G1010</f>
        <v>60.1385917361116</v>
      </c>
    </row>
    <row r="1012" customFormat="false" ht="17.15" hidden="false" customHeight="false" outlineLevel="0" collapsed="false">
      <c r="A1012" s="4" t="s">
        <v>577</v>
      </c>
      <c r="B1012" s="0" t="s">
        <v>578</v>
      </c>
      <c r="D1012" s="18" t="n">
        <f aca="false">(racks_gb*odm_gb*(1-vr26)+racks_vr*odm_vr*vr26)/1000</f>
        <v>27.1209</v>
      </c>
      <c r="E1012" s="18" t="n">
        <f aca="false">racks_vr*odm_vr/1000</f>
        <v>27.351</v>
      </c>
      <c r="F1012" s="18" t="n">
        <f aca="false">$E1012*vpg_28</f>
        <v>27.351</v>
      </c>
      <c r="G1012" s="18" t="n">
        <f aca="false">$E1012*vpg_29</f>
        <v>27.351</v>
      </c>
      <c r="K1012" s="4" t="s">
        <v>579</v>
      </c>
    </row>
    <row r="1013" customFormat="false" ht="17.15" hidden="false" customHeight="false" outlineLevel="0" collapsed="false">
      <c r="A1013" s="0" t="s">
        <v>580</v>
      </c>
      <c r="B1013" s="0" t="s">
        <v>32</v>
      </c>
      <c r="D1013" s="21" t="n">
        <f aca="false">D1011*D1012</f>
        <v>634.61653128501</v>
      </c>
      <c r="E1013" s="21" t="n">
        <f aca="false">E1011*E1012</f>
        <v>1139.08069210867</v>
      </c>
      <c r="F1013" s="21" t="n">
        <f aca="false">F1011*F1012</f>
        <v>1443.91777166882</v>
      </c>
      <c r="G1013" s="21" t="n">
        <f aca="false">G1011*G1012</f>
        <v>1644.85062257439</v>
      </c>
    </row>
    <row r="1014" customFormat="false" ht="17.15" hidden="false" customHeight="false" outlineLevel="0" collapsed="false">
      <c r="A1014" s="0" t="s">
        <v>581</v>
      </c>
      <c r="B1014" s="0" t="s">
        <v>151</v>
      </c>
      <c r="D1014" s="21" t="n">
        <f aca="false">D1013*fx</f>
        <v>20307.7290011203</v>
      </c>
      <c r="E1014" s="21" t="n">
        <f aca="false">E1013*fx</f>
        <v>36450.5821474774</v>
      </c>
      <c r="F1014" s="21" t="n">
        <f aca="false">F1013*fx</f>
        <v>46205.3686934024</v>
      </c>
      <c r="G1014" s="21" t="n">
        <f aca="false">G1013*fx</f>
        <v>52635.2199223804</v>
      </c>
    </row>
    <row r="1015" customFormat="false" ht="17.15" hidden="false" customHeight="false" outlineLevel="0" collapsed="false">
      <c r="A1015" s="6" t="s">
        <v>582</v>
      </c>
    </row>
    <row r="1016" customFormat="false" ht="17.15" hidden="false" customHeight="false" outlineLevel="0" collapsed="false">
      <c r="A1016" s="4" t="s">
        <v>583</v>
      </c>
      <c r="B1016" s="0" t="s">
        <v>52</v>
      </c>
      <c r="D1016" s="20" t="n">
        <f aca="false">a26_ais/D1014</f>
        <v>0.0875096501918447</v>
      </c>
      <c r="K1016" s="8" t="s">
        <v>584</v>
      </c>
    </row>
    <row r="1017" customFormat="false" ht="17.15" hidden="false" customHeight="false" outlineLevel="0" collapsed="false">
      <c r="A1017" s="4" t="s">
        <v>585</v>
      </c>
      <c r="B1017" s="0" t="s">
        <v>64</v>
      </c>
      <c r="D1017" s="18" t="n">
        <f aca="false">1</f>
        <v>1</v>
      </c>
      <c r="E1017" s="18" t="n">
        <f aca="false">rel_27</f>
        <v>1</v>
      </c>
      <c r="F1017" s="18" t="n">
        <f aca="false">rel_28</f>
        <v>0.95</v>
      </c>
      <c r="G1017" s="18" t="n">
        <f aca="false">rel_29</f>
        <v>0.9</v>
      </c>
    </row>
    <row r="1018" customFormat="false" ht="17.15" hidden="false" customHeight="false" outlineLevel="0" collapsed="false">
      <c r="A1018" s="4" t="s">
        <v>586</v>
      </c>
      <c r="B1018" s="0" t="s">
        <v>52</v>
      </c>
      <c r="D1018" s="20" t="n">
        <f aca="false">$D$1016*D1017</f>
        <v>0.0875096501918447</v>
      </c>
      <c r="E1018" s="20" t="n">
        <f aca="false">$D$1016*E1017</f>
        <v>0.0875096501918447</v>
      </c>
      <c r="F1018" s="20" t="n">
        <f aca="false">$D$1016*F1017</f>
        <v>0.0831341676822525</v>
      </c>
      <c r="G1018" s="20" t="n">
        <f aca="false">$D$1016*G1017</f>
        <v>0.0787586851726602</v>
      </c>
    </row>
    <row r="1019" customFormat="false" ht="17.15" hidden="false" customHeight="false" outlineLevel="0" collapsed="false">
      <c r="A1019" s="4" t="s">
        <v>587</v>
      </c>
      <c r="B1019" s="0" t="s">
        <v>151</v>
      </c>
      <c r="D1019" s="21" t="n">
        <f aca="false">D1014*D1018</f>
        <v>1777.12226107882</v>
      </c>
      <c r="E1019" s="21" t="n">
        <f aca="false">E1014*E1018</f>
        <v>3189.77769301484</v>
      </c>
      <c r="F1019" s="21" t="n">
        <f aca="false">F1014*F1018</f>
        <v>3841.24486877761</v>
      </c>
      <c r="G1019" s="21" t="n">
        <f aca="false">G1014*G1018</f>
        <v>4145.48071486049</v>
      </c>
    </row>
    <row r="1020" customFormat="false" ht="17.15" hidden="false" customHeight="false" outlineLevel="0" collapsed="false">
      <c r="A1020" s="4" t="s">
        <v>588</v>
      </c>
      <c r="B1020" s="0" t="s">
        <v>52</v>
      </c>
      <c r="D1020" s="20" t="n">
        <f aca="false">0</f>
        <v>0</v>
      </c>
      <c r="E1020" s="20" t="n">
        <f aca="false">cs_27</f>
        <v>0.1</v>
      </c>
      <c r="F1020" s="20" t="n">
        <f aca="false">cs_28</f>
        <v>0.2</v>
      </c>
      <c r="G1020" s="20" t="n">
        <f aca="false">cs_29</f>
        <v>0.25</v>
      </c>
      <c r="K1020" s="8" t="s">
        <v>589</v>
      </c>
    </row>
    <row r="1021" customFormat="false" ht="17.15" hidden="false" customHeight="false" outlineLevel="0" collapsed="false">
      <c r="A1021" s="4" t="s">
        <v>590</v>
      </c>
      <c r="B1021" s="0" t="s">
        <v>151</v>
      </c>
      <c r="D1021" s="21" t="n">
        <f aca="false">D1019*(1-D1020)</f>
        <v>1777.12226107882</v>
      </c>
      <c r="E1021" s="21" t="n">
        <f aca="false">E1019*(1-E1020)</f>
        <v>2870.79992371336</v>
      </c>
      <c r="F1021" s="21" t="n">
        <f aca="false">F1019*(1-F1020)</f>
        <v>3072.99589502209</v>
      </c>
      <c r="G1021" s="21" t="n">
        <f aca="false">G1019*(1-G1020)</f>
        <v>3109.11053614537</v>
      </c>
    </row>
    <row r="1022" customFormat="false" ht="17.15" hidden="false" customHeight="false" outlineLevel="0" collapsed="false">
      <c r="A1022" s="6" t="s">
        <v>591</v>
      </c>
    </row>
    <row r="1023" customFormat="false" ht="17.15" hidden="false" customHeight="false" outlineLevel="0" collapsed="false">
      <c r="A1023" s="0" t="s">
        <v>592</v>
      </c>
      <c r="B1023" s="4" t="s">
        <v>85</v>
      </c>
      <c r="D1023" s="18" t="n">
        <f aca="false">gu_26*1</f>
        <v>8.35</v>
      </c>
      <c r="E1023" s="18" t="n">
        <f aca="false">gu_27*1*1</f>
        <v>11.2</v>
      </c>
      <c r="F1023" s="18" t="n">
        <f aca="false">gu_28*um28_A*1</f>
        <v>11.5</v>
      </c>
      <c r="G1023" s="18" t="n">
        <f aca="false">gu_29*um29_A*1</f>
        <v>12.9</v>
      </c>
    </row>
    <row r="1024" customFormat="false" ht="15" hidden="false" customHeight="false" outlineLevel="0" collapsed="false">
      <c r="A1024" s="4" t="s">
        <v>593</v>
      </c>
      <c r="B1024" s="0" t="s">
        <v>52</v>
      </c>
      <c r="D1024" s="20" t="n">
        <f aca="false">bsh_26</f>
        <v>0.5</v>
      </c>
      <c r="E1024" s="20" t="n">
        <f aca="false">bsh_26*brel_27</f>
        <v>0.5</v>
      </c>
      <c r="F1024" s="20" t="n">
        <f aca="false">bsh_26*brel_28</f>
        <v>0.475</v>
      </c>
      <c r="G1024" s="20" t="n">
        <f aca="false">bsh_26*brel_29</f>
        <v>0.45</v>
      </c>
    </row>
    <row r="1025" customFormat="false" ht="17.15" hidden="false" customHeight="false" outlineLevel="0" collapsed="false">
      <c r="A1025" s="4" t="s">
        <v>594</v>
      </c>
      <c r="B1025" s="0" t="s">
        <v>543</v>
      </c>
      <c r="D1025" s="24" t="n">
        <f aca="false">a26_brd/fx/D1023/D1024*1000</f>
        <v>823.353293413174</v>
      </c>
      <c r="E1025" s="24" t="n">
        <f aca="false">$D1025*bv_27</f>
        <v>946.85628742515</v>
      </c>
      <c r="F1025" s="24" t="n">
        <f aca="false">$D1025*bv_28</f>
        <v>988.023952095808</v>
      </c>
      <c r="G1025" s="24" t="n">
        <f aca="false">$D1025*bv_29</f>
        <v>988.023952095808</v>
      </c>
      <c r="K1025" s="8" t="s">
        <v>595</v>
      </c>
    </row>
    <row r="1026" customFormat="false" ht="17.15" hidden="false" customHeight="false" outlineLevel="0" collapsed="false">
      <c r="A1026" s="0" t="s">
        <v>545</v>
      </c>
      <c r="B1026" s="0" t="s">
        <v>151</v>
      </c>
      <c r="D1026" s="21" t="n">
        <f aca="false">D1023*D1024*D1025*fx/1000</f>
        <v>110</v>
      </c>
      <c r="E1026" s="21" t="n">
        <f aca="false">E1023*E1024*E1025*fx/1000</f>
        <v>169.676646706587</v>
      </c>
      <c r="F1026" s="21" t="n">
        <f aca="false">F1023*F1024*F1025*fx/1000</f>
        <v>172.706586826347</v>
      </c>
      <c r="G1026" s="21" t="n">
        <f aca="false">G1023*G1024*G1025*fx/1000</f>
        <v>183.535329341317</v>
      </c>
    </row>
    <row r="1027" customFormat="false" ht="17.15" hidden="false" customHeight="false" outlineLevel="0" collapsed="false">
      <c r="A1027" s="6" t="s">
        <v>596</v>
      </c>
    </row>
    <row r="1028" customFormat="false" ht="15" hidden="false" customHeight="false" outlineLevel="0" collapsed="false">
      <c r="A1028" s="4" t="s">
        <v>597</v>
      </c>
      <c r="B1028" s="0" t="s">
        <v>151</v>
      </c>
      <c r="D1028" s="21" t="n">
        <f aca="false">a26_gen</f>
        <v>150</v>
      </c>
      <c r="E1028" s="21" t="n">
        <f aca="false">D1028*(1+g_gen27)</f>
        <v>180</v>
      </c>
      <c r="F1028" s="21" t="n">
        <f aca="false">E1028*(1+g_gen28)</f>
        <v>198</v>
      </c>
      <c r="G1028" s="21" t="n">
        <f aca="false">F1028*(1+g_gen29)</f>
        <v>213.84</v>
      </c>
    </row>
    <row r="1029" customFormat="false" ht="15" hidden="false" customHeight="false" outlineLevel="0" collapsed="false">
      <c r="A1029" s="4" t="s">
        <v>598</v>
      </c>
      <c r="B1029" s="0" t="s">
        <v>151</v>
      </c>
      <c r="D1029" s="21" t="n">
        <f aca="false">a26_pc</f>
        <v>614.602793131557</v>
      </c>
      <c r="E1029" s="21" t="n">
        <f aca="false">D1029*(1+g_pc27)</f>
        <v>596.16470933761</v>
      </c>
      <c r="F1029" s="21" t="n">
        <f aca="false">E1029*(1+g_pc28)</f>
        <v>596.16470933761</v>
      </c>
      <c r="G1029" s="21" t="n">
        <f aca="false">F1029*(1+g_pc29)</f>
        <v>596.16470933761</v>
      </c>
    </row>
    <row r="1030" customFormat="false" ht="15" hidden="false" customHeight="false" outlineLevel="0" collapsed="false">
      <c r="A1030" s="4" t="s">
        <v>599</v>
      </c>
      <c r="B1030" s="0" t="s">
        <v>151</v>
      </c>
      <c r="C1030" s="21" t="n">
        <f aca="false">a25_srev</f>
        <v>1235.86</v>
      </c>
      <c r="D1030" s="21" t="n">
        <f aca="false">D1021+D1026+D1028+D1029</f>
        <v>2651.72505421038</v>
      </c>
      <c r="E1030" s="21" t="n">
        <f aca="false">E1021+E1026+E1028+E1029</f>
        <v>3816.64127975756</v>
      </c>
      <c r="F1030" s="21" t="n">
        <f aca="false">F1021+F1026+F1028+F1029</f>
        <v>4039.86719118605</v>
      </c>
      <c r="G1030" s="21" t="n">
        <f aca="false">G1021+G1026+G1028+G1029</f>
        <v>4102.6505748243</v>
      </c>
    </row>
    <row r="1031" customFormat="false" ht="17.15" hidden="false" customHeight="false" outlineLevel="0" collapsed="false">
      <c r="A1031" s="4" t="s">
        <v>600</v>
      </c>
      <c r="B1031" s="0" t="s">
        <v>52</v>
      </c>
      <c r="D1031" s="20" t="n">
        <f aca="false">a26_wai/D1014</f>
        <v>0.0341693013513091</v>
      </c>
      <c r="K1031" s="8" t="s">
        <v>601</v>
      </c>
    </row>
    <row r="1032" customFormat="false" ht="17.15" hidden="false" customHeight="false" outlineLevel="0" collapsed="false">
      <c r="A1032" s="4" t="s">
        <v>527</v>
      </c>
      <c r="B1032" s="0" t="s">
        <v>52</v>
      </c>
      <c r="D1032" s="20" t="n">
        <f aca="false">D1031</f>
        <v>0.0341693013513091</v>
      </c>
      <c r="E1032" s="20" t="n">
        <f aca="false">$D$1031*wrel_27</f>
        <v>0.0341693013513091</v>
      </c>
      <c r="F1032" s="20" t="n">
        <f aca="false">$D$1031*wrel_28</f>
        <v>0.0341693013513091</v>
      </c>
      <c r="G1032" s="20" t="n">
        <f aca="false">$D$1031*wrel_29</f>
        <v>0.0324608362837436</v>
      </c>
    </row>
    <row r="1033" customFormat="false" ht="17.15" hidden="false" customHeight="false" outlineLevel="0" collapsed="false">
      <c r="A1033" s="4" t="s">
        <v>547</v>
      </c>
      <c r="B1033" s="0" t="s">
        <v>151</v>
      </c>
      <c r="D1033" s="21" t="n">
        <f aca="false">D1014*D1032</f>
        <v>693.900912</v>
      </c>
      <c r="E1033" s="21" t="n">
        <f aca="false">E1014*E1032</f>
        <v>1245.4909258278</v>
      </c>
      <c r="F1033" s="21" t="n">
        <f aca="false">F1014*F1032</f>
        <v>1578.80516693321</v>
      </c>
      <c r="G1033" s="21" t="n">
        <f aca="false">G1014*G1032</f>
        <v>1708.58325665923</v>
      </c>
    </row>
    <row r="1034" customFormat="false" ht="17.15" hidden="false" customHeight="false" outlineLevel="0" collapsed="false">
      <c r="A1034" s="4" t="s">
        <v>602</v>
      </c>
      <c r="B1034" s="0" t="s">
        <v>151</v>
      </c>
      <c r="D1034" s="21" t="n">
        <f aca="false">a26_wna</f>
        <v>751.725988</v>
      </c>
      <c r="E1034" s="21" t="n">
        <f aca="false">D1034*(1+g_wn27)</f>
        <v>826.8985868</v>
      </c>
      <c r="F1034" s="21" t="n">
        <f aca="false">E1034*(1+g_wn28)</f>
        <v>876.512502008</v>
      </c>
      <c r="G1034" s="21" t="n">
        <f aca="false">F1034*(1+g_wn29)</f>
        <v>920.3381271084</v>
      </c>
    </row>
    <row r="1035" customFormat="false" ht="15" hidden="false" customHeight="false" outlineLevel="0" collapsed="false">
      <c r="A1035" s="4" t="s">
        <v>458</v>
      </c>
      <c r="B1035" s="0" t="s">
        <v>151</v>
      </c>
      <c r="C1035" s="21" t="n">
        <f aca="false">a25_wrev</f>
        <v>950.663</v>
      </c>
      <c r="D1035" s="21" t="n">
        <f aca="false">D1033+D1034</f>
        <v>1445.6269</v>
      </c>
      <c r="E1035" s="21" t="n">
        <f aca="false">E1033+E1034</f>
        <v>2072.3895126278</v>
      </c>
      <c r="F1035" s="21" t="n">
        <f aca="false">F1033+F1034</f>
        <v>2455.31766894121</v>
      </c>
      <c r="G1035" s="21" t="n">
        <f aca="false">G1033+G1034</f>
        <v>2628.92138376763</v>
      </c>
    </row>
    <row r="1036" customFormat="false" ht="17.15" hidden="false" customHeight="false" outlineLevel="0" collapsed="false">
      <c r="A1036" s="4" t="s">
        <v>444</v>
      </c>
      <c r="B1036" s="0" t="s">
        <v>151</v>
      </c>
      <c r="C1036" s="21" t="n">
        <f aca="false">C1030+C1035</f>
        <v>2186.523</v>
      </c>
      <c r="D1036" s="21" t="n">
        <f aca="false">D1030+D1035</f>
        <v>4097.35195421038</v>
      </c>
      <c r="E1036" s="21" t="n">
        <f aca="false">E1030+E1035</f>
        <v>5889.03079238536</v>
      </c>
      <c r="F1036" s="21" t="n">
        <f aca="false">F1030+F1035</f>
        <v>6495.18486012725</v>
      </c>
      <c r="G1036" s="21" t="n">
        <f aca="false">G1030+G1035</f>
        <v>6731.57195859193</v>
      </c>
      <c r="H1036" s="26" t="n">
        <f aca="false">G1036*(1+H1041)</f>
        <v>7029.53021064286</v>
      </c>
      <c r="I1036" s="26" t="n">
        <f aca="false">H1036*(1+I1041)</f>
        <v>7395.9894768836</v>
      </c>
      <c r="J1036" s="26" t="n">
        <f aca="false">I1036*(1+J1041)</f>
        <v>7839.74884549662</v>
      </c>
      <c r="K1036" s="8" t="s">
        <v>603</v>
      </c>
    </row>
    <row r="1037" customFormat="false" ht="17.15" hidden="false" customHeight="false" outlineLevel="0" collapsed="false">
      <c r="A1037" s="4" t="s">
        <v>604</v>
      </c>
      <c r="B1037" s="0" t="s">
        <v>151</v>
      </c>
      <c r="D1037" s="21" t="n">
        <f aca="false">D1021+D1026+D1028+D1035</f>
        <v>3482.74916107882</v>
      </c>
      <c r="E1037" s="21" t="n">
        <f aca="false">E1021+E1026+E1028+E1035</f>
        <v>5292.86608304775</v>
      </c>
      <c r="F1037" s="21" t="n">
        <f aca="false">F1021+F1026+F1028+F1035</f>
        <v>5899.02015078964</v>
      </c>
      <c r="G1037" s="21" t="n">
        <f aca="false">G1021+G1026+G1028+G1035</f>
        <v>6135.40724925432</v>
      </c>
      <c r="K1037" s="4" t="s">
        <v>605</v>
      </c>
    </row>
    <row r="1038" customFormat="false" ht="15" hidden="false" customHeight="false" outlineLevel="0" collapsed="false">
      <c r="A1038" s="4" t="s">
        <v>606</v>
      </c>
      <c r="B1038" s="0" t="s">
        <v>151</v>
      </c>
      <c r="D1038" s="21" t="n">
        <f aca="false">D1029</f>
        <v>614.602793131557</v>
      </c>
      <c r="E1038" s="21" t="n">
        <f aca="false">E1029</f>
        <v>596.16470933761</v>
      </c>
      <c r="F1038" s="21" t="n">
        <f aca="false">F1029</f>
        <v>596.16470933761</v>
      </c>
      <c r="G1038" s="21" t="n">
        <f aca="false">G1029</f>
        <v>596.16470933761</v>
      </c>
      <c r="K1038" s="4" t="s">
        <v>607</v>
      </c>
    </row>
    <row r="1039" customFormat="false" ht="17.15" hidden="false" customHeight="false" outlineLevel="0" collapsed="false">
      <c r="A1039" s="4" t="s">
        <v>608</v>
      </c>
      <c r="B1039" s="0" t="s">
        <v>151</v>
      </c>
      <c r="D1039" s="31" t="n">
        <f aca="false">D1037+D1038-D1036</f>
        <v>0</v>
      </c>
      <c r="E1039" s="31" t="n">
        <f aca="false">E1037+E1038-E1036</f>
        <v>0</v>
      </c>
      <c r="F1039" s="31" t="n">
        <f aca="false">F1037+F1038-F1036</f>
        <v>0</v>
      </c>
      <c r="G1039" s="31" t="n">
        <f aca="false">G1037+G1038-G1036</f>
        <v>0</v>
      </c>
    </row>
    <row r="1040" customFormat="false" ht="17.15" hidden="false" customHeight="false" outlineLevel="0" collapsed="false">
      <c r="A1040" s="4" t="s">
        <v>609</v>
      </c>
      <c r="B1040" s="0" t="s">
        <v>52</v>
      </c>
      <c r="D1040" s="20" t="n">
        <f aca="false">D1037/D1036</f>
        <v>0.85</v>
      </c>
      <c r="E1040" s="20" t="n">
        <f aca="false">E1037/E1036</f>
        <v>0.898766922715286</v>
      </c>
      <c r="F1040" s="20" t="n">
        <f aca="false">F1037/F1036</f>
        <v>0.908214358455391</v>
      </c>
      <c r="G1040" s="20" t="n">
        <f aca="false">G1037/G1036</f>
        <v>0.911437519645514</v>
      </c>
    </row>
    <row r="1041" customFormat="false" ht="15" hidden="false" customHeight="false" outlineLevel="0" collapsed="false">
      <c r="A1041" s="4" t="s">
        <v>610</v>
      </c>
      <c r="B1041" s="0" t="s">
        <v>52</v>
      </c>
      <c r="D1041" s="20" t="n">
        <f aca="false">D1036/C1036-1</f>
        <v>0.873912121761526</v>
      </c>
      <c r="E1041" s="20" t="n">
        <f aca="false">E1036/D1036-1</f>
        <v>0.437277260581405</v>
      </c>
      <c r="F1041" s="20" t="n">
        <f aca="false">F1036/E1036-1</f>
        <v>0.102929342554239</v>
      </c>
      <c r="G1041" s="20" t="n">
        <f aca="false">G1036/F1036-1</f>
        <v>0.0363942064090907</v>
      </c>
      <c r="H1041" s="27" t="n">
        <f aca="false">$G1041+(fade_gA-$G1041)*1/3</f>
        <v>0.0442628042727272</v>
      </c>
      <c r="I1041" s="27" t="n">
        <f aca="false">$G1041+(fade_gA-$G1041)*2/3</f>
        <v>0.0521314021363636</v>
      </c>
      <c r="J1041" s="27" t="n">
        <f aca="false">$G1041+(fade_gA-$G1041)*3/3</f>
        <v>0.06</v>
      </c>
    </row>
    <row r="1042" customFormat="false" ht="17.15" hidden="false" customHeight="false" outlineLevel="0" collapsed="false">
      <c r="A1042" s="0" t="s">
        <v>611</v>
      </c>
      <c r="B1042" s="0" t="s">
        <v>52</v>
      </c>
      <c r="D1042" s="20" t="n">
        <f aca="false">(D1021+D1026+D1033)/D1036</f>
        <v>0.629924693295288</v>
      </c>
      <c r="E1042" s="20" t="n">
        <f aca="false">(E1021+E1026+E1033)/E1036</f>
        <v>0.727788263866712</v>
      </c>
      <c r="F1042" s="20" t="n">
        <f aca="false">(F1021+F1026+F1033)/F1036</f>
        <v>0.742782192143354</v>
      </c>
      <c r="G1042" s="20" t="n">
        <f aca="false">(G1021+G1026+G1033)/G1036</f>
        <v>0.742951149138729</v>
      </c>
    </row>
    <row r="1043" customFormat="false" ht="17.15" hidden="false" customHeight="false" outlineLevel="0" collapsed="false">
      <c r="A1043" s="4" t="s">
        <v>612</v>
      </c>
      <c r="B1043" s="0" t="s">
        <v>52</v>
      </c>
      <c r="C1043" s="20" t="n">
        <f aca="false">C1035/C1036</f>
        <v>0.434782986504144</v>
      </c>
      <c r="D1043" s="20" t="n">
        <f aca="false">D1035/D1036</f>
        <v>0.352819800728736</v>
      </c>
      <c r="E1043" s="20" t="n">
        <f aca="false">E1035/E1036</f>
        <v>0.351906720424598</v>
      </c>
      <c r="F1043" s="20" t="n">
        <f aca="false">F1035/F1036</f>
        <v>0.378021214455951</v>
      </c>
      <c r="G1043" s="20" t="n">
        <f aca="false">G1035/G1036</f>
        <v>0.390536029316626</v>
      </c>
    </row>
    <row r="1044" customFormat="false" ht="17.15" hidden="false" customHeight="false" outlineLevel="0" collapsed="false">
      <c r="A1044" s="4" t="s">
        <v>613</v>
      </c>
      <c r="B1044" s="4" t="s">
        <v>335</v>
      </c>
      <c r="D1044" s="21" t="n">
        <f aca="false">D1019/fx/(odm_gb*(1-vr26)+odm_vr*vr26)</f>
        <v>12.0597330420658</v>
      </c>
      <c r="E1044" s="21" t="n">
        <f aca="false">E1019/fx/odm_vr</f>
        <v>14.7674893195132</v>
      </c>
      <c r="F1044" s="21" t="n">
        <f aca="false">F1019/fx/odm_vr</f>
        <v>17.7835410591556</v>
      </c>
      <c r="G1044" s="21" t="n">
        <f aca="false">G1019/fx/odm_vr</f>
        <v>19.1920403465763</v>
      </c>
      <c r="K1044" s="4" t="s">
        <v>614</v>
      </c>
    </row>
    <row r="1045" customFormat="false" ht="17.15" hidden="false" customHeight="false" outlineLevel="0" collapsed="false">
      <c r="A1045" s="6" t="s">
        <v>615</v>
      </c>
    </row>
    <row r="1046" customFormat="false" ht="17.15" hidden="false" customHeight="false" outlineLevel="0" collapsed="false">
      <c r="A1046" s="4" t="s">
        <v>616</v>
      </c>
      <c r="B1046" s="0" t="s">
        <v>52</v>
      </c>
      <c r="D1046" s="14" t="n">
        <f aca="false">(a26_sgp-d_ai*D1021-d_brd*D1026-d_gen*D1028)/D1030</f>
        <v>0.0436423860147897</v>
      </c>
      <c r="K1046" s="8" t="s">
        <v>617</v>
      </c>
    </row>
    <row r="1047" customFormat="false" ht="17.15" hidden="false" customHeight="false" outlineLevel="0" collapsed="false">
      <c r="A1047" s="4" t="s">
        <v>618</v>
      </c>
      <c r="B1047" s="0" t="s">
        <v>151</v>
      </c>
      <c r="D1047" s="25" t="n">
        <f aca="false">($D$1046+d_ai)*D1019*(1-D1020*(1-keep))</f>
        <v>59.7866331026896</v>
      </c>
      <c r="E1047" s="25" t="n">
        <f aca="false">($D$1046+d_ai+vrd)*E1019*(1-E1020*(1-keep))</f>
        <v>99.9228552931037</v>
      </c>
      <c r="F1047" s="25" t="n">
        <f aca="false">($D$1046+d_ai+vrd)*F1019*(1-F1020*(1-keep))</f>
        <v>119.115229856888</v>
      </c>
      <c r="G1047" s="25" t="n">
        <f aca="false">($D$1046+d_ai+vrd)*G1019*(1-G1020*(1-keep))</f>
        <v>127.89357847157</v>
      </c>
    </row>
    <row r="1048" customFormat="false" ht="15" hidden="false" customHeight="false" outlineLevel="0" collapsed="false">
      <c r="A1048" s="4" t="s">
        <v>619</v>
      </c>
      <c r="B1048" s="0" t="s">
        <v>151</v>
      </c>
      <c r="C1048" s="21" t="n">
        <f aca="false">a25_sgp</f>
        <v>55.529</v>
      </c>
      <c r="D1048" s="21" t="n">
        <f aca="false">a26_sgp</f>
        <v>103.50638581015</v>
      </c>
      <c r="E1048" s="21" t="n">
        <f aca="false">$D$1046*E1029+($D$1046+d_brd)*E1026+($D$1046+d_gen)*E1028+E1047</f>
        <v>148.991928263534</v>
      </c>
      <c r="F1048" s="21" t="n">
        <f aca="false">$D$1046*F1029+($D$1046+d_brd)*F1026+($D$1046+d_gen)*F1028+F1047</f>
        <v>169.462997795485</v>
      </c>
      <c r="G1048" s="21" t="n">
        <f aca="false">$D$1046*G1029+($D$1046+d_brd)*G1026+($D$1046+d_gen)*G1028+G1047</f>
        <v>179.967696240984</v>
      </c>
    </row>
    <row r="1049" customFormat="false" ht="15" hidden="false" customHeight="false" outlineLevel="0" collapsed="false">
      <c r="A1049" s="4" t="s">
        <v>620</v>
      </c>
      <c r="B1049" s="0" t="s">
        <v>52</v>
      </c>
      <c r="C1049" s="14" t="n">
        <f aca="false">C1048/C1030</f>
        <v>0.0449314647290146</v>
      </c>
      <c r="D1049" s="14" t="n">
        <f aca="false">D1048/D1030</f>
        <v>0.0390336040479778</v>
      </c>
      <c r="E1049" s="14" t="n">
        <f aca="false">E1048/E1030</f>
        <v>0.0390374461057547</v>
      </c>
      <c r="F1049" s="14" t="n">
        <f aca="false">F1048/F1030</f>
        <v>0.0419476655483156</v>
      </c>
      <c r="G1049" s="14" t="n">
        <f aca="false">G1048/G1030</f>
        <v>0.0438662013639053</v>
      </c>
    </row>
    <row r="1050" customFormat="false" ht="15" hidden="false" customHeight="false" outlineLevel="0" collapsed="false">
      <c r="A1050" s="4" t="s">
        <v>621</v>
      </c>
      <c r="B1050" s="0" t="s">
        <v>52</v>
      </c>
      <c r="E1050" s="20" t="n">
        <f aca="false">MAX(0,phi*(E1030/D1030-1))</f>
        <v>0.13179151703879</v>
      </c>
      <c r="F1050" s="20" t="n">
        <f aca="false">MAX(0,phi*(F1030/E1030-1))</f>
        <v>0.0175462582202121</v>
      </c>
      <c r="G1050" s="20" t="n">
        <f aca="false">MAX(0,phi*(G1030/F1030-1))</f>
        <v>0.00466228571388885</v>
      </c>
    </row>
    <row r="1051" customFormat="false" ht="15" hidden="false" customHeight="false" outlineLevel="0" collapsed="false">
      <c r="A1051" s="4" t="s">
        <v>622</v>
      </c>
      <c r="B1051" s="0" t="s">
        <v>151</v>
      </c>
      <c r="C1051" s="21" t="n">
        <f aca="false">a25_sopx</f>
        <v>40.894</v>
      </c>
      <c r="D1051" s="21" t="n">
        <f aca="false">a26_sopx</f>
        <v>46.9914095398923</v>
      </c>
      <c r="E1051" s="21" t="n">
        <f aca="false">D1051*(1+E1050)+0*E1030</f>
        <v>53.1844786909457</v>
      </c>
      <c r="F1051" s="21" t="n">
        <f aca="false">E1051*(1+F1050)+0*F1030</f>
        <v>54.1176672873644</v>
      </c>
      <c r="G1051" s="21" t="n">
        <f aca="false">F1051*(1+G1050)+0*G1030</f>
        <v>54.3699793144273</v>
      </c>
    </row>
    <row r="1052" customFormat="false" ht="15" hidden="false" customHeight="false" outlineLevel="0" collapsed="false">
      <c r="A1052" s="4" t="s">
        <v>623</v>
      </c>
      <c r="B1052" s="0" t="s">
        <v>151</v>
      </c>
      <c r="C1052" s="21" t="n">
        <f aca="false">C1048-C1051</f>
        <v>14.635</v>
      </c>
      <c r="D1052" s="21" t="n">
        <f aca="false">D1048-D1051</f>
        <v>56.514976270258</v>
      </c>
      <c r="E1052" s="21" t="n">
        <f aca="false">E1048-E1051</f>
        <v>95.8074495725885</v>
      </c>
      <c r="F1052" s="21" t="n">
        <f aca="false">F1048-F1051</f>
        <v>115.345330508121</v>
      </c>
      <c r="G1052" s="21" t="n">
        <f aca="false">G1048-G1051</f>
        <v>125.597716926557</v>
      </c>
    </row>
    <row r="1053" customFormat="false" ht="15" hidden="false" customHeight="false" outlineLevel="0" collapsed="false">
      <c r="A1053" s="4" t="s">
        <v>624</v>
      </c>
      <c r="B1053" s="0" t="s">
        <v>52</v>
      </c>
      <c r="C1053" s="14" t="n">
        <f aca="false">C1052/C1030</f>
        <v>0.011841956208632</v>
      </c>
      <c r="D1053" s="14" t="n">
        <f aca="false">D1052/D1030</f>
        <v>0.0213125324514788</v>
      </c>
      <c r="E1053" s="14" t="n">
        <f aca="false">E1052/E1030</f>
        <v>0.0251025555062577</v>
      </c>
      <c r="F1053" s="14" t="n">
        <f aca="false">F1052/F1030</f>
        <v>0.0285517629786878</v>
      </c>
      <c r="G1053" s="14" t="n">
        <f aca="false">G1052/G1030</f>
        <v>0.0306137982350437</v>
      </c>
    </row>
    <row r="1054" customFormat="false" ht="15" hidden="false" customHeight="false" outlineLevel="0" collapsed="false">
      <c r="A1054" s="4" t="s">
        <v>625</v>
      </c>
      <c r="B1054" s="0" t="s">
        <v>151</v>
      </c>
      <c r="C1054" s="21" t="n">
        <f aca="false">a25_sni</f>
        <v>6.9608</v>
      </c>
      <c r="D1054" s="21" t="n">
        <f aca="false">a26_sni</f>
        <v>31.133746704</v>
      </c>
      <c r="E1054" s="21" t="n">
        <f aca="false">E1052*snio</f>
        <v>53.6521717606496</v>
      </c>
      <c r="F1054" s="21" t="n">
        <f aca="false">F1052*snio</f>
        <v>64.5933850845478</v>
      </c>
      <c r="G1054" s="21" t="n">
        <f aca="false">G1052*snio</f>
        <v>70.334721478872</v>
      </c>
    </row>
    <row r="1055" customFormat="false" ht="17.15" hidden="false" customHeight="false" outlineLevel="0" collapsed="false">
      <c r="A1055" s="6" t="s">
        <v>626</v>
      </c>
    </row>
    <row r="1056" customFormat="false" ht="15" hidden="false" customHeight="false" outlineLevel="0" collapsed="false">
      <c r="A1056" s="4" t="s">
        <v>462</v>
      </c>
      <c r="B1056" s="0" t="s">
        <v>151</v>
      </c>
      <c r="C1056" s="21" t="n">
        <f aca="false">a25_wgp</f>
        <v>78.454</v>
      </c>
      <c r="D1056" s="21" t="n">
        <f aca="false">a26_wgp</f>
        <v>125.0519932</v>
      </c>
      <c r="E1056" s="21" t="n">
        <f aca="false">E1035*wgm</f>
        <v>176.153108573363</v>
      </c>
      <c r="F1056" s="21" t="n">
        <f aca="false">F1035*wgm</f>
        <v>208.702001860003</v>
      </c>
      <c r="G1056" s="21" t="n">
        <f aca="false">G1035*wgm</f>
        <v>223.458317620249</v>
      </c>
    </row>
    <row r="1057" customFormat="false" ht="15" hidden="false" customHeight="false" outlineLevel="0" collapsed="false">
      <c r="A1057" s="4" t="s">
        <v>464</v>
      </c>
      <c r="B1057" s="0" t="s">
        <v>151</v>
      </c>
      <c r="C1057" s="21" t="n">
        <f aca="false">a25_woi</f>
        <v>63.918</v>
      </c>
      <c r="D1057" s="21" t="n">
        <f aca="false">a26_woi</f>
        <v>98.2471632</v>
      </c>
      <c r="E1057" s="21" t="n">
        <f aca="false">E1035*wopm_hi</f>
        <v>155.429213447085</v>
      </c>
      <c r="F1057" s="21" t="n">
        <f aca="false">F1035*wopm_hi</f>
        <v>184.148825170591</v>
      </c>
      <c r="G1057" s="21" t="n">
        <f aca="false">G1035*wopm_hi</f>
        <v>197.169103782572</v>
      </c>
    </row>
    <row r="1058" customFormat="false" ht="15" hidden="false" customHeight="false" outlineLevel="0" collapsed="false">
      <c r="A1058" s="4" t="s">
        <v>472</v>
      </c>
      <c r="B1058" s="0" t="s">
        <v>151</v>
      </c>
      <c r="C1058" s="21" t="n">
        <f aca="false">a25_wni</f>
        <v>51.118</v>
      </c>
      <c r="D1058" s="21" t="n">
        <f aca="false">a26_wni</f>
        <v>75.735026884</v>
      </c>
      <c r="E1058" s="21" t="n">
        <f aca="false">E1057*wnio</f>
        <v>121.234786488726</v>
      </c>
      <c r="F1058" s="21" t="n">
        <f aca="false">F1057*wnio</f>
        <v>143.636083633061</v>
      </c>
      <c r="G1058" s="21" t="n">
        <f aca="false">G1057*wnio</f>
        <v>153.791900950406</v>
      </c>
    </row>
    <row r="1059" customFormat="false" ht="15" hidden="false" customHeight="false" outlineLevel="0" collapsed="false">
      <c r="A1059" s="4" t="s">
        <v>474</v>
      </c>
      <c r="B1059" s="0" t="s">
        <v>52</v>
      </c>
      <c r="C1059" s="14" t="n">
        <f aca="false">stake25</f>
        <v>0.4</v>
      </c>
      <c r="D1059" s="14" t="n">
        <f aca="false">stake</f>
        <v>0.3768</v>
      </c>
      <c r="E1059" s="14" t="n">
        <f aca="false">stake</f>
        <v>0.3768</v>
      </c>
      <c r="F1059" s="14" t="n">
        <f aca="false">stake</f>
        <v>0.3768</v>
      </c>
      <c r="G1059" s="14" t="n">
        <f aca="false">stake</f>
        <v>0.3768</v>
      </c>
    </row>
    <row r="1060" customFormat="false" ht="17.15" hidden="false" customHeight="false" outlineLevel="0" collapsed="false">
      <c r="A1060" s="6" t="s">
        <v>627</v>
      </c>
    </row>
    <row r="1061" customFormat="false" ht="15" hidden="false" customHeight="false" outlineLevel="0" collapsed="false">
      <c r="A1061" s="4" t="s">
        <v>448</v>
      </c>
      <c r="B1061" s="0" t="s">
        <v>151</v>
      </c>
      <c r="C1061" s="21" t="n">
        <f aca="false">C1048+C1056</f>
        <v>133.983</v>
      </c>
      <c r="D1061" s="21" t="n">
        <f aca="false">D1048+D1056</f>
        <v>228.55837901015</v>
      </c>
      <c r="E1061" s="21" t="n">
        <f aca="false">E1048+E1056</f>
        <v>325.145036836897</v>
      </c>
      <c r="F1061" s="21" t="n">
        <f aca="false">F1048+F1056</f>
        <v>378.164999655488</v>
      </c>
      <c r="G1061" s="21" t="n">
        <f aca="false">G1048+G1056</f>
        <v>403.426013861233</v>
      </c>
    </row>
    <row r="1062" customFormat="false" ht="15" hidden="false" customHeight="false" outlineLevel="0" collapsed="false">
      <c r="A1062" s="4" t="s">
        <v>451</v>
      </c>
      <c r="B1062" s="0" t="s">
        <v>52</v>
      </c>
      <c r="C1062" s="14" t="n">
        <f aca="false">C1061/C1036</f>
        <v>0.0612767393711386</v>
      </c>
      <c r="D1062" s="14" t="n">
        <f aca="false">D1061/D1036</f>
        <v>0.055781973714825</v>
      </c>
      <c r="E1062" s="14" t="n">
        <f aca="false">E1061/E1036</f>
        <v>0.0552119777090174</v>
      </c>
      <c r="F1062" s="14" t="n">
        <f aca="false">F1061/F1036</f>
        <v>0.0582223613029051</v>
      </c>
      <c r="G1062" s="14" t="n">
        <f aca="false">G1061/G1036</f>
        <v>0.0599304317539554</v>
      </c>
    </row>
    <row r="1063" customFormat="false" ht="15" hidden="false" customHeight="false" outlineLevel="0" collapsed="false">
      <c r="A1063" s="4" t="s">
        <v>452</v>
      </c>
      <c r="B1063" s="0" t="s">
        <v>151</v>
      </c>
      <c r="C1063" s="21" t="n">
        <f aca="false">C1052+C1057</f>
        <v>78.553</v>
      </c>
      <c r="D1063" s="21" t="n">
        <f aca="false">D1052+D1057</f>
        <v>154.762139470258</v>
      </c>
      <c r="E1063" s="21" t="n">
        <f aca="false">E1052+E1057</f>
        <v>251.236663019674</v>
      </c>
      <c r="F1063" s="21" t="n">
        <f aca="false">F1052+F1057</f>
        <v>299.494155678712</v>
      </c>
      <c r="G1063" s="21" t="n">
        <f aca="false">G1052+G1057</f>
        <v>322.766820709129</v>
      </c>
    </row>
    <row r="1064" customFormat="false" ht="15" hidden="false" customHeight="false" outlineLevel="0" collapsed="false">
      <c r="A1064" s="4" t="s">
        <v>455</v>
      </c>
      <c r="B1064" s="0" t="s">
        <v>52</v>
      </c>
      <c r="C1064" s="14" t="n">
        <f aca="false">C1063/C1036</f>
        <v>0.0359259884300325</v>
      </c>
      <c r="D1064" s="14" t="n">
        <f aca="false">D1063/D1036</f>
        <v>0.0377712584126992</v>
      </c>
      <c r="E1064" s="14" t="n">
        <f aca="false">E1063/E1036</f>
        <v>0.042661801555619</v>
      </c>
      <c r="F1064" s="14" t="n">
        <f aca="false">F1063/F1036</f>
        <v>0.0461101819468221</v>
      </c>
      <c r="G1064" s="14" t="n">
        <f aca="false">G1063/G1036</f>
        <v>0.0479482092287763</v>
      </c>
    </row>
    <row r="1065" customFormat="false" ht="15" hidden="false" customHeight="false" outlineLevel="0" collapsed="false">
      <c r="A1065" s="4" t="s">
        <v>485</v>
      </c>
      <c r="B1065" s="0" t="s">
        <v>151</v>
      </c>
      <c r="C1065" s="21" t="n">
        <f aca="false">C1054+C1058</f>
        <v>58.0788</v>
      </c>
      <c r="D1065" s="21" t="n">
        <f aca="false">D1054+D1058</f>
        <v>106.868773588</v>
      </c>
      <c r="E1065" s="21" t="n">
        <f aca="false">E1054+E1058</f>
        <v>174.886958249376</v>
      </c>
      <c r="F1065" s="21" t="n">
        <f aca="false">F1054+F1058</f>
        <v>208.229468717609</v>
      </c>
      <c r="G1065" s="21" t="n">
        <f aca="false">G1054+G1058</f>
        <v>224.126622429278</v>
      </c>
    </row>
    <row r="1066" customFormat="false" ht="17.15" hidden="false" customHeight="false" outlineLevel="0" collapsed="false">
      <c r="A1066" s="4" t="s">
        <v>628</v>
      </c>
      <c r="B1066" s="0" t="s">
        <v>151</v>
      </c>
      <c r="C1066" s="21" t="n">
        <f aca="false">(1-C1059)*C1058</f>
        <v>30.6708</v>
      </c>
      <c r="D1066" s="21" t="n">
        <f aca="false">(1-D1059)*D1058</f>
        <v>47.1980687541088</v>
      </c>
      <c r="E1066" s="21" t="n">
        <f aca="false">(1-E1059)*E1058</f>
        <v>75.5535189397743</v>
      </c>
      <c r="F1066" s="21" t="n">
        <f aca="false">(1-F1059)*F1058</f>
        <v>89.5140073201234</v>
      </c>
      <c r="G1066" s="21" t="n">
        <f aca="false">(1-G1059)*G1058</f>
        <v>95.8431126722933</v>
      </c>
    </row>
    <row r="1067" customFormat="false" ht="15" hidden="false" customHeight="false" outlineLevel="0" collapsed="false">
      <c r="A1067" s="4" t="s">
        <v>481</v>
      </c>
      <c r="B1067" s="0" t="s">
        <v>151</v>
      </c>
      <c r="C1067" s="21" t="n">
        <f aca="false">C1065-C1066</f>
        <v>27.408</v>
      </c>
      <c r="D1067" s="21" t="n">
        <f aca="false">D1065-D1066</f>
        <v>59.6707048338912</v>
      </c>
      <c r="E1067" s="21" t="n">
        <f aca="false">E1065-E1066</f>
        <v>99.3334393096017</v>
      </c>
      <c r="F1067" s="21" t="n">
        <f aca="false">F1065-F1066</f>
        <v>118.715461397485</v>
      </c>
      <c r="G1067" s="21" t="n">
        <f aca="false">G1065-G1066</f>
        <v>128.283509756985</v>
      </c>
      <c r="H1067" s="26" t="n">
        <f aca="false">H1036*H1072</f>
        <v>131.272197011821</v>
      </c>
      <c r="I1067" s="26" t="n">
        <f aca="false">I1036*I1072</f>
        <v>135.285892635778</v>
      </c>
      <c r="J1067" s="26" t="n">
        <f aca="false">J1036*J1072</f>
        <v>140.403555642067</v>
      </c>
    </row>
    <row r="1068" customFormat="false" ht="17.15" hidden="false" customHeight="false" outlineLevel="0" collapsed="false">
      <c r="A1068" s="4" t="s">
        <v>629</v>
      </c>
      <c r="B1068" s="0" t="s">
        <v>52</v>
      </c>
      <c r="C1068" s="20" t="n">
        <f aca="false">C1059*C1058/C1067</f>
        <v>0.746030356100409</v>
      </c>
      <c r="D1068" s="20" t="n">
        <f aca="false">D1059*D1058/D1067</f>
        <v>0.478240674537551</v>
      </c>
      <c r="E1068" s="20" t="n">
        <f aca="false">E1059*E1058/E1067</f>
        <v>0.45987804173953</v>
      </c>
      <c r="F1068" s="20" t="n">
        <f aca="false">F1059*F1058/F1067</f>
        <v>0.455897451568881</v>
      </c>
      <c r="G1068" s="20" t="n">
        <f aca="false">G1059*G1058/G1067</f>
        <v>0.451724375080546</v>
      </c>
    </row>
    <row r="1069" customFormat="false" ht="17.15" hidden="false" customHeight="false" outlineLevel="0" collapsed="false">
      <c r="A1069" s="4" t="s">
        <v>630</v>
      </c>
      <c r="B1069" s="4" t="s">
        <v>286</v>
      </c>
      <c r="C1069" s="31" t="n">
        <f aca="false">a25_sh</f>
        <v>3.03185840707965</v>
      </c>
      <c r="D1069" s="31" t="n">
        <f aca="false">a26_sh</f>
        <v>3.23861720409076</v>
      </c>
      <c r="E1069" s="31" t="n">
        <f aca="false">q_sh4*(1+sh_g)</f>
        <v>3.43</v>
      </c>
      <c r="F1069" s="31" t="n">
        <f aca="false">E1069*(1+sh_g)</f>
        <v>3.43</v>
      </c>
      <c r="G1069" s="31" t="n">
        <f aca="false">F1069*(1+sh_g)</f>
        <v>3.43</v>
      </c>
      <c r="H1069" s="32" t="n">
        <f aca="false">G1069*(1+sh_g)</f>
        <v>3.43</v>
      </c>
      <c r="I1069" s="32" t="n">
        <f aca="false">H1069*(1+sh_g)</f>
        <v>3.43</v>
      </c>
      <c r="J1069" s="32" t="n">
        <f aca="false">I1069*(1+sh_g)</f>
        <v>3.43</v>
      </c>
      <c r="K1069" s="8" t="s">
        <v>631</v>
      </c>
    </row>
    <row r="1070" customFormat="false" ht="15" hidden="false" customHeight="false" outlineLevel="0" collapsed="false">
      <c r="A1070" s="0" t="s">
        <v>488</v>
      </c>
      <c r="B1070" s="0" t="s">
        <v>316</v>
      </c>
      <c r="C1070" s="18" t="n">
        <f aca="false">C1067/C1069</f>
        <v>9.04</v>
      </c>
      <c r="D1070" s="18" t="n">
        <f aca="false">D1067/D1069</f>
        <v>18.4247476850676</v>
      </c>
      <c r="E1070" s="18" t="n">
        <f aca="false">E1067/E1069</f>
        <v>28.960186387639</v>
      </c>
      <c r="F1070" s="18" t="n">
        <f aca="false">F1067/F1069</f>
        <v>34.6109216902289</v>
      </c>
      <c r="G1070" s="18" t="n">
        <f aca="false">G1067/G1069</f>
        <v>37.4004401623863</v>
      </c>
      <c r="H1070" s="29" t="n">
        <f aca="false">H1067/H1069</f>
        <v>38.2717775544668</v>
      </c>
      <c r="I1070" s="29" t="n">
        <f aca="false">I1067/I1069</f>
        <v>39.4419512057662</v>
      </c>
      <c r="J1070" s="29" t="n">
        <f aca="false">J1067/J1069</f>
        <v>40.9339812367544</v>
      </c>
    </row>
    <row r="1071" customFormat="false" ht="17.15" hidden="false" customHeight="false" outlineLevel="0" collapsed="false">
      <c r="A1071" s="0" t="s">
        <v>632</v>
      </c>
      <c r="B1071" s="0" t="s">
        <v>52</v>
      </c>
      <c r="D1071" s="20" t="n">
        <f aca="false">D1070/C1070-1</f>
        <v>1.03813580587031</v>
      </c>
      <c r="E1071" s="20" t="n">
        <f aca="false">E1070/D1070-1</f>
        <v>0.571809116881958</v>
      </c>
      <c r="F1071" s="20" t="n">
        <f aca="false">F1070/E1070-1</f>
        <v>0.19512081956081</v>
      </c>
      <c r="G1071" s="20" t="n">
        <f aca="false">G1070/F1070-1</f>
        <v>0.0805964804151675</v>
      </c>
      <c r="H1071" s="27" t="n">
        <f aca="false">H1070/G1070-1</f>
        <v>0.0232975170425072</v>
      </c>
      <c r="I1071" s="27" t="n">
        <f aca="false">I1070/H1070-1</f>
        <v>0.0305753671784412</v>
      </c>
      <c r="J1071" s="27" t="n">
        <f aca="false">J1070/I1070-1</f>
        <v>0.0378285045586182</v>
      </c>
    </row>
    <row r="1072" customFormat="false" ht="17.15" hidden="false" customHeight="false" outlineLevel="0" collapsed="false">
      <c r="A1072" s="4" t="s">
        <v>633</v>
      </c>
      <c r="B1072" s="0" t="s">
        <v>52</v>
      </c>
      <c r="C1072" s="14" t="n">
        <f aca="false">C1067/C1036</f>
        <v>0.0125349699042727</v>
      </c>
      <c r="D1072" s="14" t="n">
        <f aca="false">D1067/D1036</f>
        <v>0.0145632363293992</v>
      </c>
      <c r="E1072" s="14" t="n">
        <f aca="false">E1067/E1036</f>
        <v>0.0168675360702888</v>
      </c>
      <c r="F1072" s="14" t="n">
        <f aca="false">F1067/F1036</f>
        <v>0.0182774569090801</v>
      </c>
      <c r="G1072" s="14" t="n">
        <f aca="false">G1067/G1036</f>
        <v>0.019056991523837</v>
      </c>
      <c r="H1072" s="28" t="n">
        <f aca="false">$G1072+(fade_mA-$G1072)*1/3</f>
        <v>0.0186743911866361</v>
      </c>
      <c r="I1072" s="28" t="n">
        <f aca="false">$G1072+(fade_mA-$G1072)*2/3</f>
        <v>0.0182917908494352</v>
      </c>
      <c r="J1072" s="28" t="n">
        <f aca="false">$G1072+(fade_mA-$G1072)*3/3</f>
        <v>0.0179091905122343</v>
      </c>
    </row>
    <row r="1075" customFormat="false" ht="17.15" hidden="false" customHeight="false" outlineLevel="0" collapsed="false">
      <c r="A1075" s="1" t="s">
        <v>962</v>
      </c>
    </row>
    <row r="1076" customFormat="false" ht="17.15" hidden="false" customHeight="false" outlineLevel="0" collapsed="false">
      <c r="A1076" s="5" t="s">
        <v>21</v>
      </c>
      <c r="B1076" s="5" t="s">
        <v>22</v>
      </c>
      <c r="C1076" s="15" t="s">
        <v>438</v>
      </c>
      <c r="D1076" s="15" t="s">
        <v>552</v>
      </c>
      <c r="E1076" s="15" t="s">
        <v>553</v>
      </c>
      <c r="F1076" s="15" t="s">
        <v>554</v>
      </c>
      <c r="G1076" s="15" t="s">
        <v>555</v>
      </c>
      <c r="H1076" s="15" t="s">
        <v>556</v>
      </c>
      <c r="I1076" s="15" t="s">
        <v>557</v>
      </c>
      <c r="J1076" s="15" t="s">
        <v>558</v>
      </c>
      <c r="K1076" s="5" t="s">
        <v>420</v>
      </c>
    </row>
    <row r="1077" customFormat="false" ht="17.15" hidden="false" customHeight="false" outlineLevel="0" collapsed="false">
      <c r="A1077" s="6" t="s">
        <v>573</v>
      </c>
    </row>
    <row r="1078" customFormat="false" ht="17.15" hidden="false" customHeight="false" outlineLevel="0" collapsed="false">
      <c r="A1078" s="0" t="s">
        <v>574</v>
      </c>
      <c r="B1078" s="0" t="s">
        <v>32</v>
      </c>
      <c r="D1078" s="21" t="n">
        <f aca="false">itc_26*1</f>
        <v>781.872916666666</v>
      </c>
      <c r="E1078" s="21" t="n">
        <f aca="false">itc_27*1*1</f>
        <v>1565.35</v>
      </c>
      <c r="F1078" s="21" t="n">
        <f aca="false">itc_28*um28_A*1</f>
        <v>1984.26388888889</v>
      </c>
      <c r="G1078" s="21" t="n">
        <f aca="false">itc_29*um29_A*1</f>
        <v>2260.39027777778</v>
      </c>
    </row>
    <row r="1079" customFormat="false" ht="17.15" hidden="false" customHeight="false" outlineLevel="0" collapsed="false">
      <c r="A1079" s="4" t="s">
        <v>575</v>
      </c>
      <c r="B1079" s="0" t="s">
        <v>32</v>
      </c>
      <c r="D1079" s="21" t="n">
        <f aca="false">itpg_gb*(1-vr26)+itpg_vr*vr26</f>
        <v>33.41403216</v>
      </c>
      <c r="E1079" s="21" t="n">
        <f aca="false">itpg_vr</f>
        <v>37.586352</v>
      </c>
      <c r="F1079" s="21" t="n">
        <f aca="false">itpg_vr</f>
        <v>37.586352</v>
      </c>
      <c r="G1079" s="21" t="n">
        <f aca="false">itpg_vr</f>
        <v>37.586352</v>
      </c>
    </row>
    <row r="1080" customFormat="false" ht="17.15" hidden="false" customHeight="false" outlineLevel="0" collapsed="false">
      <c r="A1080" s="4" t="s">
        <v>576</v>
      </c>
      <c r="B1080" s="0" t="s">
        <v>521</v>
      </c>
      <c r="D1080" s="22" t="n">
        <f aca="false">D1078/D1079</f>
        <v>23.3995380420639</v>
      </c>
      <c r="E1080" s="22" t="n">
        <f aca="false">E1078/E1079</f>
        <v>41.6467658260637</v>
      </c>
      <c r="F1080" s="22" t="n">
        <f aca="false">F1078/F1079</f>
        <v>52.792138191248</v>
      </c>
      <c r="G1080" s="22" t="n">
        <f aca="false">G1078/G1079</f>
        <v>60.1385917361116</v>
      </c>
    </row>
    <row r="1081" customFormat="false" ht="17.15" hidden="false" customHeight="false" outlineLevel="0" collapsed="false">
      <c r="A1081" s="4" t="s">
        <v>577</v>
      </c>
      <c r="B1081" s="0" t="s">
        <v>578</v>
      </c>
      <c r="D1081" s="18" t="n">
        <f aca="false">(racks_gb*odm_gb*(1-vr26)+racks_vr*odm_vr*vr26)/1000</f>
        <v>27.1209</v>
      </c>
      <c r="E1081" s="18" t="n">
        <f aca="false">racks_vr*odm_vr/1000</f>
        <v>27.351</v>
      </c>
      <c r="F1081" s="18" t="n">
        <f aca="false">$E1081*vpg_28</f>
        <v>27.351</v>
      </c>
      <c r="G1081" s="18" t="n">
        <f aca="false">$E1081*vpg_29</f>
        <v>27.351</v>
      </c>
      <c r="K1081" s="4" t="s">
        <v>579</v>
      </c>
    </row>
    <row r="1082" customFormat="false" ht="17.15" hidden="false" customHeight="false" outlineLevel="0" collapsed="false">
      <c r="A1082" s="0" t="s">
        <v>580</v>
      </c>
      <c r="B1082" s="0" t="s">
        <v>32</v>
      </c>
      <c r="D1082" s="21" t="n">
        <f aca="false">D1080*D1081</f>
        <v>634.61653128501</v>
      </c>
      <c r="E1082" s="21" t="n">
        <f aca="false">E1080*E1081</f>
        <v>1139.08069210867</v>
      </c>
      <c r="F1082" s="21" t="n">
        <f aca="false">F1080*F1081</f>
        <v>1443.91777166882</v>
      </c>
      <c r="G1082" s="21" t="n">
        <f aca="false">G1080*G1081</f>
        <v>1644.85062257439</v>
      </c>
    </row>
    <row r="1083" customFormat="false" ht="17.15" hidden="false" customHeight="false" outlineLevel="0" collapsed="false">
      <c r="A1083" s="0" t="s">
        <v>581</v>
      </c>
      <c r="B1083" s="0" t="s">
        <v>151</v>
      </c>
      <c r="D1083" s="21" t="n">
        <f aca="false">D1082*fx</f>
        <v>20307.7290011203</v>
      </c>
      <c r="E1083" s="21" t="n">
        <f aca="false">E1082*fx</f>
        <v>36450.5821474774</v>
      </c>
      <c r="F1083" s="21" t="n">
        <f aca="false">F1082*fx</f>
        <v>46205.3686934024</v>
      </c>
      <c r="G1083" s="21" t="n">
        <f aca="false">G1082*fx</f>
        <v>52635.2199223804</v>
      </c>
    </row>
    <row r="1084" customFormat="false" ht="17.15" hidden="false" customHeight="false" outlineLevel="0" collapsed="false">
      <c r="A1084" s="6" t="s">
        <v>582</v>
      </c>
    </row>
    <row r="1085" customFormat="false" ht="17.15" hidden="false" customHeight="false" outlineLevel="0" collapsed="false">
      <c r="A1085" s="4" t="s">
        <v>583</v>
      </c>
      <c r="B1085" s="0" t="s">
        <v>52</v>
      </c>
      <c r="D1085" s="20" t="n">
        <f aca="false">a26_ais/D1083</f>
        <v>0.0875096501918447</v>
      </c>
      <c r="K1085" s="8" t="s">
        <v>584</v>
      </c>
    </row>
    <row r="1086" customFormat="false" ht="17.15" hidden="false" customHeight="false" outlineLevel="0" collapsed="false">
      <c r="A1086" s="4" t="s">
        <v>585</v>
      </c>
      <c r="B1086" s="0" t="s">
        <v>64</v>
      </c>
      <c r="D1086" s="18" t="n">
        <f aca="false">1</f>
        <v>1</v>
      </c>
      <c r="E1086" s="18" t="n">
        <f aca="false">rel_27</f>
        <v>1</v>
      </c>
      <c r="F1086" s="18" t="n">
        <f aca="false">rel_28</f>
        <v>0.95</v>
      </c>
      <c r="G1086" s="18" t="n">
        <f aca="false">rel_29</f>
        <v>0.9</v>
      </c>
    </row>
    <row r="1087" customFormat="false" ht="17.15" hidden="false" customHeight="false" outlineLevel="0" collapsed="false">
      <c r="A1087" s="4" t="s">
        <v>586</v>
      </c>
      <c r="B1087" s="0" t="s">
        <v>52</v>
      </c>
      <c r="D1087" s="20" t="n">
        <f aca="false">$D$1085*D1086</f>
        <v>0.0875096501918447</v>
      </c>
      <c r="E1087" s="20" t="n">
        <f aca="false">$D$1085*E1086</f>
        <v>0.0875096501918447</v>
      </c>
      <c r="F1087" s="20" t="n">
        <f aca="false">$D$1085*F1086</f>
        <v>0.0831341676822525</v>
      </c>
      <c r="G1087" s="20" t="n">
        <f aca="false">$D$1085*G1086</f>
        <v>0.0787586851726602</v>
      </c>
    </row>
    <row r="1088" customFormat="false" ht="17.15" hidden="false" customHeight="false" outlineLevel="0" collapsed="false">
      <c r="A1088" s="4" t="s">
        <v>587</v>
      </c>
      <c r="B1088" s="0" t="s">
        <v>151</v>
      </c>
      <c r="D1088" s="21" t="n">
        <f aca="false">D1083*D1087</f>
        <v>1777.12226107882</v>
      </c>
      <c r="E1088" s="21" t="n">
        <f aca="false">E1083*E1087</f>
        <v>3189.77769301484</v>
      </c>
      <c r="F1088" s="21" t="n">
        <f aca="false">F1083*F1087</f>
        <v>3841.24486877761</v>
      </c>
      <c r="G1088" s="21" t="n">
        <f aca="false">G1083*G1087</f>
        <v>4145.48071486049</v>
      </c>
    </row>
    <row r="1089" customFormat="false" ht="17.15" hidden="false" customHeight="false" outlineLevel="0" collapsed="false">
      <c r="A1089" s="4" t="s">
        <v>588</v>
      </c>
      <c r="B1089" s="0" t="s">
        <v>52</v>
      </c>
      <c r="D1089" s="20" t="n">
        <f aca="false">0</f>
        <v>0</v>
      </c>
      <c r="E1089" s="20" t="n">
        <f aca="false">cs_27</f>
        <v>0.1</v>
      </c>
      <c r="F1089" s="20" t="n">
        <f aca="false">cs_28</f>
        <v>0.2</v>
      </c>
      <c r="G1089" s="20" t="n">
        <f aca="false">cs_29</f>
        <v>0.25</v>
      </c>
      <c r="K1089" s="8" t="s">
        <v>589</v>
      </c>
    </row>
    <row r="1090" customFormat="false" ht="17.15" hidden="false" customHeight="false" outlineLevel="0" collapsed="false">
      <c r="A1090" s="4" t="s">
        <v>590</v>
      </c>
      <c r="B1090" s="0" t="s">
        <v>151</v>
      </c>
      <c r="D1090" s="21" t="n">
        <f aca="false">D1088*(1-D1089)</f>
        <v>1777.12226107882</v>
      </c>
      <c r="E1090" s="21" t="n">
        <f aca="false">E1088*(1-E1089)</f>
        <v>2870.79992371336</v>
      </c>
      <c r="F1090" s="21" t="n">
        <f aca="false">F1088*(1-F1089)</f>
        <v>3072.99589502209</v>
      </c>
      <c r="G1090" s="21" t="n">
        <f aca="false">G1088*(1-G1089)</f>
        <v>3109.11053614537</v>
      </c>
    </row>
    <row r="1091" customFormat="false" ht="17.15" hidden="false" customHeight="false" outlineLevel="0" collapsed="false">
      <c r="A1091" s="6" t="s">
        <v>591</v>
      </c>
    </row>
    <row r="1092" customFormat="false" ht="17.15" hidden="false" customHeight="false" outlineLevel="0" collapsed="false">
      <c r="A1092" s="0" t="s">
        <v>592</v>
      </c>
      <c r="B1092" s="4" t="s">
        <v>85</v>
      </c>
      <c r="D1092" s="18" t="n">
        <f aca="false">gu_26*1</f>
        <v>8.35</v>
      </c>
      <c r="E1092" s="18" t="n">
        <f aca="false">gu_27*1*1</f>
        <v>11.2</v>
      </c>
      <c r="F1092" s="18" t="n">
        <f aca="false">gu_28*um28_A*1</f>
        <v>11.5</v>
      </c>
      <c r="G1092" s="18" t="n">
        <f aca="false">gu_29*um29_A*1</f>
        <v>12.9</v>
      </c>
    </row>
    <row r="1093" customFormat="false" ht="15" hidden="false" customHeight="false" outlineLevel="0" collapsed="false">
      <c r="A1093" s="4" t="s">
        <v>593</v>
      </c>
      <c r="B1093" s="0" t="s">
        <v>52</v>
      </c>
      <c r="D1093" s="20" t="n">
        <f aca="false">bsh_26</f>
        <v>0.5</v>
      </c>
      <c r="E1093" s="20" t="n">
        <f aca="false">bsh_26*brel_27</f>
        <v>0.5</v>
      </c>
      <c r="F1093" s="20" t="n">
        <f aca="false">bsh_26*brel_28</f>
        <v>0.475</v>
      </c>
      <c r="G1093" s="20" t="n">
        <f aca="false">bsh_26*brel_29</f>
        <v>0.45</v>
      </c>
    </row>
    <row r="1094" customFormat="false" ht="17.15" hidden="false" customHeight="false" outlineLevel="0" collapsed="false">
      <c r="A1094" s="4" t="s">
        <v>594</v>
      </c>
      <c r="B1094" s="0" t="s">
        <v>543</v>
      </c>
      <c r="D1094" s="24" t="n">
        <f aca="false">a26_brd/fx/D1092/D1093*1000</f>
        <v>823.353293413174</v>
      </c>
      <c r="E1094" s="24" t="n">
        <f aca="false">$D1094*bv_27</f>
        <v>946.85628742515</v>
      </c>
      <c r="F1094" s="24" t="n">
        <f aca="false">$D1094*bv_28</f>
        <v>988.023952095808</v>
      </c>
      <c r="G1094" s="24" t="n">
        <f aca="false">$D1094*bv_29</f>
        <v>988.023952095808</v>
      </c>
      <c r="K1094" s="8" t="s">
        <v>595</v>
      </c>
    </row>
    <row r="1095" customFormat="false" ht="17.15" hidden="false" customHeight="false" outlineLevel="0" collapsed="false">
      <c r="A1095" s="0" t="s">
        <v>545</v>
      </c>
      <c r="B1095" s="0" t="s">
        <v>151</v>
      </c>
      <c r="D1095" s="21" t="n">
        <f aca="false">D1092*D1093*D1094*fx/1000</f>
        <v>110</v>
      </c>
      <c r="E1095" s="21" t="n">
        <f aca="false">E1092*E1093*E1094*fx/1000</f>
        <v>169.676646706587</v>
      </c>
      <c r="F1095" s="21" t="n">
        <f aca="false">F1092*F1093*F1094*fx/1000</f>
        <v>172.706586826347</v>
      </c>
      <c r="G1095" s="21" t="n">
        <f aca="false">G1092*G1093*G1094*fx/1000</f>
        <v>183.535329341317</v>
      </c>
    </row>
    <row r="1096" customFormat="false" ht="17.15" hidden="false" customHeight="false" outlineLevel="0" collapsed="false">
      <c r="A1096" s="6" t="s">
        <v>596</v>
      </c>
    </row>
    <row r="1097" customFormat="false" ht="15" hidden="false" customHeight="false" outlineLevel="0" collapsed="false">
      <c r="A1097" s="4" t="s">
        <v>597</v>
      </c>
      <c r="B1097" s="0" t="s">
        <v>151</v>
      </c>
      <c r="D1097" s="21" t="n">
        <f aca="false">a26_gen</f>
        <v>150</v>
      </c>
      <c r="E1097" s="21" t="n">
        <f aca="false">D1097*(1+g_gen27)</f>
        <v>180</v>
      </c>
      <c r="F1097" s="21" t="n">
        <f aca="false">E1097*(1+g_gen28)</f>
        <v>198</v>
      </c>
      <c r="G1097" s="21" t="n">
        <f aca="false">F1097*(1+g_gen29)</f>
        <v>213.84</v>
      </c>
    </row>
    <row r="1098" customFormat="false" ht="15" hidden="false" customHeight="false" outlineLevel="0" collapsed="false">
      <c r="A1098" s="4" t="s">
        <v>598</v>
      </c>
      <c r="B1098" s="0" t="s">
        <v>151</v>
      </c>
      <c r="D1098" s="21" t="n">
        <f aca="false">a26_pc</f>
        <v>614.602793131557</v>
      </c>
      <c r="E1098" s="21" t="n">
        <f aca="false">D1098*(1+g_pc27)</f>
        <v>596.16470933761</v>
      </c>
      <c r="F1098" s="21" t="n">
        <f aca="false">E1098*(1+g_pc28)</f>
        <v>596.16470933761</v>
      </c>
      <c r="G1098" s="21" t="n">
        <f aca="false">F1098*(1+g_pc29)</f>
        <v>596.16470933761</v>
      </c>
    </row>
    <row r="1099" customFormat="false" ht="15" hidden="false" customHeight="false" outlineLevel="0" collapsed="false">
      <c r="A1099" s="4" t="s">
        <v>599</v>
      </c>
      <c r="B1099" s="0" t="s">
        <v>151</v>
      </c>
      <c r="C1099" s="21" t="n">
        <f aca="false">a25_srev</f>
        <v>1235.86</v>
      </c>
      <c r="D1099" s="21" t="n">
        <f aca="false">D1090+D1095+D1097+D1098</f>
        <v>2651.72505421038</v>
      </c>
      <c r="E1099" s="21" t="n">
        <f aca="false">E1090+E1095+E1097+E1098</f>
        <v>3816.64127975756</v>
      </c>
      <c r="F1099" s="21" t="n">
        <f aca="false">F1090+F1095+F1097+F1098</f>
        <v>4039.86719118605</v>
      </c>
      <c r="G1099" s="21" t="n">
        <f aca="false">G1090+G1095+G1097+G1098</f>
        <v>4102.6505748243</v>
      </c>
    </row>
    <row r="1100" customFormat="false" ht="17.15" hidden="false" customHeight="false" outlineLevel="0" collapsed="false">
      <c r="A1100" s="4" t="s">
        <v>600</v>
      </c>
      <c r="B1100" s="0" t="s">
        <v>52</v>
      </c>
      <c r="D1100" s="20" t="n">
        <f aca="false">a26_wai/D1083</f>
        <v>0.0341693013513091</v>
      </c>
      <c r="K1100" s="8" t="s">
        <v>601</v>
      </c>
    </row>
    <row r="1101" customFormat="false" ht="17.15" hidden="false" customHeight="false" outlineLevel="0" collapsed="false">
      <c r="A1101" s="4" t="s">
        <v>527</v>
      </c>
      <c r="B1101" s="0" t="s">
        <v>52</v>
      </c>
      <c r="D1101" s="20" t="n">
        <f aca="false">D1100</f>
        <v>0.0341693013513091</v>
      </c>
      <c r="E1101" s="20" t="n">
        <f aca="false">$D$1100*wrel_27</f>
        <v>0.0341693013513091</v>
      </c>
      <c r="F1101" s="20" t="n">
        <f aca="false">$D$1100*wrel_28</f>
        <v>0.0341693013513091</v>
      </c>
      <c r="G1101" s="20" t="n">
        <f aca="false">$D$1100*wrel_29</f>
        <v>0.0324608362837436</v>
      </c>
    </row>
    <row r="1102" customFormat="false" ht="17.15" hidden="false" customHeight="false" outlineLevel="0" collapsed="false">
      <c r="A1102" s="4" t="s">
        <v>547</v>
      </c>
      <c r="B1102" s="0" t="s">
        <v>151</v>
      </c>
      <c r="D1102" s="21" t="n">
        <f aca="false">D1083*D1101</f>
        <v>693.900912</v>
      </c>
      <c r="E1102" s="21" t="n">
        <f aca="false">E1083*E1101</f>
        <v>1245.4909258278</v>
      </c>
      <c r="F1102" s="21" t="n">
        <f aca="false">F1083*F1101</f>
        <v>1578.80516693321</v>
      </c>
      <c r="G1102" s="21" t="n">
        <f aca="false">G1083*G1101</f>
        <v>1708.58325665923</v>
      </c>
    </row>
    <row r="1103" customFormat="false" ht="17.15" hidden="false" customHeight="false" outlineLevel="0" collapsed="false">
      <c r="A1103" s="4" t="s">
        <v>602</v>
      </c>
      <c r="B1103" s="0" t="s">
        <v>151</v>
      </c>
      <c r="D1103" s="21" t="n">
        <f aca="false">a26_wna</f>
        <v>751.725988</v>
      </c>
      <c r="E1103" s="21" t="n">
        <f aca="false">D1103*(1+g_wn27)</f>
        <v>826.8985868</v>
      </c>
      <c r="F1103" s="21" t="n">
        <f aca="false">E1103*(1+g_wn28)</f>
        <v>876.512502008</v>
      </c>
      <c r="G1103" s="21" t="n">
        <f aca="false">F1103*(1+g_wn29)</f>
        <v>920.3381271084</v>
      </c>
    </row>
    <row r="1104" customFormat="false" ht="15" hidden="false" customHeight="false" outlineLevel="0" collapsed="false">
      <c r="A1104" s="4" t="s">
        <v>458</v>
      </c>
      <c r="B1104" s="0" t="s">
        <v>151</v>
      </c>
      <c r="C1104" s="21" t="n">
        <f aca="false">a25_wrev</f>
        <v>950.663</v>
      </c>
      <c r="D1104" s="21" t="n">
        <f aca="false">D1102+D1103</f>
        <v>1445.6269</v>
      </c>
      <c r="E1104" s="21" t="n">
        <f aca="false">E1102+E1103</f>
        <v>2072.3895126278</v>
      </c>
      <c r="F1104" s="21" t="n">
        <f aca="false">F1102+F1103</f>
        <v>2455.31766894121</v>
      </c>
      <c r="G1104" s="21" t="n">
        <f aca="false">G1102+G1103</f>
        <v>2628.92138376763</v>
      </c>
    </row>
    <row r="1105" customFormat="false" ht="17.15" hidden="false" customHeight="false" outlineLevel="0" collapsed="false">
      <c r="A1105" s="4" t="s">
        <v>444</v>
      </c>
      <c r="B1105" s="0" t="s">
        <v>151</v>
      </c>
      <c r="C1105" s="21" t="n">
        <f aca="false">C1099+C1104</f>
        <v>2186.523</v>
      </c>
      <c r="D1105" s="21" t="n">
        <f aca="false">D1099+D1104</f>
        <v>4097.35195421038</v>
      </c>
      <c r="E1105" s="21" t="n">
        <f aca="false">E1099+E1104</f>
        <v>5889.03079238536</v>
      </c>
      <c r="F1105" s="21" t="n">
        <f aca="false">F1099+F1104</f>
        <v>6495.18486012725</v>
      </c>
      <c r="G1105" s="21" t="n">
        <f aca="false">G1099+G1104</f>
        <v>6731.57195859193</v>
      </c>
      <c r="H1105" s="26" t="n">
        <f aca="false">G1105*(1+H1110)</f>
        <v>7029.53021064286</v>
      </c>
      <c r="I1105" s="26" t="n">
        <f aca="false">H1105*(1+I1110)</f>
        <v>7395.9894768836</v>
      </c>
      <c r="J1105" s="26" t="n">
        <f aca="false">I1105*(1+J1110)</f>
        <v>7839.74884549662</v>
      </c>
      <c r="K1105" s="8" t="s">
        <v>603</v>
      </c>
    </row>
    <row r="1106" customFormat="false" ht="17.15" hidden="false" customHeight="false" outlineLevel="0" collapsed="false">
      <c r="A1106" s="4" t="s">
        <v>604</v>
      </c>
      <c r="B1106" s="0" t="s">
        <v>151</v>
      </c>
      <c r="D1106" s="21" t="n">
        <f aca="false">D1090+D1095+D1097+D1104</f>
        <v>3482.74916107882</v>
      </c>
      <c r="E1106" s="21" t="n">
        <f aca="false">E1090+E1095+E1097+E1104</f>
        <v>5292.86608304775</v>
      </c>
      <c r="F1106" s="21" t="n">
        <f aca="false">F1090+F1095+F1097+F1104</f>
        <v>5899.02015078964</v>
      </c>
      <c r="G1106" s="21" t="n">
        <f aca="false">G1090+G1095+G1097+G1104</f>
        <v>6135.40724925432</v>
      </c>
      <c r="K1106" s="4" t="s">
        <v>605</v>
      </c>
    </row>
    <row r="1107" customFormat="false" ht="15" hidden="false" customHeight="false" outlineLevel="0" collapsed="false">
      <c r="A1107" s="4" t="s">
        <v>606</v>
      </c>
      <c r="B1107" s="0" t="s">
        <v>151</v>
      </c>
      <c r="D1107" s="21" t="n">
        <f aca="false">D1098</f>
        <v>614.602793131557</v>
      </c>
      <c r="E1107" s="21" t="n">
        <f aca="false">E1098</f>
        <v>596.16470933761</v>
      </c>
      <c r="F1107" s="21" t="n">
        <f aca="false">F1098</f>
        <v>596.16470933761</v>
      </c>
      <c r="G1107" s="21" t="n">
        <f aca="false">G1098</f>
        <v>596.16470933761</v>
      </c>
      <c r="K1107" s="4" t="s">
        <v>607</v>
      </c>
    </row>
    <row r="1108" customFormat="false" ht="17.15" hidden="false" customHeight="false" outlineLevel="0" collapsed="false">
      <c r="A1108" s="4" t="s">
        <v>608</v>
      </c>
      <c r="B1108" s="0" t="s">
        <v>151</v>
      </c>
      <c r="D1108" s="31" t="n">
        <f aca="false">D1106+D1107-D1105</f>
        <v>0</v>
      </c>
      <c r="E1108" s="31" t="n">
        <f aca="false">E1106+E1107-E1105</f>
        <v>0</v>
      </c>
      <c r="F1108" s="31" t="n">
        <f aca="false">F1106+F1107-F1105</f>
        <v>0</v>
      </c>
      <c r="G1108" s="31" t="n">
        <f aca="false">G1106+G1107-G1105</f>
        <v>0</v>
      </c>
    </row>
    <row r="1109" customFormat="false" ht="17.15" hidden="false" customHeight="false" outlineLevel="0" collapsed="false">
      <c r="A1109" s="4" t="s">
        <v>609</v>
      </c>
      <c r="B1109" s="0" t="s">
        <v>52</v>
      </c>
      <c r="D1109" s="20" t="n">
        <f aca="false">D1106/D1105</f>
        <v>0.85</v>
      </c>
      <c r="E1109" s="20" t="n">
        <f aca="false">E1106/E1105</f>
        <v>0.898766922715286</v>
      </c>
      <c r="F1109" s="20" t="n">
        <f aca="false">F1106/F1105</f>
        <v>0.908214358455391</v>
      </c>
      <c r="G1109" s="20" t="n">
        <f aca="false">G1106/G1105</f>
        <v>0.911437519645514</v>
      </c>
    </row>
    <row r="1110" customFormat="false" ht="15" hidden="false" customHeight="false" outlineLevel="0" collapsed="false">
      <c r="A1110" s="4" t="s">
        <v>610</v>
      </c>
      <c r="B1110" s="0" t="s">
        <v>52</v>
      </c>
      <c r="D1110" s="20" t="n">
        <f aca="false">D1105/C1105-1</f>
        <v>0.873912121761526</v>
      </c>
      <c r="E1110" s="20" t="n">
        <f aca="false">E1105/D1105-1</f>
        <v>0.437277260581405</v>
      </c>
      <c r="F1110" s="20" t="n">
        <f aca="false">F1105/E1105-1</f>
        <v>0.102929342554239</v>
      </c>
      <c r="G1110" s="20" t="n">
        <f aca="false">G1105/F1105-1</f>
        <v>0.0363942064090907</v>
      </c>
      <c r="H1110" s="27" t="n">
        <f aca="false">$G1110+(fade_gA-$G1110)*1/3</f>
        <v>0.0442628042727272</v>
      </c>
      <c r="I1110" s="27" t="n">
        <f aca="false">$G1110+(fade_gA-$G1110)*2/3</f>
        <v>0.0521314021363636</v>
      </c>
      <c r="J1110" s="27" t="n">
        <f aca="false">$G1110+(fade_gA-$G1110)*3/3</f>
        <v>0.06</v>
      </c>
    </row>
    <row r="1111" customFormat="false" ht="17.15" hidden="false" customHeight="false" outlineLevel="0" collapsed="false">
      <c r="A1111" s="0" t="s">
        <v>611</v>
      </c>
      <c r="B1111" s="0" t="s">
        <v>52</v>
      </c>
      <c r="D1111" s="20" t="n">
        <f aca="false">(D1090+D1095+D1102)/D1105</f>
        <v>0.629924693295288</v>
      </c>
      <c r="E1111" s="20" t="n">
        <f aca="false">(E1090+E1095+E1102)/E1105</f>
        <v>0.727788263866712</v>
      </c>
      <c r="F1111" s="20" t="n">
        <f aca="false">(F1090+F1095+F1102)/F1105</f>
        <v>0.742782192143354</v>
      </c>
      <c r="G1111" s="20" t="n">
        <f aca="false">(G1090+G1095+G1102)/G1105</f>
        <v>0.742951149138729</v>
      </c>
    </row>
    <row r="1112" customFormat="false" ht="17.15" hidden="false" customHeight="false" outlineLevel="0" collapsed="false">
      <c r="A1112" s="4" t="s">
        <v>612</v>
      </c>
      <c r="B1112" s="0" t="s">
        <v>52</v>
      </c>
      <c r="C1112" s="20" t="n">
        <f aca="false">C1104/C1105</f>
        <v>0.434782986504144</v>
      </c>
      <c r="D1112" s="20" t="n">
        <f aca="false">D1104/D1105</f>
        <v>0.352819800728736</v>
      </c>
      <c r="E1112" s="20" t="n">
        <f aca="false">E1104/E1105</f>
        <v>0.351906720424598</v>
      </c>
      <c r="F1112" s="20" t="n">
        <f aca="false">F1104/F1105</f>
        <v>0.378021214455951</v>
      </c>
      <c r="G1112" s="20" t="n">
        <f aca="false">G1104/G1105</f>
        <v>0.390536029316626</v>
      </c>
    </row>
    <row r="1113" customFormat="false" ht="17.15" hidden="false" customHeight="false" outlineLevel="0" collapsed="false">
      <c r="A1113" s="4" t="s">
        <v>613</v>
      </c>
      <c r="B1113" s="4" t="s">
        <v>335</v>
      </c>
      <c r="D1113" s="21" t="n">
        <f aca="false">D1088/fx/(odm_gb*(1-vr26)+odm_vr*vr26)</f>
        <v>12.0597330420658</v>
      </c>
      <c r="E1113" s="21" t="n">
        <f aca="false">E1088/fx/odm_vr</f>
        <v>14.7674893195132</v>
      </c>
      <c r="F1113" s="21" t="n">
        <f aca="false">F1088/fx/odm_vr</f>
        <v>17.7835410591556</v>
      </c>
      <c r="G1113" s="21" t="n">
        <f aca="false">G1088/fx/odm_vr</f>
        <v>19.1920403465763</v>
      </c>
      <c r="K1113" s="4" t="s">
        <v>614</v>
      </c>
    </row>
    <row r="1114" customFormat="false" ht="17.15" hidden="false" customHeight="false" outlineLevel="0" collapsed="false">
      <c r="A1114" s="6" t="s">
        <v>615</v>
      </c>
    </row>
    <row r="1115" customFormat="false" ht="17.15" hidden="false" customHeight="false" outlineLevel="0" collapsed="false">
      <c r="A1115" s="4" t="s">
        <v>616</v>
      </c>
      <c r="B1115" s="0" t="s">
        <v>52</v>
      </c>
      <c r="D1115" s="14" t="n">
        <f aca="false">(a26_sgp-d_ai*D1090-d_brd*D1095-d_gen*D1097)/D1099</f>
        <v>0.0436423860147897</v>
      </c>
      <c r="K1115" s="8" t="s">
        <v>617</v>
      </c>
    </row>
    <row r="1116" customFormat="false" ht="17.15" hidden="false" customHeight="false" outlineLevel="0" collapsed="false">
      <c r="A1116" s="4" t="s">
        <v>618</v>
      </c>
      <c r="B1116" s="0" t="s">
        <v>151</v>
      </c>
      <c r="D1116" s="25" t="n">
        <f aca="false">($D$1115+d_ai)*D1088*(1-D1089*(1-keep))</f>
        <v>59.7866331026896</v>
      </c>
      <c r="E1116" s="25" t="n">
        <f aca="false">($D$1115+d_ai+vrd)*E1088*(1-E1089*(1-keep))</f>
        <v>99.9228552931037</v>
      </c>
      <c r="F1116" s="25" t="n">
        <f aca="false">($D$1115+d_ai+vrd)*F1088*(1-F1089*(1-keep))</f>
        <v>119.115229856888</v>
      </c>
      <c r="G1116" s="25" t="n">
        <f aca="false">($D$1115+d_ai+vrd)*G1088*(1-G1089*(1-keep))</f>
        <v>127.89357847157</v>
      </c>
    </row>
    <row r="1117" customFormat="false" ht="15" hidden="false" customHeight="false" outlineLevel="0" collapsed="false">
      <c r="A1117" s="4" t="s">
        <v>619</v>
      </c>
      <c r="B1117" s="0" t="s">
        <v>151</v>
      </c>
      <c r="C1117" s="21" t="n">
        <f aca="false">a25_sgp</f>
        <v>55.529</v>
      </c>
      <c r="D1117" s="21" t="n">
        <f aca="false">a26_sgp</f>
        <v>103.50638581015</v>
      </c>
      <c r="E1117" s="21" t="n">
        <f aca="false">$D$1115*E1098+($D$1115+d_brd)*E1095+($D$1115+d_gen)*E1097+E1116</f>
        <v>148.991928263534</v>
      </c>
      <c r="F1117" s="21" t="n">
        <f aca="false">$D$1115*F1098+($D$1115+d_brd)*F1095+($D$1115+d_gen)*F1097+F1116</f>
        <v>169.462997795485</v>
      </c>
      <c r="G1117" s="21" t="n">
        <f aca="false">$D$1115*G1098+($D$1115+d_brd)*G1095+($D$1115+d_gen)*G1097+G1116</f>
        <v>179.967696240984</v>
      </c>
    </row>
    <row r="1118" customFormat="false" ht="15" hidden="false" customHeight="false" outlineLevel="0" collapsed="false">
      <c r="A1118" s="4" t="s">
        <v>620</v>
      </c>
      <c r="B1118" s="0" t="s">
        <v>52</v>
      </c>
      <c r="C1118" s="14" t="n">
        <f aca="false">C1117/C1099</f>
        <v>0.0449314647290146</v>
      </c>
      <c r="D1118" s="14" t="n">
        <f aca="false">D1117/D1099</f>
        <v>0.0390336040479778</v>
      </c>
      <c r="E1118" s="14" t="n">
        <f aca="false">E1117/E1099</f>
        <v>0.0390374461057547</v>
      </c>
      <c r="F1118" s="14" t="n">
        <f aca="false">F1117/F1099</f>
        <v>0.0419476655483156</v>
      </c>
      <c r="G1118" s="14" t="n">
        <f aca="false">G1117/G1099</f>
        <v>0.0438662013639053</v>
      </c>
    </row>
    <row r="1119" customFormat="false" ht="15" hidden="false" customHeight="false" outlineLevel="0" collapsed="false">
      <c r="A1119" s="4" t="s">
        <v>621</v>
      </c>
      <c r="B1119" s="0" t="s">
        <v>52</v>
      </c>
      <c r="E1119" s="20" t="n">
        <f aca="false">MAX(0,phi*(E1099/D1099-1))</f>
        <v>0.13179151703879</v>
      </c>
      <c r="F1119" s="20" t="n">
        <f aca="false">MAX(0,phi*(F1099/E1099-1))</f>
        <v>0.0175462582202121</v>
      </c>
      <c r="G1119" s="20" t="n">
        <f aca="false">MAX(0,phi*(G1099/F1099-1))</f>
        <v>0.00466228571388885</v>
      </c>
    </row>
    <row r="1120" customFormat="false" ht="15" hidden="false" customHeight="false" outlineLevel="0" collapsed="false">
      <c r="A1120" s="4" t="s">
        <v>622</v>
      </c>
      <c r="B1120" s="0" t="s">
        <v>151</v>
      </c>
      <c r="C1120" s="21" t="n">
        <f aca="false">a25_sopx</f>
        <v>40.894</v>
      </c>
      <c r="D1120" s="21" t="n">
        <f aca="false">a26_sopx</f>
        <v>46.9914095398923</v>
      </c>
      <c r="E1120" s="21" t="n">
        <f aca="false">D1120*(1+E1119)+0*E1099</f>
        <v>53.1844786909457</v>
      </c>
      <c r="F1120" s="21" t="n">
        <f aca="false">E1120*(1+F1119)+0*F1099</f>
        <v>54.1176672873644</v>
      </c>
      <c r="G1120" s="21" t="n">
        <f aca="false">F1120*(1+G1119)+0*G1099</f>
        <v>54.3699793144273</v>
      </c>
    </row>
    <row r="1121" customFormat="false" ht="15" hidden="false" customHeight="false" outlineLevel="0" collapsed="false">
      <c r="A1121" s="4" t="s">
        <v>623</v>
      </c>
      <c r="B1121" s="0" t="s">
        <v>151</v>
      </c>
      <c r="C1121" s="21" t="n">
        <f aca="false">C1117-C1120</f>
        <v>14.635</v>
      </c>
      <c r="D1121" s="21" t="n">
        <f aca="false">D1117-D1120</f>
        <v>56.514976270258</v>
      </c>
      <c r="E1121" s="21" t="n">
        <f aca="false">E1117-E1120</f>
        <v>95.8074495725885</v>
      </c>
      <c r="F1121" s="21" t="n">
        <f aca="false">F1117-F1120</f>
        <v>115.345330508121</v>
      </c>
      <c r="G1121" s="21" t="n">
        <f aca="false">G1117-G1120</f>
        <v>125.597716926557</v>
      </c>
    </row>
    <row r="1122" customFormat="false" ht="15" hidden="false" customHeight="false" outlineLevel="0" collapsed="false">
      <c r="A1122" s="4" t="s">
        <v>624</v>
      </c>
      <c r="B1122" s="0" t="s">
        <v>52</v>
      </c>
      <c r="C1122" s="14" t="n">
        <f aca="false">C1121/C1099</f>
        <v>0.011841956208632</v>
      </c>
      <c r="D1122" s="14" t="n">
        <f aca="false">D1121/D1099</f>
        <v>0.0213125324514788</v>
      </c>
      <c r="E1122" s="14" t="n">
        <f aca="false">E1121/E1099</f>
        <v>0.0251025555062577</v>
      </c>
      <c r="F1122" s="14" t="n">
        <f aca="false">F1121/F1099</f>
        <v>0.0285517629786878</v>
      </c>
      <c r="G1122" s="14" t="n">
        <f aca="false">G1121/G1099</f>
        <v>0.0306137982350437</v>
      </c>
    </row>
    <row r="1123" customFormat="false" ht="15" hidden="false" customHeight="false" outlineLevel="0" collapsed="false">
      <c r="A1123" s="4" t="s">
        <v>625</v>
      </c>
      <c r="B1123" s="0" t="s">
        <v>151</v>
      </c>
      <c r="C1123" s="21" t="n">
        <f aca="false">a25_sni</f>
        <v>6.9608</v>
      </c>
      <c r="D1123" s="21" t="n">
        <f aca="false">a26_sni</f>
        <v>31.133746704</v>
      </c>
      <c r="E1123" s="21" t="n">
        <f aca="false">E1121*snio_lo</f>
        <v>43.1133523076648</v>
      </c>
      <c r="F1123" s="21" t="n">
        <f aca="false">F1121*snio_lo</f>
        <v>51.9053987286545</v>
      </c>
      <c r="G1123" s="21" t="n">
        <f aca="false">G1121*snio_lo</f>
        <v>56.5189726169507</v>
      </c>
    </row>
    <row r="1124" customFormat="false" ht="17.15" hidden="false" customHeight="false" outlineLevel="0" collapsed="false">
      <c r="A1124" s="6" t="s">
        <v>626</v>
      </c>
    </row>
    <row r="1125" customFormat="false" ht="15" hidden="false" customHeight="false" outlineLevel="0" collapsed="false">
      <c r="A1125" s="4" t="s">
        <v>462</v>
      </c>
      <c r="B1125" s="0" t="s">
        <v>151</v>
      </c>
      <c r="C1125" s="21" t="n">
        <f aca="false">a25_wgp</f>
        <v>78.454</v>
      </c>
      <c r="D1125" s="21" t="n">
        <f aca="false">a26_wgp</f>
        <v>125.0519932</v>
      </c>
      <c r="E1125" s="21" t="n">
        <f aca="false">E1104*wgm</f>
        <v>176.153108573363</v>
      </c>
      <c r="F1125" s="21" t="n">
        <f aca="false">F1104*wgm</f>
        <v>208.702001860003</v>
      </c>
      <c r="G1125" s="21" t="n">
        <f aca="false">G1104*wgm</f>
        <v>223.458317620249</v>
      </c>
    </row>
    <row r="1126" customFormat="false" ht="15" hidden="false" customHeight="false" outlineLevel="0" collapsed="false">
      <c r="A1126" s="4" t="s">
        <v>464</v>
      </c>
      <c r="B1126" s="0" t="s">
        <v>151</v>
      </c>
      <c r="C1126" s="21" t="n">
        <f aca="false">a25_woi</f>
        <v>63.918</v>
      </c>
      <c r="D1126" s="21" t="n">
        <f aca="false">a26_woi</f>
        <v>98.2471632</v>
      </c>
      <c r="E1126" s="21" t="n">
        <f aca="false">E1104*wopm</f>
        <v>134.705318320807</v>
      </c>
      <c r="F1126" s="21" t="n">
        <f aca="false">F1104*wopm</f>
        <v>159.595648481179</v>
      </c>
      <c r="G1126" s="21" t="n">
        <f aca="false">G1104*wopm</f>
        <v>170.879889944896</v>
      </c>
    </row>
    <row r="1127" customFormat="false" ht="15" hidden="false" customHeight="false" outlineLevel="0" collapsed="false">
      <c r="A1127" s="4" t="s">
        <v>472</v>
      </c>
      <c r="B1127" s="0" t="s">
        <v>151</v>
      </c>
      <c r="C1127" s="21" t="n">
        <f aca="false">a25_wni</f>
        <v>51.118</v>
      </c>
      <c r="D1127" s="21" t="n">
        <f aca="false">a26_wni</f>
        <v>75.735026884</v>
      </c>
      <c r="E1127" s="21" t="n">
        <f aca="false">E1126*wnio</f>
        <v>105.07014829023</v>
      </c>
      <c r="F1127" s="21" t="n">
        <f aca="false">F1126*wnio</f>
        <v>124.484605815319</v>
      </c>
      <c r="G1127" s="21" t="n">
        <f aca="false">G1126*wnio</f>
        <v>133.286314157019</v>
      </c>
    </row>
    <row r="1128" customFormat="false" ht="15" hidden="false" customHeight="false" outlineLevel="0" collapsed="false">
      <c r="A1128" s="4" t="s">
        <v>474</v>
      </c>
      <c r="B1128" s="0" t="s">
        <v>52</v>
      </c>
      <c r="C1128" s="14" t="n">
        <f aca="false">stake25</f>
        <v>0.4</v>
      </c>
      <c r="D1128" s="14" t="n">
        <f aca="false">stake</f>
        <v>0.3768</v>
      </c>
      <c r="E1128" s="14" t="n">
        <f aca="false">stake</f>
        <v>0.3768</v>
      </c>
      <c r="F1128" s="14" t="n">
        <f aca="false">stake</f>
        <v>0.3768</v>
      </c>
      <c r="G1128" s="14" t="n">
        <f aca="false">stake</f>
        <v>0.3768</v>
      </c>
    </row>
    <row r="1129" customFormat="false" ht="17.15" hidden="false" customHeight="false" outlineLevel="0" collapsed="false">
      <c r="A1129" s="6" t="s">
        <v>627</v>
      </c>
    </row>
    <row r="1130" customFormat="false" ht="15" hidden="false" customHeight="false" outlineLevel="0" collapsed="false">
      <c r="A1130" s="4" t="s">
        <v>448</v>
      </c>
      <c r="B1130" s="0" t="s">
        <v>151</v>
      </c>
      <c r="C1130" s="21" t="n">
        <f aca="false">C1117+C1125</f>
        <v>133.983</v>
      </c>
      <c r="D1130" s="21" t="n">
        <f aca="false">D1117+D1125</f>
        <v>228.55837901015</v>
      </c>
      <c r="E1130" s="21" t="n">
        <f aca="false">E1117+E1125</f>
        <v>325.145036836897</v>
      </c>
      <c r="F1130" s="21" t="n">
        <f aca="false">F1117+F1125</f>
        <v>378.164999655488</v>
      </c>
      <c r="G1130" s="21" t="n">
        <f aca="false">G1117+G1125</f>
        <v>403.426013861233</v>
      </c>
    </row>
    <row r="1131" customFormat="false" ht="15" hidden="false" customHeight="false" outlineLevel="0" collapsed="false">
      <c r="A1131" s="4" t="s">
        <v>451</v>
      </c>
      <c r="B1131" s="0" t="s">
        <v>52</v>
      </c>
      <c r="C1131" s="14" t="n">
        <f aca="false">C1130/C1105</f>
        <v>0.0612767393711386</v>
      </c>
      <c r="D1131" s="14" t="n">
        <f aca="false">D1130/D1105</f>
        <v>0.055781973714825</v>
      </c>
      <c r="E1131" s="14" t="n">
        <f aca="false">E1130/E1105</f>
        <v>0.0552119777090174</v>
      </c>
      <c r="F1131" s="14" t="n">
        <f aca="false">F1130/F1105</f>
        <v>0.0582223613029051</v>
      </c>
      <c r="G1131" s="14" t="n">
        <f aca="false">G1130/G1105</f>
        <v>0.0599304317539554</v>
      </c>
    </row>
    <row r="1132" customFormat="false" ht="15" hidden="false" customHeight="false" outlineLevel="0" collapsed="false">
      <c r="A1132" s="4" t="s">
        <v>452</v>
      </c>
      <c r="B1132" s="0" t="s">
        <v>151</v>
      </c>
      <c r="C1132" s="21" t="n">
        <f aca="false">C1121+C1126</f>
        <v>78.553</v>
      </c>
      <c r="D1132" s="21" t="n">
        <f aca="false">D1121+D1126</f>
        <v>154.762139470258</v>
      </c>
      <c r="E1132" s="21" t="n">
        <f aca="false">E1121+E1126</f>
        <v>230.512767893396</v>
      </c>
      <c r="F1132" s="21" t="n">
        <f aca="false">F1121+F1126</f>
        <v>274.9409789893</v>
      </c>
      <c r="G1132" s="21" t="n">
        <f aca="false">G1121+G1126</f>
        <v>296.477606871453</v>
      </c>
    </row>
    <row r="1133" customFormat="false" ht="15" hidden="false" customHeight="false" outlineLevel="0" collapsed="false">
      <c r="A1133" s="4" t="s">
        <v>455</v>
      </c>
      <c r="B1133" s="0" t="s">
        <v>52</v>
      </c>
      <c r="C1133" s="14" t="n">
        <f aca="false">C1132/C1105</f>
        <v>0.0359259884300325</v>
      </c>
      <c r="D1133" s="14" t="n">
        <f aca="false">D1132/D1105</f>
        <v>0.0377712584126992</v>
      </c>
      <c r="E1133" s="14" t="n">
        <f aca="false">E1132/E1105</f>
        <v>0.039142734351373</v>
      </c>
      <c r="F1133" s="14" t="n">
        <f aca="false">F1132/F1105</f>
        <v>0.0423299698022626</v>
      </c>
      <c r="G1133" s="14" t="n">
        <f aca="false">G1132/G1105</f>
        <v>0.0440428489356101</v>
      </c>
    </row>
    <row r="1134" customFormat="false" ht="15" hidden="false" customHeight="false" outlineLevel="0" collapsed="false">
      <c r="A1134" s="4" t="s">
        <v>485</v>
      </c>
      <c r="B1134" s="0" t="s">
        <v>151</v>
      </c>
      <c r="C1134" s="21" t="n">
        <f aca="false">C1123+C1127</f>
        <v>58.0788</v>
      </c>
      <c r="D1134" s="21" t="n">
        <f aca="false">D1123+D1127</f>
        <v>106.868773588</v>
      </c>
      <c r="E1134" s="21" t="n">
        <f aca="false">E1123+E1127</f>
        <v>148.183500597894</v>
      </c>
      <c r="F1134" s="21" t="n">
        <f aca="false">F1123+F1127</f>
        <v>176.390004543974</v>
      </c>
      <c r="G1134" s="21" t="n">
        <f aca="false">G1123+G1127</f>
        <v>189.80528677397</v>
      </c>
    </row>
    <row r="1135" customFormat="false" ht="17.15" hidden="false" customHeight="false" outlineLevel="0" collapsed="false">
      <c r="A1135" s="4" t="s">
        <v>628</v>
      </c>
      <c r="B1135" s="0" t="s">
        <v>151</v>
      </c>
      <c r="C1135" s="21" t="n">
        <f aca="false">(1-C1128)*C1127</f>
        <v>30.6708</v>
      </c>
      <c r="D1135" s="21" t="n">
        <f aca="false">(1-D1128)*D1127</f>
        <v>47.1980687541088</v>
      </c>
      <c r="E1135" s="21" t="n">
        <f aca="false">(1-E1128)*E1127</f>
        <v>65.4797164144711</v>
      </c>
      <c r="F1135" s="21" t="n">
        <f aca="false">(1-F1128)*F1127</f>
        <v>77.578806344107</v>
      </c>
      <c r="G1135" s="21" t="n">
        <f aca="false">(1-G1128)*G1127</f>
        <v>83.0640309826542</v>
      </c>
    </row>
    <row r="1136" customFormat="false" ht="15" hidden="false" customHeight="false" outlineLevel="0" collapsed="false">
      <c r="A1136" s="4" t="s">
        <v>481</v>
      </c>
      <c r="B1136" s="0" t="s">
        <v>151</v>
      </c>
      <c r="C1136" s="21" t="n">
        <f aca="false">C1134-C1135</f>
        <v>27.408</v>
      </c>
      <c r="D1136" s="21" t="n">
        <f aca="false">D1134-D1135</f>
        <v>59.6707048338912</v>
      </c>
      <c r="E1136" s="21" t="n">
        <f aca="false">E1134-E1135</f>
        <v>82.7037841834233</v>
      </c>
      <c r="F1136" s="21" t="n">
        <f aca="false">F1134-F1135</f>
        <v>98.8111981998668</v>
      </c>
      <c r="G1136" s="21" t="n">
        <f aca="false">G1134-G1135</f>
        <v>106.741255791315</v>
      </c>
      <c r="H1136" s="26" t="n">
        <f aca="false">H1105*H1141</f>
        <v>116.275013987457</v>
      </c>
      <c r="I1136" s="26" t="n">
        <f aca="false">I1105*I1141</f>
        <v>127.396389034018</v>
      </c>
      <c r="J1136" s="26" t="n">
        <f aca="false">J1105*J1141</f>
        <v>140.403555642067</v>
      </c>
    </row>
    <row r="1137" customFormat="false" ht="17.15" hidden="false" customHeight="false" outlineLevel="0" collapsed="false">
      <c r="A1137" s="4" t="s">
        <v>629</v>
      </c>
      <c r="B1137" s="0" t="s">
        <v>52</v>
      </c>
      <c r="C1137" s="20" t="n">
        <f aca="false">C1128*C1127/C1136</f>
        <v>0.746030356100409</v>
      </c>
      <c r="D1137" s="20" t="n">
        <f aca="false">D1128*D1127/D1136</f>
        <v>0.478240674537551</v>
      </c>
      <c r="E1137" s="20" t="n">
        <f aca="false">E1128*E1127/E1136</f>
        <v>0.47870157655608</v>
      </c>
      <c r="F1137" s="20" t="n">
        <f aca="false">F1128*F1127/F1136</f>
        <v>0.47470125173804</v>
      </c>
      <c r="G1137" s="20" t="n">
        <f aca="false">G1128*G1127/G1136</f>
        <v>0.470504893370862</v>
      </c>
    </row>
    <row r="1138" customFormat="false" ht="17.15" hidden="false" customHeight="false" outlineLevel="0" collapsed="false">
      <c r="A1138" s="4" t="s">
        <v>630</v>
      </c>
      <c r="B1138" s="4" t="s">
        <v>286</v>
      </c>
      <c r="C1138" s="31" t="n">
        <f aca="false">a25_sh</f>
        <v>3.03185840707965</v>
      </c>
      <c r="D1138" s="31" t="n">
        <f aca="false">a26_sh</f>
        <v>3.23861720409076</v>
      </c>
      <c r="E1138" s="31" t="n">
        <f aca="false">q_sh4*(1+sh_g)</f>
        <v>3.43</v>
      </c>
      <c r="F1138" s="31" t="n">
        <f aca="false">E1138*(1+sh_g)</f>
        <v>3.43</v>
      </c>
      <c r="G1138" s="31" t="n">
        <f aca="false">F1138*(1+sh_g)</f>
        <v>3.43</v>
      </c>
      <c r="H1138" s="32" t="n">
        <f aca="false">G1138*(1+sh_g)</f>
        <v>3.43</v>
      </c>
      <c r="I1138" s="32" t="n">
        <f aca="false">H1138*(1+sh_g)</f>
        <v>3.43</v>
      </c>
      <c r="J1138" s="32" t="n">
        <f aca="false">I1138*(1+sh_g)</f>
        <v>3.43</v>
      </c>
      <c r="K1138" s="8" t="s">
        <v>631</v>
      </c>
    </row>
    <row r="1139" customFormat="false" ht="15" hidden="false" customHeight="false" outlineLevel="0" collapsed="false">
      <c r="A1139" s="0" t="s">
        <v>488</v>
      </c>
      <c r="B1139" s="0" t="s">
        <v>316</v>
      </c>
      <c r="C1139" s="18" t="n">
        <f aca="false">C1136/C1138</f>
        <v>9.04</v>
      </c>
      <c r="D1139" s="18" t="n">
        <f aca="false">D1136/D1138</f>
        <v>18.4247476850676</v>
      </c>
      <c r="E1139" s="18" t="n">
        <f aca="false">E1136/E1138</f>
        <v>24.1118904324849</v>
      </c>
      <c r="F1139" s="18" t="n">
        <f aca="false">F1136/F1138</f>
        <v>28.8079295043343</v>
      </c>
      <c r="G1139" s="18" t="n">
        <f aca="false">G1136/G1138</f>
        <v>31.1198996476138</v>
      </c>
      <c r="H1139" s="29" t="n">
        <f aca="false">H1136/H1138</f>
        <v>33.8994209875969</v>
      </c>
      <c r="I1139" s="29" t="n">
        <f aca="false">I1136/I1138</f>
        <v>37.1418043830958</v>
      </c>
      <c r="J1139" s="29" t="n">
        <f aca="false">J1136/J1138</f>
        <v>40.9339812367544</v>
      </c>
    </row>
    <row r="1140" customFormat="false" ht="17.15" hidden="false" customHeight="false" outlineLevel="0" collapsed="false">
      <c r="A1140" s="0" t="s">
        <v>632</v>
      </c>
      <c r="B1140" s="0" t="s">
        <v>52</v>
      </c>
      <c r="D1140" s="20" t="n">
        <f aca="false">D1139/C1139-1</f>
        <v>1.03813580587031</v>
      </c>
      <c r="E1140" s="20" t="n">
        <f aca="false">E1139/D1139-1</f>
        <v>0.308668690862265</v>
      </c>
      <c r="F1140" s="20" t="n">
        <f aca="false">F1139/E1139-1</f>
        <v>0.194760302390999</v>
      </c>
      <c r="G1140" s="20" t="n">
        <f aca="false">G1139/F1139-1</f>
        <v>0.080254644573871</v>
      </c>
      <c r="H1140" s="27" t="n">
        <f aca="false">H1139/G1139-1</f>
        <v>0.0893165264495386</v>
      </c>
      <c r="I1140" s="27" t="n">
        <f aca="false">I1139/H1139-1</f>
        <v>0.0956471615454781</v>
      </c>
      <c r="J1140" s="27" t="n">
        <f aca="false">J1139/I1139-1</f>
        <v>0.102099963010535</v>
      </c>
    </row>
    <row r="1141" customFormat="false" ht="17.15" hidden="false" customHeight="false" outlineLevel="0" collapsed="false">
      <c r="A1141" s="4" t="s">
        <v>633</v>
      </c>
      <c r="B1141" s="0" t="s">
        <v>52</v>
      </c>
      <c r="C1141" s="14" t="n">
        <f aca="false">C1136/C1105</f>
        <v>0.0125349699042727</v>
      </c>
      <c r="D1141" s="14" t="n">
        <f aca="false">D1136/D1105</f>
        <v>0.0145632363293992</v>
      </c>
      <c r="E1141" s="14" t="n">
        <f aca="false">E1136/E1105</f>
        <v>0.014043700415077</v>
      </c>
      <c r="F1141" s="14" t="n">
        <f aca="false">F1136/F1105</f>
        <v>0.0152129924440566</v>
      </c>
      <c r="G1141" s="14" t="n">
        <f aca="false">G1136/G1105</f>
        <v>0.015856809738931</v>
      </c>
      <c r="H1141" s="28" t="n">
        <f aca="false">$G1141+(fade_mA-$G1141)*1/3</f>
        <v>0.0165409366633654</v>
      </c>
      <c r="I1141" s="28" t="n">
        <f aca="false">$G1141+(fade_mA-$G1141)*2/3</f>
        <v>0.0172250635877998</v>
      </c>
      <c r="J1141" s="28" t="n">
        <f aca="false">$G1141+(fade_mA-$G1141)*3/3</f>
        <v>0.0179091905122343</v>
      </c>
    </row>
    <row r="1144" customFormat="false" ht="17.15" hidden="false" customHeight="false" outlineLevel="0" collapsed="false">
      <c r="A1144" s="1" t="s">
        <v>963</v>
      </c>
    </row>
    <row r="1145" customFormat="false" ht="17.15" hidden="false" customHeight="false" outlineLevel="0" collapsed="false">
      <c r="A1145" s="5" t="s">
        <v>21</v>
      </c>
      <c r="B1145" s="5" t="s">
        <v>22</v>
      </c>
      <c r="C1145" s="15" t="s">
        <v>438</v>
      </c>
      <c r="D1145" s="15" t="s">
        <v>552</v>
      </c>
      <c r="E1145" s="15" t="s">
        <v>553</v>
      </c>
      <c r="F1145" s="15" t="s">
        <v>554</v>
      </c>
      <c r="G1145" s="15" t="s">
        <v>555</v>
      </c>
      <c r="H1145" s="15" t="s">
        <v>556</v>
      </c>
      <c r="I1145" s="15" t="s">
        <v>557</v>
      </c>
      <c r="J1145" s="15" t="s">
        <v>558</v>
      </c>
      <c r="K1145" s="5" t="s">
        <v>420</v>
      </c>
    </row>
    <row r="1146" customFormat="false" ht="17.15" hidden="false" customHeight="false" outlineLevel="0" collapsed="false">
      <c r="A1146" s="6" t="s">
        <v>573</v>
      </c>
    </row>
    <row r="1147" customFormat="false" ht="17.15" hidden="false" customHeight="false" outlineLevel="0" collapsed="false">
      <c r="A1147" s="0" t="s">
        <v>574</v>
      </c>
      <c r="B1147" s="0" t="s">
        <v>32</v>
      </c>
      <c r="D1147" s="21" t="n">
        <f aca="false">itc_26*1</f>
        <v>781.872916666666</v>
      </c>
      <c r="E1147" s="21" t="n">
        <f aca="false">itc_27*1*1</f>
        <v>1565.35</v>
      </c>
      <c r="F1147" s="21" t="n">
        <f aca="false">itc_28*um28_A*1</f>
        <v>1984.26388888889</v>
      </c>
      <c r="G1147" s="21" t="n">
        <f aca="false">itc_29*um29_A*1</f>
        <v>2260.39027777778</v>
      </c>
    </row>
    <row r="1148" customFormat="false" ht="17.15" hidden="false" customHeight="false" outlineLevel="0" collapsed="false">
      <c r="A1148" s="4" t="s">
        <v>575</v>
      </c>
      <c r="B1148" s="0" t="s">
        <v>32</v>
      </c>
      <c r="D1148" s="21" t="n">
        <f aca="false">itpg_gb*(1-vr26)+itpg_vr*vr26</f>
        <v>33.41403216</v>
      </c>
      <c r="E1148" s="21" t="n">
        <f aca="false">itpg_vr</f>
        <v>37.586352</v>
      </c>
      <c r="F1148" s="21" t="n">
        <f aca="false">itpg_vr</f>
        <v>37.586352</v>
      </c>
      <c r="G1148" s="21" t="n">
        <f aca="false">itpg_vr</f>
        <v>37.586352</v>
      </c>
    </row>
    <row r="1149" customFormat="false" ht="17.15" hidden="false" customHeight="false" outlineLevel="0" collapsed="false">
      <c r="A1149" s="4" t="s">
        <v>576</v>
      </c>
      <c r="B1149" s="0" t="s">
        <v>521</v>
      </c>
      <c r="D1149" s="22" t="n">
        <f aca="false">D1147/D1148</f>
        <v>23.3995380420639</v>
      </c>
      <c r="E1149" s="22" t="n">
        <f aca="false">E1147/E1148</f>
        <v>41.6467658260637</v>
      </c>
      <c r="F1149" s="22" t="n">
        <f aca="false">F1147/F1148</f>
        <v>52.792138191248</v>
      </c>
      <c r="G1149" s="22" t="n">
        <f aca="false">G1147/G1148</f>
        <v>60.1385917361116</v>
      </c>
    </row>
    <row r="1150" customFormat="false" ht="17.15" hidden="false" customHeight="false" outlineLevel="0" collapsed="false">
      <c r="A1150" s="4" t="s">
        <v>577</v>
      </c>
      <c r="B1150" s="0" t="s">
        <v>578</v>
      </c>
      <c r="D1150" s="18" t="n">
        <f aca="false">(racks_gb*odm_gb*(1-vr26)+racks_vr*odm_vr*vr26)/1000</f>
        <v>27.1209</v>
      </c>
      <c r="E1150" s="18" t="n">
        <f aca="false">racks_vr*odm_vr/1000</f>
        <v>27.351</v>
      </c>
      <c r="F1150" s="18" t="n">
        <f aca="false">$E1150*vpg_28</f>
        <v>27.351</v>
      </c>
      <c r="G1150" s="18" t="n">
        <f aca="false">$E1150*vpg_29</f>
        <v>27.351</v>
      </c>
      <c r="K1150" s="4" t="s">
        <v>579</v>
      </c>
    </row>
    <row r="1151" customFormat="false" ht="17.15" hidden="false" customHeight="false" outlineLevel="0" collapsed="false">
      <c r="A1151" s="0" t="s">
        <v>580</v>
      </c>
      <c r="B1151" s="0" t="s">
        <v>32</v>
      </c>
      <c r="D1151" s="21" t="n">
        <f aca="false">D1149*D1150</f>
        <v>634.61653128501</v>
      </c>
      <c r="E1151" s="21" t="n">
        <f aca="false">E1149*E1150</f>
        <v>1139.08069210867</v>
      </c>
      <c r="F1151" s="21" t="n">
        <f aca="false">F1149*F1150</f>
        <v>1443.91777166882</v>
      </c>
      <c r="G1151" s="21" t="n">
        <f aca="false">G1149*G1150</f>
        <v>1644.85062257439</v>
      </c>
    </row>
    <row r="1152" customFormat="false" ht="17.15" hidden="false" customHeight="false" outlineLevel="0" collapsed="false">
      <c r="A1152" s="0" t="s">
        <v>581</v>
      </c>
      <c r="B1152" s="0" t="s">
        <v>151</v>
      </c>
      <c r="D1152" s="21" t="n">
        <f aca="false">D1151*fx</f>
        <v>20307.7290011203</v>
      </c>
      <c r="E1152" s="21" t="n">
        <f aca="false">E1151*fx</f>
        <v>36450.5821474774</v>
      </c>
      <c r="F1152" s="21" t="n">
        <f aca="false">F1151*fx</f>
        <v>46205.3686934024</v>
      </c>
      <c r="G1152" s="21" t="n">
        <f aca="false">G1151*fx</f>
        <v>52635.2199223804</v>
      </c>
    </row>
    <row r="1153" customFormat="false" ht="17.15" hidden="false" customHeight="false" outlineLevel="0" collapsed="false">
      <c r="A1153" s="6" t="s">
        <v>582</v>
      </c>
    </row>
    <row r="1154" customFormat="false" ht="17.15" hidden="false" customHeight="false" outlineLevel="0" collapsed="false">
      <c r="A1154" s="4" t="s">
        <v>583</v>
      </c>
      <c r="B1154" s="0" t="s">
        <v>52</v>
      </c>
      <c r="D1154" s="20" t="n">
        <f aca="false">a26_ais/D1152</f>
        <v>0.0875096501918447</v>
      </c>
      <c r="K1154" s="8" t="s">
        <v>584</v>
      </c>
    </row>
    <row r="1155" customFormat="false" ht="17.15" hidden="false" customHeight="false" outlineLevel="0" collapsed="false">
      <c r="A1155" s="4" t="s">
        <v>585</v>
      </c>
      <c r="B1155" s="0" t="s">
        <v>64</v>
      </c>
      <c r="D1155" s="18" t="n">
        <f aca="false">1</f>
        <v>1</v>
      </c>
      <c r="E1155" s="18" t="n">
        <f aca="false">rel_27</f>
        <v>1</v>
      </c>
      <c r="F1155" s="18" t="n">
        <f aca="false">rel_28</f>
        <v>0.95</v>
      </c>
      <c r="G1155" s="18" t="n">
        <f aca="false">rel_29</f>
        <v>0.9</v>
      </c>
    </row>
    <row r="1156" customFormat="false" ht="17.15" hidden="false" customHeight="false" outlineLevel="0" collapsed="false">
      <c r="A1156" s="4" t="s">
        <v>586</v>
      </c>
      <c r="B1156" s="0" t="s">
        <v>52</v>
      </c>
      <c r="D1156" s="20" t="n">
        <f aca="false">$D$1154*D1155</f>
        <v>0.0875096501918447</v>
      </c>
      <c r="E1156" s="20" t="n">
        <f aca="false">$D$1154*E1155</f>
        <v>0.0875096501918447</v>
      </c>
      <c r="F1156" s="20" t="n">
        <f aca="false">$D$1154*F1155</f>
        <v>0.0831341676822525</v>
      </c>
      <c r="G1156" s="20" t="n">
        <f aca="false">$D$1154*G1155</f>
        <v>0.0787586851726602</v>
      </c>
    </row>
    <row r="1157" customFormat="false" ht="17.15" hidden="false" customHeight="false" outlineLevel="0" collapsed="false">
      <c r="A1157" s="4" t="s">
        <v>587</v>
      </c>
      <c r="B1157" s="0" t="s">
        <v>151</v>
      </c>
      <c r="D1157" s="21" t="n">
        <f aca="false">D1152*D1156</f>
        <v>1777.12226107882</v>
      </c>
      <c r="E1157" s="21" t="n">
        <f aca="false">E1152*E1156</f>
        <v>3189.77769301484</v>
      </c>
      <c r="F1157" s="21" t="n">
        <f aca="false">F1152*F1156</f>
        <v>3841.24486877761</v>
      </c>
      <c r="G1157" s="21" t="n">
        <f aca="false">G1152*G1156</f>
        <v>4145.48071486049</v>
      </c>
    </row>
    <row r="1158" customFormat="false" ht="17.15" hidden="false" customHeight="false" outlineLevel="0" collapsed="false">
      <c r="A1158" s="4" t="s">
        <v>588</v>
      </c>
      <c r="B1158" s="0" t="s">
        <v>52</v>
      </c>
      <c r="D1158" s="20" t="n">
        <f aca="false">0</f>
        <v>0</v>
      </c>
      <c r="E1158" s="20" t="n">
        <f aca="false">cs_27</f>
        <v>0.1</v>
      </c>
      <c r="F1158" s="20" t="n">
        <f aca="false">cs_28</f>
        <v>0.2</v>
      </c>
      <c r="G1158" s="20" t="n">
        <f aca="false">cs_29</f>
        <v>0.25</v>
      </c>
      <c r="K1158" s="8" t="s">
        <v>589</v>
      </c>
    </row>
    <row r="1159" customFormat="false" ht="17.15" hidden="false" customHeight="false" outlineLevel="0" collapsed="false">
      <c r="A1159" s="4" t="s">
        <v>590</v>
      </c>
      <c r="B1159" s="0" t="s">
        <v>151</v>
      </c>
      <c r="D1159" s="21" t="n">
        <f aca="false">D1157*(1-D1158)</f>
        <v>1777.12226107882</v>
      </c>
      <c r="E1159" s="21" t="n">
        <f aca="false">E1157*(1-E1158)</f>
        <v>2870.79992371336</v>
      </c>
      <c r="F1159" s="21" t="n">
        <f aca="false">F1157*(1-F1158)</f>
        <v>3072.99589502209</v>
      </c>
      <c r="G1159" s="21" t="n">
        <f aca="false">G1157*(1-G1158)</f>
        <v>3109.11053614537</v>
      </c>
    </row>
    <row r="1160" customFormat="false" ht="17.15" hidden="false" customHeight="false" outlineLevel="0" collapsed="false">
      <c r="A1160" s="6" t="s">
        <v>591</v>
      </c>
    </row>
    <row r="1161" customFormat="false" ht="17.15" hidden="false" customHeight="false" outlineLevel="0" collapsed="false">
      <c r="A1161" s="0" t="s">
        <v>592</v>
      </c>
      <c r="B1161" s="4" t="s">
        <v>85</v>
      </c>
      <c r="D1161" s="18" t="n">
        <f aca="false">gu_26*1</f>
        <v>8.35</v>
      </c>
      <c r="E1161" s="18" t="n">
        <f aca="false">gu_27*1*1</f>
        <v>11.2</v>
      </c>
      <c r="F1161" s="18" t="n">
        <f aca="false">gu_28*um28_A*1</f>
        <v>11.5</v>
      </c>
      <c r="G1161" s="18" t="n">
        <f aca="false">gu_29*um29_A*1</f>
        <v>12.9</v>
      </c>
    </row>
    <row r="1162" customFormat="false" ht="15" hidden="false" customHeight="false" outlineLevel="0" collapsed="false">
      <c r="A1162" s="4" t="s">
        <v>593</v>
      </c>
      <c r="B1162" s="0" t="s">
        <v>52</v>
      </c>
      <c r="D1162" s="20" t="n">
        <f aca="false">bsh_26</f>
        <v>0.5</v>
      </c>
      <c r="E1162" s="20" t="n">
        <f aca="false">bsh_26*brel_27</f>
        <v>0.5</v>
      </c>
      <c r="F1162" s="20" t="n">
        <f aca="false">bsh_26*brel_28</f>
        <v>0.475</v>
      </c>
      <c r="G1162" s="20" t="n">
        <f aca="false">bsh_26*brel_29</f>
        <v>0.45</v>
      </c>
    </row>
    <row r="1163" customFormat="false" ht="17.15" hidden="false" customHeight="false" outlineLevel="0" collapsed="false">
      <c r="A1163" s="4" t="s">
        <v>594</v>
      </c>
      <c r="B1163" s="0" t="s">
        <v>543</v>
      </c>
      <c r="D1163" s="24" t="n">
        <f aca="false">a26_brd/fx/D1161/D1162*1000</f>
        <v>823.353293413174</v>
      </c>
      <c r="E1163" s="24" t="n">
        <f aca="false">$D1163*bv_27</f>
        <v>946.85628742515</v>
      </c>
      <c r="F1163" s="24" t="n">
        <f aca="false">$D1163*bv_28</f>
        <v>988.023952095808</v>
      </c>
      <c r="G1163" s="24" t="n">
        <f aca="false">$D1163*bv_29</f>
        <v>988.023952095808</v>
      </c>
      <c r="K1163" s="8" t="s">
        <v>595</v>
      </c>
    </row>
    <row r="1164" customFormat="false" ht="17.15" hidden="false" customHeight="false" outlineLevel="0" collapsed="false">
      <c r="A1164" s="0" t="s">
        <v>545</v>
      </c>
      <c r="B1164" s="0" t="s">
        <v>151</v>
      </c>
      <c r="D1164" s="21" t="n">
        <f aca="false">D1161*D1162*D1163*fx/1000</f>
        <v>110</v>
      </c>
      <c r="E1164" s="21" t="n">
        <f aca="false">E1161*E1162*E1163*fx/1000</f>
        <v>169.676646706587</v>
      </c>
      <c r="F1164" s="21" t="n">
        <f aca="false">F1161*F1162*F1163*fx/1000</f>
        <v>172.706586826347</v>
      </c>
      <c r="G1164" s="21" t="n">
        <f aca="false">G1161*G1162*G1163*fx/1000</f>
        <v>183.535329341317</v>
      </c>
    </row>
    <row r="1165" customFormat="false" ht="17.15" hidden="false" customHeight="false" outlineLevel="0" collapsed="false">
      <c r="A1165" s="6" t="s">
        <v>596</v>
      </c>
    </row>
    <row r="1166" customFormat="false" ht="15" hidden="false" customHeight="false" outlineLevel="0" collapsed="false">
      <c r="A1166" s="4" t="s">
        <v>597</v>
      </c>
      <c r="B1166" s="0" t="s">
        <v>151</v>
      </c>
      <c r="D1166" s="21" t="n">
        <f aca="false">a26_gen</f>
        <v>150</v>
      </c>
      <c r="E1166" s="21" t="n">
        <f aca="false">D1166*(1+g_gen27)</f>
        <v>180</v>
      </c>
      <c r="F1166" s="21" t="n">
        <f aca="false">E1166*(1+g_gen28)</f>
        <v>198</v>
      </c>
      <c r="G1166" s="21" t="n">
        <f aca="false">F1166*(1+g_gen29)</f>
        <v>213.84</v>
      </c>
    </row>
    <row r="1167" customFormat="false" ht="15" hidden="false" customHeight="false" outlineLevel="0" collapsed="false">
      <c r="A1167" s="4" t="s">
        <v>598</v>
      </c>
      <c r="B1167" s="0" t="s">
        <v>151</v>
      </c>
      <c r="D1167" s="21" t="n">
        <f aca="false">a26_pc</f>
        <v>614.602793131557</v>
      </c>
      <c r="E1167" s="21" t="n">
        <f aca="false">D1167*(1+g_pc27)</f>
        <v>596.16470933761</v>
      </c>
      <c r="F1167" s="21" t="n">
        <f aca="false">E1167*(1+g_pc28)</f>
        <v>596.16470933761</v>
      </c>
      <c r="G1167" s="21" t="n">
        <f aca="false">F1167*(1+g_pc29)</f>
        <v>596.16470933761</v>
      </c>
    </row>
    <row r="1168" customFormat="false" ht="15" hidden="false" customHeight="false" outlineLevel="0" collapsed="false">
      <c r="A1168" s="4" t="s">
        <v>599</v>
      </c>
      <c r="B1168" s="0" t="s">
        <v>151</v>
      </c>
      <c r="C1168" s="21" t="n">
        <f aca="false">a25_srev</f>
        <v>1235.86</v>
      </c>
      <c r="D1168" s="21" t="n">
        <f aca="false">D1159+D1164+D1166+D1167</f>
        <v>2651.72505421038</v>
      </c>
      <c r="E1168" s="21" t="n">
        <f aca="false">E1159+E1164+E1166+E1167</f>
        <v>3816.64127975756</v>
      </c>
      <c r="F1168" s="21" t="n">
        <f aca="false">F1159+F1164+F1166+F1167</f>
        <v>4039.86719118605</v>
      </c>
      <c r="G1168" s="21" t="n">
        <f aca="false">G1159+G1164+G1166+G1167</f>
        <v>4102.6505748243</v>
      </c>
    </row>
    <row r="1169" customFormat="false" ht="17.15" hidden="false" customHeight="false" outlineLevel="0" collapsed="false">
      <c r="A1169" s="4" t="s">
        <v>600</v>
      </c>
      <c r="B1169" s="0" t="s">
        <v>52</v>
      </c>
      <c r="D1169" s="20" t="n">
        <f aca="false">a26_wai/D1152</f>
        <v>0.0341693013513091</v>
      </c>
      <c r="K1169" s="8" t="s">
        <v>601</v>
      </c>
    </row>
    <row r="1170" customFormat="false" ht="17.15" hidden="false" customHeight="false" outlineLevel="0" collapsed="false">
      <c r="A1170" s="4" t="s">
        <v>527</v>
      </c>
      <c r="B1170" s="0" t="s">
        <v>52</v>
      </c>
      <c r="D1170" s="20" t="n">
        <f aca="false">D1169</f>
        <v>0.0341693013513091</v>
      </c>
      <c r="E1170" s="20" t="n">
        <f aca="false">$D$1169*wrel_27</f>
        <v>0.0341693013513091</v>
      </c>
      <c r="F1170" s="20" t="n">
        <f aca="false">$D$1169*wrel_28</f>
        <v>0.0341693013513091</v>
      </c>
      <c r="G1170" s="20" t="n">
        <f aca="false">$D$1169*wrel_29</f>
        <v>0.0324608362837436</v>
      </c>
    </row>
    <row r="1171" customFormat="false" ht="17.15" hidden="false" customHeight="false" outlineLevel="0" collapsed="false">
      <c r="A1171" s="4" t="s">
        <v>547</v>
      </c>
      <c r="B1171" s="0" t="s">
        <v>151</v>
      </c>
      <c r="D1171" s="21" t="n">
        <f aca="false">D1152*D1170</f>
        <v>693.900912</v>
      </c>
      <c r="E1171" s="21" t="n">
        <f aca="false">E1152*E1170</f>
        <v>1245.4909258278</v>
      </c>
      <c r="F1171" s="21" t="n">
        <f aca="false">F1152*F1170</f>
        <v>1578.80516693321</v>
      </c>
      <c r="G1171" s="21" t="n">
        <f aca="false">G1152*G1170</f>
        <v>1708.58325665923</v>
      </c>
    </row>
    <row r="1172" customFormat="false" ht="17.15" hidden="false" customHeight="false" outlineLevel="0" collapsed="false">
      <c r="A1172" s="4" t="s">
        <v>602</v>
      </c>
      <c r="B1172" s="0" t="s">
        <v>151</v>
      </c>
      <c r="D1172" s="21" t="n">
        <f aca="false">a26_wna</f>
        <v>751.725988</v>
      </c>
      <c r="E1172" s="21" t="n">
        <f aca="false">D1172*(1+g_wn27)</f>
        <v>826.8985868</v>
      </c>
      <c r="F1172" s="21" t="n">
        <f aca="false">E1172*(1+g_wn28)</f>
        <v>876.512502008</v>
      </c>
      <c r="G1172" s="21" t="n">
        <f aca="false">F1172*(1+g_wn29)</f>
        <v>920.3381271084</v>
      </c>
    </row>
    <row r="1173" customFormat="false" ht="15" hidden="false" customHeight="false" outlineLevel="0" collapsed="false">
      <c r="A1173" s="4" t="s">
        <v>458</v>
      </c>
      <c r="B1173" s="0" t="s">
        <v>151</v>
      </c>
      <c r="C1173" s="21" t="n">
        <f aca="false">a25_wrev</f>
        <v>950.663</v>
      </c>
      <c r="D1173" s="21" t="n">
        <f aca="false">D1171+D1172</f>
        <v>1445.6269</v>
      </c>
      <c r="E1173" s="21" t="n">
        <f aca="false">E1171+E1172</f>
        <v>2072.3895126278</v>
      </c>
      <c r="F1173" s="21" t="n">
        <f aca="false">F1171+F1172</f>
        <v>2455.31766894121</v>
      </c>
      <c r="G1173" s="21" t="n">
        <f aca="false">G1171+G1172</f>
        <v>2628.92138376763</v>
      </c>
    </row>
    <row r="1174" customFormat="false" ht="17.15" hidden="false" customHeight="false" outlineLevel="0" collapsed="false">
      <c r="A1174" s="4" t="s">
        <v>444</v>
      </c>
      <c r="B1174" s="0" t="s">
        <v>151</v>
      </c>
      <c r="C1174" s="21" t="n">
        <f aca="false">C1168+C1173</f>
        <v>2186.523</v>
      </c>
      <c r="D1174" s="21" t="n">
        <f aca="false">D1168+D1173</f>
        <v>4097.35195421038</v>
      </c>
      <c r="E1174" s="21" t="n">
        <f aca="false">E1168+E1173</f>
        <v>5889.03079238536</v>
      </c>
      <c r="F1174" s="21" t="n">
        <f aca="false">F1168+F1173</f>
        <v>6495.18486012725</v>
      </c>
      <c r="G1174" s="21" t="n">
        <f aca="false">G1168+G1173</f>
        <v>6731.57195859193</v>
      </c>
      <c r="H1174" s="26" t="n">
        <f aca="false">G1174*(1+H1179)</f>
        <v>7029.53021064286</v>
      </c>
      <c r="I1174" s="26" t="n">
        <f aca="false">H1174*(1+I1179)</f>
        <v>7395.9894768836</v>
      </c>
      <c r="J1174" s="26" t="n">
        <f aca="false">I1174*(1+J1179)</f>
        <v>7839.74884549662</v>
      </c>
      <c r="K1174" s="8" t="s">
        <v>603</v>
      </c>
    </row>
    <row r="1175" customFormat="false" ht="17.15" hidden="false" customHeight="false" outlineLevel="0" collapsed="false">
      <c r="A1175" s="4" t="s">
        <v>604</v>
      </c>
      <c r="B1175" s="0" t="s">
        <v>151</v>
      </c>
      <c r="D1175" s="21" t="n">
        <f aca="false">D1159+D1164+D1166+D1173</f>
        <v>3482.74916107882</v>
      </c>
      <c r="E1175" s="21" t="n">
        <f aca="false">E1159+E1164+E1166+E1173</f>
        <v>5292.86608304775</v>
      </c>
      <c r="F1175" s="21" t="n">
        <f aca="false">F1159+F1164+F1166+F1173</f>
        <v>5899.02015078964</v>
      </c>
      <c r="G1175" s="21" t="n">
        <f aca="false">G1159+G1164+G1166+G1173</f>
        <v>6135.40724925432</v>
      </c>
      <c r="K1175" s="4" t="s">
        <v>605</v>
      </c>
    </row>
    <row r="1176" customFormat="false" ht="15" hidden="false" customHeight="false" outlineLevel="0" collapsed="false">
      <c r="A1176" s="4" t="s">
        <v>606</v>
      </c>
      <c r="B1176" s="0" t="s">
        <v>151</v>
      </c>
      <c r="D1176" s="21" t="n">
        <f aca="false">D1167</f>
        <v>614.602793131557</v>
      </c>
      <c r="E1176" s="21" t="n">
        <f aca="false">E1167</f>
        <v>596.16470933761</v>
      </c>
      <c r="F1176" s="21" t="n">
        <f aca="false">F1167</f>
        <v>596.16470933761</v>
      </c>
      <c r="G1176" s="21" t="n">
        <f aca="false">G1167</f>
        <v>596.16470933761</v>
      </c>
      <c r="K1176" s="4" t="s">
        <v>607</v>
      </c>
    </row>
    <row r="1177" customFormat="false" ht="17.15" hidden="false" customHeight="false" outlineLevel="0" collapsed="false">
      <c r="A1177" s="4" t="s">
        <v>608</v>
      </c>
      <c r="B1177" s="0" t="s">
        <v>151</v>
      </c>
      <c r="D1177" s="31" t="n">
        <f aca="false">D1175+D1176-D1174</f>
        <v>0</v>
      </c>
      <c r="E1177" s="31" t="n">
        <f aca="false">E1175+E1176-E1174</f>
        <v>0</v>
      </c>
      <c r="F1177" s="31" t="n">
        <f aca="false">F1175+F1176-F1174</f>
        <v>0</v>
      </c>
      <c r="G1177" s="31" t="n">
        <f aca="false">G1175+G1176-G1174</f>
        <v>0</v>
      </c>
    </row>
    <row r="1178" customFormat="false" ht="17.15" hidden="false" customHeight="false" outlineLevel="0" collapsed="false">
      <c r="A1178" s="4" t="s">
        <v>609</v>
      </c>
      <c r="B1178" s="0" t="s">
        <v>52</v>
      </c>
      <c r="D1178" s="20" t="n">
        <f aca="false">D1175/D1174</f>
        <v>0.85</v>
      </c>
      <c r="E1178" s="20" t="n">
        <f aca="false">E1175/E1174</f>
        <v>0.898766922715286</v>
      </c>
      <c r="F1178" s="20" t="n">
        <f aca="false">F1175/F1174</f>
        <v>0.908214358455391</v>
      </c>
      <c r="G1178" s="20" t="n">
        <f aca="false">G1175/G1174</f>
        <v>0.911437519645514</v>
      </c>
    </row>
    <row r="1179" customFormat="false" ht="15" hidden="false" customHeight="false" outlineLevel="0" collapsed="false">
      <c r="A1179" s="4" t="s">
        <v>610</v>
      </c>
      <c r="B1179" s="0" t="s">
        <v>52</v>
      </c>
      <c r="D1179" s="20" t="n">
        <f aca="false">D1174/C1174-1</f>
        <v>0.873912121761526</v>
      </c>
      <c r="E1179" s="20" t="n">
        <f aca="false">E1174/D1174-1</f>
        <v>0.437277260581405</v>
      </c>
      <c r="F1179" s="20" t="n">
        <f aca="false">F1174/E1174-1</f>
        <v>0.102929342554239</v>
      </c>
      <c r="G1179" s="20" t="n">
        <f aca="false">G1174/F1174-1</f>
        <v>0.0363942064090907</v>
      </c>
      <c r="H1179" s="27" t="n">
        <f aca="false">$G1179+(fade_gA-$G1179)*1/3</f>
        <v>0.0442628042727272</v>
      </c>
      <c r="I1179" s="27" t="n">
        <f aca="false">$G1179+(fade_gA-$G1179)*2/3</f>
        <v>0.0521314021363636</v>
      </c>
      <c r="J1179" s="27" t="n">
        <f aca="false">$G1179+(fade_gA-$G1179)*3/3</f>
        <v>0.06</v>
      </c>
    </row>
    <row r="1180" customFormat="false" ht="17.15" hidden="false" customHeight="false" outlineLevel="0" collapsed="false">
      <c r="A1180" s="0" t="s">
        <v>611</v>
      </c>
      <c r="B1180" s="0" t="s">
        <v>52</v>
      </c>
      <c r="D1180" s="20" t="n">
        <f aca="false">(D1159+D1164+D1171)/D1174</f>
        <v>0.629924693295288</v>
      </c>
      <c r="E1180" s="20" t="n">
        <f aca="false">(E1159+E1164+E1171)/E1174</f>
        <v>0.727788263866712</v>
      </c>
      <c r="F1180" s="20" t="n">
        <f aca="false">(F1159+F1164+F1171)/F1174</f>
        <v>0.742782192143354</v>
      </c>
      <c r="G1180" s="20" t="n">
        <f aca="false">(G1159+G1164+G1171)/G1174</f>
        <v>0.742951149138729</v>
      </c>
    </row>
    <row r="1181" customFormat="false" ht="17.15" hidden="false" customHeight="false" outlineLevel="0" collapsed="false">
      <c r="A1181" s="4" t="s">
        <v>612</v>
      </c>
      <c r="B1181" s="0" t="s">
        <v>52</v>
      </c>
      <c r="C1181" s="20" t="n">
        <f aca="false">C1173/C1174</f>
        <v>0.434782986504144</v>
      </c>
      <c r="D1181" s="20" t="n">
        <f aca="false">D1173/D1174</f>
        <v>0.352819800728736</v>
      </c>
      <c r="E1181" s="20" t="n">
        <f aca="false">E1173/E1174</f>
        <v>0.351906720424598</v>
      </c>
      <c r="F1181" s="20" t="n">
        <f aca="false">F1173/F1174</f>
        <v>0.378021214455951</v>
      </c>
      <c r="G1181" s="20" t="n">
        <f aca="false">G1173/G1174</f>
        <v>0.390536029316626</v>
      </c>
    </row>
    <row r="1182" customFormat="false" ht="17.15" hidden="false" customHeight="false" outlineLevel="0" collapsed="false">
      <c r="A1182" s="4" t="s">
        <v>613</v>
      </c>
      <c r="B1182" s="4" t="s">
        <v>335</v>
      </c>
      <c r="D1182" s="21" t="n">
        <f aca="false">D1157/fx/(odm_gb*(1-vr26)+odm_vr*vr26)</f>
        <v>12.0597330420658</v>
      </c>
      <c r="E1182" s="21" t="n">
        <f aca="false">E1157/fx/odm_vr</f>
        <v>14.7674893195132</v>
      </c>
      <c r="F1182" s="21" t="n">
        <f aca="false">F1157/fx/odm_vr</f>
        <v>17.7835410591556</v>
      </c>
      <c r="G1182" s="21" t="n">
        <f aca="false">G1157/fx/odm_vr</f>
        <v>19.1920403465763</v>
      </c>
      <c r="K1182" s="4" t="s">
        <v>614</v>
      </c>
    </row>
    <row r="1183" customFormat="false" ht="17.15" hidden="false" customHeight="false" outlineLevel="0" collapsed="false">
      <c r="A1183" s="6" t="s">
        <v>615</v>
      </c>
    </row>
    <row r="1184" customFormat="false" ht="17.15" hidden="false" customHeight="false" outlineLevel="0" collapsed="false">
      <c r="A1184" s="4" t="s">
        <v>616</v>
      </c>
      <c r="B1184" s="0" t="s">
        <v>52</v>
      </c>
      <c r="D1184" s="14" t="n">
        <f aca="false">(a26_sgp-d_ai*D1159-d_brd*D1164-d_gen*D1166)/D1168</f>
        <v>0.0436423860147897</v>
      </c>
      <c r="K1184" s="8" t="s">
        <v>617</v>
      </c>
    </row>
    <row r="1185" customFormat="false" ht="17.15" hidden="false" customHeight="false" outlineLevel="0" collapsed="false">
      <c r="A1185" s="4" t="s">
        <v>618</v>
      </c>
      <c r="B1185" s="0" t="s">
        <v>151</v>
      </c>
      <c r="D1185" s="25" t="n">
        <f aca="false">($D$1184+d_ai)*D1157*(1-D1158*(1-keep))</f>
        <v>59.7866331026896</v>
      </c>
      <c r="E1185" s="25" t="n">
        <f aca="false">($D$1184+d_ai+vrd)*E1157*(1-E1158*(1-keep))</f>
        <v>99.9228552931037</v>
      </c>
      <c r="F1185" s="25" t="n">
        <f aca="false">($D$1184+d_ai+vrd)*F1157*(1-F1158*(1-keep))</f>
        <v>119.115229856888</v>
      </c>
      <c r="G1185" s="25" t="n">
        <f aca="false">($D$1184+d_ai+vrd)*G1157*(1-G1158*(1-keep))</f>
        <v>127.89357847157</v>
      </c>
    </row>
    <row r="1186" customFormat="false" ht="15" hidden="false" customHeight="false" outlineLevel="0" collapsed="false">
      <c r="A1186" s="4" t="s">
        <v>619</v>
      </c>
      <c r="B1186" s="0" t="s">
        <v>151</v>
      </c>
      <c r="C1186" s="21" t="n">
        <f aca="false">a25_sgp</f>
        <v>55.529</v>
      </c>
      <c r="D1186" s="21" t="n">
        <f aca="false">a26_sgp</f>
        <v>103.50638581015</v>
      </c>
      <c r="E1186" s="21" t="n">
        <f aca="false">$D$1184*E1167+($D$1184+d_brd)*E1164+($D$1184+d_gen)*E1166+E1185</f>
        <v>148.991928263534</v>
      </c>
      <c r="F1186" s="21" t="n">
        <f aca="false">$D$1184*F1167+($D$1184+d_brd)*F1164+($D$1184+d_gen)*F1166+F1185</f>
        <v>169.462997795485</v>
      </c>
      <c r="G1186" s="21" t="n">
        <f aca="false">$D$1184*G1167+($D$1184+d_brd)*G1164+($D$1184+d_gen)*G1166+G1185</f>
        <v>179.967696240984</v>
      </c>
    </row>
    <row r="1187" customFormat="false" ht="15" hidden="false" customHeight="false" outlineLevel="0" collapsed="false">
      <c r="A1187" s="4" t="s">
        <v>620</v>
      </c>
      <c r="B1187" s="0" t="s">
        <v>52</v>
      </c>
      <c r="C1187" s="14" t="n">
        <f aca="false">C1186/C1168</f>
        <v>0.0449314647290146</v>
      </c>
      <c r="D1187" s="14" t="n">
        <f aca="false">D1186/D1168</f>
        <v>0.0390336040479778</v>
      </c>
      <c r="E1187" s="14" t="n">
        <f aca="false">E1186/E1168</f>
        <v>0.0390374461057547</v>
      </c>
      <c r="F1187" s="14" t="n">
        <f aca="false">F1186/F1168</f>
        <v>0.0419476655483156</v>
      </c>
      <c r="G1187" s="14" t="n">
        <f aca="false">G1186/G1168</f>
        <v>0.0438662013639053</v>
      </c>
    </row>
    <row r="1188" customFormat="false" ht="15" hidden="false" customHeight="false" outlineLevel="0" collapsed="false">
      <c r="A1188" s="4" t="s">
        <v>621</v>
      </c>
      <c r="B1188" s="0" t="s">
        <v>52</v>
      </c>
      <c r="E1188" s="20" t="n">
        <f aca="false">MAX(0,phi*(E1168/D1168-1))</f>
        <v>0.13179151703879</v>
      </c>
      <c r="F1188" s="20" t="n">
        <f aca="false">MAX(0,phi*(F1168/E1168-1))</f>
        <v>0.0175462582202121</v>
      </c>
      <c r="G1188" s="20" t="n">
        <f aca="false">MAX(0,phi*(G1168/F1168-1))</f>
        <v>0.00466228571388885</v>
      </c>
    </row>
    <row r="1189" customFormat="false" ht="15" hidden="false" customHeight="false" outlineLevel="0" collapsed="false">
      <c r="A1189" s="4" t="s">
        <v>622</v>
      </c>
      <c r="B1189" s="0" t="s">
        <v>151</v>
      </c>
      <c r="C1189" s="21" t="n">
        <f aca="false">a25_sopx</f>
        <v>40.894</v>
      </c>
      <c r="D1189" s="21" t="n">
        <f aca="false">a26_sopx</f>
        <v>46.9914095398923</v>
      </c>
      <c r="E1189" s="21" t="n">
        <f aca="false">D1189*(1+E1188)+0*E1168</f>
        <v>53.1844786909457</v>
      </c>
      <c r="F1189" s="21" t="n">
        <f aca="false">E1189*(1+F1188)+0*F1168</f>
        <v>54.1176672873644</v>
      </c>
      <c r="G1189" s="21" t="n">
        <f aca="false">F1189*(1+G1188)+0*G1168</f>
        <v>54.3699793144273</v>
      </c>
    </row>
    <row r="1190" customFormat="false" ht="15" hidden="false" customHeight="false" outlineLevel="0" collapsed="false">
      <c r="A1190" s="4" t="s">
        <v>623</v>
      </c>
      <c r="B1190" s="0" t="s">
        <v>151</v>
      </c>
      <c r="C1190" s="21" t="n">
        <f aca="false">C1186-C1189</f>
        <v>14.635</v>
      </c>
      <c r="D1190" s="21" t="n">
        <f aca="false">D1186-D1189</f>
        <v>56.514976270258</v>
      </c>
      <c r="E1190" s="21" t="n">
        <f aca="false">E1186-E1189</f>
        <v>95.8074495725885</v>
      </c>
      <c r="F1190" s="21" t="n">
        <f aca="false">F1186-F1189</f>
        <v>115.345330508121</v>
      </c>
      <c r="G1190" s="21" t="n">
        <f aca="false">G1186-G1189</f>
        <v>125.597716926557</v>
      </c>
    </row>
    <row r="1191" customFormat="false" ht="15" hidden="false" customHeight="false" outlineLevel="0" collapsed="false">
      <c r="A1191" s="4" t="s">
        <v>624</v>
      </c>
      <c r="B1191" s="0" t="s">
        <v>52</v>
      </c>
      <c r="C1191" s="14" t="n">
        <f aca="false">C1190/C1168</f>
        <v>0.011841956208632</v>
      </c>
      <c r="D1191" s="14" t="n">
        <f aca="false">D1190/D1168</f>
        <v>0.0213125324514788</v>
      </c>
      <c r="E1191" s="14" t="n">
        <f aca="false">E1190/E1168</f>
        <v>0.0251025555062577</v>
      </c>
      <c r="F1191" s="14" t="n">
        <f aca="false">F1190/F1168</f>
        <v>0.0285517629786878</v>
      </c>
      <c r="G1191" s="14" t="n">
        <f aca="false">G1190/G1168</f>
        <v>0.0306137982350437</v>
      </c>
    </row>
    <row r="1192" customFormat="false" ht="15" hidden="false" customHeight="false" outlineLevel="0" collapsed="false">
      <c r="A1192" s="4" t="s">
        <v>625</v>
      </c>
      <c r="B1192" s="0" t="s">
        <v>151</v>
      </c>
      <c r="C1192" s="21" t="n">
        <f aca="false">a25_sni</f>
        <v>6.9608</v>
      </c>
      <c r="D1192" s="21" t="n">
        <f aca="false">a26_sni</f>
        <v>31.133746704</v>
      </c>
      <c r="E1192" s="21" t="n">
        <f aca="false">E1190*snio_hi</f>
        <v>62.2748422221825</v>
      </c>
      <c r="F1192" s="21" t="n">
        <f aca="false">F1190*snio_hi</f>
        <v>74.9744648302787</v>
      </c>
      <c r="G1192" s="21" t="n">
        <f aca="false">G1190*snio_hi</f>
        <v>81.6385160022621</v>
      </c>
    </row>
    <row r="1193" customFormat="false" ht="17.15" hidden="false" customHeight="false" outlineLevel="0" collapsed="false">
      <c r="A1193" s="6" t="s">
        <v>626</v>
      </c>
    </row>
    <row r="1194" customFormat="false" ht="15" hidden="false" customHeight="false" outlineLevel="0" collapsed="false">
      <c r="A1194" s="4" t="s">
        <v>462</v>
      </c>
      <c r="B1194" s="0" t="s">
        <v>151</v>
      </c>
      <c r="C1194" s="21" t="n">
        <f aca="false">a25_wgp</f>
        <v>78.454</v>
      </c>
      <c r="D1194" s="21" t="n">
        <f aca="false">a26_wgp</f>
        <v>125.0519932</v>
      </c>
      <c r="E1194" s="21" t="n">
        <f aca="false">E1173*wgm</f>
        <v>176.153108573363</v>
      </c>
      <c r="F1194" s="21" t="n">
        <f aca="false">F1173*wgm</f>
        <v>208.702001860003</v>
      </c>
      <c r="G1194" s="21" t="n">
        <f aca="false">G1173*wgm</f>
        <v>223.458317620249</v>
      </c>
    </row>
    <row r="1195" customFormat="false" ht="15" hidden="false" customHeight="false" outlineLevel="0" collapsed="false">
      <c r="A1195" s="4" t="s">
        <v>464</v>
      </c>
      <c r="B1195" s="0" t="s">
        <v>151</v>
      </c>
      <c r="C1195" s="21" t="n">
        <f aca="false">a25_woi</f>
        <v>63.918</v>
      </c>
      <c r="D1195" s="21" t="n">
        <f aca="false">a26_woi</f>
        <v>98.2471632</v>
      </c>
      <c r="E1195" s="21" t="n">
        <f aca="false">E1173*wopm</f>
        <v>134.705318320807</v>
      </c>
      <c r="F1195" s="21" t="n">
        <f aca="false">F1173*wopm</f>
        <v>159.595648481179</v>
      </c>
      <c r="G1195" s="21" t="n">
        <f aca="false">G1173*wopm</f>
        <v>170.879889944896</v>
      </c>
    </row>
    <row r="1196" customFormat="false" ht="15" hidden="false" customHeight="false" outlineLevel="0" collapsed="false">
      <c r="A1196" s="4" t="s">
        <v>472</v>
      </c>
      <c r="B1196" s="0" t="s">
        <v>151</v>
      </c>
      <c r="C1196" s="21" t="n">
        <f aca="false">a25_wni</f>
        <v>51.118</v>
      </c>
      <c r="D1196" s="21" t="n">
        <f aca="false">a26_wni</f>
        <v>75.735026884</v>
      </c>
      <c r="E1196" s="21" t="n">
        <f aca="false">E1195*wnio</f>
        <v>105.07014829023</v>
      </c>
      <c r="F1196" s="21" t="n">
        <f aca="false">F1195*wnio</f>
        <v>124.484605815319</v>
      </c>
      <c r="G1196" s="21" t="n">
        <f aca="false">G1195*wnio</f>
        <v>133.286314157019</v>
      </c>
    </row>
    <row r="1197" customFormat="false" ht="15" hidden="false" customHeight="false" outlineLevel="0" collapsed="false">
      <c r="A1197" s="4" t="s">
        <v>474</v>
      </c>
      <c r="B1197" s="0" t="s">
        <v>52</v>
      </c>
      <c r="C1197" s="14" t="n">
        <f aca="false">stake25</f>
        <v>0.4</v>
      </c>
      <c r="D1197" s="14" t="n">
        <f aca="false">stake</f>
        <v>0.3768</v>
      </c>
      <c r="E1197" s="14" t="n">
        <f aca="false">stake</f>
        <v>0.3768</v>
      </c>
      <c r="F1197" s="14" t="n">
        <f aca="false">stake</f>
        <v>0.3768</v>
      </c>
      <c r="G1197" s="14" t="n">
        <f aca="false">stake</f>
        <v>0.3768</v>
      </c>
    </row>
    <row r="1198" customFormat="false" ht="17.15" hidden="false" customHeight="false" outlineLevel="0" collapsed="false">
      <c r="A1198" s="6" t="s">
        <v>627</v>
      </c>
    </row>
    <row r="1199" customFormat="false" ht="15" hidden="false" customHeight="false" outlineLevel="0" collapsed="false">
      <c r="A1199" s="4" t="s">
        <v>448</v>
      </c>
      <c r="B1199" s="0" t="s">
        <v>151</v>
      </c>
      <c r="C1199" s="21" t="n">
        <f aca="false">C1186+C1194</f>
        <v>133.983</v>
      </c>
      <c r="D1199" s="21" t="n">
        <f aca="false">D1186+D1194</f>
        <v>228.55837901015</v>
      </c>
      <c r="E1199" s="21" t="n">
        <f aca="false">E1186+E1194</f>
        <v>325.145036836897</v>
      </c>
      <c r="F1199" s="21" t="n">
        <f aca="false">F1186+F1194</f>
        <v>378.164999655488</v>
      </c>
      <c r="G1199" s="21" t="n">
        <f aca="false">G1186+G1194</f>
        <v>403.426013861233</v>
      </c>
    </row>
    <row r="1200" customFormat="false" ht="15" hidden="false" customHeight="false" outlineLevel="0" collapsed="false">
      <c r="A1200" s="4" t="s">
        <v>451</v>
      </c>
      <c r="B1200" s="0" t="s">
        <v>52</v>
      </c>
      <c r="C1200" s="14" t="n">
        <f aca="false">C1199/C1174</f>
        <v>0.0612767393711386</v>
      </c>
      <c r="D1200" s="14" t="n">
        <f aca="false">D1199/D1174</f>
        <v>0.055781973714825</v>
      </c>
      <c r="E1200" s="14" t="n">
        <f aca="false">E1199/E1174</f>
        <v>0.0552119777090174</v>
      </c>
      <c r="F1200" s="14" t="n">
        <f aca="false">F1199/F1174</f>
        <v>0.0582223613029051</v>
      </c>
      <c r="G1200" s="14" t="n">
        <f aca="false">G1199/G1174</f>
        <v>0.0599304317539554</v>
      </c>
    </row>
    <row r="1201" customFormat="false" ht="15" hidden="false" customHeight="false" outlineLevel="0" collapsed="false">
      <c r="A1201" s="4" t="s">
        <v>452</v>
      </c>
      <c r="B1201" s="0" t="s">
        <v>151</v>
      </c>
      <c r="C1201" s="21" t="n">
        <f aca="false">C1190+C1195</f>
        <v>78.553</v>
      </c>
      <c r="D1201" s="21" t="n">
        <f aca="false">D1190+D1195</f>
        <v>154.762139470258</v>
      </c>
      <c r="E1201" s="21" t="n">
        <f aca="false">E1190+E1195</f>
        <v>230.512767893396</v>
      </c>
      <c r="F1201" s="21" t="n">
        <f aca="false">F1190+F1195</f>
        <v>274.9409789893</v>
      </c>
      <c r="G1201" s="21" t="n">
        <f aca="false">G1190+G1195</f>
        <v>296.477606871453</v>
      </c>
    </row>
    <row r="1202" customFormat="false" ht="15" hidden="false" customHeight="false" outlineLevel="0" collapsed="false">
      <c r="A1202" s="4" t="s">
        <v>455</v>
      </c>
      <c r="B1202" s="0" t="s">
        <v>52</v>
      </c>
      <c r="C1202" s="14" t="n">
        <f aca="false">C1201/C1174</f>
        <v>0.0359259884300325</v>
      </c>
      <c r="D1202" s="14" t="n">
        <f aca="false">D1201/D1174</f>
        <v>0.0377712584126992</v>
      </c>
      <c r="E1202" s="14" t="n">
        <f aca="false">E1201/E1174</f>
        <v>0.039142734351373</v>
      </c>
      <c r="F1202" s="14" t="n">
        <f aca="false">F1201/F1174</f>
        <v>0.0423299698022626</v>
      </c>
      <c r="G1202" s="14" t="n">
        <f aca="false">G1201/G1174</f>
        <v>0.0440428489356101</v>
      </c>
    </row>
    <row r="1203" customFormat="false" ht="15" hidden="false" customHeight="false" outlineLevel="0" collapsed="false">
      <c r="A1203" s="4" t="s">
        <v>485</v>
      </c>
      <c r="B1203" s="0" t="s">
        <v>151</v>
      </c>
      <c r="C1203" s="21" t="n">
        <f aca="false">C1192+C1196</f>
        <v>58.0788</v>
      </c>
      <c r="D1203" s="21" t="n">
        <f aca="false">D1192+D1196</f>
        <v>106.868773588</v>
      </c>
      <c r="E1203" s="21" t="n">
        <f aca="false">E1192+E1196</f>
        <v>167.344990512412</v>
      </c>
      <c r="F1203" s="21" t="n">
        <f aca="false">F1192+F1196</f>
        <v>199.459070645598</v>
      </c>
      <c r="G1203" s="21" t="n">
        <f aca="false">G1192+G1196</f>
        <v>214.924830159281</v>
      </c>
    </row>
    <row r="1204" customFormat="false" ht="17.15" hidden="false" customHeight="false" outlineLevel="0" collapsed="false">
      <c r="A1204" s="4" t="s">
        <v>628</v>
      </c>
      <c r="B1204" s="0" t="s">
        <v>151</v>
      </c>
      <c r="C1204" s="21" t="n">
        <f aca="false">(1-C1197)*C1196</f>
        <v>30.6708</v>
      </c>
      <c r="D1204" s="21" t="n">
        <f aca="false">(1-D1197)*D1196</f>
        <v>47.1980687541088</v>
      </c>
      <c r="E1204" s="21" t="n">
        <f aca="false">(1-E1197)*E1196</f>
        <v>65.4797164144711</v>
      </c>
      <c r="F1204" s="21" t="n">
        <f aca="false">(1-F1197)*F1196</f>
        <v>77.578806344107</v>
      </c>
      <c r="G1204" s="21" t="n">
        <f aca="false">(1-G1197)*G1196</f>
        <v>83.0640309826542</v>
      </c>
    </row>
    <row r="1205" customFormat="false" ht="15" hidden="false" customHeight="false" outlineLevel="0" collapsed="false">
      <c r="A1205" s="4" t="s">
        <v>481</v>
      </c>
      <c r="B1205" s="0" t="s">
        <v>151</v>
      </c>
      <c r="C1205" s="21" t="n">
        <f aca="false">C1203-C1204</f>
        <v>27.408</v>
      </c>
      <c r="D1205" s="21" t="n">
        <f aca="false">D1203-D1204</f>
        <v>59.6707048338912</v>
      </c>
      <c r="E1205" s="21" t="n">
        <f aca="false">E1203-E1204</f>
        <v>101.865274097941</v>
      </c>
      <c r="F1205" s="21" t="n">
        <f aca="false">F1203-F1204</f>
        <v>121.880264301491</v>
      </c>
      <c r="G1205" s="21" t="n">
        <f aca="false">G1203-G1204</f>
        <v>131.860799176627</v>
      </c>
      <c r="H1205" s="26" t="n">
        <f aca="false">H1174*H1210</f>
        <v>133.762617199188</v>
      </c>
      <c r="I1205" s="26" t="n">
        <f aca="false">I1174*I1210</f>
        <v>136.5960172776</v>
      </c>
      <c r="J1205" s="26" t="n">
        <f aca="false">J1174*J1210</f>
        <v>140.403555642067</v>
      </c>
    </row>
    <row r="1206" customFormat="false" ht="17.15" hidden="false" customHeight="false" outlineLevel="0" collapsed="false">
      <c r="A1206" s="4" t="s">
        <v>629</v>
      </c>
      <c r="B1206" s="0" t="s">
        <v>52</v>
      </c>
      <c r="C1206" s="20" t="n">
        <f aca="false">C1197*C1196/C1205</f>
        <v>0.746030356100409</v>
      </c>
      <c r="D1206" s="20" t="n">
        <f aca="false">D1197*D1196/D1205</f>
        <v>0.478240674537551</v>
      </c>
      <c r="E1206" s="20" t="n">
        <f aca="false">E1197*E1196/E1205</f>
        <v>0.388654840683914</v>
      </c>
      <c r="F1206" s="20" t="n">
        <f aca="false">F1197*F1196/F1205</f>
        <v>0.384851474847339</v>
      </c>
      <c r="G1206" s="20" t="n">
        <f aca="false">G1197*G1196/G1205</f>
        <v>0.380873493016619</v>
      </c>
    </row>
    <row r="1207" customFormat="false" ht="17.15" hidden="false" customHeight="false" outlineLevel="0" collapsed="false">
      <c r="A1207" s="4" t="s">
        <v>630</v>
      </c>
      <c r="B1207" s="4" t="s">
        <v>286</v>
      </c>
      <c r="C1207" s="31" t="n">
        <f aca="false">a25_sh</f>
        <v>3.03185840707965</v>
      </c>
      <c r="D1207" s="31" t="n">
        <f aca="false">a26_sh</f>
        <v>3.23861720409076</v>
      </c>
      <c r="E1207" s="31" t="n">
        <f aca="false">q_sh4*(1+sh_g)</f>
        <v>3.43</v>
      </c>
      <c r="F1207" s="31" t="n">
        <f aca="false">E1207*(1+sh_g)</f>
        <v>3.43</v>
      </c>
      <c r="G1207" s="31" t="n">
        <f aca="false">F1207*(1+sh_g)</f>
        <v>3.43</v>
      </c>
      <c r="H1207" s="32" t="n">
        <f aca="false">G1207*(1+sh_g)</f>
        <v>3.43</v>
      </c>
      <c r="I1207" s="32" t="n">
        <f aca="false">H1207*(1+sh_g)</f>
        <v>3.43</v>
      </c>
      <c r="J1207" s="32" t="n">
        <f aca="false">I1207*(1+sh_g)</f>
        <v>3.43</v>
      </c>
      <c r="K1207" s="8" t="s">
        <v>631</v>
      </c>
    </row>
    <row r="1208" customFormat="false" ht="15" hidden="false" customHeight="false" outlineLevel="0" collapsed="false">
      <c r="A1208" s="0" t="s">
        <v>488</v>
      </c>
      <c r="B1208" s="0" t="s">
        <v>316</v>
      </c>
      <c r="C1208" s="18" t="n">
        <f aca="false">C1205/C1207</f>
        <v>9.04</v>
      </c>
      <c r="D1208" s="18" t="n">
        <f aca="false">D1205/D1207</f>
        <v>18.4247476850676</v>
      </c>
      <c r="E1208" s="18" t="n">
        <f aca="false">E1205/E1207</f>
        <v>29.6983306407991</v>
      </c>
      <c r="F1208" s="18" t="n">
        <f aca="false">F1205/F1207</f>
        <v>35.5336047526213</v>
      </c>
      <c r="G1208" s="18" t="n">
        <f aca="false">G1205/G1207</f>
        <v>38.4433816841478</v>
      </c>
      <c r="H1208" s="29" t="n">
        <f aca="false">H1205/H1207</f>
        <v>38.9978475799382</v>
      </c>
      <c r="I1208" s="29" t="n">
        <f aca="false">I1205/I1207</f>
        <v>39.8239117427404</v>
      </c>
      <c r="J1208" s="29" t="n">
        <f aca="false">J1205/J1207</f>
        <v>40.9339812367544</v>
      </c>
    </row>
    <row r="1209" customFormat="false" ht="17.15" hidden="false" customHeight="false" outlineLevel="0" collapsed="false">
      <c r="A1209" s="0" t="s">
        <v>632</v>
      </c>
      <c r="B1209" s="0" t="s">
        <v>52</v>
      </c>
      <c r="D1209" s="20" t="n">
        <f aca="false">D1208/C1208-1</f>
        <v>1.03813580587031</v>
      </c>
      <c r="E1209" s="20" t="n">
        <f aca="false">E1208/D1208-1</f>
        <v>0.611871768798673</v>
      </c>
      <c r="F1209" s="20" t="n">
        <f aca="false">F1208/E1208-1</f>
        <v>0.196484919721573</v>
      </c>
      <c r="G1209" s="20" t="n">
        <f aca="false">G1208/F1208-1</f>
        <v>0.081888031112628</v>
      </c>
      <c r="H1209" s="27" t="n">
        <f aca="false">H1208/G1208-1</f>
        <v>0.0144229220089402</v>
      </c>
      <c r="I1209" s="27" t="n">
        <f aca="false">I1208/H1208-1</f>
        <v>0.0211823014362267</v>
      </c>
      <c r="J1209" s="27" t="n">
        <f aca="false">J1208/I1208-1</f>
        <v>0.0278744464176424</v>
      </c>
    </row>
    <row r="1210" customFormat="false" ht="17.15" hidden="false" customHeight="false" outlineLevel="0" collapsed="false">
      <c r="A1210" s="4" t="s">
        <v>633</v>
      </c>
      <c r="B1210" s="0" t="s">
        <v>52</v>
      </c>
      <c r="C1210" s="14" t="n">
        <f aca="false">C1205/C1174</f>
        <v>0.0125349699042727</v>
      </c>
      <c r="D1210" s="14" t="n">
        <f aca="false">D1205/D1174</f>
        <v>0.0145632363293992</v>
      </c>
      <c r="E1210" s="14" t="n">
        <f aca="false">E1205/E1174</f>
        <v>0.0172974599198318</v>
      </c>
      <c r="F1210" s="14" t="n">
        <f aca="false">F1205/F1174</f>
        <v>0.0187647106165818</v>
      </c>
      <c r="G1210" s="14" t="n">
        <f aca="false">G1205/G1174</f>
        <v>0.0195884111449369</v>
      </c>
      <c r="H1210" s="28" t="n">
        <f aca="false">$G1210+(fade_mA-$G1210)*1/3</f>
        <v>0.019028670934036</v>
      </c>
      <c r="I1210" s="28" t="n">
        <f aca="false">$G1210+(fade_mA-$G1210)*2/3</f>
        <v>0.0184689307231351</v>
      </c>
      <c r="J1210" s="28" t="n">
        <f aca="false">$G1210+(fade_mA-$G1210)*3/3</f>
        <v>0.0179091905122343</v>
      </c>
    </row>
    <row r="1213" customFormat="false" ht="17.15" hidden="false" customHeight="false" outlineLevel="0" collapsed="false">
      <c r="A1213" s="1" t="s">
        <v>964</v>
      </c>
    </row>
    <row r="1214" customFormat="false" ht="17.15" hidden="false" customHeight="false" outlineLevel="0" collapsed="false">
      <c r="A1214" s="5" t="s">
        <v>21</v>
      </c>
      <c r="B1214" s="5" t="s">
        <v>22</v>
      </c>
      <c r="C1214" s="15" t="s">
        <v>438</v>
      </c>
      <c r="D1214" s="15" t="s">
        <v>552</v>
      </c>
      <c r="E1214" s="15" t="s">
        <v>553</v>
      </c>
      <c r="F1214" s="15" t="s">
        <v>554</v>
      </c>
      <c r="G1214" s="15" t="s">
        <v>555</v>
      </c>
      <c r="H1214" s="15" t="s">
        <v>556</v>
      </c>
      <c r="I1214" s="15" t="s">
        <v>557</v>
      </c>
      <c r="J1214" s="15" t="s">
        <v>558</v>
      </c>
      <c r="K1214" s="5" t="s">
        <v>420</v>
      </c>
    </row>
    <row r="1215" customFormat="false" ht="17.15" hidden="false" customHeight="false" outlineLevel="0" collapsed="false">
      <c r="A1215" s="6" t="s">
        <v>573</v>
      </c>
    </row>
    <row r="1216" customFormat="false" ht="17.15" hidden="false" customHeight="false" outlineLevel="0" collapsed="false">
      <c r="A1216" s="0" t="s">
        <v>574</v>
      </c>
      <c r="B1216" s="0" t="s">
        <v>32</v>
      </c>
      <c r="D1216" s="21" t="n">
        <f aca="false">itc_26*1</f>
        <v>781.872916666666</v>
      </c>
      <c r="E1216" s="21" t="n">
        <f aca="false">itc_27*1*1</f>
        <v>1565.35</v>
      </c>
      <c r="F1216" s="21" t="n">
        <f aca="false">itc_28*um28_A*1</f>
        <v>1984.26388888889</v>
      </c>
      <c r="G1216" s="21" t="n">
        <f aca="false">itc_29*um29_A*1</f>
        <v>2260.39027777778</v>
      </c>
    </row>
    <row r="1217" customFormat="false" ht="17.15" hidden="false" customHeight="false" outlineLevel="0" collapsed="false">
      <c r="A1217" s="4" t="s">
        <v>575</v>
      </c>
      <c r="B1217" s="0" t="s">
        <v>32</v>
      </c>
      <c r="D1217" s="21" t="n">
        <f aca="false">itpg_gb*(1-vr26)+itpg_vr*vr26</f>
        <v>33.41403216</v>
      </c>
      <c r="E1217" s="21" t="n">
        <f aca="false">itpg_vr</f>
        <v>37.586352</v>
      </c>
      <c r="F1217" s="21" t="n">
        <f aca="false">itpg_vr</f>
        <v>37.586352</v>
      </c>
      <c r="G1217" s="21" t="n">
        <f aca="false">itpg_vr</f>
        <v>37.586352</v>
      </c>
    </row>
    <row r="1218" customFormat="false" ht="17.15" hidden="false" customHeight="false" outlineLevel="0" collapsed="false">
      <c r="A1218" s="4" t="s">
        <v>576</v>
      </c>
      <c r="B1218" s="0" t="s">
        <v>521</v>
      </c>
      <c r="D1218" s="22" t="n">
        <f aca="false">D1216/D1217</f>
        <v>23.3995380420639</v>
      </c>
      <c r="E1218" s="22" t="n">
        <f aca="false">E1216/E1217</f>
        <v>41.6467658260637</v>
      </c>
      <c r="F1218" s="22" t="n">
        <f aca="false">F1216/F1217</f>
        <v>52.792138191248</v>
      </c>
      <c r="G1218" s="22" t="n">
        <f aca="false">G1216/G1217</f>
        <v>60.1385917361116</v>
      </c>
    </row>
    <row r="1219" customFormat="false" ht="17.15" hidden="false" customHeight="false" outlineLevel="0" collapsed="false">
      <c r="A1219" s="4" t="s">
        <v>577</v>
      </c>
      <c r="B1219" s="0" t="s">
        <v>578</v>
      </c>
      <c r="D1219" s="18" t="n">
        <f aca="false">(racks_gb*odm_gb*(1-vr26)+racks_vr*odm_vr*vr26)/1000</f>
        <v>27.1209</v>
      </c>
      <c r="E1219" s="18" t="n">
        <f aca="false">racks_vr*odm_vr/1000</f>
        <v>27.351</v>
      </c>
      <c r="F1219" s="18" t="n">
        <f aca="false">$E1219*vpg_28</f>
        <v>27.351</v>
      </c>
      <c r="G1219" s="18" t="n">
        <f aca="false">$E1219*vpg_29</f>
        <v>27.351</v>
      </c>
      <c r="K1219" s="4" t="s">
        <v>579</v>
      </c>
    </row>
    <row r="1220" customFormat="false" ht="17.15" hidden="false" customHeight="false" outlineLevel="0" collapsed="false">
      <c r="A1220" s="0" t="s">
        <v>580</v>
      </c>
      <c r="B1220" s="0" t="s">
        <v>32</v>
      </c>
      <c r="D1220" s="21" t="n">
        <f aca="false">D1218*D1219</f>
        <v>634.61653128501</v>
      </c>
      <c r="E1220" s="21" t="n">
        <f aca="false">E1218*E1219</f>
        <v>1139.08069210867</v>
      </c>
      <c r="F1220" s="21" t="n">
        <f aca="false">F1218*F1219</f>
        <v>1443.91777166882</v>
      </c>
      <c r="G1220" s="21" t="n">
        <f aca="false">G1218*G1219</f>
        <v>1644.85062257439</v>
      </c>
    </row>
    <row r="1221" customFormat="false" ht="17.15" hidden="false" customHeight="false" outlineLevel="0" collapsed="false">
      <c r="A1221" s="0" t="s">
        <v>581</v>
      </c>
      <c r="B1221" s="0" t="s">
        <v>151</v>
      </c>
      <c r="D1221" s="21" t="n">
        <f aca="false">D1220*fx</f>
        <v>20307.7290011203</v>
      </c>
      <c r="E1221" s="21" t="n">
        <f aca="false">E1220*fx</f>
        <v>36450.5821474774</v>
      </c>
      <c r="F1221" s="21" t="n">
        <f aca="false">F1220*fx</f>
        <v>46205.3686934024</v>
      </c>
      <c r="G1221" s="21" t="n">
        <f aca="false">G1220*fx</f>
        <v>52635.2199223804</v>
      </c>
    </row>
    <row r="1222" customFormat="false" ht="17.15" hidden="false" customHeight="false" outlineLevel="0" collapsed="false">
      <c r="A1222" s="6" t="s">
        <v>582</v>
      </c>
    </row>
    <row r="1223" customFormat="false" ht="17.15" hidden="false" customHeight="false" outlineLevel="0" collapsed="false">
      <c r="A1223" s="4" t="s">
        <v>583</v>
      </c>
      <c r="B1223" s="0" t="s">
        <v>52</v>
      </c>
      <c r="D1223" s="20" t="n">
        <f aca="false">a26_ais/D1221</f>
        <v>0.0875096501918447</v>
      </c>
      <c r="K1223" s="8" t="s">
        <v>584</v>
      </c>
    </row>
    <row r="1224" customFormat="false" ht="17.15" hidden="false" customHeight="false" outlineLevel="0" collapsed="false">
      <c r="A1224" s="4" t="s">
        <v>585</v>
      </c>
      <c r="B1224" s="0" t="s">
        <v>64</v>
      </c>
      <c r="D1224" s="18" t="n">
        <f aca="false">1</f>
        <v>1</v>
      </c>
      <c r="E1224" s="18" t="n">
        <f aca="false">rel_27</f>
        <v>1</v>
      </c>
      <c r="F1224" s="18" t="n">
        <f aca="false">rel_28</f>
        <v>0.95</v>
      </c>
      <c r="G1224" s="18" t="n">
        <f aca="false">rel_29</f>
        <v>0.9</v>
      </c>
    </row>
    <row r="1225" customFormat="false" ht="17.15" hidden="false" customHeight="false" outlineLevel="0" collapsed="false">
      <c r="A1225" s="4" t="s">
        <v>586</v>
      </c>
      <c r="B1225" s="0" t="s">
        <v>52</v>
      </c>
      <c r="D1225" s="20" t="n">
        <f aca="false">$D$1223*D1224</f>
        <v>0.0875096501918447</v>
      </c>
      <c r="E1225" s="20" t="n">
        <f aca="false">$D$1223*E1224</f>
        <v>0.0875096501918447</v>
      </c>
      <c r="F1225" s="20" t="n">
        <f aca="false">$D$1223*F1224</f>
        <v>0.0831341676822525</v>
      </c>
      <c r="G1225" s="20" t="n">
        <f aca="false">$D$1223*G1224</f>
        <v>0.0787586851726602</v>
      </c>
    </row>
    <row r="1226" customFormat="false" ht="17.15" hidden="false" customHeight="false" outlineLevel="0" collapsed="false">
      <c r="A1226" s="4" t="s">
        <v>587</v>
      </c>
      <c r="B1226" s="0" t="s">
        <v>151</v>
      </c>
      <c r="D1226" s="21" t="n">
        <f aca="false">D1221*D1225</f>
        <v>1777.12226107882</v>
      </c>
      <c r="E1226" s="21" t="n">
        <f aca="false">E1221*E1225</f>
        <v>3189.77769301484</v>
      </c>
      <c r="F1226" s="21" t="n">
        <f aca="false">F1221*F1225</f>
        <v>3841.24486877761</v>
      </c>
      <c r="G1226" s="21" t="n">
        <f aca="false">G1221*G1225</f>
        <v>4145.48071486049</v>
      </c>
    </row>
    <row r="1227" customFormat="false" ht="17.15" hidden="false" customHeight="false" outlineLevel="0" collapsed="false">
      <c r="A1227" s="4" t="s">
        <v>588</v>
      </c>
      <c r="B1227" s="0" t="s">
        <v>52</v>
      </c>
      <c r="D1227" s="20" t="n">
        <f aca="false">0</f>
        <v>0</v>
      </c>
      <c r="E1227" s="20" t="n">
        <f aca="false">cs_27</f>
        <v>0.1</v>
      </c>
      <c r="F1227" s="20" t="n">
        <f aca="false">cs_28</f>
        <v>0.2</v>
      </c>
      <c r="G1227" s="20" t="n">
        <f aca="false">cs_29</f>
        <v>0.25</v>
      </c>
      <c r="K1227" s="8" t="s">
        <v>589</v>
      </c>
    </row>
    <row r="1228" customFormat="false" ht="17.15" hidden="false" customHeight="false" outlineLevel="0" collapsed="false">
      <c r="A1228" s="4" t="s">
        <v>590</v>
      </c>
      <c r="B1228" s="0" t="s">
        <v>151</v>
      </c>
      <c r="D1228" s="21" t="n">
        <f aca="false">D1226*(1-D1227)</f>
        <v>1777.12226107882</v>
      </c>
      <c r="E1228" s="21" t="n">
        <f aca="false">E1226*(1-E1227)</f>
        <v>2870.79992371336</v>
      </c>
      <c r="F1228" s="21" t="n">
        <f aca="false">F1226*(1-F1227)</f>
        <v>3072.99589502209</v>
      </c>
      <c r="G1228" s="21" t="n">
        <f aca="false">G1226*(1-G1227)</f>
        <v>3109.11053614537</v>
      </c>
    </row>
    <row r="1229" customFormat="false" ht="17.15" hidden="false" customHeight="false" outlineLevel="0" collapsed="false">
      <c r="A1229" s="6" t="s">
        <v>591</v>
      </c>
    </row>
    <row r="1230" customFormat="false" ht="17.15" hidden="false" customHeight="false" outlineLevel="0" collapsed="false">
      <c r="A1230" s="0" t="s">
        <v>592</v>
      </c>
      <c r="B1230" s="4" t="s">
        <v>85</v>
      </c>
      <c r="D1230" s="18" t="n">
        <f aca="false">gu_26*1</f>
        <v>8.35</v>
      </c>
      <c r="E1230" s="18" t="n">
        <f aca="false">gu_27*1*1</f>
        <v>11.2</v>
      </c>
      <c r="F1230" s="18" t="n">
        <f aca="false">gu_28*um28_A*1</f>
        <v>11.5</v>
      </c>
      <c r="G1230" s="18" t="n">
        <f aca="false">gu_29*um29_A*1</f>
        <v>12.9</v>
      </c>
    </row>
    <row r="1231" customFormat="false" ht="15" hidden="false" customHeight="false" outlineLevel="0" collapsed="false">
      <c r="A1231" s="4" t="s">
        <v>593</v>
      </c>
      <c r="B1231" s="0" t="s">
        <v>52</v>
      </c>
      <c r="D1231" s="20" t="n">
        <f aca="false">bsh_26</f>
        <v>0.5</v>
      </c>
      <c r="E1231" s="20" t="n">
        <f aca="false">bsh_26*brel_27</f>
        <v>0.5</v>
      </c>
      <c r="F1231" s="20" t="n">
        <f aca="false">bsh_26*brel_28</f>
        <v>0.475</v>
      </c>
      <c r="G1231" s="20" t="n">
        <f aca="false">bsh_26*brel_29</f>
        <v>0.45</v>
      </c>
    </row>
    <row r="1232" customFormat="false" ht="17.15" hidden="false" customHeight="false" outlineLevel="0" collapsed="false">
      <c r="A1232" s="4" t="s">
        <v>594</v>
      </c>
      <c r="B1232" s="0" t="s">
        <v>543</v>
      </c>
      <c r="D1232" s="24" t="n">
        <f aca="false">a26_brd/fx/D1230/D1231*1000</f>
        <v>823.353293413174</v>
      </c>
      <c r="E1232" s="24" t="n">
        <f aca="false">$D1232*bv_27</f>
        <v>946.85628742515</v>
      </c>
      <c r="F1232" s="24" t="n">
        <f aca="false">$D1232*bv_28</f>
        <v>988.023952095808</v>
      </c>
      <c r="G1232" s="24" t="n">
        <f aca="false">$D1232*bv_29</f>
        <v>988.023952095808</v>
      </c>
      <c r="K1232" s="8" t="s">
        <v>595</v>
      </c>
    </row>
    <row r="1233" customFormat="false" ht="17.15" hidden="false" customHeight="false" outlineLevel="0" collapsed="false">
      <c r="A1233" s="0" t="s">
        <v>545</v>
      </c>
      <c r="B1233" s="0" t="s">
        <v>151</v>
      </c>
      <c r="D1233" s="21" t="n">
        <f aca="false">D1230*D1231*D1232*fx/1000</f>
        <v>110</v>
      </c>
      <c r="E1233" s="21" t="n">
        <f aca="false">E1230*E1231*E1232*fx/1000</f>
        <v>169.676646706587</v>
      </c>
      <c r="F1233" s="21" t="n">
        <f aca="false">F1230*F1231*F1232*fx/1000</f>
        <v>172.706586826347</v>
      </c>
      <c r="G1233" s="21" t="n">
        <f aca="false">G1230*G1231*G1232*fx/1000</f>
        <v>183.535329341317</v>
      </c>
    </row>
    <row r="1234" customFormat="false" ht="17.15" hidden="false" customHeight="false" outlineLevel="0" collapsed="false">
      <c r="A1234" s="6" t="s">
        <v>596</v>
      </c>
    </row>
    <row r="1235" customFormat="false" ht="15" hidden="false" customHeight="false" outlineLevel="0" collapsed="false">
      <c r="A1235" s="4" t="s">
        <v>597</v>
      </c>
      <c r="B1235" s="0" t="s">
        <v>151</v>
      </c>
      <c r="D1235" s="21" t="n">
        <f aca="false">a26_gen</f>
        <v>150</v>
      </c>
      <c r="E1235" s="21" t="n">
        <f aca="false">D1235*(1+g_gen27)</f>
        <v>180</v>
      </c>
      <c r="F1235" s="21" t="n">
        <f aca="false">E1235*(1+g_gen28)</f>
        <v>198</v>
      </c>
      <c r="G1235" s="21" t="n">
        <f aca="false">F1235*(1+g_gen29)</f>
        <v>213.84</v>
      </c>
    </row>
    <row r="1236" customFormat="false" ht="15" hidden="false" customHeight="false" outlineLevel="0" collapsed="false">
      <c r="A1236" s="4" t="s">
        <v>598</v>
      </c>
      <c r="B1236" s="0" t="s">
        <v>151</v>
      </c>
      <c r="D1236" s="21" t="n">
        <f aca="false">a26_pc</f>
        <v>614.602793131557</v>
      </c>
      <c r="E1236" s="21" t="n">
        <f aca="false">D1236*(1+g_pc27)</f>
        <v>596.16470933761</v>
      </c>
      <c r="F1236" s="21" t="n">
        <f aca="false">E1236*(1+g_pc28)</f>
        <v>596.16470933761</v>
      </c>
      <c r="G1236" s="21" t="n">
        <f aca="false">F1236*(1+g_pc29)</f>
        <v>596.16470933761</v>
      </c>
    </row>
    <row r="1237" customFormat="false" ht="15" hidden="false" customHeight="false" outlineLevel="0" collapsed="false">
      <c r="A1237" s="4" t="s">
        <v>599</v>
      </c>
      <c r="B1237" s="0" t="s">
        <v>151</v>
      </c>
      <c r="C1237" s="21" t="n">
        <f aca="false">a25_srev</f>
        <v>1235.86</v>
      </c>
      <c r="D1237" s="21" t="n">
        <f aca="false">D1228+D1233+D1235+D1236</f>
        <v>2651.72505421038</v>
      </c>
      <c r="E1237" s="21" t="n">
        <f aca="false">E1228+E1233+E1235+E1236</f>
        <v>3816.64127975756</v>
      </c>
      <c r="F1237" s="21" t="n">
        <f aca="false">F1228+F1233+F1235+F1236</f>
        <v>4039.86719118605</v>
      </c>
      <c r="G1237" s="21" t="n">
        <f aca="false">G1228+G1233+G1235+G1236</f>
        <v>4102.6505748243</v>
      </c>
    </row>
    <row r="1238" customFormat="false" ht="17.15" hidden="false" customHeight="false" outlineLevel="0" collapsed="false">
      <c r="A1238" s="4" t="s">
        <v>600</v>
      </c>
      <c r="B1238" s="0" t="s">
        <v>52</v>
      </c>
      <c r="D1238" s="20" t="n">
        <f aca="false">a26_wai/D1221</f>
        <v>0.0341693013513091</v>
      </c>
      <c r="K1238" s="8" t="s">
        <v>601</v>
      </c>
    </row>
    <row r="1239" customFormat="false" ht="17.15" hidden="false" customHeight="false" outlineLevel="0" collapsed="false">
      <c r="A1239" s="4" t="s">
        <v>527</v>
      </c>
      <c r="B1239" s="0" t="s">
        <v>52</v>
      </c>
      <c r="D1239" s="20" t="n">
        <f aca="false">D1238</f>
        <v>0.0341693013513091</v>
      </c>
      <c r="E1239" s="20" t="n">
        <f aca="false">$D$1238*wrel_27</f>
        <v>0.0341693013513091</v>
      </c>
      <c r="F1239" s="20" t="n">
        <f aca="false">$D$1238*wrel_28</f>
        <v>0.0341693013513091</v>
      </c>
      <c r="G1239" s="20" t="n">
        <f aca="false">$D$1238*wrel_29</f>
        <v>0.0324608362837436</v>
      </c>
    </row>
    <row r="1240" customFormat="false" ht="17.15" hidden="false" customHeight="false" outlineLevel="0" collapsed="false">
      <c r="A1240" s="4" t="s">
        <v>547</v>
      </c>
      <c r="B1240" s="0" t="s">
        <v>151</v>
      </c>
      <c r="D1240" s="21" t="n">
        <f aca="false">D1221*D1239</f>
        <v>693.900912</v>
      </c>
      <c r="E1240" s="21" t="n">
        <f aca="false">E1221*E1239</f>
        <v>1245.4909258278</v>
      </c>
      <c r="F1240" s="21" t="n">
        <f aca="false">F1221*F1239</f>
        <v>1578.80516693321</v>
      </c>
      <c r="G1240" s="21" t="n">
        <f aca="false">G1221*G1239</f>
        <v>1708.58325665923</v>
      </c>
    </row>
    <row r="1241" customFormat="false" ht="17.15" hidden="false" customHeight="false" outlineLevel="0" collapsed="false">
      <c r="A1241" s="4" t="s">
        <v>602</v>
      </c>
      <c r="B1241" s="0" t="s">
        <v>151</v>
      </c>
      <c r="D1241" s="21" t="n">
        <f aca="false">a26_wna</f>
        <v>751.725988</v>
      </c>
      <c r="E1241" s="21" t="n">
        <f aca="false">D1241*(1+g_wn27)</f>
        <v>826.8985868</v>
      </c>
      <c r="F1241" s="21" t="n">
        <f aca="false">E1241*(1+g_wn28)</f>
        <v>876.512502008</v>
      </c>
      <c r="G1241" s="21" t="n">
        <f aca="false">F1241*(1+g_wn29)</f>
        <v>920.3381271084</v>
      </c>
    </row>
    <row r="1242" customFormat="false" ht="15" hidden="false" customHeight="false" outlineLevel="0" collapsed="false">
      <c r="A1242" s="4" t="s">
        <v>458</v>
      </c>
      <c r="B1242" s="0" t="s">
        <v>151</v>
      </c>
      <c r="C1242" s="21" t="n">
        <f aca="false">a25_wrev</f>
        <v>950.663</v>
      </c>
      <c r="D1242" s="21" t="n">
        <f aca="false">D1240+D1241</f>
        <v>1445.6269</v>
      </c>
      <c r="E1242" s="21" t="n">
        <f aca="false">E1240+E1241</f>
        <v>2072.3895126278</v>
      </c>
      <c r="F1242" s="21" t="n">
        <f aca="false">F1240+F1241</f>
        <v>2455.31766894121</v>
      </c>
      <c r="G1242" s="21" t="n">
        <f aca="false">G1240+G1241</f>
        <v>2628.92138376763</v>
      </c>
    </row>
    <row r="1243" customFormat="false" ht="17.15" hidden="false" customHeight="false" outlineLevel="0" collapsed="false">
      <c r="A1243" s="4" t="s">
        <v>444</v>
      </c>
      <c r="B1243" s="0" t="s">
        <v>151</v>
      </c>
      <c r="C1243" s="21" t="n">
        <f aca="false">C1237+C1242</f>
        <v>2186.523</v>
      </c>
      <c r="D1243" s="21" t="n">
        <f aca="false">D1237+D1242</f>
        <v>4097.35195421038</v>
      </c>
      <c r="E1243" s="21" t="n">
        <f aca="false">E1237+E1242</f>
        <v>5889.03079238536</v>
      </c>
      <c r="F1243" s="21" t="n">
        <f aca="false">F1237+F1242</f>
        <v>6495.18486012725</v>
      </c>
      <c r="G1243" s="21" t="n">
        <f aca="false">G1237+G1242</f>
        <v>6731.57195859193</v>
      </c>
      <c r="H1243" s="26" t="n">
        <f aca="false">G1243*(1+H1248)</f>
        <v>7029.53021064286</v>
      </c>
      <c r="I1243" s="26" t="n">
        <f aca="false">H1243*(1+I1248)</f>
        <v>7395.9894768836</v>
      </c>
      <c r="J1243" s="26" t="n">
        <f aca="false">I1243*(1+J1248)</f>
        <v>7839.74884549662</v>
      </c>
      <c r="K1243" s="8" t="s">
        <v>603</v>
      </c>
    </row>
    <row r="1244" customFormat="false" ht="17.15" hidden="false" customHeight="false" outlineLevel="0" collapsed="false">
      <c r="A1244" s="4" t="s">
        <v>604</v>
      </c>
      <c r="B1244" s="0" t="s">
        <v>151</v>
      </c>
      <c r="D1244" s="21" t="n">
        <f aca="false">D1228+D1233+D1235+D1242</f>
        <v>3482.74916107882</v>
      </c>
      <c r="E1244" s="21" t="n">
        <f aca="false">E1228+E1233+E1235+E1242</f>
        <v>5292.86608304775</v>
      </c>
      <c r="F1244" s="21" t="n">
        <f aca="false">F1228+F1233+F1235+F1242</f>
        <v>5899.02015078964</v>
      </c>
      <c r="G1244" s="21" t="n">
        <f aca="false">G1228+G1233+G1235+G1242</f>
        <v>6135.40724925432</v>
      </c>
      <c r="K1244" s="4" t="s">
        <v>605</v>
      </c>
    </row>
    <row r="1245" customFormat="false" ht="15" hidden="false" customHeight="false" outlineLevel="0" collapsed="false">
      <c r="A1245" s="4" t="s">
        <v>606</v>
      </c>
      <c r="B1245" s="0" t="s">
        <v>151</v>
      </c>
      <c r="D1245" s="21" t="n">
        <f aca="false">D1236</f>
        <v>614.602793131557</v>
      </c>
      <c r="E1245" s="21" t="n">
        <f aca="false">E1236</f>
        <v>596.16470933761</v>
      </c>
      <c r="F1245" s="21" t="n">
        <f aca="false">F1236</f>
        <v>596.16470933761</v>
      </c>
      <c r="G1245" s="21" t="n">
        <f aca="false">G1236</f>
        <v>596.16470933761</v>
      </c>
      <c r="K1245" s="4" t="s">
        <v>607</v>
      </c>
    </row>
    <row r="1246" customFormat="false" ht="17.15" hidden="false" customHeight="false" outlineLevel="0" collapsed="false">
      <c r="A1246" s="4" t="s">
        <v>608</v>
      </c>
      <c r="B1246" s="0" t="s">
        <v>151</v>
      </c>
      <c r="D1246" s="31" t="n">
        <f aca="false">D1244+D1245-D1243</f>
        <v>0</v>
      </c>
      <c r="E1246" s="31" t="n">
        <f aca="false">E1244+E1245-E1243</f>
        <v>0</v>
      </c>
      <c r="F1246" s="31" t="n">
        <f aca="false">F1244+F1245-F1243</f>
        <v>0</v>
      </c>
      <c r="G1246" s="31" t="n">
        <f aca="false">G1244+G1245-G1243</f>
        <v>0</v>
      </c>
    </row>
    <row r="1247" customFormat="false" ht="17.15" hidden="false" customHeight="false" outlineLevel="0" collapsed="false">
      <c r="A1247" s="4" t="s">
        <v>609</v>
      </c>
      <c r="B1247" s="0" t="s">
        <v>52</v>
      </c>
      <c r="D1247" s="20" t="n">
        <f aca="false">D1244/D1243</f>
        <v>0.85</v>
      </c>
      <c r="E1247" s="20" t="n">
        <f aca="false">E1244/E1243</f>
        <v>0.898766922715286</v>
      </c>
      <c r="F1247" s="20" t="n">
        <f aca="false">F1244/F1243</f>
        <v>0.908214358455391</v>
      </c>
      <c r="G1247" s="20" t="n">
        <f aca="false">G1244/G1243</f>
        <v>0.911437519645514</v>
      </c>
    </row>
    <row r="1248" customFormat="false" ht="15" hidden="false" customHeight="false" outlineLevel="0" collapsed="false">
      <c r="A1248" s="4" t="s">
        <v>610</v>
      </c>
      <c r="B1248" s="0" t="s">
        <v>52</v>
      </c>
      <c r="D1248" s="20" t="n">
        <f aca="false">D1243/C1243-1</f>
        <v>0.873912121761526</v>
      </c>
      <c r="E1248" s="20" t="n">
        <f aca="false">E1243/D1243-1</f>
        <v>0.437277260581405</v>
      </c>
      <c r="F1248" s="20" t="n">
        <f aca="false">F1243/E1243-1</f>
        <v>0.102929342554239</v>
      </c>
      <c r="G1248" s="20" t="n">
        <f aca="false">G1243/F1243-1</f>
        <v>0.0363942064090907</v>
      </c>
      <c r="H1248" s="27" t="n">
        <f aca="false">$G1248+(fade_gA-$G1248)*1/3</f>
        <v>0.0442628042727272</v>
      </c>
      <c r="I1248" s="27" t="n">
        <f aca="false">$G1248+(fade_gA-$G1248)*2/3</f>
        <v>0.0521314021363636</v>
      </c>
      <c r="J1248" s="27" t="n">
        <f aca="false">$G1248+(fade_gA-$G1248)*3/3</f>
        <v>0.06</v>
      </c>
    </row>
    <row r="1249" customFormat="false" ht="17.15" hidden="false" customHeight="false" outlineLevel="0" collapsed="false">
      <c r="A1249" s="0" t="s">
        <v>611</v>
      </c>
      <c r="B1249" s="0" t="s">
        <v>52</v>
      </c>
      <c r="D1249" s="20" t="n">
        <f aca="false">(D1228+D1233+D1240)/D1243</f>
        <v>0.629924693295288</v>
      </c>
      <c r="E1249" s="20" t="n">
        <f aca="false">(E1228+E1233+E1240)/E1243</f>
        <v>0.727788263866712</v>
      </c>
      <c r="F1249" s="20" t="n">
        <f aca="false">(F1228+F1233+F1240)/F1243</f>
        <v>0.742782192143354</v>
      </c>
      <c r="G1249" s="20" t="n">
        <f aca="false">(G1228+G1233+G1240)/G1243</f>
        <v>0.742951149138729</v>
      </c>
    </row>
    <row r="1250" customFormat="false" ht="17.15" hidden="false" customHeight="false" outlineLevel="0" collapsed="false">
      <c r="A1250" s="4" t="s">
        <v>612</v>
      </c>
      <c r="B1250" s="0" t="s">
        <v>52</v>
      </c>
      <c r="C1250" s="20" t="n">
        <f aca="false">C1242/C1243</f>
        <v>0.434782986504144</v>
      </c>
      <c r="D1250" s="20" t="n">
        <f aca="false">D1242/D1243</f>
        <v>0.352819800728736</v>
      </c>
      <c r="E1250" s="20" t="n">
        <f aca="false">E1242/E1243</f>
        <v>0.351906720424598</v>
      </c>
      <c r="F1250" s="20" t="n">
        <f aca="false">F1242/F1243</f>
        <v>0.378021214455951</v>
      </c>
      <c r="G1250" s="20" t="n">
        <f aca="false">G1242/G1243</f>
        <v>0.390536029316626</v>
      </c>
    </row>
    <row r="1251" customFormat="false" ht="17.15" hidden="false" customHeight="false" outlineLevel="0" collapsed="false">
      <c r="A1251" s="4" t="s">
        <v>613</v>
      </c>
      <c r="B1251" s="4" t="s">
        <v>335</v>
      </c>
      <c r="D1251" s="21" t="n">
        <f aca="false">D1226/fx/(odm_gb*(1-vr26)+odm_vr*vr26)</f>
        <v>12.0597330420658</v>
      </c>
      <c r="E1251" s="21" t="n">
        <f aca="false">E1226/fx/odm_vr</f>
        <v>14.7674893195132</v>
      </c>
      <c r="F1251" s="21" t="n">
        <f aca="false">F1226/fx/odm_vr</f>
        <v>17.7835410591556</v>
      </c>
      <c r="G1251" s="21" t="n">
        <f aca="false">G1226/fx/odm_vr</f>
        <v>19.1920403465763</v>
      </c>
      <c r="K1251" s="4" t="s">
        <v>614</v>
      </c>
    </row>
    <row r="1252" customFormat="false" ht="17.15" hidden="false" customHeight="false" outlineLevel="0" collapsed="false">
      <c r="A1252" s="6" t="s">
        <v>615</v>
      </c>
    </row>
    <row r="1253" customFormat="false" ht="17.15" hidden="false" customHeight="false" outlineLevel="0" collapsed="false">
      <c r="A1253" s="4" t="s">
        <v>616</v>
      </c>
      <c r="B1253" s="0" t="s">
        <v>52</v>
      </c>
      <c r="D1253" s="14" t="n">
        <f aca="false">(a26_sgp-d_ai*D1228-d_brd*D1233-d_gen*D1235)/D1237</f>
        <v>0.0436423860147897</v>
      </c>
      <c r="K1253" s="8" t="s">
        <v>617</v>
      </c>
    </row>
    <row r="1254" customFormat="false" ht="17.15" hidden="false" customHeight="false" outlineLevel="0" collapsed="false">
      <c r="A1254" s="4" t="s">
        <v>618</v>
      </c>
      <c r="B1254" s="0" t="s">
        <v>151</v>
      </c>
      <c r="D1254" s="25" t="n">
        <f aca="false">($D$1253+d_ai)*D1226*(1-D1227*(1-keep))</f>
        <v>59.7866331026896</v>
      </c>
      <c r="E1254" s="25" t="n">
        <f aca="false">($D$1253+d_ai+vrd)*E1226*(1-E1227*(1-keep))</f>
        <v>99.9228552931037</v>
      </c>
      <c r="F1254" s="25" t="n">
        <f aca="false">($D$1253+d_ai+vrd)*F1226*(1-F1227*(1-keep))</f>
        <v>119.115229856888</v>
      </c>
      <c r="G1254" s="25" t="n">
        <f aca="false">($D$1253+d_ai+vrd)*G1226*(1-G1227*(1-keep))</f>
        <v>127.89357847157</v>
      </c>
    </row>
    <row r="1255" customFormat="false" ht="15" hidden="false" customHeight="false" outlineLevel="0" collapsed="false">
      <c r="A1255" s="4" t="s">
        <v>619</v>
      </c>
      <c r="B1255" s="0" t="s">
        <v>151</v>
      </c>
      <c r="C1255" s="21" t="n">
        <f aca="false">a25_sgp</f>
        <v>55.529</v>
      </c>
      <c r="D1255" s="21" t="n">
        <f aca="false">a26_sgp</f>
        <v>103.50638581015</v>
      </c>
      <c r="E1255" s="21" t="n">
        <f aca="false">$D$1253*E1236+($D$1253+d_brd)*E1233+($D$1253+d_gen)*E1235+E1254</f>
        <v>148.991928263534</v>
      </c>
      <c r="F1255" s="21" t="n">
        <f aca="false">$D$1253*F1236+($D$1253+d_brd)*F1233+($D$1253+d_gen)*F1235+F1254</f>
        <v>169.462997795485</v>
      </c>
      <c r="G1255" s="21" t="n">
        <f aca="false">$D$1253*G1236+($D$1253+d_brd)*G1233+($D$1253+d_gen)*G1235+G1254</f>
        <v>179.967696240984</v>
      </c>
    </row>
    <row r="1256" customFormat="false" ht="15" hidden="false" customHeight="false" outlineLevel="0" collapsed="false">
      <c r="A1256" s="4" t="s">
        <v>620</v>
      </c>
      <c r="B1256" s="0" t="s">
        <v>52</v>
      </c>
      <c r="C1256" s="14" t="n">
        <f aca="false">C1255/C1237</f>
        <v>0.0449314647290146</v>
      </c>
      <c r="D1256" s="14" t="n">
        <f aca="false">D1255/D1237</f>
        <v>0.0390336040479778</v>
      </c>
      <c r="E1256" s="14" t="n">
        <f aca="false">E1255/E1237</f>
        <v>0.0390374461057547</v>
      </c>
      <c r="F1256" s="14" t="n">
        <f aca="false">F1255/F1237</f>
        <v>0.0419476655483156</v>
      </c>
      <c r="G1256" s="14" t="n">
        <f aca="false">G1255/G1237</f>
        <v>0.0438662013639053</v>
      </c>
    </row>
    <row r="1257" customFormat="false" ht="15" hidden="false" customHeight="false" outlineLevel="0" collapsed="false">
      <c r="A1257" s="4" t="s">
        <v>621</v>
      </c>
      <c r="B1257" s="0" t="s">
        <v>52</v>
      </c>
      <c r="E1257" s="20" t="n">
        <f aca="false">MAX(0,phi*(E1237/D1237-1))</f>
        <v>0.13179151703879</v>
      </c>
      <c r="F1257" s="20" t="n">
        <f aca="false">MAX(0,phi*(F1237/E1237-1))</f>
        <v>0.0175462582202121</v>
      </c>
      <c r="G1257" s="20" t="n">
        <f aca="false">MAX(0,phi*(G1237/F1237-1))</f>
        <v>0.00466228571388885</v>
      </c>
    </row>
    <row r="1258" customFormat="false" ht="15" hidden="false" customHeight="false" outlineLevel="0" collapsed="false">
      <c r="A1258" s="4" t="s">
        <v>622</v>
      </c>
      <c r="B1258" s="0" t="s">
        <v>151</v>
      </c>
      <c r="C1258" s="21" t="n">
        <f aca="false">a25_sopx</f>
        <v>40.894</v>
      </c>
      <c r="D1258" s="21" t="n">
        <f aca="false">a26_sopx</f>
        <v>46.9914095398923</v>
      </c>
      <c r="E1258" s="21" t="n">
        <f aca="false">D1258*(1+E1257)+0*E1237</f>
        <v>53.1844786909457</v>
      </c>
      <c r="F1258" s="21" t="n">
        <f aca="false">E1258*(1+F1257)+0*F1237</f>
        <v>54.1176672873644</v>
      </c>
      <c r="G1258" s="21" t="n">
        <f aca="false">F1258*(1+G1257)+0*G1237</f>
        <v>54.3699793144273</v>
      </c>
    </row>
    <row r="1259" customFormat="false" ht="15" hidden="false" customHeight="false" outlineLevel="0" collapsed="false">
      <c r="A1259" s="4" t="s">
        <v>623</v>
      </c>
      <c r="B1259" s="0" t="s">
        <v>151</v>
      </c>
      <c r="C1259" s="21" t="n">
        <f aca="false">C1255-C1258</f>
        <v>14.635</v>
      </c>
      <c r="D1259" s="21" t="n">
        <f aca="false">D1255-D1258</f>
        <v>56.514976270258</v>
      </c>
      <c r="E1259" s="21" t="n">
        <f aca="false">E1255-E1258</f>
        <v>95.8074495725885</v>
      </c>
      <c r="F1259" s="21" t="n">
        <f aca="false">F1255-F1258</f>
        <v>115.345330508121</v>
      </c>
      <c r="G1259" s="21" t="n">
        <f aca="false">G1255-G1258</f>
        <v>125.597716926557</v>
      </c>
    </row>
    <row r="1260" customFormat="false" ht="15" hidden="false" customHeight="false" outlineLevel="0" collapsed="false">
      <c r="A1260" s="4" t="s">
        <v>624</v>
      </c>
      <c r="B1260" s="0" t="s">
        <v>52</v>
      </c>
      <c r="C1260" s="14" t="n">
        <f aca="false">C1259/C1237</f>
        <v>0.011841956208632</v>
      </c>
      <c r="D1260" s="14" t="n">
        <f aca="false">D1259/D1237</f>
        <v>0.0213125324514788</v>
      </c>
      <c r="E1260" s="14" t="n">
        <f aca="false">E1259/E1237</f>
        <v>0.0251025555062577</v>
      </c>
      <c r="F1260" s="14" t="n">
        <f aca="false">F1259/F1237</f>
        <v>0.0285517629786878</v>
      </c>
      <c r="G1260" s="14" t="n">
        <f aca="false">G1259/G1237</f>
        <v>0.0306137982350437</v>
      </c>
    </row>
    <row r="1261" customFormat="false" ht="15" hidden="false" customHeight="false" outlineLevel="0" collapsed="false">
      <c r="A1261" s="4" t="s">
        <v>625</v>
      </c>
      <c r="B1261" s="0" t="s">
        <v>151</v>
      </c>
      <c r="C1261" s="21" t="n">
        <f aca="false">a25_sni</f>
        <v>6.9608</v>
      </c>
      <c r="D1261" s="21" t="n">
        <f aca="false">a26_sni</f>
        <v>31.133746704</v>
      </c>
      <c r="E1261" s="21" t="n">
        <f aca="false">E1259*snio</f>
        <v>53.6521717606496</v>
      </c>
      <c r="F1261" s="21" t="n">
        <f aca="false">F1259*snio</f>
        <v>64.5933850845478</v>
      </c>
      <c r="G1261" s="21" t="n">
        <f aca="false">G1259*snio</f>
        <v>70.334721478872</v>
      </c>
    </row>
    <row r="1262" customFormat="false" ht="17.15" hidden="false" customHeight="false" outlineLevel="0" collapsed="false">
      <c r="A1262" s="6" t="s">
        <v>626</v>
      </c>
    </row>
    <row r="1263" customFormat="false" ht="15" hidden="false" customHeight="false" outlineLevel="0" collapsed="false">
      <c r="A1263" s="4" t="s">
        <v>462</v>
      </c>
      <c r="B1263" s="0" t="s">
        <v>151</v>
      </c>
      <c r="C1263" s="21" t="n">
        <f aca="false">a25_wgp</f>
        <v>78.454</v>
      </c>
      <c r="D1263" s="21" t="n">
        <f aca="false">a26_wgp</f>
        <v>125.0519932</v>
      </c>
      <c r="E1263" s="21" t="n">
        <f aca="false">E1242*wgm</f>
        <v>176.153108573363</v>
      </c>
      <c r="F1263" s="21" t="n">
        <f aca="false">F1242*wgm</f>
        <v>208.702001860003</v>
      </c>
      <c r="G1263" s="21" t="n">
        <f aca="false">G1242*wgm</f>
        <v>223.458317620249</v>
      </c>
    </row>
    <row r="1264" customFormat="false" ht="15" hidden="false" customHeight="false" outlineLevel="0" collapsed="false">
      <c r="A1264" s="4" t="s">
        <v>464</v>
      </c>
      <c r="B1264" s="0" t="s">
        <v>151</v>
      </c>
      <c r="C1264" s="21" t="n">
        <f aca="false">a25_woi</f>
        <v>63.918</v>
      </c>
      <c r="D1264" s="21" t="n">
        <f aca="false">a26_woi</f>
        <v>98.2471632</v>
      </c>
      <c r="E1264" s="21" t="n">
        <f aca="false">E1242*wopm</f>
        <v>134.705318320807</v>
      </c>
      <c r="F1264" s="21" t="n">
        <f aca="false">F1242*wopm</f>
        <v>159.595648481179</v>
      </c>
      <c r="G1264" s="21" t="n">
        <f aca="false">G1242*wopm</f>
        <v>170.879889944896</v>
      </c>
    </row>
    <row r="1265" customFormat="false" ht="15" hidden="false" customHeight="false" outlineLevel="0" collapsed="false">
      <c r="A1265" s="4" t="s">
        <v>472</v>
      </c>
      <c r="B1265" s="0" t="s">
        <v>151</v>
      </c>
      <c r="C1265" s="21" t="n">
        <f aca="false">a25_wni</f>
        <v>51.118</v>
      </c>
      <c r="D1265" s="21" t="n">
        <f aca="false">a26_wni</f>
        <v>75.735026884</v>
      </c>
      <c r="E1265" s="21" t="n">
        <f aca="false">E1264*wnio</f>
        <v>105.07014829023</v>
      </c>
      <c r="F1265" s="21" t="n">
        <f aca="false">F1264*wnio</f>
        <v>124.484605815319</v>
      </c>
      <c r="G1265" s="21" t="n">
        <f aca="false">G1264*wnio</f>
        <v>133.286314157019</v>
      </c>
    </row>
    <row r="1266" customFormat="false" ht="15" hidden="false" customHeight="false" outlineLevel="0" collapsed="false">
      <c r="A1266" s="4" t="s">
        <v>474</v>
      </c>
      <c r="B1266" s="0" t="s">
        <v>52</v>
      </c>
      <c r="C1266" s="14" t="n">
        <f aca="false">stake25</f>
        <v>0.4</v>
      </c>
      <c r="D1266" s="14" t="n">
        <f aca="false">stake_lo</f>
        <v>0.35</v>
      </c>
      <c r="E1266" s="14" t="n">
        <f aca="false">stake_lo</f>
        <v>0.35</v>
      </c>
      <c r="F1266" s="14" t="n">
        <f aca="false">stake_lo</f>
        <v>0.35</v>
      </c>
      <c r="G1266" s="14" t="n">
        <f aca="false">stake_lo</f>
        <v>0.35</v>
      </c>
    </row>
    <row r="1267" customFormat="false" ht="17.15" hidden="false" customHeight="false" outlineLevel="0" collapsed="false">
      <c r="A1267" s="6" t="s">
        <v>627</v>
      </c>
    </row>
    <row r="1268" customFormat="false" ht="15" hidden="false" customHeight="false" outlineLevel="0" collapsed="false">
      <c r="A1268" s="4" t="s">
        <v>448</v>
      </c>
      <c r="B1268" s="0" t="s">
        <v>151</v>
      </c>
      <c r="C1268" s="21" t="n">
        <f aca="false">C1255+C1263</f>
        <v>133.983</v>
      </c>
      <c r="D1268" s="21" t="n">
        <f aca="false">D1255+D1263</f>
        <v>228.55837901015</v>
      </c>
      <c r="E1268" s="21" t="n">
        <f aca="false">E1255+E1263</f>
        <v>325.145036836897</v>
      </c>
      <c r="F1268" s="21" t="n">
        <f aca="false">F1255+F1263</f>
        <v>378.164999655488</v>
      </c>
      <c r="G1268" s="21" t="n">
        <f aca="false">G1255+G1263</f>
        <v>403.426013861233</v>
      </c>
    </row>
    <row r="1269" customFormat="false" ht="15" hidden="false" customHeight="false" outlineLevel="0" collapsed="false">
      <c r="A1269" s="4" t="s">
        <v>451</v>
      </c>
      <c r="B1269" s="0" t="s">
        <v>52</v>
      </c>
      <c r="C1269" s="14" t="n">
        <f aca="false">C1268/C1243</f>
        <v>0.0612767393711386</v>
      </c>
      <c r="D1269" s="14" t="n">
        <f aca="false">D1268/D1243</f>
        <v>0.055781973714825</v>
      </c>
      <c r="E1269" s="14" t="n">
        <f aca="false">E1268/E1243</f>
        <v>0.0552119777090174</v>
      </c>
      <c r="F1269" s="14" t="n">
        <f aca="false">F1268/F1243</f>
        <v>0.0582223613029051</v>
      </c>
      <c r="G1269" s="14" t="n">
        <f aca="false">G1268/G1243</f>
        <v>0.0599304317539554</v>
      </c>
    </row>
    <row r="1270" customFormat="false" ht="15" hidden="false" customHeight="false" outlineLevel="0" collapsed="false">
      <c r="A1270" s="4" t="s">
        <v>452</v>
      </c>
      <c r="B1270" s="0" t="s">
        <v>151</v>
      </c>
      <c r="C1270" s="21" t="n">
        <f aca="false">C1259+C1264</f>
        <v>78.553</v>
      </c>
      <c r="D1270" s="21" t="n">
        <f aca="false">D1259+D1264</f>
        <v>154.762139470258</v>
      </c>
      <c r="E1270" s="21" t="n">
        <f aca="false">E1259+E1264</f>
        <v>230.512767893396</v>
      </c>
      <c r="F1270" s="21" t="n">
        <f aca="false">F1259+F1264</f>
        <v>274.9409789893</v>
      </c>
      <c r="G1270" s="21" t="n">
        <f aca="false">G1259+G1264</f>
        <v>296.477606871453</v>
      </c>
    </row>
    <row r="1271" customFormat="false" ht="15" hidden="false" customHeight="false" outlineLevel="0" collapsed="false">
      <c r="A1271" s="4" t="s">
        <v>455</v>
      </c>
      <c r="B1271" s="0" t="s">
        <v>52</v>
      </c>
      <c r="C1271" s="14" t="n">
        <f aca="false">C1270/C1243</f>
        <v>0.0359259884300325</v>
      </c>
      <c r="D1271" s="14" t="n">
        <f aca="false">D1270/D1243</f>
        <v>0.0377712584126992</v>
      </c>
      <c r="E1271" s="14" t="n">
        <f aca="false">E1270/E1243</f>
        <v>0.039142734351373</v>
      </c>
      <c r="F1271" s="14" t="n">
        <f aca="false">F1270/F1243</f>
        <v>0.0423299698022626</v>
      </c>
      <c r="G1271" s="14" t="n">
        <f aca="false">G1270/G1243</f>
        <v>0.0440428489356101</v>
      </c>
    </row>
    <row r="1272" customFormat="false" ht="15" hidden="false" customHeight="false" outlineLevel="0" collapsed="false">
      <c r="A1272" s="4" t="s">
        <v>485</v>
      </c>
      <c r="B1272" s="0" t="s">
        <v>151</v>
      </c>
      <c r="C1272" s="21" t="n">
        <f aca="false">C1261+C1265</f>
        <v>58.0788</v>
      </c>
      <c r="D1272" s="21" t="n">
        <f aca="false">D1261+D1265</f>
        <v>106.868773588</v>
      </c>
      <c r="E1272" s="21" t="n">
        <f aca="false">E1261+E1265</f>
        <v>158.722320050879</v>
      </c>
      <c r="F1272" s="21" t="n">
        <f aca="false">F1261+F1265</f>
        <v>189.077990899867</v>
      </c>
      <c r="G1272" s="21" t="n">
        <f aca="false">G1261+G1265</f>
        <v>203.621035635891</v>
      </c>
    </row>
    <row r="1273" customFormat="false" ht="17.15" hidden="false" customHeight="false" outlineLevel="0" collapsed="false">
      <c r="A1273" s="4" t="s">
        <v>628</v>
      </c>
      <c r="B1273" s="0" t="s">
        <v>151</v>
      </c>
      <c r="C1273" s="21" t="n">
        <f aca="false">(1-C1266)*C1265</f>
        <v>30.6708</v>
      </c>
      <c r="D1273" s="21" t="n">
        <f aca="false">(1-D1266)*D1265</f>
        <v>49.2277674746</v>
      </c>
      <c r="E1273" s="21" t="n">
        <f aca="false">(1-E1266)*E1265</f>
        <v>68.2955963886492</v>
      </c>
      <c r="F1273" s="21" t="n">
        <f aca="false">(1-F1266)*F1265</f>
        <v>80.9149937799575</v>
      </c>
      <c r="G1273" s="21" t="n">
        <f aca="false">(1-G1266)*G1265</f>
        <v>86.6361042020623</v>
      </c>
    </row>
    <row r="1274" customFormat="false" ht="15" hidden="false" customHeight="false" outlineLevel="0" collapsed="false">
      <c r="A1274" s="4" t="s">
        <v>481</v>
      </c>
      <c r="B1274" s="0" t="s">
        <v>151</v>
      </c>
      <c r="C1274" s="21" t="n">
        <f aca="false">C1272-C1273</f>
        <v>27.408</v>
      </c>
      <c r="D1274" s="21" t="n">
        <f aca="false">D1272-D1273</f>
        <v>57.6410061134</v>
      </c>
      <c r="E1274" s="21" t="n">
        <f aca="false">E1272-E1273</f>
        <v>90.4267236622299</v>
      </c>
      <c r="F1274" s="21" t="n">
        <f aca="false">F1272-F1273</f>
        <v>108.16299711991</v>
      </c>
      <c r="G1274" s="21" t="n">
        <f aca="false">G1272-G1273</f>
        <v>116.984931433829</v>
      </c>
      <c r="H1274" s="26" t="n">
        <f aca="false">H1243*H1279</f>
        <v>123.406406955798</v>
      </c>
      <c r="I1274" s="26" t="n">
        <f aca="false">I1243*I1279</f>
        <v>131.147970275501</v>
      </c>
      <c r="J1274" s="26" t="n">
        <f aca="false">J1243*J1279</f>
        <v>140.403555642067</v>
      </c>
    </row>
    <row r="1275" customFormat="false" ht="17.15" hidden="false" customHeight="false" outlineLevel="0" collapsed="false">
      <c r="A1275" s="4" t="s">
        <v>629</v>
      </c>
      <c r="B1275" s="0" t="s">
        <v>52</v>
      </c>
      <c r="C1275" s="20" t="n">
        <f aca="false">C1266*C1265/C1274</f>
        <v>0.746030356100409</v>
      </c>
      <c r="D1275" s="20" t="n">
        <f aca="false">D1266*D1265/D1274</f>
        <v>0.459868090387787</v>
      </c>
      <c r="E1275" s="20" t="n">
        <f aca="false">E1266*E1265/E1274</f>
        <v>0.406677920112908</v>
      </c>
      <c r="F1275" s="20" t="n">
        <f aca="false">F1266*F1265/F1274</f>
        <v>0.402814393050337</v>
      </c>
      <c r="G1275" s="20" t="n">
        <f aca="false">G1266*G1265/G1274</f>
        <v>0.39877110139902</v>
      </c>
    </row>
    <row r="1276" customFormat="false" ht="17.15" hidden="false" customHeight="false" outlineLevel="0" collapsed="false">
      <c r="A1276" s="4" t="s">
        <v>630</v>
      </c>
      <c r="B1276" s="4" t="s">
        <v>286</v>
      </c>
      <c r="C1276" s="31" t="n">
        <f aca="false">a25_sh</f>
        <v>3.03185840707965</v>
      </c>
      <c r="D1276" s="31" t="n">
        <f aca="false">a26_sh</f>
        <v>3.23861720409076</v>
      </c>
      <c r="E1276" s="31" t="n">
        <f aca="false">q_sh4*(1+sh_g)</f>
        <v>3.43</v>
      </c>
      <c r="F1276" s="31" t="n">
        <f aca="false">E1276*(1+sh_g)</f>
        <v>3.43</v>
      </c>
      <c r="G1276" s="31" t="n">
        <f aca="false">F1276*(1+sh_g)</f>
        <v>3.43</v>
      </c>
      <c r="H1276" s="32" t="n">
        <f aca="false">G1276*(1+sh_g)</f>
        <v>3.43</v>
      </c>
      <c r="I1276" s="32" t="n">
        <f aca="false">H1276*(1+sh_g)</f>
        <v>3.43</v>
      </c>
      <c r="J1276" s="32" t="n">
        <f aca="false">I1276*(1+sh_g)</f>
        <v>3.43</v>
      </c>
      <c r="K1276" s="8" t="s">
        <v>631</v>
      </c>
    </row>
    <row r="1277" customFormat="false" ht="15" hidden="false" customHeight="false" outlineLevel="0" collapsed="false">
      <c r="A1277" s="0" t="s">
        <v>488</v>
      </c>
      <c r="B1277" s="0" t="s">
        <v>316</v>
      </c>
      <c r="C1277" s="18" t="n">
        <f aca="false">C1274/C1276</f>
        <v>9.04</v>
      </c>
      <c r="D1277" s="18" t="n">
        <f aca="false">D1274/D1276</f>
        <v>17.7980299865611</v>
      </c>
      <c r="E1277" s="18" t="n">
        <f aca="false">E1274/E1276</f>
        <v>26.3634762863644</v>
      </c>
      <c r="F1277" s="18" t="n">
        <f aca="false">F1274/F1276</f>
        <v>31.534401492685</v>
      </c>
      <c r="G1277" s="18" t="n">
        <f aca="false">G1274/G1276</f>
        <v>34.1063940040317</v>
      </c>
      <c r="H1277" s="29" t="n">
        <f aca="false">H1274/H1276</f>
        <v>35.9785443019819</v>
      </c>
      <c r="I1277" s="29" t="n">
        <f aca="false">I1274/I1276</f>
        <v>38.2355598470849</v>
      </c>
      <c r="J1277" s="29" t="n">
        <f aca="false">J1274/J1276</f>
        <v>40.9339812367544</v>
      </c>
    </row>
    <row r="1278" customFormat="false" ht="17.15" hidden="false" customHeight="false" outlineLevel="0" collapsed="false">
      <c r="A1278" s="0" t="s">
        <v>632</v>
      </c>
      <c r="B1278" s="0" t="s">
        <v>52</v>
      </c>
      <c r="D1278" s="20" t="n">
        <f aca="false">D1277/C1277-1</f>
        <v>0.968808626831982</v>
      </c>
      <c r="E1278" s="20" t="n">
        <f aca="false">E1277/D1277-1</f>
        <v>0.481258111502838</v>
      </c>
      <c r="F1278" s="20" t="n">
        <f aca="false">F1277/E1277-1</f>
        <v>0.196139733248876</v>
      </c>
      <c r="G1278" s="20" t="n">
        <f aca="false">G1277/F1277-1</f>
        <v>0.0815614817342669</v>
      </c>
      <c r="H1278" s="27" t="n">
        <f aca="false">H1277/G1277-1</f>
        <v>0.0548914757077217</v>
      </c>
      <c r="I1278" s="27" t="n">
        <f aca="false">I1277/H1277-1</f>
        <v>0.0627322641560755</v>
      </c>
      <c r="J1278" s="27" t="n">
        <f aca="false">J1277/I1277-1</f>
        <v>0.0705736074078998</v>
      </c>
    </row>
    <row r="1279" customFormat="false" ht="17.15" hidden="false" customHeight="false" outlineLevel="0" collapsed="false">
      <c r="A1279" s="4" t="s">
        <v>633</v>
      </c>
      <c r="B1279" s="0" t="s">
        <v>52</v>
      </c>
      <c r="C1279" s="14" t="n">
        <f aca="false">C1274/C1243</f>
        <v>0.0125349699042727</v>
      </c>
      <c r="D1279" s="14" t="n">
        <f aca="false">D1274/D1243</f>
        <v>0.0140678679199547</v>
      </c>
      <c r="E1279" s="14" t="n">
        <f aca="false">E1274/E1243</f>
        <v>0.015355111367248</v>
      </c>
      <c r="F1279" s="14" t="n">
        <f aca="false">F1274/F1243</f>
        <v>0.0166527973335913</v>
      </c>
      <c r="G1279" s="14" t="n">
        <f aca="false">G1274/G1243</f>
        <v>0.01737854577704</v>
      </c>
      <c r="H1279" s="28" t="n">
        <f aca="false">$G1279+(fade_mA-$G1279)*1/3</f>
        <v>0.0175554273554381</v>
      </c>
      <c r="I1279" s="28" t="n">
        <f aca="false">$G1279+(fade_mA-$G1279)*2/3</f>
        <v>0.0177323089338362</v>
      </c>
      <c r="J1279" s="28" t="n">
        <f aca="false">$G1279+(fade_mA-$G1279)*3/3</f>
        <v>0.0179091905122343</v>
      </c>
    </row>
    <row r="1282" customFormat="false" ht="17.15" hidden="false" customHeight="false" outlineLevel="0" collapsed="false">
      <c r="A1282" s="1" t="s">
        <v>965</v>
      </c>
    </row>
    <row r="1283" customFormat="false" ht="17.15" hidden="false" customHeight="false" outlineLevel="0" collapsed="false">
      <c r="A1283" s="5" t="s">
        <v>21</v>
      </c>
      <c r="B1283" s="5" t="s">
        <v>22</v>
      </c>
      <c r="C1283" s="15" t="s">
        <v>438</v>
      </c>
      <c r="D1283" s="15" t="s">
        <v>552</v>
      </c>
      <c r="E1283" s="15" t="s">
        <v>553</v>
      </c>
      <c r="F1283" s="15" t="s">
        <v>554</v>
      </c>
      <c r="G1283" s="15" t="s">
        <v>555</v>
      </c>
      <c r="H1283" s="15" t="s">
        <v>556</v>
      </c>
      <c r="I1283" s="15" t="s">
        <v>557</v>
      </c>
      <c r="J1283" s="15" t="s">
        <v>558</v>
      </c>
      <c r="K1283" s="5" t="s">
        <v>420</v>
      </c>
    </row>
    <row r="1284" customFormat="false" ht="17.15" hidden="false" customHeight="false" outlineLevel="0" collapsed="false">
      <c r="A1284" s="6" t="s">
        <v>573</v>
      </c>
    </row>
    <row r="1285" customFormat="false" ht="17.15" hidden="false" customHeight="false" outlineLevel="0" collapsed="false">
      <c r="A1285" s="0" t="s">
        <v>574</v>
      </c>
      <c r="B1285" s="0" t="s">
        <v>32</v>
      </c>
      <c r="D1285" s="21" t="n">
        <f aca="false">itc_26*1</f>
        <v>781.872916666666</v>
      </c>
      <c r="E1285" s="21" t="n">
        <f aca="false">itc_27*1*1</f>
        <v>1565.35</v>
      </c>
      <c r="F1285" s="21" t="n">
        <f aca="false">itc_28*um28_A*1</f>
        <v>1984.26388888889</v>
      </c>
      <c r="G1285" s="21" t="n">
        <f aca="false">itc_29*um29_A*1</f>
        <v>2260.39027777778</v>
      </c>
    </row>
    <row r="1286" customFormat="false" ht="17.15" hidden="false" customHeight="false" outlineLevel="0" collapsed="false">
      <c r="A1286" s="4" t="s">
        <v>575</v>
      </c>
      <c r="B1286" s="0" t="s">
        <v>32</v>
      </c>
      <c r="D1286" s="21" t="n">
        <f aca="false">itpg_gb*(1-vr26)+itpg_vr*vr26</f>
        <v>33.41403216</v>
      </c>
      <c r="E1286" s="21" t="n">
        <f aca="false">itpg_vr</f>
        <v>37.586352</v>
      </c>
      <c r="F1286" s="21" t="n">
        <f aca="false">itpg_vr</f>
        <v>37.586352</v>
      </c>
      <c r="G1286" s="21" t="n">
        <f aca="false">itpg_vr</f>
        <v>37.586352</v>
      </c>
    </row>
    <row r="1287" customFormat="false" ht="17.15" hidden="false" customHeight="false" outlineLevel="0" collapsed="false">
      <c r="A1287" s="4" t="s">
        <v>576</v>
      </c>
      <c r="B1287" s="0" t="s">
        <v>521</v>
      </c>
      <c r="D1287" s="22" t="n">
        <f aca="false">D1285/D1286</f>
        <v>23.3995380420639</v>
      </c>
      <c r="E1287" s="22" t="n">
        <f aca="false">E1285/E1286</f>
        <v>41.6467658260637</v>
      </c>
      <c r="F1287" s="22" t="n">
        <f aca="false">F1285/F1286</f>
        <v>52.792138191248</v>
      </c>
      <c r="G1287" s="22" t="n">
        <f aca="false">G1285/G1286</f>
        <v>60.1385917361116</v>
      </c>
    </row>
    <row r="1288" customFormat="false" ht="17.15" hidden="false" customHeight="false" outlineLevel="0" collapsed="false">
      <c r="A1288" s="4" t="s">
        <v>577</v>
      </c>
      <c r="B1288" s="0" t="s">
        <v>578</v>
      </c>
      <c r="D1288" s="18" t="n">
        <f aca="false">(racks_gb*odm_gb*(1-vr26)+racks_vr*odm_vr*vr26)/1000</f>
        <v>27.1209</v>
      </c>
      <c r="E1288" s="18" t="n">
        <f aca="false">racks_vr*odm_vr/1000</f>
        <v>27.351</v>
      </c>
      <c r="F1288" s="18" t="n">
        <f aca="false">$E1288*vpg_28</f>
        <v>27.351</v>
      </c>
      <c r="G1288" s="18" t="n">
        <f aca="false">$E1288*vpg_29</f>
        <v>27.351</v>
      </c>
      <c r="K1288" s="4" t="s">
        <v>579</v>
      </c>
    </row>
    <row r="1289" customFormat="false" ht="17.15" hidden="false" customHeight="false" outlineLevel="0" collapsed="false">
      <c r="A1289" s="0" t="s">
        <v>580</v>
      </c>
      <c r="B1289" s="0" t="s">
        <v>32</v>
      </c>
      <c r="D1289" s="21" t="n">
        <f aca="false">D1287*D1288</f>
        <v>634.61653128501</v>
      </c>
      <c r="E1289" s="21" t="n">
        <f aca="false">E1287*E1288</f>
        <v>1139.08069210867</v>
      </c>
      <c r="F1289" s="21" t="n">
        <f aca="false">F1287*F1288</f>
        <v>1443.91777166882</v>
      </c>
      <c r="G1289" s="21" t="n">
        <f aca="false">G1287*G1288</f>
        <v>1644.85062257439</v>
      </c>
    </row>
    <row r="1290" customFormat="false" ht="17.15" hidden="false" customHeight="false" outlineLevel="0" collapsed="false">
      <c r="A1290" s="0" t="s">
        <v>581</v>
      </c>
      <c r="B1290" s="0" t="s">
        <v>151</v>
      </c>
      <c r="D1290" s="21" t="n">
        <f aca="false">D1289*fx</f>
        <v>20307.7290011203</v>
      </c>
      <c r="E1290" s="21" t="n">
        <f aca="false">E1289*fx</f>
        <v>36450.5821474774</v>
      </c>
      <c r="F1290" s="21" t="n">
        <f aca="false">F1289*fx</f>
        <v>46205.3686934024</v>
      </c>
      <c r="G1290" s="21" t="n">
        <f aca="false">G1289*fx</f>
        <v>52635.2199223804</v>
      </c>
    </row>
    <row r="1291" customFormat="false" ht="17.15" hidden="false" customHeight="false" outlineLevel="0" collapsed="false">
      <c r="A1291" s="6" t="s">
        <v>582</v>
      </c>
    </row>
    <row r="1292" customFormat="false" ht="17.15" hidden="false" customHeight="false" outlineLevel="0" collapsed="false">
      <c r="A1292" s="4" t="s">
        <v>583</v>
      </c>
      <c r="B1292" s="0" t="s">
        <v>52</v>
      </c>
      <c r="D1292" s="20" t="n">
        <f aca="false">a26_ais/D1290</f>
        <v>0.0875096501918447</v>
      </c>
      <c r="K1292" s="8" t="s">
        <v>584</v>
      </c>
    </row>
    <row r="1293" customFormat="false" ht="17.15" hidden="false" customHeight="false" outlineLevel="0" collapsed="false">
      <c r="A1293" s="4" t="s">
        <v>585</v>
      </c>
      <c r="B1293" s="0" t="s">
        <v>64</v>
      </c>
      <c r="D1293" s="18" t="n">
        <f aca="false">1</f>
        <v>1</v>
      </c>
      <c r="E1293" s="18" t="n">
        <f aca="false">rel_27</f>
        <v>1</v>
      </c>
      <c r="F1293" s="18" t="n">
        <f aca="false">rel_28</f>
        <v>0.95</v>
      </c>
      <c r="G1293" s="18" t="n">
        <f aca="false">rel_29</f>
        <v>0.9</v>
      </c>
    </row>
    <row r="1294" customFormat="false" ht="17.15" hidden="false" customHeight="false" outlineLevel="0" collapsed="false">
      <c r="A1294" s="4" t="s">
        <v>586</v>
      </c>
      <c r="B1294" s="0" t="s">
        <v>52</v>
      </c>
      <c r="D1294" s="20" t="n">
        <f aca="false">$D$1292*D1293</f>
        <v>0.0875096501918447</v>
      </c>
      <c r="E1294" s="20" t="n">
        <f aca="false">$D$1292*E1293</f>
        <v>0.0875096501918447</v>
      </c>
      <c r="F1294" s="20" t="n">
        <f aca="false">$D$1292*F1293</f>
        <v>0.0831341676822525</v>
      </c>
      <c r="G1294" s="20" t="n">
        <f aca="false">$D$1292*G1293</f>
        <v>0.0787586851726602</v>
      </c>
    </row>
    <row r="1295" customFormat="false" ht="17.15" hidden="false" customHeight="false" outlineLevel="0" collapsed="false">
      <c r="A1295" s="4" t="s">
        <v>587</v>
      </c>
      <c r="B1295" s="0" t="s">
        <v>151</v>
      </c>
      <c r="D1295" s="21" t="n">
        <f aca="false">D1290*D1294</f>
        <v>1777.12226107882</v>
      </c>
      <c r="E1295" s="21" t="n">
        <f aca="false">E1290*E1294</f>
        <v>3189.77769301484</v>
      </c>
      <c r="F1295" s="21" t="n">
        <f aca="false">F1290*F1294</f>
        <v>3841.24486877761</v>
      </c>
      <c r="G1295" s="21" t="n">
        <f aca="false">G1290*G1294</f>
        <v>4145.48071486049</v>
      </c>
    </row>
    <row r="1296" customFormat="false" ht="17.15" hidden="false" customHeight="false" outlineLevel="0" collapsed="false">
      <c r="A1296" s="4" t="s">
        <v>588</v>
      </c>
      <c r="B1296" s="0" t="s">
        <v>52</v>
      </c>
      <c r="D1296" s="20" t="n">
        <f aca="false">0</f>
        <v>0</v>
      </c>
      <c r="E1296" s="20" t="n">
        <f aca="false">cs_27</f>
        <v>0.1</v>
      </c>
      <c r="F1296" s="20" t="n">
        <f aca="false">cs_28</f>
        <v>0.2</v>
      </c>
      <c r="G1296" s="20" t="n">
        <f aca="false">cs_29</f>
        <v>0.25</v>
      </c>
      <c r="K1296" s="8" t="s">
        <v>589</v>
      </c>
    </row>
    <row r="1297" customFormat="false" ht="17.15" hidden="false" customHeight="false" outlineLevel="0" collapsed="false">
      <c r="A1297" s="4" t="s">
        <v>590</v>
      </c>
      <c r="B1297" s="0" t="s">
        <v>151</v>
      </c>
      <c r="D1297" s="21" t="n">
        <f aca="false">D1295*(1-D1296)</f>
        <v>1777.12226107882</v>
      </c>
      <c r="E1297" s="21" t="n">
        <f aca="false">E1295*(1-E1296)</f>
        <v>2870.79992371336</v>
      </c>
      <c r="F1297" s="21" t="n">
        <f aca="false">F1295*(1-F1296)</f>
        <v>3072.99589502209</v>
      </c>
      <c r="G1297" s="21" t="n">
        <f aca="false">G1295*(1-G1296)</f>
        <v>3109.11053614537</v>
      </c>
    </row>
    <row r="1298" customFormat="false" ht="17.15" hidden="false" customHeight="false" outlineLevel="0" collapsed="false">
      <c r="A1298" s="6" t="s">
        <v>591</v>
      </c>
    </row>
    <row r="1299" customFormat="false" ht="17.15" hidden="false" customHeight="false" outlineLevel="0" collapsed="false">
      <c r="A1299" s="0" t="s">
        <v>592</v>
      </c>
      <c r="B1299" s="4" t="s">
        <v>85</v>
      </c>
      <c r="D1299" s="18" t="n">
        <f aca="false">gu_26*1</f>
        <v>8.35</v>
      </c>
      <c r="E1299" s="18" t="n">
        <f aca="false">gu_27*1*1</f>
        <v>11.2</v>
      </c>
      <c r="F1299" s="18" t="n">
        <f aca="false">gu_28*um28_A*1</f>
        <v>11.5</v>
      </c>
      <c r="G1299" s="18" t="n">
        <f aca="false">gu_29*um29_A*1</f>
        <v>12.9</v>
      </c>
    </row>
    <row r="1300" customFormat="false" ht="15" hidden="false" customHeight="false" outlineLevel="0" collapsed="false">
      <c r="A1300" s="4" t="s">
        <v>593</v>
      </c>
      <c r="B1300" s="0" t="s">
        <v>52</v>
      </c>
      <c r="D1300" s="20" t="n">
        <f aca="false">bsh_26</f>
        <v>0.5</v>
      </c>
      <c r="E1300" s="20" t="n">
        <f aca="false">bsh_26*brel_27</f>
        <v>0.5</v>
      </c>
      <c r="F1300" s="20" t="n">
        <f aca="false">bsh_26*brel_28</f>
        <v>0.475</v>
      </c>
      <c r="G1300" s="20" t="n">
        <f aca="false">bsh_26*brel_29</f>
        <v>0.45</v>
      </c>
    </row>
    <row r="1301" customFormat="false" ht="17.15" hidden="false" customHeight="false" outlineLevel="0" collapsed="false">
      <c r="A1301" s="4" t="s">
        <v>594</v>
      </c>
      <c r="B1301" s="0" t="s">
        <v>543</v>
      </c>
      <c r="D1301" s="24" t="n">
        <f aca="false">a26_brd/fx/D1299/D1300*1000</f>
        <v>823.353293413174</v>
      </c>
      <c r="E1301" s="24" t="n">
        <f aca="false">$D1301*bv_27</f>
        <v>946.85628742515</v>
      </c>
      <c r="F1301" s="24" t="n">
        <f aca="false">$D1301*bv_28</f>
        <v>988.023952095808</v>
      </c>
      <c r="G1301" s="24" t="n">
        <f aca="false">$D1301*bv_29</f>
        <v>988.023952095808</v>
      </c>
      <c r="K1301" s="8" t="s">
        <v>595</v>
      </c>
    </row>
    <row r="1302" customFormat="false" ht="17.15" hidden="false" customHeight="false" outlineLevel="0" collapsed="false">
      <c r="A1302" s="0" t="s">
        <v>545</v>
      </c>
      <c r="B1302" s="0" t="s">
        <v>151</v>
      </c>
      <c r="D1302" s="21" t="n">
        <f aca="false">D1299*D1300*D1301*fx/1000</f>
        <v>110</v>
      </c>
      <c r="E1302" s="21" t="n">
        <f aca="false">E1299*E1300*E1301*fx/1000</f>
        <v>169.676646706587</v>
      </c>
      <c r="F1302" s="21" t="n">
        <f aca="false">F1299*F1300*F1301*fx/1000</f>
        <v>172.706586826347</v>
      </c>
      <c r="G1302" s="21" t="n">
        <f aca="false">G1299*G1300*G1301*fx/1000</f>
        <v>183.535329341317</v>
      </c>
    </row>
    <row r="1303" customFormat="false" ht="17.15" hidden="false" customHeight="false" outlineLevel="0" collapsed="false">
      <c r="A1303" s="6" t="s">
        <v>596</v>
      </c>
    </row>
    <row r="1304" customFormat="false" ht="15" hidden="false" customHeight="false" outlineLevel="0" collapsed="false">
      <c r="A1304" s="4" t="s">
        <v>597</v>
      </c>
      <c r="B1304" s="0" t="s">
        <v>151</v>
      </c>
      <c r="D1304" s="21" t="n">
        <f aca="false">a26_gen</f>
        <v>150</v>
      </c>
      <c r="E1304" s="21" t="n">
        <f aca="false">D1304*(1+g_gen27)</f>
        <v>180</v>
      </c>
      <c r="F1304" s="21" t="n">
        <f aca="false">E1304*(1+g_gen28)</f>
        <v>198</v>
      </c>
      <c r="G1304" s="21" t="n">
        <f aca="false">F1304*(1+g_gen29)</f>
        <v>213.84</v>
      </c>
    </row>
    <row r="1305" customFormat="false" ht="15" hidden="false" customHeight="false" outlineLevel="0" collapsed="false">
      <c r="A1305" s="4" t="s">
        <v>598</v>
      </c>
      <c r="B1305" s="0" t="s">
        <v>151</v>
      </c>
      <c r="D1305" s="21" t="n">
        <f aca="false">a26_pc</f>
        <v>614.602793131557</v>
      </c>
      <c r="E1305" s="21" t="n">
        <f aca="false">D1305*(1+g_pc27)</f>
        <v>596.16470933761</v>
      </c>
      <c r="F1305" s="21" t="n">
        <f aca="false">E1305*(1+g_pc28)</f>
        <v>596.16470933761</v>
      </c>
      <c r="G1305" s="21" t="n">
        <f aca="false">F1305*(1+g_pc29)</f>
        <v>596.16470933761</v>
      </c>
    </row>
    <row r="1306" customFormat="false" ht="15" hidden="false" customHeight="false" outlineLevel="0" collapsed="false">
      <c r="A1306" s="4" t="s">
        <v>599</v>
      </c>
      <c r="B1306" s="0" t="s">
        <v>151</v>
      </c>
      <c r="C1306" s="21" t="n">
        <f aca="false">a25_srev</f>
        <v>1235.86</v>
      </c>
      <c r="D1306" s="21" t="n">
        <f aca="false">D1297+D1302+D1304+D1305</f>
        <v>2651.72505421038</v>
      </c>
      <c r="E1306" s="21" t="n">
        <f aca="false">E1297+E1302+E1304+E1305</f>
        <v>3816.64127975756</v>
      </c>
      <c r="F1306" s="21" t="n">
        <f aca="false">F1297+F1302+F1304+F1305</f>
        <v>4039.86719118605</v>
      </c>
      <c r="G1306" s="21" t="n">
        <f aca="false">G1297+G1302+G1304+G1305</f>
        <v>4102.6505748243</v>
      </c>
    </row>
    <row r="1307" customFormat="false" ht="17.15" hidden="false" customHeight="false" outlineLevel="0" collapsed="false">
      <c r="A1307" s="4" t="s">
        <v>600</v>
      </c>
      <c r="B1307" s="0" t="s">
        <v>52</v>
      </c>
      <c r="D1307" s="20" t="n">
        <f aca="false">a26_wai/D1290</f>
        <v>0.0341693013513091</v>
      </c>
      <c r="K1307" s="8" t="s">
        <v>601</v>
      </c>
    </row>
    <row r="1308" customFormat="false" ht="17.15" hidden="false" customHeight="false" outlineLevel="0" collapsed="false">
      <c r="A1308" s="4" t="s">
        <v>527</v>
      </c>
      <c r="B1308" s="0" t="s">
        <v>52</v>
      </c>
      <c r="D1308" s="20" t="n">
        <f aca="false">D1307</f>
        <v>0.0341693013513091</v>
      </c>
      <c r="E1308" s="20" t="n">
        <f aca="false">$D$1307*wrel_27</f>
        <v>0.0341693013513091</v>
      </c>
      <c r="F1308" s="20" t="n">
        <f aca="false">$D$1307*wrel_28</f>
        <v>0.0341693013513091</v>
      </c>
      <c r="G1308" s="20" t="n">
        <f aca="false">$D$1307*wrel_29</f>
        <v>0.0324608362837436</v>
      </c>
    </row>
    <row r="1309" customFormat="false" ht="17.15" hidden="false" customHeight="false" outlineLevel="0" collapsed="false">
      <c r="A1309" s="4" t="s">
        <v>547</v>
      </c>
      <c r="B1309" s="0" t="s">
        <v>151</v>
      </c>
      <c r="D1309" s="21" t="n">
        <f aca="false">D1290*D1308</f>
        <v>693.900912</v>
      </c>
      <c r="E1309" s="21" t="n">
        <f aca="false">E1290*E1308</f>
        <v>1245.4909258278</v>
      </c>
      <c r="F1309" s="21" t="n">
        <f aca="false">F1290*F1308</f>
        <v>1578.80516693321</v>
      </c>
      <c r="G1309" s="21" t="n">
        <f aca="false">G1290*G1308</f>
        <v>1708.58325665923</v>
      </c>
    </row>
    <row r="1310" customFormat="false" ht="17.15" hidden="false" customHeight="false" outlineLevel="0" collapsed="false">
      <c r="A1310" s="4" t="s">
        <v>602</v>
      </c>
      <c r="B1310" s="0" t="s">
        <v>151</v>
      </c>
      <c r="D1310" s="21" t="n">
        <f aca="false">a26_wna</f>
        <v>751.725988</v>
      </c>
      <c r="E1310" s="21" t="n">
        <f aca="false">D1310*(1+g_wn27)</f>
        <v>826.8985868</v>
      </c>
      <c r="F1310" s="21" t="n">
        <f aca="false">E1310*(1+g_wn28)</f>
        <v>876.512502008</v>
      </c>
      <c r="G1310" s="21" t="n">
        <f aca="false">F1310*(1+g_wn29)</f>
        <v>920.3381271084</v>
      </c>
    </row>
    <row r="1311" customFormat="false" ht="15" hidden="false" customHeight="false" outlineLevel="0" collapsed="false">
      <c r="A1311" s="4" t="s">
        <v>458</v>
      </c>
      <c r="B1311" s="0" t="s">
        <v>151</v>
      </c>
      <c r="C1311" s="21" t="n">
        <f aca="false">a25_wrev</f>
        <v>950.663</v>
      </c>
      <c r="D1311" s="21" t="n">
        <f aca="false">D1309+D1310</f>
        <v>1445.6269</v>
      </c>
      <c r="E1311" s="21" t="n">
        <f aca="false">E1309+E1310</f>
        <v>2072.3895126278</v>
      </c>
      <c r="F1311" s="21" t="n">
        <f aca="false">F1309+F1310</f>
        <v>2455.31766894121</v>
      </c>
      <c r="G1311" s="21" t="n">
        <f aca="false">G1309+G1310</f>
        <v>2628.92138376763</v>
      </c>
    </row>
    <row r="1312" customFormat="false" ht="17.15" hidden="false" customHeight="false" outlineLevel="0" collapsed="false">
      <c r="A1312" s="4" t="s">
        <v>444</v>
      </c>
      <c r="B1312" s="0" t="s">
        <v>151</v>
      </c>
      <c r="C1312" s="21" t="n">
        <f aca="false">C1306+C1311</f>
        <v>2186.523</v>
      </c>
      <c r="D1312" s="21" t="n">
        <f aca="false">D1306+D1311</f>
        <v>4097.35195421038</v>
      </c>
      <c r="E1312" s="21" t="n">
        <f aca="false">E1306+E1311</f>
        <v>5889.03079238536</v>
      </c>
      <c r="F1312" s="21" t="n">
        <f aca="false">F1306+F1311</f>
        <v>6495.18486012725</v>
      </c>
      <c r="G1312" s="21" t="n">
        <f aca="false">G1306+G1311</f>
        <v>6731.57195859193</v>
      </c>
      <c r="H1312" s="26" t="n">
        <f aca="false">G1312*(1+H1317)</f>
        <v>7029.53021064286</v>
      </c>
      <c r="I1312" s="26" t="n">
        <f aca="false">H1312*(1+I1317)</f>
        <v>7395.9894768836</v>
      </c>
      <c r="J1312" s="26" t="n">
        <f aca="false">I1312*(1+J1317)</f>
        <v>7839.74884549662</v>
      </c>
      <c r="K1312" s="8" t="s">
        <v>603</v>
      </c>
    </row>
    <row r="1313" customFormat="false" ht="17.15" hidden="false" customHeight="false" outlineLevel="0" collapsed="false">
      <c r="A1313" s="4" t="s">
        <v>604</v>
      </c>
      <c r="B1313" s="0" t="s">
        <v>151</v>
      </c>
      <c r="D1313" s="21" t="n">
        <f aca="false">D1297+D1302+D1304+D1311</f>
        <v>3482.74916107882</v>
      </c>
      <c r="E1313" s="21" t="n">
        <f aca="false">E1297+E1302+E1304+E1311</f>
        <v>5292.86608304775</v>
      </c>
      <c r="F1313" s="21" t="n">
        <f aca="false">F1297+F1302+F1304+F1311</f>
        <v>5899.02015078964</v>
      </c>
      <c r="G1313" s="21" t="n">
        <f aca="false">G1297+G1302+G1304+G1311</f>
        <v>6135.40724925432</v>
      </c>
      <c r="K1313" s="4" t="s">
        <v>605</v>
      </c>
    </row>
    <row r="1314" customFormat="false" ht="15" hidden="false" customHeight="false" outlineLevel="0" collapsed="false">
      <c r="A1314" s="4" t="s">
        <v>606</v>
      </c>
      <c r="B1314" s="0" t="s">
        <v>151</v>
      </c>
      <c r="D1314" s="21" t="n">
        <f aca="false">D1305</f>
        <v>614.602793131557</v>
      </c>
      <c r="E1314" s="21" t="n">
        <f aca="false">E1305</f>
        <v>596.16470933761</v>
      </c>
      <c r="F1314" s="21" t="n">
        <f aca="false">F1305</f>
        <v>596.16470933761</v>
      </c>
      <c r="G1314" s="21" t="n">
        <f aca="false">G1305</f>
        <v>596.16470933761</v>
      </c>
      <c r="K1314" s="4" t="s">
        <v>607</v>
      </c>
    </row>
    <row r="1315" customFormat="false" ht="17.15" hidden="false" customHeight="false" outlineLevel="0" collapsed="false">
      <c r="A1315" s="4" t="s">
        <v>608</v>
      </c>
      <c r="B1315" s="0" t="s">
        <v>151</v>
      </c>
      <c r="D1315" s="31" t="n">
        <f aca="false">D1313+D1314-D1312</f>
        <v>0</v>
      </c>
      <c r="E1315" s="31" t="n">
        <f aca="false">E1313+E1314-E1312</f>
        <v>0</v>
      </c>
      <c r="F1315" s="31" t="n">
        <f aca="false">F1313+F1314-F1312</f>
        <v>0</v>
      </c>
      <c r="G1315" s="31" t="n">
        <f aca="false">G1313+G1314-G1312</f>
        <v>0</v>
      </c>
    </row>
    <row r="1316" customFormat="false" ht="17.15" hidden="false" customHeight="false" outlineLevel="0" collapsed="false">
      <c r="A1316" s="4" t="s">
        <v>609</v>
      </c>
      <c r="B1316" s="0" t="s">
        <v>52</v>
      </c>
      <c r="D1316" s="20" t="n">
        <f aca="false">D1313/D1312</f>
        <v>0.85</v>
      </c>
      <c r="E1316" s="20" t="n">
        <f aca="false">E1313/E1312</f>
        <v>0.898766922715286</v>
      </c>
      <c r="F1316" s="20" t="n">
        <f aca="false">F1313/F1312</f>
        <v>0.908214358455391</v>
      </c>
      <c r="G1316" s="20" t="n">
        <f aca="false">G1313/G1312</f>
        <v>0.911437519645514</v>
      </c>
    </row>
    <row r="1317" customFormat="false" ht="15" hidden="false" customHeight="false" outlineLevel="0" collapsed="false">
      <c r="A1317" s="4" t="s">
        <v>610</v>
      </c>
      <c r="B1317" s="0" t="s">
        <v>52</v>
      </c>
      <c r="D1317" s="20" t="n">
        <f aca="false">D1312/C1312-1</f>
        <v>0.873912121761526</v>
      </c>
      <c r="E1317" s="20" t="n">
        <f aca="false">E1312/D1312-1</f>
        <v>0.437277260581405</v>
      </c>
      <c r="F1317" s="20" t="n">
        <f aca="false">F1312/E1312-1</f>
        <v>0.102929342554239</v>
      </c>
      <c r="G1317" s="20" t="n">
        <f aca="false">G1312/F1312-1</f>
        <v>0.0363942064090907</v>
      </c>
      <c r="H1317" s="27" t="n">
        <f aca="false">$G1317+(fade_gA-$G1317)*1/3</f>
        <v>0.0442628042727272</v>
      </c>
      <c r="I1317" s="27" t="n">
        <f aca="false">$G1317+(fade_gA-$G1317)*2/3</f>
        <v>0.0521314021363636</v>
      </c>
      <c r="J1317" s="27" t="n">
        <f aca="false">$G1317+(fade_gA-$G1317)*3/3</f>
        <v>0.06</v>
      </c>
    </row>
    <row r="1318" customFormat="false" ht="17.15" hidden="false" customHeight="false" outlineLevel="0" collapsed="false">
      <c r="A1318" s="0" t="s">
        <v>611</v>
      </c>
      <c r="B1318" s="0" t="s">
        <v>52</v>
      </c>
      <c r="D1318" s="20" t="n">
        <f aca="false">(D1297+D1302+D1309)/D1312</f>
        <v>0.629924693295288</v>
      </c>
      <c r="E1318" s="20" t="n">
        <f aca="false">(E1297+E1302+E1309)/E1312</f>
        <v>0.727788263866712</v>
      </c>
      <c r="F1318" s="20" t="n">
        <f aca="false">(F1297+F1302+F1309)/F1312</f>
        <v>0.742782192143354</v>
      </c>
      <c r="G1318" s="20" t="n">
        <f aca="false">(G1297+G1302+G1309)/G1312</f>
        <v>0.742951149138729</v>
      </c>
    </row>
    <row r="1319" customFormat="false" ht="17.15" hidden="false" customHeight="false" outlineLevel="0" collapsed="false">
      <c r="A1319" s="4" t="s">
        <v>612</v>
      </c>
      <c r="B1319" s="0" t="s">
        <v>52</v>
      </c>
      <c r="C1319" s="20" t="n">
        <f aca="false">C1311/C1312</f>
        <v>0.434782986504144</v>
      </c>
      <c r="D1319" s="20" t="n">
        <f aca="false">D1311/D1312</f>
        <v>0.352819800728736</v>
      </c>
      <c r="E1319" s="20" t="n">
        <f aca="false">E1311/E1312</f>
        <v>0.351906720424598</v>
      </c>
      <c r="F1319" s="20" t="n">
        <f aca="false">F1311/F1312</f>
        <v>0.378021214455951</v>
      </c>
      <c r="G1319" s="20" t="n">
        <f aca="false">G1311/G1312</f>
        <v>0.390536029316626</v>
      </c>
    </row>
    <row r="1320" customFormat="false" ht="17.15" hidden="false" customHeight="false" outlineLevel="0" collapsed="false">
      <c r="A1320" s="4" t="s">
        <v>613</v>
      </c>
      <c r="B1320" s="4" t="s">
        <v>335</v>
      </c>
      <c r="D1320" s="21" t="n">
        <f aca="false">D1295/fx/(odm_gb*(1-vr26)+odm_vr*vr26)</f>
        <v>12.0597330420658</v>
      </c>
      <c r="E1320" s="21" t="n">
        <f aca="false">E1295/fx/odm_vr</f>
        <v>14.7674893195132</v>
      </c>
      <c r="F1320" s="21" t="n">
        <f aca="false">F1295/fx/odm_vr</f>
        <v>17.7835410591556</v>
      </c>
      <c r="G1320" s="21" t="n">
        <f aca="false">G1295/fx/odm_vr</f>
        <v>19.1920403465763</v>
      </c>
      <c r="K1320" s="4" t="s">
        <v>614</v>
      </c>
    </row>
    <row r="1321" customFormat="false" ht="17.15" hidden="false" customHeight="false" outlineLevel="0" collapsed="false">
      <c r="A1321" s="6" t="s">
        <v>615</v>
      </c>
    </row>
    <row r="1322" customFormat="false" ht="17.15" hidden="false" customHeight="false" outlineLevel="0" collapsed="false">
      <c r="A1322" s="4" t="s">
        <v>616</v>
      </c>
      <c r="B1322" s="0" t="s">
        <v>52</v>
      </c>
      <c r="D1322" s="14" t="n">
        <f aca="false">(a26_sgp-d_ai*D1297-d_brd*D1302-d_gen*D1304)/D1306</f>
        <v>0.0436423860147897</v>
      </c>
      <c r="K1322" s="8" t="s">
        <v>617</v>
      </c>
    </row>
    <row r="1323" customFormat="false" ht="17.15" hidden="false" customHeight="false" outlineLevel="0" collapsed="false">
      <c r="A1323" s="4" t="s">
        <v>618</v>
      </c>
      <c r="B1323" s="0" t="s">
        <v>151</v>
      </c>
      <c r="D1323" s="25" t="n">
        <f aca="false">($D$1322+d_ai)*D1295*(1-D1296*(1-keep))</f>
        <v>59.7866331026896</v>
      </c>
      <c r="E1323" s="25" t="n">
        <f aca="false">($D$1322+d_ai+vrd)*E1295*(1-E1296*(1-keep))</f>
        <v>99.9228552931037</v>
      </c>
      <c r="F1323" s="25" t="n">
        <f aca="false">($D$1322+d_ai+vrd)*F1295*(1-F1296*(1-keep))</f>
        <v>119.115229856888</v>
      </c>
      <c r="G1323" s="25" t="n">
        <f aca="false">($D$1322+d_ai+vrd)*G1295*(1-G1296*(1-keep))</f>
        <v>127.89357847157</v>
      </c>
    </row>
    <row r="1324" customFormat="false" ht="15" hidden="false" customHeight="false" outlineLevel="0" collapsed="false">
      <c r="A1324" s="4" t="s">
        <v>619</v>
      </c>
      <c r="B1324" s="0" t="s">
        <v>151</v>
      </c>
      <c r="C1324" s="21" t="n">
        <f aca="false">a25_sgp</f>
        <v>55.529</v>
      </c>
      <c r="D1324" s="21" t="n">
        <f aca="false">a26_sgp</f>
        <v>103.50638581015</v>
      </c>
      <c r="E1324" s="21" t="n">
        <f aca="false">$D$1322*E1305+($D$1322+d_brd)*E1302+($D$1322+d_gen)*E1304+E1323</f>
        <v>148.991928263534</v>
      </c>
      <c r="F1324" s="21" t="n">
        <f aca="false">$D$1322*F1305+($D$1322+d_brd)*F1302+($D$1322+d_gen)*F1304+F1323</f>
        <v>169.462997795485</v>
      </c>
      <c r="G1324" s="21" t="n">
        <f aca="false">$D$1322*G1305+($D$1322+d_brd)*G1302+($D$1322+d_gen)*G1304+G1323</f>
        <v>179.967696240984</v>
      </c>
    </row>
    <row r="1325" customFormat="false" ht="15" hidden="false" customHeight="false" outlineLevel="0" collapsed="false">
      <c r="A1325" s="4" t="s">
        <v>620</v>
      </c>
      <c r="B1325" s="0" t="s">
        <v>52</v>
      </c>
      <c r="C1325" s="14" t="n">
        <f aca="false">C1324/C1306</f>
        <v>0.0449314647290146</v>
      </c>
      <c r="D1325" s="14" t="n">
        <f aca="false">D1324/D1306</f>
        <v>0.0390336040479778</v>
      </c>
      <c r="E1325" s="14" t="n">
        <f aca="false">E1324/E1306</f>
        <v>0.0390374461057547</v>
      </c>
      <c r="F1325" s="14" t="n">
        <f aca="false">F1324/F1306</f>
        <v>0.0419476655483156</v>
      </c>
      <c r="G1325" s="14" t="n">
        <f aca="false">G1324/G1306</f>
        <v>0.0438662013639053</v>
      </c>
    </row>
    <row r="1326" customFormat="false" ht="15" hidden="false" customHeight="false" outlineLevel="0" collapsed="false">
      <c r="A1326" s="4" t="s">
        <v>621</v>
      </c>
      <c r="B1326" s="0" t="s">
        <v>52</v>
      </c>
      <c r="E1326" s="20" t="n">
        <f aca="false">MAX(0,phi*(E1306/D1306-1))</f>
        <v>0.13179151703879</v>
      </c>
      <c r="F1326" s="20" t="n">
        <f aca="false">MAX(0,phi*(F1306/E1306-1))</f>
        <v>0.0175462582202121</v>
      </c>
      <c r="G1326" s="20" t="n">
        <f aca="false">MAX(0,phi*(G1306/F1306-1))</f>
        <v>0.00466228571388885</v>
      </c>
    </row>
    <row r="1327" customFormat="false" ht="15" hidden="false" customHeight="false" outlineLevel="0" collapsed="false">
      <c r="A1327" s="4" t="s">
        <v>622</v>
      </c>
      <c r="B1327" s="0" t="s">
        <v>151</v>
      </c>
      <c r="C1327" s="21" t="n">
        <f aca="false">a25_sopx</f>
        <v>40.894</v>
      </c>
      <c r="D1327" s="21" t="n">
        <f aca="false">a26_sopx</f>
        <v>46.9914095398923</v>
      </c>
      <c r="E1327" s="21" t="n">
        <f aca="false">D1327*(1+E1326)+opx_adj_hi*E1306</f>
        <v>60.8177612504609</v>
      </c>
      <c r="F1327" s="21" t="n">
        <f aca="false">E1327*(1+F1326)+opx_adj_hi*F1306</f>
        <v>69.9646197761087</v>
      </c>
      <c r="G1327" s="21" t="n">
        <f aca="false">F1327*(1+G1326)+opx_adj_hi*G1306</f>
        <v>78.4961159730172</v>
      </c>
    </row>
    <row r="1328" customFormat="false" ht="15" hidden="false" customHeight="false" outlineLevel="0" collapsed="false">
      <c r="A1328" s="4" t="s">
        <v>623</v>
      </c>
      <c r="B1328" s="0" t="s">
        <v>151</v>
      </c>
      <c r="C1328" s="21" t="n">
        <f aca="false">C1324-C1327</f>
        <v>14.635</v>
      </c>
      <c r="D1328" s="21" t="n">
        <f aca="false">D1324-D1327</f>
        <v>56.514976270258</v>
      </c>
      <c r="E1328" s="21" t="n">
        <f aca="false">E1324-E1327</f>
        <v>88.1741670130734</v>
      </c>
      <c r="F1328" s="21" t="n">
        <f aca="false">F1324-F1327</f>
        <v>99.4983780193767</v>
      </c>
      <c r="G1328" s="21" t="n">
        <f aca="false">G1324-G1327</f>
        <v>101.471580267967</v>
      </c>
    </row>
    <row r="1329" customFormat="false" ht="15" hidden="false" customHeight="false" outlineLevel="0" collapsed="false">
      <c r="A1329" s="4" t="s">
        <v>624</v>
      </c>
      <c r="B1329" s="0" t="s">
        <v>52</v>
      </c>
      <c r="C1329" s="14" t="n">
        <f aca="false">C1328/C1306</f>
        <v>0.011841956208632</v>
      </c>
      <c r="D1329" s="14" t="n">
        <f aca="false">D1328/D1306</f>
        <v>0.0213125324514788</v>
      </c>
      <c r="E1329" s="14" t="n">
        <f aca="false">E1328/E1306</f>
        <v>0.0231025555062577</v>
      </c>
      <c r="F1329" s="14" t="n">
        <f aca="false">F1328/F1306</f>
        <v>0.0246291210355768</v>
      </c>
      <c r="G1329" s="14" t="n">
        <f aca="false">G1328/G1306</f>
        <v>0.0247331763739867</v>
      </c>
    </row>
    <row r="1330" customFormat="false" ht="15" hidden="false" customHeight="false" outlineLevel="0" collapsed="false">
      <c r="A1330" s="4" t="s">
        <v>625</v>
      </c>
      <c r="B1330" s="0" t="s">
        <v>151</v>
      </c>
      <c r="C1330" s="21" t="n">
        <f aca="false">a25_sni</f>
        <v>6.9608</v>
      </c>
      <c r="D1330" s="21" t="n">
        <f aca="false">a26_sni</f>
        <v>31.133746704</v>
      </c>
      <c r="E1330" s="21" t="n">
        <f aca="false">E1328*snio</f>
        <v>49.3775335273211</v>
      </c>
      <c r="F1330" s="21" t="n">
        <f aca="false">F1328*snio</f>
        <v>55.719091690851</v>
      </c>
      <c r="G1330" s="21" t="n">
        <f aca="false">G1328*snio</f>
        <v>56.8240849500616</v>
      </c>
    </row>
    <row r="1331" customFormat="false" ht="17.15" hidden="false" customHeight="false" outlineLevel="0" collapsed="false">
      <c r="A1331" s="6" t="s">
        <v>626</v>
      </c>
    </row>
    <row r="1332" customFormat="false" ht="15" hidden="false" customHeight="false" outlineLevel="0" collapsed="false">
      <c r="A1332" s="4" t="s">
        <v>462</v>
      </c>
      <c r="B1332" s="0" t="s">
        <v>151</v>
      </c>
      <c r="C1332" s="21" t="n">
        <f aca="false">a25_wgp</f>
        <v>78.454</v>
      </c>
      <c r="D1332" s="21" t="n">
        <f aca="false">a26_wgp</f>
        <v>125.0519932</v>
      </c>
      <c r="E1332" s="21" t="n">
        <f aca="false">E1311*wgm</f>
        <v>176.153108573363</v>
      </c>
      <c r="F1332" s="21" t="n">
        <f aca="false">F1311*wgm</f>
        <v>208.702001860003</v>
      </c>
      <c r="G1332" s="21" t="n">
        <f aca="false">G1311*wgm</f>
        <v>223.458317620249</v>
      </c>
    </row>
    <row r="1333" customFormat="false" ht="15" hidden="false" customHeight="false" outlineLevel="0" collapsed="false">
      <c r="A1333" s="4" t="s">
        <v>464</v>
      </c>
      <c r="B1333" s="0" t="s">
        <v>151</v>
      </c>
      <c r="C1333" s="21" t="n">
        <f aca="false">a25_woi</f>
        <v>63.918</v>
      </c>
      <c r="D1333" s="21" t="n">
        <f aca="false">a26_woi</f>
        <v>98.2471632</v>
      </c>
      <c r="E1333" s="21" t="n">
        <f aca="false">E1311*wopm</f>
        <v>134.705318320807</v>
      </c>
      <c r="F1333" s="21" t="n">
        <f aca="false">F1311*wopm</f>
        <v>159.595648481179</v>
      </c>
      <c r="G1333" s="21" t="n">
        <f aca="false">G1311*wopm</f>
        <v>170.879889944896</v>
      </c>
    </row>
    <row r="1334" customFormat="false" ht="15" hidden="false" customHeight="false" outlineLevel="0" collapsed="false">
      <c r="A1334" s="4" t="s">
        <v>472</v>
      </c>
      <c r="B1334" s="0" t="s">
        <v>151</v>
      </c>
      <c r="C1334" s="21" t="n">
        <f aca="false">a25_wni</f>
        <v>51.118</v>
      </c>
      <c r="D1334" s="21" t="n">
        <f aca="false">a26_wni</f>
        <v>75.735026884</v>
      </c>
      <c r="E1334" s="21" t="n">
        <f aca="false">E1333*wnio</f>
        <v>105.07014829023</v>
      </c>
      <c r="F1334" s="21" t="n">
        <f aca="false">F1333*wnio</f>
        <v>124.484605815319</v>
      </c>
      <c r="G1334" s="21" t="n">
        <f aca="false">G1333*wnio</f>
        <v>133.286314157019</v>
      </c>
    </row>
    <row r="1335" customFormat="false" ht="15" hidden="false" customHeight="false" outlineLevel="0" collapsed="false">
      <c r="A1335" s="4" t="s">
        <v>474</v>
      </c>
      <c r="B1335" s="0" t="s">
        <v>52</v>
      </c>
      <c r="C1335" s="14" t="n">
        <f aca="false">stake25</f>
        <v>0.4</v>
      </c>
      <c r="D1335" s="14" t="n">
        <f aca="false">stake</f>
        <v>0.3768</v>
      </c>
      <c r="E1335" s="14" t="n">
        <f aca="false">stake</f>
        <v>0.3768</v>
      </c>
      <c r="F1335" s="14" t="n">
        <f aca="false">stake</f>
        <v>0.3768</v>
      </c>
      <c r="G1335" s="14" t="n">
        <f aca="false">stake</f>
        <v>0.3768</v>
      </c>
    </row>
    <row r="1336" customFormat="false" ht="17.15" hidden="false" customHeight="false" outlineLevel="0" collapsed="false">
      <c r="A1336" s="6" t="s">
        <v>627</v>
      </c>
    </row>
    <row r="1337" customFormat="false" ht="15" hidden="false" customHeight="false" outlineLevel="0" collapsed="false">
      <c r="A1337" s="4" t="s">
        <v>448</v>
      </c>
      <c r="B1337" s="0" t="s">
        <v>151</v>
      </c>
      <c r="C1337" s="21" t="n">
        <f aca="false">C1324+C1332</f>
        <v>133.983</v>
      </c>
      <c r="D1337" s="21" t="n">
        <f aca="false">D1324+D1332</f>
        <v>228.55837901015</v>
      </c>
      <c r="E1337" s="21" t="n">
        <f aca="false">E1324+E1332</f>
        <v>325.145036836897</v>
      </c>
      <c r="F1337" s="21" t="n">
        <f aca="false">F1324+F1332</f>
        <v>378.164999655488</v>
      </c>
      <c r="G1337" s="21" t="n">
        <f aca="false">G1324+G1332</f>
        <v>403.426013861233</v>
      </c>
    </row>
    <row r="1338" customFormat="false" ht="15" hidden="false" customHeight="false" outlineLevel="0" collapsed="false">
      <c r="A1338" s="4" t="s">
        <v>451</v>
      </c>
      <c r="B1338" s="0" t="s">
        <v>52</v>
      </c>
      <c r="C1338" s="14" t="n">
        <f aca="false">C1337/C1312</f>
        <v>0.0612767393711386</v>
      </c>
      <c r="D1338" s="14" t="n">
        <f aca="false">D1337/D1312</f>
        <v>0.055781973714825</v>
      </c>
      <c r="E1338" s="14" t="n">
        <f aca="false">E1337/E1312</f>
        <v>0.0552119777090174</v>
      </c>
      <c r="F1338" s="14" t="n">
        <f aca="false">F1337/F1312</f>
        <v>0.0582223613029051</v>
      </c>
      <c r="G1338" s="14" t="n">
        <f aca="false">G1337/G1312</f>
        <v>0.0599304317539554</v>
      </c>
    </row>
    <row r="1339" customFormat="false" ht="15" hidden="false" customHeight="false" outlineLevel="0" collapsed="false">
      <c r="A1339" s="4" t="s">
        <v>452</v>
      </c>
      <c r="B1339" s="0" t="s">
        <v>151</v>
      </c>
      <c r="C1339" s="21" t="n">
        <f aca="false">C1328+C1333</f>
        <v>78.553</v>
      </c>
      <c r="D1339" s="21" t="n">
        <f aca="false">D1328+D1333</f>
        <v>154.762139470258</v>
      </c>
      <c r="E1339" s="21" t="n">
        <f aca="false">E1328+E1333</f>
        <v>222.879485333881</v>
      </c>
      <c r="F1339" s="21" t="n">
        <f aca="false">F1328+F1333</f>
        <v>259.094026500555</v>
      </c>
      <c r="G1339" s="21" t="n">
        <f aca="false">G1328+G1333</f>
        <v>272.351470212863</v>
      </c>
    </row>
    <row r="1340" customFormat="false" ht="15" hidden="false" customHeight="false" outlineLevel="0" collapsed="false">
      <c r="A1340" s="4" t="s">
        <v>455</v>
      </c>
      <c r="B1340" s="0" t="s">
        <v>52</v>
      </c>
      <c r="C1340" s="14" t="n">
        <f aca="false">C1339/C1312</f>
        <v>0.0359259884300325</v>
      </c>
      <c r="D1340" s="14" t="n">
        <f aca="false">D1339/D1312</f>
        <v>0.0377712584126992</v>
      </c>
      <c r="E1340" s="14" t="n">
        <f aca="false">E1339/E1312</f>
        <v>0.0378465477922222</v>
      </c>
      <c r="F1340" s="14" t="n">
        <f aca="false">F1339/F1312</f>
        <v>0.0398901697303622</v>
      </c>
      <c r="G1340" s="14" t="n">
        <f aca="false">G1339/G1312</f>
        <v>0.0404588217860828</v>
      </c>
    </row>
    <row r="1341" customFormat="false" ht="15" hidden="false" customHeight="false" outlineLevel="0" collapsed="false">
      <c r="A1341" s="4" t="s">
        <v>485</v>
      </c>
      <c r="B1341" s="0" t="s">
        <v>151</v>
      </c>
      <c r="C1341" s="21" t="n">
        <f aca="false">C1330+C1334</f>
        <v>58.0788</v>
      </c>
      <c r="D1341" s="21" t="n">
        <f aca="false">D1330+D1334</f>
        <v>106.868773588</v>
      </c>
      <c r="E1341" s="21" t="n">
        <f aca="false">E1330+E1334</f>
        <v>154.447681817551</v>
      </c>
      <c r="F1341" s="21" t="n">
        <f aca="false">F1330+F1334</f>
        <v>180.20369750617</v>
      </c>
      <c r="G1341" s="21" t="n">
        <f aca="false">G1330+G1334</f>
        <v>190.110399107081</v>
      </c>
    </row>
    <row r="1342" customFormat="false" ht="17.15" hidden="false" customHeight="false" outlineLevel="0" collapsed="false">
      <c r="A1342" s="4" t="s">
        <v>628</v>
      </c>
      <c r="B1342" s="0" t="s">
        <v>151</v>
      </c>
      <c r="C1342" s="21" t="n">
        <f aca="false">(1-C1335)*C1334</f>
        <v>30.6708</v>
      </c>
      <c r="D1342" s="21" t="n">
        <f aca="false">(1-D1335)*D1334</f>
        <v>47.1980687541088</v>
      </c>
      <c r="E1342" s="21" t="n">
        <f aca="false">(1-E1335)*E1334</f>
        <v>65.4797164144711</v>
      </c>
      <c r="F1342" s="21" t="n">
        <f aca="false">(1-F1335)*F1334</f>
        <v>77.578806344107</v>
      </c>
      <c r="G1342" s="21" t="n">
        <f aca="false">(1-G1335)*G1334</f>
        <v>83.0640309826542</v>
      </c>
    </row>
    <row r="1343" customFormat="false" ht="15" hidden="false" customHeight="false" outlineLevel="0" collapsed="false">
      <c r="A1343" s="4" t="s">
        <v>481</v>
      </c>
      <c r="B1343" s="0" t="s">
        <v>151</v>
      </c>
      <c r="C1343" s="21" t="n">
        <f aca="false">C1341-C1342</f>
        <v>27.408</v>
      </c>
      <c r="D1343" s="21" t="n">
        <f aca="false">D1341-D1342</f>
        <v>59.6707048338912</v>
      </c>
      <c r="E1343" s="21" t="n">
        <f aca="false">E1341-E1342</f>
        <v>88.9679654030796</v>
      </c>
      <c r="F1343" s="21" t="n">
        <f aca="false">F1341-F1342</f>
        <v>102.624891162063</v>
      </c>
      <c r="G1343" s="21" t="n">
        <f aca="false">G1341-G1342</f>
        <v>107.046368124426</v>
      </c>
      <c r="H1343" s="26" t="n">
        <f aca="false">H1312*H1348</f>
        <v>116.487425627852</v>
      </c>
      <c r="I1343" s="26" t="n">
        <f aca="false">I1312*I1348</f>
        <v>127.508131512538</v>
      </c>
      <c r="J1343" s="26" t="n">
        <f aca="false">J1312*J1348</f>
        <v>140.403555642067</v>
      </c>
    </row>
    <row r="1344" customFormat="false" ht="17.15" hidden="false" customHeight="false" outlineLevel="0" collapsed="false">
      <c r="A1344" s="4" t="s">
        <v>629</v>
      </c>
      <c r="B1344" s="0" t="s">
        <v>52</v>
      </c>
      <c r="C1344" s="20" t="n">
        <f aca="false">C1335*C1334/C1343</f>
        <v>0.746030356100409</v>
      </c>
      <c r="D1344" s="20" t="n">
        <f aca="false">D1335*D1334/D1343</f>
        <v>0.478240674537551</v>
      </c>
      <c r="E1344" s="20" t="n">
        <f aca="false">E1335*E1334/E1343</f>
        <v>0.44499648493016</v>
      </c>
      <c r="F1344" s="20" t="n">
        <f aca="false">F1335*F1334/F1343</f>
        <v>0.457060650102318</v>
      </c>
      <c r="G1344" s="20" t="n">
        <f aca="false">G1335*G1334/G1343</f>
        <v>0.469163821756086</v>
      </c>
    </row>
    <row r="1345" customFormat="false" ht="17.15" hidden="false" customHeight="false" outlineLevel="0" collapsed="false">
      <c r="A1345" s="4" t="s">
        <v>630</v>
      </c>
      <c r="B1345" s="4" t="s">
        <v>286</v>
      </c>
      <c r="C1345" s="31" t="n">
        <f aca="false">a25_sh</f>
        <v>3.03185840707965</v>
      </c>
      <c r="D1345" s="31" t="n">
        <f aca="false">a26_sh</f>
        <v>3.23861720409076</v>
      </c>
      <c r="E1345" s="31" t="n">
        <f aca="false">q_sh4*(1+sh_g)</f>
        <v>3.43</v>
      </c>
      <c r="F1345" s="31" t="n">
        <f aca="false">E1345*(1+sh_g)</f>
        <v>3.43</v>
      </c>
      <c r="G1345" s="31" t="n">
        <f aca="false">F1345*(1+sh_g)</f>
        <v>3.43</v>
      </c>
      <c r="H1345" s="32" t="n">
        <f aca="false">G1345*(1+sh_g)</f>
        <v>3.43</v>
      </c>
      <c r="I1345" s="32" t="n">
        <f aca="false">H1345*(1+sh_g)</f>
        <v>3.43</v>
      </c>
      <c r="J1345" s="32" t="n">
        <f aca="false">I1345*(1+sh_g)</f>
        <v>3.43</v>
      </c>
      <c r="K1345" s="8" t="s">
        <v>631</v>
      </c>
    </row>
    <row r="1346" customFormat="false" ht="15" hidden="false" customHeight="false" outlineLevel="0" collapsed="false">
      <c r="A1346" s="0" t="s">
        <v>488</v>
      </c>
      <c r="B1346" s="0" t="s">
        <v>316</v>
      </c>
      <c r="C1346" s="18" t="n">
        <f aca="false">C1343/C1345</f>
        <v>9.04</v>
      </c>
      <c r="D1346" s="18" t="n">
        <f aca="false">D1343/D1345</f>
        <v>18.4247476850676</v>
      </c>
      <c r="E1346" s="18" t="n">
        <f aca="false">E1343/E1345</f>
        <v>25.9381823332594</v>
      </c>
      <c r="F1346" s="18" t="n">
        <f aca="false">F1343/F1345</f>
        <v>29.9197933417094</v>
      </c>
      <c r="G1346" s="18" t="n">
        <f aca="false">G1343/G1345</f>
        <v>31.2088536805908</v>
      </c>
      <c r="H1346" s="29" t="n">
        <f aca="false">H1343/H1345</f>
        <v>33.9613485795488</v>
      </c>
      <c r="I1346" s="29" t="n">
        <f aca="false">I1343/I1345</f>
        <v>37.1743823651714</v>
      </c>
      <c r="J1346" s="29" t="n">
        <f aca="false">J1343/J1345</f>
        <v>40.9339812367544</v>
      </c>
    </row>
    <row r="1347" customFormat="false" ht="17.15" hidden="false" customHeight="false" outlineLevel="0" collapsed="false">
      <c r="A1347" s="0" t="s">
        <v>632</v>
      </c>
      <c r="B1347" s="0" t="s">
        <v>52</v>
      </c>
      <c r="D1347" s="20" t="n">
        <f aca="false">D1346/C1346-1</f>
        <v>1.03813580587031</v>
      </c>
      <c r="E1347" s="20" t="n">
        <f aca="false">E1346/D1346-1</f>
        <v>0.40779036850969</v>
      </c>
      <c r="F1347" s="20" t="n">
        <f aca="false">F1346/E1346-1</f>
        <v>0.153503856102693</v>
      </c>
      <c r="G1347" s="20" t="n">
        <f aca="false">G1346/F1346-1</f>
        <v>0.0430838650574623</v>
      </c>
      <c r="H1347" s="27" t="n">
        <f aca="false">H1346/G1346-1</f>
        <v>0.0881959628228786</v>
      </c>
      <c r="I1347" s="27" t="n">
        <f aca="false">I1346/H1346-1</f>
        <v>0.0946085453025105</v>
      </c>
      <c r="J1347" s="27" t="n">
        <f aca="false">J1346/I1346-1</f>
        <v>0.101134131420171</v>
      </c>
    </row>
    <row r="1348" customFormat="false" ht="17.15" hidden="false" customHeight="false" outlineLevel="0" collapsed="false">
      <c r="A1348" s="4" t="s">
        <v>633</v>
      </c>
      <c r="B1348" s="0" t="s">
        <v>52</v>
      </c>
      <c r="C1348" s="14" t="n">
        <f aca="false">C1343/C1312</f>
        <v>0.0125349699042727</v>
      </c>
      <c r="D1348" s="14" t="n">
        <f aca="false">D1343/D1312</f>
        <v>0.0145632363293992</v>
      </c>
      <c r="E1348" s="14" t="n">
        <f aca="false">E1343/E1312</f>
        <v>0.0151074036695677</v>
      </c>
      <c r="F1348" s="14" t="n">
        <f aca="false">F1343/F1312</f>
        <v>0.0158001493986813</v>
      </c>
      <c r="G1348" s="14" t="n">
        <f aca="false">G1343/G1312</f>
        <v>0.015902135308499</v>
      </c>
      <c r="H1348" s="28" t="n">
        <f aca="false">$G1348+(fade_mA-$G1348)*1/3</f>
        <v>0.0165711537097441</v>
      </c>
      <c r="I1348" s="28" t="n">
        <f aca="false">$G1348+(fade_mA-$G1348)*2/3</f>
        <v>0.0172401721109892</v>
      </c>
      <c r="J1348" s="28" t="n">
        <f aca="false">$G1348+(fade_mA-$G1348)*3/3</f>
        <v>0.0179091905122343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966</v>
      </c>
    </row>
    <row r="2" customFormat="false" ht="17.15" hidden="false" customHeight="false" outlineLevel="0" collapsed="false">
      <c r="A2" s="4" t="s">
        <v>967</v>
      </c>
      <c r="B2" s="0" t="s">
        <v>968</v>
      </c>
    </row>
    <row r="3" customFormat="false" ht="17.15" hidden="false" customHeight="false" outlineLevel="0" collapsed="false">
      <c r="A3" s="4" t="s">
        <v>969</v>
      </c>
      <c r="B3" s="0" t="s">
        <v>970</v>
      </c>
    </row>
    <row r="4" customFormat="false" ht="17.15" hidden="false" customHeight="false" outlineLevel="0" collapsed="false">
      <c r="A4" s="4" t="s">
        <v>971</v>
      </c>
      <c r="B4" s="0" t="s">
        <v>972</v>
      </c>
    </row>
    <row r="5" customFormat="false" ht="17.15" hidden="false" customHeight="false" outlineLevel="0" collapsed="false">
      <c r="A5" s="4" t="s">
        <v>973</v>
      </c>
      <c r="B5" s="0" t="s">
        <v>974</v>
      </c>
    </row>
    <row r="6" customFormat="false" ht="17.15" hidden="false" customHeight="false" outlineLevel="0" collapsed="false">
      <c r="A6" s="4" t="s">
        <v>975</v>
      </c>
      <c r="B6" s="0" t="s">
        <v>976</v>
      </c>
    </row>
    <row r="7" customFormat="false" ht="17.15" hidden="false" customHeight="false" outlineLevel="0" collapsed="false">
      <c r="A7" s="4" t="s">
        <v>977</v>
      </c>
      <c r="B7" s="0" t="s">
        <v>978</v>
      </c>
    </row>
    <row r="8" customFormat="false" ht="17.15" hidden="false" customHeight="false" outlineLevel="0" collapsed="false">
      <c r="A8" s="4" t="s">
        <v>979</v>
      </c>
      <c r="B8" s="0" t="s">
        <v>980</v>
      </c>
    </row>
    <row r="9" customFormat="false" ht="17.15" hidden="false" customHeight="false" outlineLevel="0" collapsed="false">
      <c r="A9" s="4" t="s">
        <v>981</v>
      </c>
      <c r="B9" s="0" t="s">
        <v>982</v>
      </c>
    </row>
    <row r="10" customFormat="false" ht="17.15" hidden="false" customHeight="false" outlineLevel="0" collapsed="false">
      <c r="A10" s="4" t="s">
        <v>983</v>
      </c>
      <c r="B10" s="0" t="s">
        <v>984</v>
      </c>
    </row>
    <row r="11" customFormat="false" ht="17.15" hidden="false" customHeight="false" outlineLevel="0" collapsed="false">
      <c r="A11" s="4" t="s">
        <v>985</v>
      </c>
      <c r="B11" s="0" t="s">
        <v>986</v>
      </c>
    </row>
    <row r="12" customFormat="false" ht="17.15" hidden="false" customHeight="false" outlineLevel="0" collapsed="false">
      <c r="A12" s="4" t="s">
        <v>987</v>
      </c>
      <c r="B12" s="0" t="s">
        <v>988</v>
      </c>
    </row>
    <row r="13" customFormat="false" ht="17.15" hidden="false" customHeight="false" outlineLevel="0" collapsed="false">
      <c r="A13" s="4" t="s">
        <v>989</v>
      </c>
      <c r="B13" s="0" t="s">
        <v>990</v>
      </c>
    </row>
    <row r="14" customFormat="false" ht="17.15" hidden="false" customHeight="false" outlineLevel="0" collapsed="false">
      <c r="A14" s="4" t="s">
        <v>991</v>
      </c>
      <c r="B14" s="0" t="s">
        <v>992</v>
      </c>
    </row>
    <row r="15" customFormat="false" ht="17.15" hidden="false" customHeight="false" outlineLevel="0" collapsed="false">
      <c r="A15" s="4" t="s">
        <v>993</v>
      </c>
      <c r="B15" s="0" t="s">
        <v>994</v>
      </c>
    </row>
    <row r="16" customFormat="false" ht="17.15" hidden="false" customHeight="false" outlineLevel="0" collapsed="false">
      <c r="A16" s="4" t="s">
        <v>995</v>
      </c>
      <c r="B16" s="0" t="s">
        <v>996</v>
      </c>
    </row>
    <row r="17" customFormat="false" ht="17.15" hidden="false" customHeight="false" outlineLevel="0" collapsed="false">
      <c r="A17" s="4" t="s">
        <v>997</v>
      </c>
      <c r="B17" s="0" t="s">
        <v>998</v>
      </c>
    </row>
    <row r="18" customFormat="false" ht="17.15" hidden="false" customHeight="false" outlineLevel="0" collapsed="false">
      <c r="A18" s="4" t="s">
        <v>999</v>
      </c>
      <c r="B18" s="0" t="s">
        <v>1000</v>
      </c>
    </row>
    <row r="19" customFormat="false" ht="17.15" hidden="false" customHeight="false" outlineLevel="0" collapsed="false">
      <c r="A19" s="4" t="s">
        <v>1001</v>
      </c>
      <c r="B19" s="0" t="s">
        <v>1002</v>
      </c>
    </row>
    <row r="20" customFormat="false" ht="17.15" hidden="false" customHeight="false" outlineLevel="0" collapsed="false">
      <c r="A20" s="4" t="s">
        <v>1003</v>
      </c>
      <c r="B20" s="0" t="s">
        <v>1004</v>
      </c>
    </row>
    <row r="21" customFormat="false" ht="17.15" hidden="false" customHeight="false" outlineLevel="0" collapsed="false">
      <c r="A21" s="4" t="s">
        <v>1005</v>
      </c>
      <c r="B21" s="0" t="s">
        <v>1006</v>
      </c>
    </row>
    <row r="22" customFormat="false" ht="17.15" hidden="false" customHeight="false" outlineLevel="0" collapsed="false">
      <c r="A22" s="4" t="s">
        <v>1007</v>
      </c>
      <c r="B22" s="0" t="s">
        <v>1008</v>
      </c>
    </row>
    <row r="23" customFormat="false" ht="17.15" hidden="false" customHeight="false" outlineLevel="0" collapsed="false">
      <c r="A23" s="4" t="s">
        <v>1009</v>
      </c>
      <c r="B23" s="0" t="s">
        <v>1010</v>
      </c>
    </row>
    <row r="24" customFormat="false" ht="17.15" hidden="false" customHeight="false" outlineLevel="0" collapsed="false">
      <c r="A24" s="4" t="s">
        <v>1011</v>
      </c>
      <c r="B24" s="0" t="s">
        <v>1012</v>
      </c>
    </row>
    <row r="25" customFormat="false" ht="17.15" hidden="false" customHeight="false" outlineLevel="0" collapsed="false">
      <c r="A25" s="4" t="s">
        <v>1013</v>
      </c>
      <c r="B25" s="0" t="s">
        <v>1014</v>
      </c>
    </row>
    <row r="26" customFormat="false" ht="17.15" hidden="false" customHeight="false" outlineLevel="0" collapsed="false">
      <c r="A26" s="4" t="s">
        <v>1015</v>
      </c>
      <c r="B26" s="0" t="s">
        <v>1016</v>
      </c>
    </row>
    <row r="27" customFormat="false" ht="17.15" hidden="false" customHeight="false" outlineLevel="0" collapsed="false">
      <c r="A27" s="4" t="s">
        <v>1017</v>
      </c>
      <c r="B27" s="4" t="s">
        <v>218</v>
      </c>
    </row>
    <row r="28" customFormat="false" ht="15" hidden="false" customHeight="false" outlineLevel="0" collapsed="false">
      <c r="A28" s="0" t="s">
        <v>1018</v>
      </c>
      <c r="B28" s="4" t="s">
        <v>1019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2026-10-30T00:25:49Z</dcterms:created>
  <dc:creator>openpyxl</dc:creator>
  <dc:description/>
  <dc:language>en-US</dc:language>
  <cp:lastModifiedBy/>
  <dcterms:modified xsi:type="dcterms:W3CDTF">2026-10-30T00:25:50Z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