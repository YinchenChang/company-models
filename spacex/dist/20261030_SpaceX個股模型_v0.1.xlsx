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ds_q3" vbProcedure="false">Q!$B$114</definedName>
    <definedName function="false" hidden="false" name="am_27" vbProcedure="false">In!$E$64</definedName>
    <definedName function="false" hidden="false" name="arpu0" vbProcedure="false">In!$E$122</definedName>
    <definedName function="false" hidden="false" name="avg_gw_q3" vbProcedure="false">Q!$B$109</definedName>
    <definedName function="false" hidden="false" name="backlog" vbProcedure="false">In!$E$165</definedName>
    <definedName function="false" hidden="false" name="beta" vbProcedure="false">In!$E$24</definedName>
    <definedName function="false" hidden="false" name="btc" vbProcedure="false">In!$E$20</definedName>
    <definedName function="false" hidden="false" name="capex_9m" vbProcedure="false">In!$E$155</definedName>
    <definedName function="false" hidden="false" name="cash_0" vbProcedure="false">In!$E$14</definedName>
    <definedName function="false" hidden="false" name="cash_ye25" vbProcedure="false">In!$E$15</definedName>
    <definedName function="false" hidden="false" name="cfac" vbProcedure="false">In!$E$80</definedName>
    <definedName function="false" hidden="false" name="cfo_9m" vbProcedure="false">In!$E$154</definedName>
    <definedName function="false" hidden="false" name="cip_0" vbProcedure="false">In!$E$87</definedName>
    <definedName function="false" hidden="false" name="cip_it" vbProcedure="false">In!$E$89</definedName>
    <definedName function="false" hidden="false" name="cip_si" vbProcedure="false">In!$E$88</definedName>
    <definedName function="false" hidden="false" name="cit_b3" vbProcedure="false">In!$E$78</definedName>
    <definedName function="false" hidden="false" name="cit_vr" vbProcedure="false">In!$E$79</definedName>
    <definedName function="false" hidden="false" name="cloud_q2" vbProcedure="false">In!$E$166</definedName>
    <definedName function="false" hidden="false" name="commit_27" vbProcedure="false">In!$E$167</definedName>
    <definedName function="false" hidden="false" name="cons_tp" vbProcedure="false">In!$E$40</definedName>
    <definedName function="false" hidden="false" name="conv_k" vbProcedure="false">In!$E$96</definedName>
    <definedName function="false" hidden="false" name="conv_mw" vbProcedure="false">In!$E$68</definedName>
    <definedName function="false" hidden="false" name="conv_n" vbProcedure="false">In!$E$102</definedName>
    <definedName function="false" hidden="false" name="cur_pf" vbProcedure="false">In!$E$98</definedName>
    <definedName function="false" hidden="false" name="cxgw26" vbProcedure="false">Thesis!$C$15</definedName>
    <definedName function="false" hidden="false" name="cx_cn" vbProcedure="false">In!$E$127</definedName>
    <definedName function="false" hidden="false" name="cx_cn0" vbProcedure="false">Q!$B$102</definedName>
    <definedName function="false" hidden="false" name="cx_sp0" vbProcedure="false">Q!$B$101</definedName>
    <definedName function="false" hidden="false" name="cx_spl" vbProcedure="false">In!$E$113</definedName>
    <definedName function="false" hidden="false" name="c_earnings_26" vbProcedure="false">In!$E$169</definedName>
    <definedName function="false" hidden="false" name="c_earnings_27" vbProcedure="false">In!$E$172</definedName>
    <definedName function="false" hidden="false" name="c_earnings_28" vbProcedure="false">In!$E$175</definedName>
    <definedName function="false" hidden="false" name="c_fcf_26" vbProcedure="false">In!$E$170</definedName>
    <definedName function="false" hidden="false" name="c_fcf_27" vbProcedure="false">In!$E$173</definedName>
    <definedName function="false" hidden="false" name="c_fcf_28" vbProcedure="false">In!$E$176</definedName>
    <definedName function="false" hidden="false" name="c_revenue_26" vbProcedure="false">In!$E$168</definedName>
    <definedName function="false" hidden="false" name="c_revenue_27" vbProcedure="false">In!$E$171</definedName>
    <definedName function="false" hidden="false" name="c_revenue_28" vbProcedure="false">In!$E$174</definedName>
    <definedName function="false" hidden="false" name="da_cn0" vbProcedure="false">Q!$B$107</definedName>
    <definedName function="false" hidden="false" name="da_si0" vbProcedure="false">In!$E$90</definedName>
    <definedName function="false" hidden="false" name="da_sp0" vbProcedure="false">Q!$B$106</definedName>
    <definedName function="false" hidden="false" name="debt_0" vbProcedure="false">In!$E$16</definedName>
    <definedName function="false" hidden="false" name="debt_1H" vbProcedure="false">In!$E$159</definedName>
    <definedName function="false" hidden="false" name="debt_ye25" vbProcedure="false">In!$E$17</definedName>
    <definedName function="false" hidden="false" name="deemed_1H" vbProcedure="false">In!$E$162</definedName>
    <definedName function="false" hidden="false" name="dil" vbProcedure="false">In!$E$136</definedName>
    <definedName function="false" hidden="false" name="dil_echo" vbProcedure="false">In!$E$12</definedName>
    <definedName function="false" hidden="false" name="dil_opt" vbProcedure="false">In!$E$10</definedName>
    <definedName function="false" hidden="false" name="dil_perf" vbProcedure="false">In!$E$9</definedName>
    <definedName function="false" hidden="false" name="dil_rsu" vbProcedure="false">In!$E$11</definedName>
    <definedName function="false" hidden="false" name="dil_x" vbProcedure="false">In!$E$13</definedName>
    <definedName function="false" hidden="false" name="dpi_b2" vbProcedure="false">In!$E$82</definedName>
    <definedName function="false" hidden="false" name="dpi_b3" vbProcedure="false">In!$E$83</definedName>
    <definedName function="false" hidden="false" name="dpi_h" vbProcedure="false">In!$E$81</definedName>
    <definedName function="false" hidden="false" name="eg_q3" vbProcedure="false">Q!$B$116</definedName>
    <definedName function="false" hidden="false" name="eq_1H" vbProcedure="false">In!$E$160</definedName>
    <definedName function="false" hidden="false" name="erp" vbProcedure="false">In!$E$25</definedName>
    <definedName function="false" hidden="false" name="evs_space" vbProcedure="false">In!$E$54</definedName>
    <definedName function="false" hidden="false" name="ext_sh" vbProcedure="false">In!$E$60</definedName>
    <definedName function="false" hidden="false" name="fin_lease" vbProcedure="false">In!$E$19</definedName>
    <definedName function="false" hidden="false" name="fin_sh" vbProcedure="false">In!$E$69</definedName>
    <definedName function="false" hidden="false" name="g0_ads" vbProcedure="false">Q!$B$97</definedName>
    <definedName function="false" hidden="false" name="g0_eg" vbProcedure="false">Q!$B$96</definedName>
    <definedName function="false" hidden="false" name="g0_eg_adj" vbProcedure="false">In!$E$124</definedName>
    <definedName function="false" hidden="false" name="g0_ld" vbProcedure="false">Q!$B$95</definedName>
    <definedName function="false" hidden="false" name="g27_nr" vbProcedure="false">In!$E$99</definedName>
    <definedName function="false" hidden="false" name="gl_ads" vbProcedure="false">In!$E$101</definedName>
    <definedName function="false" hidden="false" name="gl_eg" vbProcedure="false">In!$E$125</definedName>
    <definedName function="false" hidden="false" name="gl_ld" vbProcedure="false">In!$E$111</definedName>
    <definedName function="false" hidden="false" name="gl_nr" vbProcedure="false">In!$E$100</definedName>
    <definedName function="false" hidden="false" name="gw_0" vbProcedure="false">In!$E$56</definedName>
    <definedName function="false" hidden="false" name="gw_q2" vbProcedure="false">In!$E$57</definedName>
    <definedName function="false" hidden="false" name="gw_ye24" vbProcedure="false">In!$E$59</definedName>
    <definedName function="false" hidden="false" name="gw_ye25" vbProcedure="false">In!$E$58</definedName>
    <definedName function="false" hidden="false" name="gw_ye26_co" vbProcedure="false">In!$E$164</definedName>
    <definedName function="false" hidden="false" name="g_arpu" vbProcedure="false">In!$E$123</definedName>
    <definedName function="false" hidden="false" name="g_nl" vbProcedure="false">In!$E$109</definedName>
    <definedName function="false" hidden="false" name="g_rpl" vbProcedure="false">In!$E$110</definedName>
    <definedName function="false" hidden="false" name="g_tv" vbProcedure="false">In!$E$29</definedName>
    <definedName function="false" hidden="false" name="he0" vbProcedure="false">Thesis!$C$6</definedName>
    <definedName function="false" hidden="false" name="he_b2" vbProcedure="false">In!$E$71</definedName>
    <definedName function="false" hidden="false" name="he_b3" vbProcedure="false">In!$E$72</definedName>
    <definedName function="false" hidden="false" name="he_h" vbProcedure="false">In!$E$70</definedName>
    <definedName function="false" hidden="false" name="he_vr" vbProcedure="false">In!$E$73</definedName>
    <definedName function="false" hidden="false" name="internal_ai_reading" vbProcedure="false">In!$E$41</definedName>
    <definedName function="false" hidden="false" name="it_sh_da" vbProcedure="false">In!$E$91</definedName>
    <definedName function="false" hidden="false" name="k0" vbProcedure="false">Thesis!$C$9</definedName>
    <definedName function="false" hidden="false" name="k30_A" vbProcedure="false">In!$E$93</definedName>
    <definedName function="false" hidden="false" name="k30_B" vbProcedure="false">In!$E$94</definedName>
    <definedName function="false" hidden="false" name="k30_C" vbProcedure="false">In!$E$95</definedName>
    <definedName function="false" hidden="false" name="kd" vbProcedure="false">In!$E$26</definedName>
    <definedName function="false" hidden="false" name="ke" vbProcedure="false">Val!$B$37</definedName>
    <definedName function="false" hidden="false" name="ld_9m" vbProcedure="false">Q!$B$115</definedName>
    <definedName function="false" hidden="false" name="lease_1H" vbProcedure="false">In!$E$157</definedName>
    <definedName function="false" hidden="false" name="lease_27" vbProcedure="false">In!$E$147</definedName>
    <definedName function="false" hidden="false" name="lease_28" vbProcedure="false">In!$E$148</definedName>
    <definedName function="false" hidden="false" name="lease_29" vbProcedure="false">In!$E$149</definedName>
    <definedName function="false" hidden="false" name="lease_2H" vbProcedure="false">In!$E$146</definedName>
    <definedName function="false" hidden="false" name="lease_30" vbProcedure="false">In!$E$150</definedName>
    <definedName function="false" hidden="false" name="lease_31" vbProcedure="false">In!$E$151</definedName>
    <definedName function="false" hidden="false" name="lease_32" vbProcedure="false">In!$E$152</definedName>
    <definedName function="false" hidden="false" name="legal" vbProcedure="false">In!$E$21</definedName>
    <definedName function="false" hidden="false" name="life_cn" vbProcedure="false">In!$E$128</definedName>
    <definedName function="false" hidden="false" name="life_fac" vbProcedure="false">In!$E$85</definedName>
    <definedName function="false" hidden="false" name="life_it" vbProcedure="false">In!$E$84</definedName>
    <definedName function="false" hidden="false" name="life_sp" vbProcedure="false">In!$E$114</definedName>
    <definedName function="false" hidden="false" name="mat_27" vbProcedure="false">In!$E$140</definedName>
    <definedName function="false" hidden="false" name="mat_28" vbProcedure="false">In!$E$141</definedName>
    <definedName function="false" hidden="false" name="mat_29" vbProcedure="false">In!$E$142</definedName>
    <definedName function="false" hidden="false" name="mat_2H" vbProcedure="false">In!$E$139</definedName>
    <definedName function="false" hidden="false" name="mat_30" vbProcedure="false">In!$E$143</definedName>
    <definedName function="false" hidden="false" name="mat_31" vbProcedure="false">In!$E$144</definedName>
    <definedName function="false" hidden="false" name="mat_32" vbProcedure="false">In!$E$145</definedName>
    <definedName function="false" hidden="false" name="mid" vbProcedure="false">In!$E$31</definedName>
    <definedName function="false" hidden="false" name="min_cash" vbProcedure="false">In!$E$138</definedName>
    <definedName function="false" hidden="false" name="mix0_b2" vbProcedure="false">In!$E$62</definedName>
    <definedName function="false" hidden="false" name="mix0_b3" vbProcedure="false">In!$E$63</definedName>
    <definedName function="false" hidden="false" name="mix0_h" vbProcedure="false">In!$E$61</definedName>
    <definedName function="false" hidden="false" name="mult_conn" vbProcedure="false">Val!$B$127</definedName>
    <definedName function="false" hidden="false" name="mult_si" vbProcedure="false">Val!$B$128</definedName>
    <definedName function="false" hidden="false" name="mult_si_adj" vbProcedure="false">In!$E$53</definedName>
    <definedName function="false" hidden="false" name="m_cn" vbProcedure="false">In!$E$126</definedName>
    <definedName function="false" hidden="false" name="m_cn0" vbProcedure="false">Q!$B$100</definedName>
    <definedName function="false" hidden="false" name="m_so" vbProcedure="false">Thesis!$C$14</definedName>
    <definedName function="false" hidden="false" name="m_so0" vbProcedure="false">Thesis!$C$13</definedName>
    <definedName function="false" hidden="false" name="m_so_adj" vbProcedure="false">In!$E$103</definedName>
    <definedName function="false" hidden="false" name="m_sp0" vbProcedure="false">Q!$B$99</definedName>
    <definedName function="false" hidden="false" name="m_spl" vbProcedure="false">In!$E$112</definedName>
    <definedName function="false" hidden="false" name="nadd_A" vbProcedure="false">In!$E$118</definedName>
    <definedName function="false" hidden="false" name="nadd_B" vbProcedure="false">In!$E$119</definedName>
    <definedName function="false" hidden="false" name="nadd_C" vbProcedure="false">In!$E$120</definedName>
    <definedName function="false" hidden="false" name="nadd_dec" vbProcedure="false">In!$E$121</definedName>
    <definedName function="false" hidden="false" name="nadd_q4" vbProcedure="false">In!$E$117</definedName>
    <definedName function="false" hidden="false" name="nl_27" vbProcedure="false">In!$E$108</definedName>
    <definedName function="false" hidden="false" name="nl_q4" vbProcedure="false">In!$E$107</definedName>
    <definedName function="false" hidden="false" name="nr_q3" vbProcedure="false">Thesis!$C$12</definedName>
    <definedName function="false" hidden="false" name="opex0" vbProcedure="false">Thesis!$C$7</definedName>
    <definedName function="false" hidden="false" name="opx_b2" vbProcedure="false">In!$E$75</definedName>
    <definedName function="false" hidden="false" name="opx_b3" vbProcedure="false">In!$E$76</definedName>
    <definedName function="false" hidden="false" name="opx_h" vbProcedure="false">In!$E$74</definedName>
    <definedName function="false" hidden="false" name="opx_vr" vbProcedure="false">In!$E$77</definedName>
    <definedName function="false" hidden="false" name="pace" vbProcedure="false">In!$E$67</definedName>
    <definedName function="false" hidden="false" name="phi_0" vbProcedure="false">In!$E$86</definedName>
    <definedName function="false" hidden="false" name="pm_conn_cmcsa" vbProcedure="false">In!$E$48</definedName>
    <definedName function="false" hidden="false" name="pm_conn_irdm" vbProcedure="false">In!$E$45</definedName>
    <definedName function="false" hidden="false" name="pm_conn_sats" vbProcedure="false">In!$E$49</definedName>
    <definedName function="false" hidden="false" name="pm_conn_t" vbProcedure="false">In!$E$47</definedName>
    <definedName function="false" hidden="false" name="pm_conn_tmus" vbProcedure="false">In!$E$46</definedName>
    <definedName function="false" hidden="false" name="pm_si_crwv" vbProcedure="false">In!$E$50</definedName>
    <definedName function="false" hidden="false" name="pm_si_nbis" vbProcedure="false">In!$E$51</definedName>
    <definedName function="false" hidden="false" name="pm_si_orcl" vbProcedure="false">In!$E$52</definedName>
    <definedName function="false" hidden="false" name="ppefin_9m" vbProcedure="false">In!$E$156</definedName>
    <definedName function="false" hidden="false" name="ppe_gw" vbProcedure="false">Thesis!$C$16</definedName>
    <definedName function="false" hidden="false" name="px" vbProcedure="false">In!$E$5</definedName>
    <definedName function="false" hidden="false" name="px_val" vbProcedure="false">In!$E$6</definedName>
    <definedName function="false" hidden="false" name="rem_cn" vbProcedure="false">In!$E$129</definedName>
    <definedName function="false" hidden="false" name="rem_sp" vbProcedure="false">In!$E$115</definedName>
    <definedName function="false" hidden="false" name="rent_9m" vbProcedure="false">Thesis!$C$11</definedName>
    <definedName function="false" hidden="false" name="rent_q3" vbProcedure="false">Thesis!$C$10</definedName>
    <definedName function="false" hidden="false" name="rev_gw0" vbProcedure="false">Thesis!$C$8</definedName>
    <definedName function="false" hidden="false" name="rf" vbProcedure="false">In!$E$23</definedName>
    <definedName function="false" hidden="false" name="ronic" vbProcedure="false">Val!$B$40</definedName>
    <definedName function="false" hidden="false" name="ronic_sp" vbProcedure="false">In!$E$30</definedName>
    <definedName function="false" hidden="false" name="rpl0" vbProcedure="false">Q!$B$98</definedName>
    <definedName function="false" hidden="false" name="r_cash" vbProcedure="false">In!$E$134</definedName>
    <definedName function="false" hidden="false" name="r_debt" vbProcedure="false">In!$E$135</definedName>
    <definedName function="false" hidden="false" name="sbcr_conn" vbProcedure="false">Q!$B$104</definedName>
    <definedName function="false" hidden="false" name="sbcr_si" vbProcedure="false">Q!$B$105</definedName>
    <definedName function="false" hidden="false" name="sbcr_space" vbProcedure="false">Q!$B$103</definedName>
    <definedName function="false" hidden="false" name="sbc_add" vbProcedure="false">In!$E$42</definedName>
    <definedName function="false" hidden="false" name="sbc_cur_left" vbProcedure="false">In!$E$104</definedName>
    <definedName function="false" hidden="false" name="sbc_cur_yrs" vbProcedure="false">In!$E$105</definedName>
    <definedName function="false" hidden="false" name="selfb" vbProcedure="false">In!$E$65</definedName>
    <definedName function="false" hidden="false" name="sh_dil_1H" vbProcedure="false">In!$E$161</definedName>
    <definedName function="false" hidden="false" name="sh_dil_9m" vbProcedure="false">In!$E$8</definedName>
    <definedName function="false" hidden="false" name="sh_out" vbProcedure="false">In!$E$7</definedName>
    <definedName function="false" hidden="false" name="sie_q3" vbProcedure="false">Q!$B$113</definedName>
    <definedName function="false" hidden="false" name="si_cx_rr" vbProcedure="false">In!$E$66</definedName>
    <definedName function="false" hidden="false" name="si_q3" vbProcedure="false">Q!$B$112</definedName>
    <definedName function="false" hidden="false" name="slb_0" vbProcedure="false">In!$E$18</definedName>
    <definedName function="false" hidden="false" name="slb_1H" vbProcedure="false">In!$E$158</definedName>
    <definedName function="false" hidden="false" name="spec_27" vbProcedure="false">In!$E$131</definedName>
    <definedName function="false" hidden="false" name="spec_2h" vbProcedure="false">In!$E$130</definedName>
    <definedName function="false" hidden="false" name="ssi_h2" vbProcedure="false">Q!$B$111</definedName>
    <definedName function="false" hidden="false" name="ssi_q3" vbProcedure="false">Q!$B$110</definedName>
    <definedName function="false" hidden="false" name="subs_q3" vbProcedure="false">Q!$B$117</definedName>
    <definedName function="false" hidden="false" name="tax" vbProcedure="false">In!$E$133</definedName>
    <definedName function="false" hidden="false" name="tax_w" vbProcedure="false">In!$E$27</definedName>
    <definedName function="false" hidden="false" name="tp_wA" vbProcedure="false">In!$E$34</definedName>
    <definedName function="false" hidden="false" name="tp_wB" vbProcedure="false">In!$E$35</definedName>
    <definedName function="false" hidden="false" name="tp_wC" vbProcedure="false">In!$E$36</definedName>
    <definedName function="false" hidden="false" name="tv_alt" vbProcedure="false">In!$E$43</definedName>
    <definedName function="false" hidden="false" name="t_q4" vbProcedure="false">In!$E$33</definedName>
    <definedName function="false" hidden="false" name="t_tgt" vbProcedure="false">In!$E$38</definedName>
    <definedName function="false" hidden="false" name="t_val" vbProcedure="false">In!$E$32</definedName>
    <definedName function="false" hidden="false" name="uplift" vbProcedure="false">Q!$B$108</definedName>
    <definedName function="false" hidden="false" name="wacc" vbProcedure="false">Val!$B$39</definedName>
    <definedName function="false" hidden="false" name="wacc_adj" vbProcedure="false">In!$E$28</definedName>
    <definedName function="false" hidden="false" name="wc_k" vbProcedure="false">In!$E$137</definedName>
    <definedName function="false" hidden="false" name="w_dcf" vbProcedure="false">In!$E$37</definedName>
    <definedName function="false" hidden="false" name="w_ntm27" vbProcedure="false">In!$E$39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<sst xmlns="http://schemas.openxmlformats.org/spreadsheetml/2006/main" count="2967" uniqueCount="1250">
  <si>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Nasdaq: SPCX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）— 命題模組＋官方營收分部 → 損益表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</si>
  <si>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分部的算力投入（</t>
    </r>
    <r>
      <rPr>
        <sz val="11"/>
        <color theme="1"/>
        <rFont val="Calibri"/>
        <family val="2"/>
        <charset val="1"/>
      </rPr>
      <t xml:space="preserve">9M26 SI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億美元、名目算力 </t>
    </r>
    <r>
      <rPr>
        <sz val="11"/>
        <color theme="1"/>
        <rFont val="Calibri"/>
        <family val="2"/>
        <charset val="1"/>
      </rPr>
      <t xml:space="preserve">1.7 GW</t>
    </r>
    <r>
      <rPr>
        <sz val="11"/>
        <color theme="1"/>
        <rFont val="Noto Sans CJK SC"/>
        <family val="2"/>
      </rPr>
      <t xml:space="preserve">）能否由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營收（對外算力出租＋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）回本；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Starlink</t>
    </r>
    <r>
      <rPr>
        <sz val="11"/>
        <color theme="1"/>
        <rFont val="Noto Sans CJK SC"/>
        <family val="2"/>
      </rPr>
      <t xml:space="preserve">）現金流與 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資金能支撐多久；加計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收購獎酬後的每股價值是否高於現價。</t>
    </r>
  </si>
  <si>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FY2028 SI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年持有成本（與 </t>
    </r>
    <r>
      <rPr>
        <sz val="11"/>
        <color theme="1"/>
        <rFont val="Calibri"/>
        <family val="2"/>
        <charset val="1"/>
      </rPr>
      <t xml:space="preserve">OpenAI PxQ </t>
    </r>
    <r>
      <rPr>
        <sz val="11"/>
        <color theme="1"/>
        <rFont val="Noto Sans CJK SC"/>
        <family val="2"/>
      </rPr>
      <t xml:space="preserve">頁同口徑）；收支關卡＝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自由現金流合計（扣融資租賃、失敗售後租回本金與以融資取得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）。</t>
    </r>
  </si>
  <si>
    <t xml:space="preserve">驅動 → 推導對照表（每頁輸入、推導量、因果方向）</t>
  </si>
  <si>
    <t xml:space="preserve">頁</t>
  </si>
  <si>
    <r>
      <rPr>
        <b val="true"/>
        <sz val="11"/>
        <rFont val="Noto Sans CJK SC"/>
        <family val="2"/>
      </rPr>
      <t xml:space="preserve">輸入（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頁鍵）</t>
    </r>
  </si>
  <si>
    <t xml:space="preserve">推導量</t>
  </si>
  <si>
    <t xml:space="preserve">因果方向</t>
  </si>
  <si>
    <t xml:space="preserve">Thesis</t>
  </si>
  <si>
    <r>
      <rPr>
        <sz val="11"/>
        <color theme="1"/>
        <rFont val="Calibri"/>
        <family val="2"/>
        <charset val="1"/>
      </rPr>
      <t xml:space="preserve">gw_0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si_cx_rr → 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mix0_*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selfb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OpexGW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CapexIT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Facility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</si>
  <si>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名目算力、對外／自用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折舊、自用增量成本、影子效益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</si>
  <si>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 →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→ </t>
    </r>
    <r>
      <rPr>
        <sz val="11"/>
        <color theme="1"/>
        <rFont val="Noto Sans CJK SC"/>
        <family val="2"/>
      </rPr>
      <t xml:space="preserve">投資 → 折舊 →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營業利益</t>
    </r>
  </si>
  <si>
    <t xml:space="preserve">Seg</t>
  </si>
  <si>
    <r>
      <rPr>
        <sz val="11"/>
        <color theme="1"/>
        <rFont val="Calibri"/>
        <family val="2"/>
        <charset val="1"/>
      </rPr>
      <t xml:space="preserve">k30_A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conv_k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g27_nr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gl_nr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gl_ads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nl_*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g_rpl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gl_ld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nadd_A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g_arpu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gl_eg</t>
    </r>
  </si>
  <si>
    <r>
      <rPr>
        <sz val="11"/>
        <color theme="1"/>
        <rFont val="Noto Sans CJK SC"/>
        <family val="2"/>
      </rPr>
      <t xml:space="preserve">三分部、六條子列、兩條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命題子列、合併營收；非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</si>
  <si>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GW × k × </t>
    </r>
    <r>
      <rPr>
        <sz val="11"/>
        <color theme="1"/>
        <rFont val="Noto Sans CJK SC"/>
        <family val="2"/>
      </rPr>
      <t xml:space="preserve">持有成本；發射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每次收入；訂戶 </t>
    </r>
    <r>
      <rPr>
        <sz val="11"/>
        <color theme="1"/>
        <rFont val="Calibri"/>
        <family val="2"/>
        <charset val="1"/>
      </rPr>
      <t xml:space="preserve">× ARPU</t>
    </r>
  </si>
  <si>
    <t xml:space="preserve">PL</t>
  </si>
  <si>
    <r>
      <rPr>
        <sz val="11"/>
        <color theme="1"/>
        <rFont val="Calibri"/>
        <family val="2"/>
        <charset val="1"/>
      </rPr>
      <t xml:space="preserve">m_spl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m_so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sbc_*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sbc_cur_left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tax</t>
    </r>
  </si>
  <si>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、分部營業利益、合併營業利益、淨利、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</si>
  <si>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分部營收 →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 − 股權報酬 → 營業利益 → </t>
    </r>
    <r>
      <rPr>
        <sz val="11"/>
        <color theme="1"/>
        <rFont val="Calibri"/>
        <family val="2"/>
        <charset val="1"/>
      </rPr>
      <t xml:space="preserve">EPS</t>
    </r>
  </si>
  <si>
    <t xml:space="preserve">CF</t>
  </si>
  <si>
    <r>
      <rPr>
        <sz val="11"/>
        <color theme="1"/>
        <rFont val="Calibri"/>
        <family val="2"/>
        <charset val="1"/>
      </rPr>
      <t xml:space="preserve">wc_k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cx_cn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cx_spl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fin_sh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lease_*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spec_*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min_cash</t>
    </r>
  </si>
  <si>
    <r>
      <rPr>
        <sz val="11"/>
        <color theme="1"/>
        <rFont val="Noto Sans CJK SC"/>
        <family val="2"/>
      </rPr>
      <t xml:space="preserve">公司口徑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、收支關卡口徑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、新債、淨現金</t>
    </r>
  </si>
  <si>
    <r>
      <rPr>
        <sz val="11"/>
        <color theme="1"/>
        <rFont val="Noto Sans CJK SC"/>
        <family val="2"/>
      </rPr>
      <t xml:space="preserve">淨利＋折舊＋</t>
    </r>
    <r>
      <rPr>
        <sz val="11"/>
        <color theme="1"/>
        <rFont val="Calibri"/>
        <family val="2"/>
        <charset val="1"/>
      </rPr>
      <t xml:space="preserve">SBC − </t>
    </r>
    <r>
      <rPr>
        <sz val="11"/>
        <color theme="1"/>
        <rFont val="Noto Sans CJK SC"/>
        <family val="2"/>
      </rPr>
      <t xml:space="preserve">資本支出 → </t>
    </r>
    <r>
      <rPr>
        <sz val="11"/>
        <color theme="1"/>
        <rFont val="Calibri"/>
        <family val="2"/>
        <charset val="1"/>
      </rPr>
      <t xml:space="preserve">FCF → </t>
    </r>
    <r>
      <rPr>
        <sz val="11"/>
        <color theme="1"/>
        <rFont val="Noto Sans CJK SC"/>
        <family val="2"/>
      </rPr>
      <t xml:space="preserve">舉債</t>
    </r>
  </si>
  <si>
    <t xml:space="preserve">Val</t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</si>
  <si>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、同業倍數、</t>
    </r>
    <r>
      <rPr>
        <sz val="11"/>
        <color theme="1"/>
        <rFont val="Calibri"/>
        <family val="2"/>
        <charset val="1"/>
      </rPr>
      <t xml:space="preserve">evs_space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w_dcf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</si>
  <si>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、分部加總、目標價、上檔空間、投資建議</t>
    </r>
  </si>
  <si>
    <r>
      <rPr>
        <sz val="11"/>
        <color theme="1"/>
        <rFont val="Noto Sans CJK SC"/>
        <family val="2"/>
      </rPr>
      <t xml:space="preserve">無槓桿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折現＋分部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 → 情境加權 →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</si>
  <si>
    <t xml:space="preserve">Sens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</si>
  <si>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頁敏感度低／高值</t>
    </r>
  </si>
  <si>
    <t xml:space="preserve">加權目標價變動</t>
  </si>
  <si>
    <t xml:space="preserve">一次改一個輸入、整本重算</t>
  </si>
  <si>
    <r>
      <rPr>
        <b val="true"/>
        <sz val="11"/>
        <rFont val="Noto Sans CJK SC"/>
        <family val="2"/>
      </rPr>
      <t xml:space="preserve">本版要點（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：首版）</t>
    </r>
  </si>
  <si>
    <r>
      <rPr>
        <sz val="11"/>
        <color theme="1"/>
        <rFont val="Noto Sans CJK SC"/>
        <family val="2"/>
      </rPr>
      <t xml:space="preserve">官方分部 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；子列＝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收入拆分；</t>
    </r>
    <r>
      <rPr>
        <sz val="11"/>
        <color theme="1"/>
        <rFont val="Calibri"/>
        <family val="2"/>
        <charset val="1"/>
      </rPr>
      <t xml:space="preserve">SI S&amp;I </t>
    </r>
    <r>
      <rPr>
        <sz val="11"/>
        <color theme="1"/>
        <rFont val="Noto Sans CJK SC"/>
        <family val="2"/>
      </rPr>
      <t xml:space="preserve">之下以 </t>
    </r>
    <r>
      <rPr>
        <sz val="11"/>
        <color theme="1"/>
        <rFont val="Calibri"/>
        <family val="2"/>
        <charset val="1"/>
      </rPr>
      <t xml:space="preserve">Customer B </t>
    </r>
    <r>
      <rPr>
        <sz val="11"/>
        <color theme="1"/>
        <rFont val="Noto Sans CJK SC"/>
        <family val="2"/>
      </rPr>
      <t xml:space="preserve">衍生 </t>
    </r>
    <r>
      <rPr>
        <sz val="11"/>
        <color theme="1"/>
        <rFont val="Calibri"/>
        <family val="2"/>
        <charset val="1"/>
      </rPr>
      <t xml:space="preserve">72% </t>
    </r>
    <r>
      <rPr>
        <sz val="11"/>
        <color theme="1"/>
        <rFont val="Noto Sans CJK SC"/>
        <family val="2"/>
      </rPr>
      <t xml:space="preserve">拆「對外雲端服務」與「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」命題子列（審查第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</si>
  <si>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名目算力以實際值為錨（</t>
    </r>
    <r>
      <rPr>
        <sz val="11"/>
        <color theme="1"/>
        <rFont val="Calibri"/>
        <family val="2"/>
        <charset val="1"/>
      </rPr>
      <t xml:space="preserve">2025Q2 0.4 → 2026Q3 1.7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口徑），未來路徑由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投資季速（含以融資取得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投資推算（審查第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</si>
  <si>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Noto Sans CJK SC"/>
        <family val="2"/>
      </rPr>
      <t xml:space="preserve">收支關卡口徑扣融資租賃本金、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失敗售後租回本金與以融資取得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，並列公司口徑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</si>
  <si>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Noto Sans CJK SC"/>
        <family val="2"/>
      </rPr>
      <t xml:space="preserve">歷史欄：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2025Q2–2026Q3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9M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FY2025* </t>
    </r>
    <r>
      <rPr>
        <sz val="11"/>
        <color theme="1"/>
        <rFont val="Noto Sans CJK SC"/>
        <family val="2"/>
      </rPr>
      <t xml:space="preserve">為二手轉述 </t>
    </r>
    <r>
      <rPr>
        <sz val="11"/>
        <color theme="1"/>
        <rFont val="Calibri"/>
        <family val="2"/>
        <charset val="1"/>
      </rPr>
      <t xml:space="preserve">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資本支出未取得）。</t>
    </r>
    <r>
      <rPr>
        <sz val="11"/>
        <color theme="1"/>
        <rFont val="Calibri"/>
        <family val="2"/>
        <charset val="1"/>
      </rPr>
      <t xml:space="preserve">Cursor 2026-08-14 </t>
    </r>
    <r>
      <rPr>
        <sz val="11"/>
        <color theme="1"/>
        <rFont val="Noto Sans CJK SC"/>
        <family val="2"/>
      </rPr>
      <t xml:space="preserve">併入，預測以備考全季為起點（審查第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</si>
  <si>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Tesla </t>
    </r>
    <r>
      <rPr>
        <sz val="11"/>
        <color theme="1"/>
        <rFont val="Noto Sans CJK SC"/>
        <family val="2"/>
      </rPr>
      <t xml:space="preserve">合併評估（董事會特別委員會）不建模，列事件風險；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頻譜按成本（價值中性），交割發行股數列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</si>
  <si>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工作表：</t>
    </r>
    <r>
      <rPr>
        <b val="true"/>
        <sz val="11"/>
        <rFont val="Cambria"/>
        <family val="0"/>
        <charset val="1"/>
      </rPr>
      <t xml:space="preserve">README → In → Q → Thesis → Seg → PL → CF → Val → Recon → Sens → Sources</t>
    </r>
    <r>
      <rPr>
        <b val="true"/>
        <sz val="11"/>
        <rFont val="Noto Sans CJK SC"/>
        <family val="2"/>
      </rPr>
      <t xml:space="preserve">。藍字＝輸入、黑字＝公式；黃底＝判斷題。建置：</t>
    </r>
    <r>
      <rPr>
        <b val="true"/>
        <sz val="11"/>
        <rFont val="Cambria"/>
        <family val="0"/>
        <charset val="1"/>
      </rPr>
      <t xml:space="preserve">bash spacex/make_v01.sh</t>
    </r>
  </si>
  <si>
    <r>
      <rPr>
        <sz val="11"/>
        <color theme="1"/>
        <rFont val="Noto Sans CJK SC"/>
        <family val="2"/>
      </rPr>
      <t xml:space="preserve">數字標記：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（經查核）／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（公司或賣方自述）／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（換算）／二手轉述 </t>
    </r>
    <r>
      <rPr>
        <sz val="11"/>
        <color theme="1"/>
        <rFont val="Calibri"/>
        <family val="2"/>
        <charset val="1"/>
      </rPr>
      <t xml:space="preserve">S-1</t>
    </r>
    <r>
      <rPr>
        <sz val="11"/>
        <color theme="1"/>
        <rFont val="Noto Sans CJK SC"/>
        <family val="2"/>
      </rPr>
      <t xml:space="preserve">。本模型是研究整理，不構成投資建議。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</si>
  <si>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的驅動見本頁最後一節「情境驅動對照」）。金額 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；每股 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；股數十億股；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口徑名目算力（不乘 </t>
    </r>
    <r>
      <rPr>
        <sz val="11"/>
        <color theme="1"/>
        <rFont val="Calibri"/>
        <family val="2"/>
        <charset val="1"/>
      </rPr>
      <t xml:space="preserve">PUE</t>
    </r>
    <r>
      <rPr>
        <sz val="11"/>
        <color theme="1"/>
        <rFont val="Noto Sans CJK SC"/>
        <family val="2"/>
      </rPr>
      <t xml:space="preserve">）。標記：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一律給低／高區間）</t>
    </r>
  </si>
  <si>
    <r>
      <rPr>
        <sz val="11"/>
        <color theme="1"/>
        <rFont val="Noto Sans CJK SC"/>
        <family val="2"/>
      </rPr>
      <t xml:space="preserve">事實來源：</t>
    </r>
    <r>
      <rPr>
        <sz val="11"/>
        <color theme="1"/>
        <rFont val="Calibri"/>
        <family val="2"/>
        <charset val="1"/>
      </rPr>
      <t xml:space="preserve">spacex/data/spacex_facts_2026q3.json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2026Q3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財報新聞稿兩讀核對；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為媒體轉述 </t>
    </r>
    <r>
      <rPr>
        <sz val="11"/>
        <color theme="1"/>
        <rFont val="Calibri"/>
        <family val="2"/>
        <charset val="1"/>
      </rPr>
      <t xml:space="preserve">S-1</t>
    </r>
    <r>
      <rPr>
        <sz val="11"/>
        <color theme="1"/>
        <rFont val="Noto Sans CJK SC"/>
        <family val="2"/>
      </rPr>
      <t xml:space="preserve">，標「二手轉述 </t>
    </r>
    <r>
      <rPr>
        <sz val="11"/>
        <color theme="1"/>
        <rFont val="Calibri"/>
        <family val="2"/>
        <charset val="1"/>
      </rPr>
      <t xml:space="preserve">S-1</t>
    </r>
    <r>
      <rPr>
        <sz val="11"/>
        <color theme="1"/>
        <rFont val="Noto Sans CJK SC"/>
        <family val="2"/>
      </rPr>
      <t xml:space="preserve">」）；</t>
    </r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spacex/data/tokenomics_snapshot_v21.7.json</t>
    </r>
    <r>
      <rPr>
        <sz val="11"/>
        <color theme="1"/>
        <rFont val="Noto Sans CJK SC"/>
        <family val="2"/>
      </rPr>
      <t xml:space="preserve">。黃底＝判斷題（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可改；報告「待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判斷」逐條列出預設）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</si>
  <si>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</si>
  <si>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</si>
  <si>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</si>
  <si>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</si>
  <si>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</si>
  <si>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</si>
  <si>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</si>
  <si>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t xml:space="preserve">來源</t>
  </si>
  <si>
    <t xml:space="preserve">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</si>
  <si>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現價、股數與資產負債（評價日 </t>
    </r>
    <r>
      <rPr>
        <b val="true"/>
        <sz val="11"/>
        <rFont val="Cambria"/>
        <family val="0"/>
        <charset val="1"/>
      </rPr>
      <t xml:space="preserve">2026-09-30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10-Q 2026Q3</t>
    </r>
    <r>
      <rPr>
        <b val="true"/>
        <sz val="11"/>
        <rFont val="Noto Sans CJK SC"/>
        <family val="2"/>
      </rPr>
      <t xml:space="preserve">）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</si>
  <si>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</si>
  <si>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</si>
  <si>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</si>
  <si>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</si>
  <si>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MarketBeat SPCX </t>
    </r>
    <r>
      <rPr>
        <sz val="11"/>
        <color theme="1"/>
        <rFont val="Noto Sans CJK SC"/>
        <family val="2"/>
      </rPr>
      <t xml:space="preserve">預測頁 </t>
    </r>
    <r>
      <rPr>
        <sz val="11"/>
        <color theme="1"/>
        <rFont val="Calibri"/>
        <family val="2"/>
        <charset val="1"/>
      </rPr>
      <t xml:space="preserve">https://www.marketbeat.com/stocks/NASDAQ/SPCX/forecast/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4:00 PM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143.89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Equibles https://equibles.com/stocks/spcx/summary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143.89</t>
    </r>
    <r>
      <rPr>
        <sz val="11"/>
        <color theme="1"/>
        <rFont val="Noto Sans CJK SC"/>
        <family val="2"/>
      </rPr>
      <t xml:space="preserve">、跌 </t>
    </r>
    <r>
      <rPr>
        <sz val="11"/>
        <color theme="1"/>
        <rFont val="Calibri"/>
        <family val="2"/>
        <charset val="1"/>
      </rPr>
      <t xml:space="preserve">1.34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讀取）</t>
    </r>
  </si>
  <si>
    <r>
      <rPr>
        <sz val="11"/>
        <color theme="1"/>
        <rFont val="Noto Sans CJK SC"/>
        <family val="2"/>
      </rPr>
      <t xml:space="preserve">兩來源一致（審查第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條）；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月線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143.89 </t>
    </r>
    <r>
      <rPr>
        <sz val="11"/>
        <color theme="1"/>
        <rFont val="Noto Sans CJK SC"/>
        <family val="2"/>
      </rPr>
      <t xml:space="preserve">亦同。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段候選 </t>
    </r>
    <r>
      <rPr>
        <sz val="11"/>
        <color theme="1"/>
        <rFont val="Calibri"/>
        <family val="2"/>
        <charset val="1"/>
      </rPr>
      <t xml:space="preserve">Robinhood 140.40 </t>
    </r>
    <r>
      <rPr>
        <sz val="11"/>
        <color theme="1"/>
        <rFont val="Noto Sans CJK SC"/>
        <family val="2"/>
      </rPr>
      <t xml:space="preserve">為盤中價，不採</t>
    </r>
  </si>
  <si>
    <t xml:space="preserve">px_val</t>
  </si>
  <si>
    <r>
      <rPr>
        <sz val="11"/>
        <color theme="1"/>
        <rFont val="Noto Sans CJK SC"/>
        <family val="2"/>
      </rPr>
      <t xml:space="preserve">評價日股價（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權益權重用）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</si>
  <si>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</si>
  <si>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Digrin SPCX </t>
    </r>
    <r>
      <rPr>
        <sz val="11"/>
        <color theme="1"/>
        <rFont val="Noto Sans CJK SC"/>
        <family val="2"/>
      </rPr>
      <t xml:space="preserve">月線 </t>
    </r>
    <r>
      <rPr>
        <sz val="11"/>
        <color theme="1"/>
        <rFont val="Calibri"/>
        <family val="2"/>
        <charset val="1"/>
      </rPr>
      <t xml:space="preserve">https://www.digrin.com/stocks/detail/SPCX/price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150.86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讀取）</t>
    </r>
  </si>
  <si>
    <r>
      <rPr>
        <sz val="11"/>
        <color theme="1"/>
        <rFont val="Noto Sans CJK SC"/>
        <family val="2"/>
      </rPr>
      <t xml:space="preserve">單一來源（第二來源未取得：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歷史頁逾時）；只影響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權重，負債占比 </t>
    </r>
    <r>
      <rPr>
        <sz val="11"/>
        <color theme="1"/>
        <rFont val="Calibri"/>
        <family val="2"/>
        <charset val="1"/>
      </rPr>
      <t xml:space="preserve">&lt; 2%</t>
    </r>
    <r>
      <rPr>
        <sz val="11"/>
        <color theme="1"/>
        <rFont val="Noto Sans CJK SC"/>
        <family val="2"/>
      </rPr>
      <t xml:space="preserve">，對目標價影響極小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</si>
  <si>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</si>
  <si>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股）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</si>
  <si>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</si>
  <si>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sh.out.AB.20261015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</si>
  <si>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8,246.5M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 5,334.5M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條；稀釋項列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，不進基準）</t>
    </r>
  </si>
  <si>
    <t xml:space="preserve">sh_dil_9m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</si>
  <si>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稀釋加權股數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</si>
  <si>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頁 合併損益表（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is.shDil.9m2026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</si>
  <si>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，加權股數低於期末</t>
    </r>
  </si>
  <si>
    <t xml:space="preserve">dil_perf</t>
  </si>
  <si>
    <t xml:space="preserve">潛在稀釋：績效／市場條件獎酬（未計入稀釋股數）</t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</si>
  <si>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sh.perfAwards.20260930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</si>
  <si>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受獎人未見原文；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</si>
  <si>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t xml:space="preserve">dil_opt</t>
  </si>
  <si>
    <t xml:space="preserve">潛在稀釋：選擇權</t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</si>
  <si>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保留股數表（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sh.options.20260930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</si>
  <si>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</si>
  <si>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t xml:space="preserve">dil_rsu</t>
  </si>
  <si>
    <r>
      <rPr>
        <sz val="11"/>
        <color theme="1"/>
        <rFont val="Noto Sans CJK SC"/>
        <family val="2"/>
      </rPr>
      <t xml:space="preserve">潛在稀釋：</t>
    </r>
    <r>
      <rPr>
        <sz val="11"/>
        <color theme="1"/>
        <rFont val="Calibri"/>
        <family val="2"/>
        <charset val="1"/>
      </rPr>
      <t xml:space="preserve">RSU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</si>
  <si>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sh.rsu.20260930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</si>
  <si>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dil_echo</t>
  </si>
  <si>
    <r>
      <rPr>
        <sz val="11"/>
        <color theme="1"/>
        <rFont val="Noto Sans CJK SC"/>
        <family val="2"/>
      </rPr>
      <t xml:space="preserve">潛在稀釋：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頻譜交割發行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股（約）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</si>
  <si>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MD&amp;A Material Cash Commitments — Spectrum Transaction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spectrum.echostar.shares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</si>
  <si>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固定每股 </t>
    </r>
    <r>
      <rPr>
        <sz val="11"/>
        <color theme="1"/>
        <rFont val="Calibri"/>
        <family val="2"/>
        <charset val="1"/>
      </rPr>
      <t xml:space="preserve">42.40</t>
    </r>
    <r>
      <rPr>
        <sz val="11"/>
        <color theme="1"/>
        <rFont val="Noto Sans CJK SC"/>
        <family val="2"/>
      </rPr>
      <t xml:space="preserve">；預計 </t>
    </r>
    <r>
      <rPr>
        <sz val="11"/>
        <color theme="1"/>
        <rFont val="Calibri"/>
        <family val="2"/>
        <charset val="1"/>
      </rPr>
      <t xml:space="preserve">2027-11-30 </t>
    </r>
    <r>
      <rPr>
        <sz val="11"/>
        <color theme="1"/>
        <rFont val="Noto Sans CJK SC"/>
        <family val="2"/>
      </rPr>
      <t xml:space="preserve">交割；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</si>
  <si>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t xml:space="preserve">dil_x</t>
  </si>
  <si>
    <r>
      <rPr>
        <sz val="11"/>
        <color theme="1"/>
        <rFont val="Noto Sans CJK SC"/>
        <family val="2"/>
      </rPr>
      <t xml:space="preserve">評價股數加入上述潛在稀釋（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</si>
  <si>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x</t>
  </si>
  <si>
    <t xml:space="preserve">Assumed</t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</si>
  <si>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條：稀釋項列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，不進基準</t>
    </r>
  </si>
  <si>
    <r>
      <rPr>
        <sz val="11"/>
        <color theme="1"/>
        <rFont val="Noto Sans CJK SC"/>
        <family val="2"/>
      </rPr>
      <t xml:space="preserve">高＝四項全部加入（約 </t>
    </r>
    <r>
      <rPr>
        <sz val="11"/>
        <color theme="1"/>
        <rFont val="Calibri"/>
        <family val="2"/>
        <charset val="1"/>
      </rPr>
      <t xml:space="preserve">2.24B </t>
    </r>
    <r>
      <rPr>
        <sz val="11"/>
        <color theme="1"/>
        <rFont val="Noto Sans CJK SC"/>
        <family val="2"/>
      </rPr>
      <t xml:space="preserve">股，＋</t>
    </r>
    <r>
      <rPr>
        <sz val="11"/>
        <color theme="1"/>
        <rFont val="Calibri"/>
        <family val="2"/>
        <charset val="1"/>
      </rPr>
      <t xml:space="preserve">16.5%</t>
    </r>
    <r>
      <rPr>
        <sz val="11"/>
        <color theme="1"/>
        <rFont val="Noto Sans CJK SC"/>
        <family val="2"/>
      </rPr>
      <t xml:space="preserve">）</t>
    </r>
  </si>
  <si>
    <t xml:space="preserve">cash_0</t>
  </si>
  <si>
    <r>
      <rPr>
        <sz val="11"/>
        <color theme="1"/>
        <rFont val="Noto Sans CJK SC"/>
        <family val="2"/>
      </rPr>
      <t xml:space="preserve">現金＋有價證券（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</si>
  <si>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</si>
  <si>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資產負債表：現金 </t>
    </r>
    <r>
      <rPr>
        <sz val="11"/>
        <color theme="1"/>
        <rFont val="Calibri"/>
        <family val="2"/>
        <charset val="1"/>
      </rPr>
      <t xml:space="preserve">51.294</t>
    </r>
    <r>
      <rPr>
        <sz val="11"/>
        <color theme="1"/>
        <rFont val="Noto Sans CJK SC"/>
        <family val="2"/>
      </rPr>
      <t xml:space="preserve">＋有價證券 </t>
    </r>
    <r>
      <rPr>
        <sz val="11"/>
        <color theme="1"/>
        <rFont val="Calibri"/>
        <family val="2"/>
        <charset val="1"/>
      </rPr>
      <t xml:space="preserve">38.561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bs.cash.20260930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bs.mktSec.20260930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</si>
  <si>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6-30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100.009</t>
    </r>
  </si>
  <si>
    <t xml:space="preserve">cash_ye25</t>
  </si>
  <si>
    <r>
      <rPr>
        <sz val="11"/>
        <color theme="1"/>
        <rFont val="Noto Sans CJK SC"/>
        <family val="2"/>
      </rPr>
      <t xml:space="preserve">現金＋有價證券（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</si>
  <si>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資產負債表比較欄（事實總帳 </t>
    </r>
    <r>
      <rPr>
        <sz val="11"/>
        <color theme="1"/>
        <rFont val="Calibri"/>
        <family val="2"/>
        <charset val="1"/>
      </rPr>
      <t xml:space="preserve">bs.cash.20251231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bs.mktSec.20251231</t>
    </r>
    <r>
      <rPr>
        <sz val="11"/>
        <color theme="1"/>
        <rFont val="Noto Sans CJK SC"/>
        <family val="2"/>
      </rPr>
      <t xml:space="preserve">）</t>
    </r>
  </si>
  <si>
    <t xml:space="preserve">debt_0</t>
  </si>
  <si>
    <r>
      <rPr>
        <sz val="11"/>
        <color theme="1"/>
        <rFont val="Noto Sans CJK SC"/>
        <family val="2"/>
      </rPr>
      <t xml:space="preserve">債務本金（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；含失敗售後租回 </t>
    </r>
    <r>
      <rPr>
        <sz val="11"/>
        <color theme="1"/>
        <rFont val="Calibri"/>
        <family val="2"/>
        <charset val="1"/>
      </rPr>
      <t xml:space="preserve">12.897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</si>
  <si>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9 Debt </t>
    </r>
    <r>
      <rPr>
        <sz val="11"/>
        <color theme="1"/>
        <rFont val="Noto Sans CJK SC"/>
        <family val="2"/>
      </rPr>
      <t xml:space="preserve">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debt.totalDebt.principal.20260930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</si>
  <si>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SpaceX Notes 25.000</t>
    </r>
    <r>
      <rPr>
        <sz val="11"/>
        <color theme="1"/>
        <rFont val="Noto Sans CJK SC"/>
        <family val="2"/>
      </rPr>
      <t xml:space="preserve">＋其他融資 </t>
    </r>
    <r>
      <rPr>
        <sz val="11"/>
        <color theme="1"/>
        <rFont val="Calibri"/>
        <family val="2"/>
        <charset val="1"/>
      </rPr>
      <t xml:space="preserve">12.979</t>
    </r>
    <r>
      <rPr>
        <sz val="11"/>
        <color theme="1"/>
        <rFont val="Noto Sans CJK SC"/>
        <family val="2"/>
      </rPr>
      <t xml:space="preserve">（其中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 </t>
    </r>
    <r>
      <rPr>
        <sz val="11"/>
        <color theme="1"/>
        <rFont val="Calibri"/>
        <family val="2"/>
        <charset val="1"/>
      </rPr>
      <t xml:space="preserve">12.897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票據 </t>
    </r>
    <r>
      <rPr>
        <sz val="11"/>
        <color theme="1"/>
        <rFont val="Calibri"/>
        <family val="2"/>
        <charset val="1"/>
      </rPr>
      <t xml:space="preserve">0.027</t>
    </r>
  </si>
  <si>
    <t xml:space="preserve">debt_ye25</t>
  </si>
  <si>
    <r>
      <rPr>
        <sz val="11"/>
        <color theme="1"/>
        <rFont val="Noto Sans CJK SC"/>
        <family val="2"/>
      </rPr>
      <t xml:space="preserve">債務本金（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</si>
  <si>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9 Debt </t>
    </r>
    <r>
      <rPr>
        <sz val="11"/>
        <color theme="1"/>
        <rFont val="Noto Sans CJK SC"/>
        <family val="2"/>
      </rPr>
      <t xml:space="preserve">表（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debt.totalDebt.principal.20251231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</si>
  <si>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slb_0</t>
  </si>
  <si>
    <r>
      <rPr>
        <sz val="11"/>
        <color theme="1"/>
        <rFont val="Noto Sans CJK SC"/>
        <family val="2"/>
      </rPr>
      <t xml:space="preserve">其中：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</si>
  <si>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、附註 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：直接寫明為 </t>
    </r>
    <r>
      <rPr>
        <sz val="11"/>
        <color theme="1"/>
        <rFont val="Calibri"/>
        <family val="2"/>
        <charset val="1"/>
      </rPr>
      <t xml:space="preserve">Valor Transactions</t>
    </r>
    <r>
      <rPr>
        <sz val="11"/>
        <color theme="1"/>
        <rFont val="Noto Sans CJK SC"/>
        <family val="2"/>
      </rPr>
      <t xml:space="preserve">（失敗售後租回；審查第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條），流動 </t>
    </r>
    <r>
      <rPr>
        <sz val="11"/>
        <color theme="1"/>
        <rFont val="Calibri"/>
        <family val="2"/>
        <charset val="1"/>
      </rPr>
      <t xml:space="preserve">2.181</t>
    </r>
    <r>
      <rPr>
        <sz val="11"/>
        <color theme="1"/>
        <rFont val="Noto Sans CJK SC"/>
        <family val="2"/>
      </rPr>
      <t xml:space="preserve">＋非流動 </t>
    </r>
    <r>
      <rPr>
        <sz val="11"/>
        <color theme="1"/>
        <rFont val="Calibri"/>
        <family val="2"/>
        <charset val="1"/>
      </rPr>
      <t xml:space="preserve">10.716</t>
    </r>
  </si>
  <si>
    <r>
      <rPr>
        <sz val="11"/>
        <color theme="1"/>
        <rFont val="Noto Sans CJK SC"/>
        <family val="2"/>
      </rPr>
      <t xml:space="preserve">關係人（董事 </t>
    </r>
    <r>
      <rPr>
        <sz val="11"/>
        <color theme="1"/>
        <rFont val="Calibri"/>
        <family val="2"/>
        <charset val="1"/>
      </rPr>
      <t xml:space="preserve">Antonio Gracias</t>
    </r>
    <r>
      <rPr>
        <sz val="11"/>
        <color theme="1"/>
        <rFont val="Noto Sans CJK SC"/>
        <family val="2"/>
      </rPr>
      <t xml:space="preserve">）；利息 </t>
    </r>
    <r>
      <rPr>
        <sz val="11"/>
        <color theme="1"/>
        <rFont val="Calibri"/>
        <family val="2"/>
        <charset val="1"/>
      </rPr>
      <t xml:space="preserve">2026Q3 0.351</t>
    </r>
  </si>
  <si>
    <t xml:space="preserve">fin_lease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</si>
  <si>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</si>
  <si>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9 Debt </t>
    </r>
    <r>
      <rPr>
        <sz val="11"/>
        <color theme="1"/>
        <rFont val="Noto Sans CJK SC"/>
        <family val="2"/>
      </rPr>
      <t xml:space="preserve">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debt.finLease.principal.20260930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</si>
  <si>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負債與淨負債</t>
    </r>
  </si>
  <si>
    <t xml:space="preserve">btc</t>
  </si>
  <si>
    <r>
      <rPr>
        <sz val="11"/>
        <color theme="1"/>
        <rFont val="Noto Sans CJK SC"/>
        <family val="2"/>
      </rPr>
      <t xml:space="preserve">數位資產（比特幣 </t>
    </r>
    <r>
      <rPr>
        <sz val="11"/>
        <color theme="1"/>
        <rFont val="Calibri"/>
        <family val="2"/>
        <charset val="1"/>
      </rPr>
      <t xml:space="preserve">18,712 </t>
    </r>
    <r>
      <rPr>
        <sz val="11"/>
        <color theme="1"/>
        <rFont val="Noto Sans CJK SC"/>
        <family val="2"/>
      </rPr>
      <t xml:space="preserve">枚，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帳面）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</si>
  <si>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頁 合併資產負債表（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bs.digital.20260930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</si>
  <si>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評價時加入（類現金持有）</t>
  </si>
  <si>
    <t xml:space="preserve">legal</t>
  </si>
  <si>
    <t xml:space="preserve">訴訟準備（類債）</t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</si>
  <si>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legal.accrual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</si>
  <si>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折現率與目標價規則</t>
    </r>
  </si>
  <si>
    <t xml:space="preserve">rf</t>
  </si>
  <si>
    <r>
      <rPr>
        <sz val="11"/>
        <color theme="1"/>
        <rFont val="Noto Sans CJK SC"/>
        <family val="2"/>
      </rPr>
      <t xml:space="preserve">無風險利率（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年美債，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</si>
  <si>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</si>
  <si>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Noto Sans CJK SC"/>
        <family val="2"/>
      </rPr>
      <t xml:space="preserve">美國財政部每日殖利率曲線 </t>
    </r>
    <r>
      <rPr>
        <sz val="11"/>
        <color theme="1"/>
        <rFont val="Calibri"/>
        <family val="2"/>
        <charset val="1"/>
      </rPr>
      <t xml:space="preserve">10 Yr https://home.treasury.gov/resource-center/data-chart-center/interest-rates/TextView?type=daily_treasury_yield_curve&amp;field_tdr_date_value_month=202610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v0.3.2 </t>
    </r>
    <r>
      <rPr>
        <sz val="11"/>
        <color theme="1"/>
        <rFont val="Noto Sans CJK SC"/>
        <family val="2"/>
      </rPr>
      <t xml:space="preserve">同值，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讀取）</t>
    </r>
  </si>
  <si>
    <t xml:space="preserve">beta</t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</si>
  <si>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上市，歷史不足；判斷）</t>
    </r>
  </si>
  <si>
    <r>
      <rPr>
        <sz val="11"/>
        <color theme="1"/>
        <rFont val="Noto Sans CJK SC"/>
        <family val="2"/>
      </rPr>
      <t xml:space="preserve">判斷：上市僅約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個月，無 </t>
    </r>
    <r>
      <rPr>
        <sz val="11"/>
        <color theme="1"/>
        <rFont val="Calibri"/>
        <family val="2"/>
        <charset val="1"/>
      </rPr>
      <t xml:space="preserve">3–5 </t>
    </r>
    <r>
      <rPr>
        <sz val="11"/>
        <color theme="1"/>
        <rFont val="Noto Sans CJK SC"/>
        <family val="2"/>
      </rPr>
      <t xml:space="preserve">年月資料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；以高成長、高資本支出的大型科技股區間 </t>
    </r>
    <r>
      <rPr>
        <sz val="11"/>
        <color theme="1"/>
        <rFont val="Calibri"/>
        <family val="2"/>
        <charset val="1"/>
      </rPr>
      <t xml:space="preserve">1.1–1.6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Blume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1.19 </t>
    </r>
    <r>
      <rPr>
        <sz val="11"/>
        <color theme="1"/>
        <rFont val="Noto Sans CJK SC"/>
        <family val="2"/>
      </rPr>
      <t xml:space="preserve">為下緣對照）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</si>
  <si>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</t>
    </r>
  </si>
  <si>
    <t xml:space="preserve">erp</t>
  </si>
  <si>
    <t xml:space="preserve">股權風險溢酬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</si>
  <si>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v0.3.2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S9</t>
    </r>
    <r>
      <rPr>
        <sz val="11"/>
        <color theme="1"/>
        <rFont val="Noto Sans CJK SC"/>
        <family val="2"/>
      </rPr>
      <t xml:space="preserve">）</t>
    </r>
  </si>
  <si>
    <t xml:space="preserve">kd</t>
  </si>
  <si>
    <r>
      <rPr>
        <sz val="11"/>
        <color theme="1"/>
        <rFont val="Noto Sans CJK SC"/>
        <family val="2"/>
      </rPr>
      <t xml:space="preserve">稅前債務成本（</t>
    </r>
    <r>
      <rPr>
        <sz val="11"/>
        <color theme="1"/>
        <rFont val="Calibri"/>
        <family val="2"/>
        <charset val="1"/>
      </rPr>
      <t xml:space="preserve">SpaceX Notes </t>
    </r>
    <r>
      <rPr>
        <sz val="11"/>
        <color theme="1"/>
        <rFont val="Noto Sans CJK SC"/>
        <family val="2"/>
      </rPr>
      <t xml:space="preserve">有效利率）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</si>
  <si>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debt.spacexNotes.eir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</si>
  <si>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五批加權票面 </t>
    </r>
    <r>
      <rPr>
        <sz val="11"/>
        <color theme="1"/>
        <rFont val="Calibri"/>
        <family val="2"/>
        <charset val="1"/>
      </rPr>
      <t xml:space="preserve">5.855%</t>
    </r>
    <r>
      <rPr>
        <sz val="11"/>
        <color theme="1"/>
        <rFont val="Noto Sans CJK SC"/>
        <family val="2"/>
      </rPr>
      <t xml:space="preserve">；有效 </t>
    </r>
    <r>
      <rPr>
        <sz val="11"/>
        <color theme="1"/>
        <rFont val="Calibri"/>
        <family val="2"/>
        <charset val="1"/>
      </rPr>
      <t xml:space="preserve">6.072%</t>
    </r>
  </si>
  <si>
    <t xml:space="preserve">tax_w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</si>
  <si>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用稅率（美國聯邦法定）</t>
    </r>
  </si>
  <si>
    <r>
      <rPr>
        <sz val="11"/>
        <color theme="1"/>
        <rFont val="Noto Sans CJK SC"/>
        <family val="2"/>
      </rPr>
      <t xml:space="preserve">淨營業虧損抵減期間實際稅盾低於法定；負債占比 </t>
    </r>
    <r>
      <rPr>
        <sz val="11"/>
        <color theme="1"/>
        <rFont val="Calibri"/>
        <family val="2"/>
        <charset val="1"/>
      </rPr>
      <t xml:space="preserve">&lt; 2%</t>
    </r>
    <r>
      <rPr>
        <sz val="11"/>
        <color theme="1"/>
        <rFont val="Noto Sans CJK SC"/>
        <family val="2"/>
      </rPr>
      <t xml:space="preserve">，影響極小</t>
    </r>
  </si>
  <si>
    <t xml:space="preserve">wacc_adj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</si>
  <si>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格：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）</t>
    </r>
  </si>
  <si>
    <t xml:space="preserve">g_tv</t>
  </si>
  <si>
    <r>
      <rPr>
        <sz val="11"/>
        <color theme="1"/>
        <rFont val="Noto Sans CJK SC"/>
        <family val="2"/>
      </rPr>
      <t xml:space="preserve">永續成長率（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後）</t>
    </r>
  </si>
  <si>
    <t xml:space="preserve">ronic_sp</t>
  </si>
  <si>
    <r>
      <rPr>
        <sz val="11"/>
        <color theme="1"/>
        <rFont val="Noto Sans CJK SC"/>
        <family val="2"/>
      </rPr>
      <t xml:space="preserve">永續期新投資報酬率 </t>
    </r>
    <r>
      <rPr>
        <sz val="11"/>
        <color theme="1"/>
        <rFont val="Calibri"/>
        <family val="2"/>
        <charset val="1"/>
      </rPr>
      <t xml:space="preserve">RONIC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的差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</si>
  <si>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v0.3.2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；終值＝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</si>
  <si>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</si>
  <si>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t xml:space="preserve">mid</t>
  </si>
  <si>
    <t xml:space="preserve">期中慣例：年度現金流距年初</t>
  </si>
  <si>
    <t xml:space="preserve">年</t>
  </si>
  <si>
    <t xml:space="preserve">年度現金流平均發生在年中</t>
  </si>
  <si>
    <t xml:space="preserve">t_val</t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</si>
  <si>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）的年份小數</t>
    </r>
  </si>
  <si>
    <r>
      <rPr>
        <sz val="11"/>
        <color theme="1"/>
        <rFont val="Noto Sans CJK SC"/>
        <family val="2"/>
      </rPr>
      <t xml:space="preserve">年度折現年數＝年度＋</t>
    </r>
    <r>
      <rPr>
        <sz val="11"/>
        <color theme="1"/>
        <rFont val="Calibri"/>
        <family val="2"/>
        <charset val="1"/>
      </rPr>
      <t xml:space="preserve">mid − t_val</t>
    </r>
  </si>
  <si>
    <t xml:space="preserve">t_q4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</si>
  <si>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現金流折現年數（期中）</t>
    </r>
  </si>
  <si>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12-31 </t>
    </r>
    <r>
      <rPr>
        <sz val="11"/>
        <color theme="1"/>
        <rFont val="Noto Sans CJK SC"/>
        <family val="2"/>
      </rPr>
      <t xml:space="preserve">的中點</t>
    </r>
  </si>
  <si>
    <t xml:space="preserve">tp_wA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</si>
  <si>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</si>
  <si>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S9</t>
    </r>
    <r>
      <rPr>
        <sz val="11"/>
        <color theme="1"/>
        <rFont val="Noto Sans CJK SC"/>
        <family val="2"/>
      </rPr>
      <t xml:space="preserve">（同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</si>
  <si>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</si>
  <si>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</si>
  <si>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同上</t>
  </si>
  <si>
    <t xml:space="preserve">tp_wC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</si>
  <si>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</si>
  <si>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</si>
  <si>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的權重（其餘＝分部加總 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</si>
  <si>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S9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</si>
  <si>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t_tgt</t>
  </si>
  <si>
    <r>
      <rPr>
        <sz val="11"/>
        <color theme="1"/>
        <rFont val="Noto Sans CJK SC"/>
        <family val="2"/>
      </rPr>
      <t xml:space="preserve">目標時點距評價日（</t>
    </r>
    <r>
      <rPr>
        <sz val="11"/>
        <color theme="1"/>
        <rFont val="Calibri"/>
        <family val="2"/>
        <charset val="1"/>
      </rPr>
      <t xml:space="preserve">2026-09-30 → 2027-10-30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</si>
  <si>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395 </t>
    </r>
    <r>
      <rPr>
        <sz val="11"/>
        <color theme="1"/>
        <rFont val="Noto Sans CJK SC"/>
        <family val="2"/>
      </rPr>
      <t xml:space="preserve">天 </t>
    </r>
    <r>
      <rPr>
        <sz val="11"/>
        <color theme="1"/>
        <rFont val="Calibri"/>
        <family val="2"/>
        <charset val="1"/>
      </rPr>
      <t xml:space="preserve">÷ 365</t>
    </r>
    <r>
      <rPr>
        <sz val="11"/>
        <color theme="1"/>
        <rFont val="Noto Sans CJK SC"/>
        <family val="2"/>
      </rPr>
      <t xml:space="preserve">（工作單 </t>
    </r>
    <r>
      <rPr>
        <sz val="11"/>
        <color theme="1"/>
        <rFont val="Calibri"/>
        <family val="2"/>
        <charset val="1"/>
      </rPr>
      <t xml:space="preserve">S9</t>
    </r>
    <r>
      <rPr>
        <sz val="11"/>
        <color theme="1"/>
        <rFont val="Noto Sans CJK SC"/>
        <family val="2"/>
      </rPr>
      <t xml:space="preserve">：目標價時點 </t>
    </r>
    <r>
      <rPr>
        <sz val="11"/>
        <color theme="1"/>
        <rFont val="Calibri"/>
        <family val="2"/>
        <charset val="1"/>
      </rPr>
      <t xml:space="preserve">2027-10-30</t>
    </r>
    <r>
      <rPr>
        <sz val="11"/>
        <color theme="1"/>
        <rFont val="Noto Sans CJK SC"/>
        <family val="2"/>
      </rPr>
      <t xml:space="preserve">）</t>
    </r>
  </si>
  <si>
    <t xml:space="preserve">w_ntm27</t>
  </si>
  <si>
    <r>
      <rPr>
        <sz val="11"/>
        <color theme="1"/>
        <rFont val="Noto Sans CJK SC"/>
        <family val="2"/>
      </rPr>
      <t xml:space="preserve">目標時點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的權重</t>
    </r>
  </si>
  <si>
    <r>
      <rPr>
        <sz val="11"/>
        <color theme="1"/>
        <rFont val="Calibri"/>
        <family val="2"/>
        <charset val="1"/>
      </rPr>
      <t xml:space="preserve">(2027-12-31 − 2027-10-30) ÷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天；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權重＝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本值</t>
    </r>
  </si>
  <si>
    <t xml:space="preserve">cons_tp</t>
  </si>
  <si>
    <t xml:space="preserve">市場共識目標價（平均）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</si>
  <si>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</si>
  <si>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預測頁 </t>
    </r>
    <r>
      <rPr>
        <sz val="11"/>
        <color theme="1"/>
        <rFont val="Calibri"/>
        <family val="2"/>
        <charset val="1"/>
      </rPr>
      <t xml:space="preserve">https://www.marketbeat.com/stocks/NASDAQ/SPCX/forecast/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2026-10-26 Bernstein </t>
    </r>
    <r>
      <rPr>
        <sz val="11"/>
        <color theme="1"/>
        <rFont val="Noto Sans CJK SC"/>
        <family val="2"/>
      </rPr>
      <t xml:space="preserve">動作，頁面約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data/consensus_spcx_20261030.json</t>
    </r>
    <r>
      <rPr>
        <sz val="11"/>
        <color theme="1"/>
        <rFont val="Noto Sans CJK SC"/>
        <family val="2"/>
      </rPr>
      <t xml:space="preserve">）</t>
    </r>
  </si>
  <si>
    <t xml:space="preserve">賣方多有承銷關係，只作對照；低／高＝最低／最高目標價（只作對照，不進模型）</t>
  </si>
  <si>
    <t xml:space="preserve">internal_ai_reading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</si>
  <si>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＝主值：自用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價值中性，計影子效益；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＝敏感度：只計成本）</t>
    </r>
  </si>
  <si>
    <r>
      <rPr>
        <sz val="11"/>
        <color theme="1"/>
        <rFont val="Noto Sans CJK SC"/>
        <family val="2"/>
      </rPr>
      <t xml:space="preserve">原則第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Andy 2026-10-27 15:03 </t>
    </r>
    <r>
      <rPr>
        <sz val="11"/>
        <color theme="1"/>
        <rFont val="Noto Sans CJK SC"/>
        <family val="2"/>
      </rPr>
      <t xml:space="preserve">定案讀法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）；工作單 </t>
    </r>
    <r>
      <rPr>
        <sz val="11"/>
        <color theme="1"/>
        <rFont val="Calibri"/>
        <family val="2"/>
        <charset val="1"/>
      </rPr>
      <t xml:space="preserve">S5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（＝在役 </t>
    </r>
    <r>
      <rPr>
        <sz val="11"/>
        <color theme="1"/>
        <rFont val="Calibri"/>
        <family val="2"/>
        <charset val="1"/>
      </rPr>
      <t xml:space="preserve">GW ×(1 − </t>
    </r>
    <r>
      <rPr>
        <sz val="11"/>
        <color theme="1"/>
        <rFont val="Noto Sans CJK SC"/>
        <family val="2"/>
      </rPr>
      <t xml:space="preserve">對外出租占比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）評價日後新增者 </t>
    </r>
    <r>
      <rPr>
        <sz val="11"/>
        <color theme="1"/>
        <rFont val="Calibri"/>
        <family val="2"/>
        <charset val="1"/>
      </rPr>
      <t xml:space="preserve">× Tokenomics 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</si>
  <si>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營收列與分部對帳不動；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頁兩種讀法的目標價並列</t>
    </r>
  </si>
  <si>
    <t xml:space="preserve">sbc_add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</si>
  <si>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</si>
  <si>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：股權報酬視為真實成本、不加回（含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收購後服務期獎酬）</t>
    </r>
  </si>
  <si>
    <t xml:space="preserve">tv_alt</t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</si>
  <si>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無槓桿自由現金流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</si>
  <si>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</si>
  <si>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）倍數（目標時點 </t>
    </r>
    <r>
      <rPr>
        <b val="true"/>
        <sz val="11"/>
        <rFont val="Cambria"/>
        <family val="0"/>
        <charset val="1"/>
      </rPr>
      <t xml:space="preserve">NTM EBITDA 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EV/EBITDA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Space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／營收；</t>
    </r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對外出租用自身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）</t>
    </r>
  </si>
  <si>
    <t xml:space="preserve">pm_conn_irdm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</si>
  <si>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Iridium Communications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IRDM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FY2026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</si>
  <si>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產業估值表 </t>
    </r>
    <r>
      <rPr>
        <sz val="11"/>
        <color theme="1"/>
        <rFont val="Calibri"/>
        <family val="2"/>
        <charset val="1"/>
      </rPr>
      <t xml:space="preserve">https://it.marketscreener.com/quotazioni/azione/IRIDIUM-COMMUNICATIONS-IN-5602836/settore-valutazione/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data/peers_connectivity_20261030.json</t>
    </r>
    <r>
      <rPr>
        <sz val="11"/>
        <color theme="1"/>
        <rFont val="Noto Sans CJK SC"/>
        <family val="2"/>
      </rPr>
      <t xml:space="preserve">）</t>
    </r>
  </si>
  <si>
    <t xml:space="preserve">pm_conn_tmus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</si>
  <si>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T-Mobile 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TMUS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FY2026</t>
    </r>
  </si>
  <si>
    <t xml:space="preserve">pm_conn_t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</si>
  <si>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AT&amp;T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FY2026</t>
    </r>
  </si>
  <si>
    <t xml:space="preserve">pm_conn_cmcsa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</si>
  <si>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Comcast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CMCSA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FY2026</t>
    </r>
  </si>
  <si>
    <t xml:space="preserve">pm_conn_sats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</si>
  <si>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EchoStar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SATS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FY2026</t>
    </r>
  </si>
  <si>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正處分頻譜（含售予 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），倍數受交易影響</t>
    </r>
  </si>
  <si>
    <t xml:space="preserve">pm_si_crwv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</si>
  <si>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同業（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基礎設施／雲）：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</si>
  <si>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估值頁（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（收盤 </t>
    </r>
    <r>
      <rPr>
        <sz val="11"/>
        <color theme="1"/>
        <rFont val="Calibri"/>
        <family val="2"/>
        <charset val="1"/>
      </rPr>
      <t xml:space="preserve">54.24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data/peers_si_20261030.json</t>
    </r>
    <r>
      <rPr>
        <sz val="11"/>
        <color theme="1"/>
        <rFont val="Noto Sans CJK SC"/>
        <family val="2"/>
      </rPr>
      <t xml:space="preserve">）</t>
    </r>
  </si>
  <si>
    <t xml:space="preserve">pm_si_nbis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</si>
  <si>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同業（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基礎設施／雲）：</t>
    </r>
    <r>
      <rPr>
        <sz val="11"/>
        <color theme="1"/>
        <rFont val="Calibri"/>
        <family val="2"/>
        <charset val="1"/>
      </rPr>
      <t xml:space="preserve">Nebius Group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NBIS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</si>
  <si>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估值頁（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（收盤 </t>
    </r>
    <r>
      <rPr>
        <sz val="11"/>
        <color theme="1"/>
        <rFont val="Calibri"/>
        <family val="2"/>
        <charset val="1"/>
      </rPr>
      <t xml:space="preserve">158.74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data/peers_si_20261030.json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</si>
  <si>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EBITDA </t>
    </r>
    <r>
      <rPr>
        <sz val="11"/>
        <color theme="1"/>
        <rFont val="Noto Sans CJK SC"/>
        <family val="2"/>
      </rPr>
      <t xml:space="preserve">剛轉正，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倍數偏高</t>
    </r>
  </si>
  <si>
    <t xml:space="preserve">pm_si_orcl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</si>
  <si>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同業（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基礎設施／雲）：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</si>
  <si>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Noto Sans CJK SC"/>
        <family val="2"/>
      </rPr>
      <t xml:space="preserve">複製 </t>
    </r>
    <r>
      <rPr>
        <sz val="11"/>
        <color theme="1"/>
        <rFont val="Calibri"/>
        <family val="2"/>
        <charset val="1"/>
      </rPr>
      <t xml:space="preserve">alphabet/data/peers_cloud_20261008.json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data/peers_si_20261030.json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</si>
  <si>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月；口徑為 </t>
    </r>
    <r>
      <rPr>
        <sz val="11"/>
        <color theme="1"/>
        <rFont val="Calibri"/>
        <family val="2"/>
        <charset val="1"/>
      </rPr>
      <t xml:space="preserve">NTM</t>
    </r>
    <r>
      <rPr>
        <sz val="11"/>
        <color theme="1"/>
        <rFont val="Noto Sans CJK SC"/>
        <family val="2"/>
      </rPr>
      <t xml:space="preserve">，與上兩家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口徑不同</t>
    </r>
  </si>
  <si>
    <t xml:space="preserve">mult_si_adj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</si>
  <si>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與廣告）倍數＝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</t>
    </r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</si>
  <si>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條：同業樣本小（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家、口徑不一），以中位數為基準、</t>
    </r>
    <r>
      <rPr>
        <sz val="11"/>
        <color theme="1"/>
        <rFont val="Calibri"/>
        <family val="2"/>
        <charset val="1"/>
      </rPr>
      <t xml:space="preserve">±30–40% </t>
    </r>
    <r>
      <rPr>
        <sz val="11"/>
        <color theme="1"/>
        <rFont val="Noto Sans CJK SC"/>
        <family val="2"/>
      </rPr>
      <t xml:space="preserve">為區間</t>
    </r>
  </si>
  <si>
    <r>
      <rPr>
        <sz val="11"/>
        <color theme="1"/>
        <rFont val="Noto Sans CJK SC"/>
        <family val="2"/>
      </rPr>
      <t xml:space="preserve">上市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平台（模型商）無可比公司（未找到）</t>
    </r>
  </si>
  <si>
    <t xml:space="preserve">evs_space</t>
  </si>
  <si>
    <r>
      <rPr>
        <sz val="11"/>
        <color theme="1"/>
        <rFont val="Calibri"/>
        <family val="2"/>
        <charset val="1"/>
      </rPr>
      <t xml:space="preserve">Space 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</si>
  <si>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S9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無直接上市同業；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 9M26 </t>
    </r>
    <r>
      <rPr>
        <sz val="11"/>
        <color theme="1"/>
        <rFont val="Noto Sans CJK SC"/>
        <family val="2"/>
      </rPr>
      <t xml:space="preserve">為負（</t>
    </r>
    <r>
      <rPr>
        <sz val="11"/>
        <color theme="1"/>
        <rFont val="Calibri"/>
        <family val="2"/>
        <charset val="1"/>
      </rPr>
      <t xml:space="preserve">Starship </t>
    </r>
    <r>
      <rPr>
        <sz val="11"/>
        <color theme="1"/>
        <rFont val="Noto Sans CJK SC"/>
        <family val="2"/>
      </rPr>
      <t xml:space="preserve">開發），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倍數不適用，改用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／營收（判斷）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</si>
  <si>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Rocket Lab </t>
    </r>
    <r>
      <rPr>
        <sz val="11"/>
        <color theme="1"/>
        <rFont val="Noto Sans CJK SC"/>
        <family val="2"/>
      </rPr>
      <t xml:space="preserve">等小型發射商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／營收約 </t>
    </r>
    <r>
      <rPr>
        <sz val="11"/>
        <color theme="1"/>
        <rFont val="Calibri"/>
        <family val="2"/>
        <charset val="1"/>
      </rPr>
      <t xml:space="preserve">10× </t>
    </r>
    <r>
      <rPr>
        <sz val="11"/>
        <color theme="1"/>
        <rFont val="Noto Sans CJK SC"/>
        <family val="2"/>
      </rPr>
      <t xml:space="preserve">以上，但規模與獲利不可比（本次未重新查核）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</si>
  <si>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名目算力（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口徑）與資本支出（審查第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條）</t>
    </r>
  </si>
  <si>
    <t xml:space="preserve">gw_0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</si>
  <si>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</si>
  <si>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</si>
  <si>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mag/extract/docs/2026Q3/spacex_2026Q3_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分部頁（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seg.si.kpi.gw.2026q3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</si>
  <si>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定義：安裝 </t>
    </r>
    <r>
      <rPr>
        <sz val="11"/>
        <color theme="1"/>
        <rFont val="Calibri"/>
        <family val="2"/>
        <charset val="1"/>
      </rPr>
      <t xml:space="preserve">GPU × all-in power</t>
    </r>
    <r>
      <rPr>
        <sz val="11"/>
        <color theme="1"/>
        <rFont val="Noto Sans CJK SC"/>
        <family val="2"/>
      </rPr>
      <t xml:space="preserve">，不含冷卻與設施負載（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口徑）；含對外出租、推定不含第三方雲（</t>
    </r>
    <r>
      <rPr>
        <sz val="11"/>
        <color theme="1"/>
        <rFont val="Calibri"/>
        <family val="2"/>
        <charset val="1"/>
      </rPr>
      <t xml:space="preserve">S6</t>
    </r>
    <r>
      <rPr>
        <sz val="11"/>
        <color theme="1"/>
        <rFont val="Noto Sans CJK SC"/>
        <family val="2"/>
      </rPr>
      <t xml:space="preserve">）</t>
    </r>
  </si>
  <si>
    <t xml:space="preserve">gw_q2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</si>
  <si>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</si>
  <si>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mag/extract/docs/2026Q3/spacex_2026Q3_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分部頁（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seg.si.kpi.gw.2026q2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</si>
  <si>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gw_ye25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</si>
  <si>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，內插）</t>
    </r>
  </si>
  <si>
    <r>
      <rPr>
        <sz val="11"/>
        <color theme="1"/>
        <rFont val="Calibri"/>
        <family val="2"/>
        <charset val="1"/>
      </rPr>
      <t xml:space="preserve">2025Q3 0.6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2026Q1 1.0 </t>
    </r>
    <r>
      <rPr>
        <sz val="11"/>
        <color theme="1"/>
        <rFont val="Noto Sans CJK SC"/>
        <family val="2"/>
      </rPr>
      <t xml:space="preserve">線性內插（年底值未揭露）</t>
    </r>
  </si>
  <si>
    <t xml:space="preserve">汰換時點用</t>
  </si>
  <si>
    <t xml:space="preserve">gw_ye24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</si>
  <si>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2024-12-31</t>
    </r>
    <r>
      <rPr>
        <sz val="11"/>
        <color theme="1"/>
        <rFont val="Noto Sans CJK SC"/>
        <family val="2"/>
      </rPr>
      <t xml:space="preserve">；汰換用）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</si>
  <si>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Colossus 1 </t>
    </r>
    <r>
      <rPr>
        <sz val="11"/>
        <color theme="1"/>
        <rFont val="Noto Sans CJK SC"/>
        <family val="2"/>
      </rPr>
      <t xml:space="preserve">首批約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2024-09 </t>
    </r>
    <r>
      <rPr>
        <sz val="11"/>
        <color theme="1"/>
        <rFont val="Noto Sans CJK SC"/>
        <family val="2"/>
      </rPr>
      <t xml:space="preserve">上線，公司與媒體自述）≈ </t>
    </r>
    <r>
      <rPr>
        <sz val="11"/>
        <color theme="1"/>
        <rFont val="Calibri"/>
        <family val="2"/>
        <charset val="1"/>
      </rPr>
      <t xml:space="preserve">0.15 GW 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</si>
  <si>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Noto Sans CJK SC"/>
        <family val="2"/>
      </rPr>
      <t xml:space="preserve">未找到：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年底名目算力</t>
    </r>
  </si>
  <si>
    <t xml:space="preserve">ext_sh</t>
  </si>
  <si>
    <r>
      <rPr>
        <sz val="11"/>
        <color theme="1"/>
        <rFont val="Noto Sans CJK SC"/>
        <family val="2"/>
      </rPr>
      <t xml:space="preserve">對外出租占比（</t>
    </r>
    <r>
      <rPr>
        <sz val="11"/>
        <color theme="1"/>
        <rFont val="Calibri"/>
        <family val="2"/>
        <charset val="1"/>
      </rPr>
      <t xml:space="preserve">SI S&amp;I </t>
    </r>
    <r>
      <rPr>
        <sz val="11"/>
        <color theme="1"/>
        <rFont val="Noto Sans CJK SC"/>
        <family val="2"/>
      </rPr>
      <t xml:space="preserve">營收與在役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同比例；</t>
    </r>
    <r>
      <rPr>
        <sz val="11"/>
        <color theme="1"/>
        <rFont val="Calibri"/>
        <family val="2"/>
        <charset val="1"/>
      </rPr>
      <t xml:space="preserve">Customer B </t>
    </r>
    <r>
      <rPr>
        <sz val="11"/>
        <color theme="1"/>
        <rFont val="Noto Sans CJK SC"/>
        <family val="2"/>
      </rPr>
      <t xml:space="preserve">衍生）</t>
    </r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</si>
  <si>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條：</t>
    </r>
    <r>
      <rPr>
        <sz val="11"/>
        <color theme="1"/>
        <rFont val="Calibri"/>
        <family val="2"/>
        <charset val="1"/>
      </rPr>
      <t xml:space="preserve">Customer B 2026Q3 </t>
    </r>
    <r>
      <rPr>
        <sz val="11"/>
        <color theme="1"/>
        <rFont val="Noto Sans CJK SC"/>
        <family val="2"/>
      </rPr>
      <t xml:space="preserve">占合併營收 </t>
    </r>
    <r>
      <rPr>
        <sz val="11"/>
        <color theme="1"/>
        <rFont val="Calibri"/>
        <family val="2"/>
        <charset val="1"/>
      </rPr>
      <t xml:space="preserve">34.5%</t>
    </r>
    <r>
      <rPr>
        <sz val="11"/>
        <color theme="1"/>
        <rFont val="Noto Sans CJK SC"/>
        <family val="2"/>
      </rPr>
      <t xml:space="preserve">（全屬 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5.028 ÷ SI S&amp;I 7.022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71.6%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cust.B.rev.2026q3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2026Q2 1.526 ÷ 2.194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69.6%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</si>
  <si>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0.6–0.85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條）；客戶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是否全為雲端服務屬推論；自用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＝在役 </t>
    </r>
    <r>
      <rPr>
        <sz val="11"/>
        <color theme="1"/>
        <rFont val="Calibri"/>
        <family val="2"/>
        <charset val="1"/>
      </rPr>
      <t xml:space="preserve">GW ×(1 − </t>
    </r>
    <r>
      <rPr>
        <sz val="11"/>
        <color theme="1"/>
        <rFont val="Noto Sans CJK SC"/>
        <family val="2"/>
      </rPr>
      <t xml:space="preserve">本值</t>
    </r>
    <r>
      <rPr>
        <sz val="11"/>
        <color theme="1"/>
        <rFont val="Calibri"/>
        <family val="2"/>
        <charset val="1"/>
      </rPr>
      <t xml:space="preserve">)</t>
    </r>
  </si>
  <si>
    <t xml:space="preserve">mix0_h</t>
  </si>
  <si>
    <r>
      <rPr>
        <sz val="11"/>
        <color theme="1"/>
        <rFont val="Noto Sans CJK SC"/>
        <family val="2"/>
      </rPr>
      <t xml:space="preserve">評價日機隊：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Colossus 1 H100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</si>
  <si>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Colossus 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（公司自述，二手）≈ </t>
    </r>
    <r>
      <rPr>
        <sz val="11"/>
        <color theme="1"/>
        <rFont val="Calibri"/>
        <family val="2"/>
        <charset val="1"/>
      </rPr>
      <t xml:space="preserve">0.3–0.4 GW</t>
    </r>
  </si>
  <si>
    <r>
      <rPr>
        <sz val="11"/>
        <color theme="1"/>
        <rFont val="Noto Sans CJK SC"/>
        <family val="2"/>
      </rPr>
      <t xml:space="preserve">影響每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持有成本的加權（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校準分母）</t>
    </r>
  </si>
  <si>
    <t xml:space="preserve">mix0_b2</t>
  </si>
  <si>
    <r>
      <rPr>
        <sz val="11"/>
        <color theme="1"/>
        <rFont val="Noto Sans CJK SC"/>
        <family val="2"/>
      </rPr>
      <t xml:space="preserve">評價日機隊：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</si>
  <si>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首批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2025H2–2026H1</t>
    </r>
    <r>
      <rPr>
        <sz val="11"/>
        <color theme="1"/>
        <rFont val="Noto Sans CJK SC"/>
        <family val="2"/>
      </rPr>
      <t xml:space="preserve">）</t>
    </r>
  </si>
  <si>
    <t xml:space="preserve">mix0_b3</t>
  </si>
  <si>
    <r>
      <rPr>
        <sz val="11"/>
        <color theme="1"/>
        <rFont val="Noto Sans CJK SC"/>
        <family val="2"/>
      </rPr>
      <t xml:space="preserve">評價日機隊：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</si>
  <si>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Colossus 2 2026 </t>
    </r>
    <r>
      <rPr>
        <sz val="11"/>
        <color theme="1"/>
        <rFont val="Noto Sans CJK SC"/>
        <family val="2"/>
      </rPr>
      <t xml:space="preserve">年擴建（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continued the buildout of COLOSSUS II</t>
    </r>
    <r>
      <rPr>
        <sz val="11"/>
        <color theme="1"/>
        <rFont val="Noto Sans CJK SC"/>
        <family val="2"/>
      </rPr>
      <t xml:space="preserve">）</t>
    </r>
  </si>
  <si>
    <t xml:space="preserve">am_27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</si>
  <si>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錨占比（其餘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</si>
  <si>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新增全為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起全為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</si>
  <si>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t xml:space="preserve">selfb</t>
  </si>
  <si>
    <t xml:space="preserve">自建機房比例（不計機房資本支出的比例＝租用）</t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</si>
  <si>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Colossus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為自建（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資料中心基礎設施 </t>
    </r>
    <r>
      <rPr>
        <sz val="11"/>
        <color theme="1"/>
        <rFont val="Calibri"/>
        <family val="2"/>
        <charset val="1"/>
      </rPr>
      <t xml:space="preserve">6.333 </t>
    </r>
    <r>
      <rPr>
        <sz val="11"/>
        <color theme="1"/>
        <rFont val="Noto Sans CJK SC"/>
        <family val="2"/>
      </rPr>
      <t xml:space="preserve">偏低，可能部分租用</t>
    </r>
  </si>
  <si>
    <t xml:space="preserve">si_cx_rr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</si>
  <si>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投資季速（</t>
    </r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資本支出＋以其他融資取得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季均）</t>
    </r>
  </si>
  <si>
    <r>
      <rPr>
        <sz val="11"/>
        <color theme="1"/>
        <rFont val="Calibri"/>
        <family val="2"/>
        <charset val="1"/>
      </rPr>
      <t xml:space="preserve">US$B/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</si>
  <si>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16.444</t>
    </r>
    <r>
      <rPr>
        <sz val="11"/>
        <color theme="1"/>
        <rFont val="Noto Sans CJK SC"/>
        <family val="2"/>
      </rPr>
      <t xml:space="preserve">＋以其他融資取得 </t>
    </r>
    <r>
      <rPr>
        <sz val="11"/>
        <color theme="1"/>
        <rFont val="Calibri"/>
        <family val="2"/>
        <charset val="1"/>
      </rPr>
      <t xml:space="preserve">PP&amp;E 9M 3.921 ÷ 3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條：含以融資取得之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</si>
  <si>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以融資取得之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未分分部，推定全屬 </t>
    </r>
    <r>
      <rPr>
        <sz val="11"/>
        <color theme="1"/>
        <rFont val="Calibri"/>
        <family val="2"/>
        <charset val="1"/>
      </rPr>
      <t xml:space="preserve">SI</t>
    </r>
  </si>
  <si>
    <t xml:space="preserve">pace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</si>
  <si>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名目算力每年新增（</t>
    </r>
    <r>
      <rPr>
        <sz val="11"/>
        <color theme="1"/>
        <rFont val="Calibri"/>
        <family val="2"/>
        <charset val="1"/>
      </rPr>
      <t xml:space="preserve">FY2027–FY2028</t>
    </r>
    <r>
      <rPr>
        <sz val="11"/>
        <color theme="1"/>
        <rFont val="Noto Sans CJK SC"/>
        <family val="2"/>
      </rPr>
      <t xml:space="preserve">；三情境相同）</t>
    </r>
  </si>
  <si>
    <r>
      <rPr>
        <sz val="11"/>
        <color theme="1"/>
        <rFont val="Calibri"/>
        <family val="2"/>
        <charset val="1"/>
      </rPr>
      <t xml:space="preserve">GW/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</si>
  <si>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投資季速 </t>
    </r>
    <r>
      <rPr>
        <sz val="11"/>
        <color theme="1"/>
        <rFont val="Calibri"/>
        <family val="2"/>
        <charset val="1"/>
      </rPr>
      <t xml:space="preserve">× 4 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＋自建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機房）</t>
    </r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</si>
  <si>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1.627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新增＝本值 </t>
    </r>
    <r>
      <rPr>
        <sz val="11"/>
        <color theme="1"/>
        <rFont val="Calibri"/>
        <family val="2"/>
        <charset val="1"/>
      </rPr>
      <t xml:space="preserve">× 0.25</t>
    </r>
    <r>
      <rPr>
        <sz val="11"/>
        <color theme="1"/>
        <rFont val="Noto Sans CJK SC"/>
        <family val="2"/>
      </rPr>
      <t xml:space="preserve">（年底約 </t>
    </r>
    <r>
      <rPr>
        <sz val="11"/>
        <color theme="1"/>
        <rFont val="Calibri"/>
        <family val="2"/>
        <charset val="1"/>
      </rPr>
      <t xml:space="preserve">2.1 GW</t>
    </r>
    <r>
      <rPr>
        <sz val="11"/>
        <color theme="1"/>
        <rFont val="Noto Sans CJK SC"/>
        <family val="2"/>
      </rPr>
      <t xml:space="preserve">，公司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法說稱逾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對照）；低／高＝</t>
    </r>
    <r>
      <rPr>
        <sz val="11"/>
        <color theme="1"/>
        <rFont val="Calibri"/>
        <family val="2"/>
        <charset val="1"/>
      </rPr>
      <t xml:space="preserve">× 2/3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 1.5</t>
    </r>
  </si>
  <si>
    <t xml:space="preserve">conv_mw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</si>
  <si>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起新增速度收斂年數（到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</si>
  <si>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：終值不得落在建置高峰</t>
    </r>
  </si>
  <si>
    <t xml:space="preserve">fin_sh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</si>
  <si>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投資中以其他融資取得（非現金）比例</t>
    </r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</si>
  <si>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3.921 ÷ (SI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39.995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3.921)</t>
    </r>
  </si>
  <si>
    <r>
      <rPr>
        <sz val="11"/>
        <color theme="1"/>
        <rFont val="Noto Sans CJK SC"/>
        <family val="2"/>
      </rPr>
      <t xml:space="preserve">預測期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投資按本比例拆現金資本支出與融資取得；收支關卡兩者都扣（審查第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條）</t>
    </r>
  </si>
  <si>
    <t xml:space="preserve">he_h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</si>
  <si>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</si>
  <si>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</si>
  <si>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Interface!C13:Q13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</si>
  <si>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WACC 10% </t>
    </r>
    <r>
      <rPr>
        <sz val="11"/>
        <color theme="1"/>
        <rFont val="Noto Sans CJK SC"/>
        <family val="2"/>
      </rPr>
      <t xml:space="preserve">下的打平持有成本；＝</t>
    </r>
    <r>
      <rPr>
        <sz val="11"/>
        <color theme="1"/>
        <rFont val="Calibri"/>
        <family val="2"/>
        <charset val="1"/>
      </rPr>
      <t xml:space="preserve">US$B/GW-</t>
    </r>
    <r>
      <rPr>
        <sz val="11"/>
        <color theme="1"/>
        <rFont val="Noto Sans CJK SC"/>
        <family val="2"/>
      </rPr>
      <t xml:space="preserve">年</t>
    </r>
  </si>
  <si>
    <t xml:space="preserve">he_b2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</si>
  <si>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</si>
  <si>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he_b3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</si>
  <si>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</si>
  <si>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he_vr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</si>
  <si>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</si>
  <si>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opx_h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</si>
  <si>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</si>
  <si>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data/tokenomics_snapshot_v21.7.json</t>
  </si>
  <si>
    <t xml:space="preserve">opx_b2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</si>
  <si>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</si>
  <si>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opx_b3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</si>
  <si>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</si>
  <si>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opx_vr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</si>
  <si>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</si>
  <si>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cit_b3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</si>
  <si>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</si>
  <si>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US$m/MW</t>
  </si>
  <si>
    <t xml:space="preserve">cit_vr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</si>
  <si>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</si>
  <si>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cfac</t>
  </si>
  <si>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機房資本支出）</t>
    </r>
  </si>
  <si>
    <t xml:space="preserve">dpi_h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</si>
  <si>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</si>
  <si>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期初機隊汰換時遞減基礎折舊</t>
  </si>
  <si>
    <t xml:space="preserve">dpi_b2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</si>
  <si>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</si>
  <si>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dpi_b3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</si>
  <si>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</si>
  <si>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life_it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</si>
  <si>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</t>
    </r>
  </si>
  <si>
    <r>
      <rPr>
        <sz val="11"/>
        <color theme="1"/>
        <rFont val="Calibri"/>
        <family val="2"/>
        <charset val="1"/>
      </rPr>
      <t xml:space="preserve">Tokenomics IF_DeprLifeIT 6 </t>
    </r>
    <r>
      <rPr>
        <sz val="11"/>
        <color theme="1"/>
        <rFont val="Noto Sans CJK SC"/>
        <family val="2"/>
      </rPr>
      <t xml:space="preserve">年</t>
    </r>
  </si>
  <si>
    <t xml:space="preserve">life_fac</t>
  </si>
  <si>
    <t xml:space="preserve">機房折舊年限</t>
  </si>
  <si>
    <r>
      <rPr>
        <sz val="11"/>
        <color theme="1"/>
        <rFont val="Calibri"/>
        <family val="2"/>
        <charset val="1"/>
      </rPr>
      <t xml:space="preserve">Tokenomics IF_CapexFacility 12.67 ÷ IF_DeprFac 0.634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</t>
    </r>
  </si>
  <si>
    <t xml:space="preserve">phi_0</t>
  </si>
  <si>
    <t xml:space="preserve">資本支出當期折舊比例（在役時點與半年慣例）</t>
  </si>
  <si>
    <t xml:space="preserve">cip_0</t>
  </si>
  <si>
    <r>
      <rPr>
        <sz val="11"/>
        <color theme="1"/>
        <rFont val="Noto Sans CJK SC"/>
        <family val="2"/>
      </rPr>
      <t xml:space="preserve">在建工程（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</si>
  <si>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ppe.cip.20260930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</si>
  <si>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主要為伺服器與資料中心</t>
  </si>
  <si>
    <t xml:space="preserve">cip_si</t>
  </si>
  <si>
    <r>
      <rPr>
        <sz val="11"/>
        <color theme="1"/>
        <rFont val="Noto Sans CJK SC"/>
        <family val="2"/>
      </rPr>
      <t xml:space="preserve">在建工程中屬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的比例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</si>
  <si>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9M26 SI </t>
    </r>
    <r>
      <rPr>
        <sz val="11"/>
        <color theme="1"/>
        <rFont val="Noto Sans CJK SC"/>
        <family val="2"/>
      </rPr>
      <t xml:space="preserve">占資本支出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39.995 ÷ 48.069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</si>
  <si>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部分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起依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／機房年限折舊（不另增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修正三口徑，判斷題）</t>
    </r>
  </si>
  <si>
    <t xml:space="preserve">cip_it</t>
  </si>
  <si>
    <r>
      <rPr>
        <sz val="11"/>
        <color theme="1"/>
        <rFont val="Noto Sans CJK SC"/>
        <family val="2"/>
      </rPr>
      <t xml:space="preserve">在建工程（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</si>
  <si>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伺服器與網通 </t>
    </r>
    <r>
      <rPr>
        <sz val="11"/>
        <color theme="1"/>
        <rFont val="Calibri"/>
        <family val="2"/>
        <charset val="1"/>
      </rPr>
      <t xml:space="preserve">+20.5</t>
    </r>
    <r>
      <rPr>
        <sz val="11"/>
        <color theme="1"/>
        <rFont val="Noto Sans CJK SC"/>
        <family val="2"/>
      </rPr>
      <t xml:space="preserve">、資料中心基礎設施 </t>
    </r>
    <r>
      <rPr>
        <sz val="11"/>
        <color theme="1"/>
        <rFont val="Calibri"/>
        <family val="2"/>
        <charset val="1"/>
      </rPr>
      <t xml:space="preserve">+3.4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附註）</t>
    </r>
  </si>
  <si>
    <t xml:space="preserve">da_si0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</si>
  <si>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評價日在役資產年折舊（</t>
    </r>
    <r>
      <rPr>
        <sz val="11"/>
        <color theme="1"/>
        <rFont val="Calibri"/>
        <family val="2"/>
        <charset val="1"/>
      </rPr>
      <t xml:space="preserve">2026Q3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</si>
  <si>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US$B/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</si>
  <si>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18 Segments </t>
    </r>
    <r>
      <rPr>
        <sz val="11"/>
        <color theme="1"/>
        <rFont val="Noto Sans CJK SC"/>
        <family val="2"/>
      </rPr>
      <t xml:space="preserve">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seg.si.da.2026q3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</si>
  <si>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期初機隊汰換時遞減（同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修正一）</t>
    </r>
  </si>
  <si>
    <t xml:space="preserve">it_sh_da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</si>
  <si>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基礎折舊中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占比（汰換遞減上限）</t>
    </r>
  </si>
  <si>
    <r>
      <rPr>
        <sz val="11"/>
        <color theme="1"/>
        <rFont val="Noto Sans CJK SC"/>
        <family val="2"/>
      </rPr>
      <t xml:space="preserve">判斷：伺服器 </t>
    </r>
    <r>
      <rPr>
        <sz val="11"/>
        <color theme="1"/>
        <rFont val="Calibri"/>
        <family val="2"/>
        <charset val="1"/>
      </rPr>
      <t xml:space="preserve">43.2 </t>
    </r>
    <r>
      <rPr>
        <sz val="11"/>
        <color theme="1"/>
        <rFont val="Noto Sans CJK SC"/>
        <family val="2"/>
      </rPr>
      <t xml:space="preserve">對資料中心 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附註）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</si>
  <si>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年營收（審查第 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條；情境軸）</t>
    </r>
  </si>
  <si>
    <t xml:space="preserve">k30_A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</si>
  <si>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</si>
  <si>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判斷：維持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校準值附近（供給吃緊、對外合約三年固定月費；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新簽雲端合約 </t>
    </r>
    <r>
      <rPr>
        <sz val="11"/>
        <color theme="1"/>
        <rFont val="Calibri"/>
        <family val="2"/>
        <charset val="1"/>
      </rPr>
      <t xml:space="preserve">14.1B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</si>
  <si>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FY2026Q4</t>
    </r>
    <r>
      <rPr>
        <sz val="11"/>
        <color theme="1"/>
        <rFont val="Noto Sans CJK SC"/>
        <family val="2"/>
      </rPr>
      <t xml:space="preserve">＝校準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，線性到 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，之後持平</t>
    </r>
  </si>
  <si>
    <t xml:space="preserve">k30_B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</si>
  <si>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</si>
  <si>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長約與現貨證據混合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v0.3.2 Thesis k_blend</t>
    </r>
    <r>
      <rPr>
        <sz val="11"/>
        <color theme="1"/>
        <rFont val="Noto Sans CJK SC"/>
        <family val="2"/>
      </rPr>
      <t xml:space="preserve">）；合約到期後重新議價向持有成本收斂</t>
    </r>
  </si>
  <si>
    <t xml:space="preserve">k30_C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</si>
  <si>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</si>
  <si>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判斷：算力供給追上後租金收斂到打平持有成本（報酬＝</t>
    </r>
    <r>
      <rPr>
        <sz val="11"/>
        <color theme="1"/>
        <rFont val="Calibri"/>
        <family val="2"/>
        <charset val="1"/>
      </rPr>
      <t xml:space="preserve">Tokenomics WACC 10%</t>
    </r>
    <r>
      <rPr>
        <sz val="11"/>
        <color theme="1"/>
        <rFont val="Noto Sans CJK SC"/>
        <family val="2"/>
      </rPr>
      <t xml:space="preserve">）</t>
    </r>
  </si>
  <si>
    <t xml:space="preserve">conv_k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</si>
  <si>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收斂年數（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校準值 → 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</si>
  <si>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同成長率收斂（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到位）</t>
    </r>
  </si>
  <si>
    <r>
      <rPr>
        <b val="true"/>
        <sz val="11"/>
        <rFont val="Cambria"/>
        <family val="0"/>
        <charset val="1"/>
      </rPr>
      <t xml:space="preserve">F. SI </t>
    </r>
    <r>
      <rPr>
        <b val="true"/>
        <sz val="11"/>
        <rFont val="Noto Sans CJK SC"/>
        <family val="2"/>
      </rPr>
      <t xml:space="preserve">其他收入（</t>
    </r>
    <r>
      <rPr>
        <b val="true"/>
        <sz val="11"/>
        <rFont val="Cambria"/>
        <family val="0"/>
        <charset val="1"/>
      </rPr>
      <t xml:space="preserve">Grok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Cursor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 </t>
    </r>
    <r>
      <rPr>
        <b val="true"/>
        <sz val="11"/>
        <rFont val="Noto Sans CJK SC"/>
        <family val="2"/>
      </rPr>
      <t xml:space="preserve">訂閱、資料授權、</t>
    </r>
    <r>
      <rPr>
        <b val="true"/>
        <sz val="11"/>
        <rFont val="Cambria"/>
        <family val="0"/>
        <charset val="1"/>
      </rPr>
      <t xml:space="preserve">API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X </t>
    </r>
    <r>
      <rPr>
        <b val="true"/>
        <sz val="11"/>
        <rFont val="Noto Sans CJK SC"/>
        <family val="2"/>
      </rPr>
      <t xml:space="preserve">廣告）</t>
    </r>
  </si>
  <si>
    <t xml:space="preserve">cur_pf</t>
  </si>
  <si>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備考補足（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備考營收 − 實際營收）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</si>
  <si>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備考資訊（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cursor.proforma.rev.2026q3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</si>
  <si>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條：</t>
    </r>
    <r>
      <rPr>
        <sz val="11"/>
        <color theme="1"/>
        <rFont val="Calibri"/>
        <family val="2"/>
        <charset val="1"/>
      </rPr>
      <t xml:space="preserve">Cursor 2026-08-14 </t>
    </r>
    <r>
      <rPr>
        <sz val="11"/>
        <color theme="1"/>
        <rFont val="Noto Sans CJK SC"/>
        <family val="2"/>
      </rPr>
      <t xml:space="preserve">併入，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只含約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608</t>
    </r>
    <r>
      <rPr>
        <sz val="11"/>
        <color theme="1"/>
        <rFont val="Noto Sans CJK SC"/>
        <family val="2"/>
      </rPr>
      <t xml:space="preserve">）；預測期以備考全季為起點（未經查核）</t>
    </r>
  </si>
  <si>
    <t xml:space="preserve">g27_nr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</si>
  <si>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年增（以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備考年化為基期）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</si>
  <si>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Grok </t>
    </r>
    <r>
      <rPr>
        <sz val="11"/>
        <color theme="1"/>
        <rFont val="Noto Sans CJK SC"/>
        <family val="2"/>
      </rPr>
      <t xml:space="preserve">訂閱與 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程式助理）高速成長；公司未揭露拆分（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</t>
    </r>
  </si>
  <si>
    <t xml:space="preserve">gl_nr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</si>
  <si>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其他收入長期成長（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到位）</t>
    </r>
  </si>
  <si>
    <t xml:space="preserve">判斷</t>
  </si>
  <si>
    <t xml:space="preserve">gl_ads</t>
  </si>
  <si>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廣告長期成長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</si>
  <si>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5.7%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18.5%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</si>
  <si>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conv_n</t>
  </si>
  <si>
    <t xml:space="preserve">成長率收斂年數（起始 → 長期值）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</si>
  <si>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到達）</t>
    </r>
  </si>
  <si>
    <t xml:space="preserve">m_so_adj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</si>
  <si>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率調整（加在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校準值上）</t>
    </r>
  </si>
  <si>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m_so0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扣對外出租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後的殘差率</t>
    </r>
  </si>
  <si>
    <t xml:space="preserve">sbc_cur_left</t>
  </si>
  <si>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收購後服務期股權報酬：尚未認列（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</si>
  <si>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附註：收購後服務期獎酬 </t>
    </r>
    <r>
      <rPr>
        <sz val="11"/>
        <color theme="1"/>
        <rFont val="Calibri"/>
        <family val="2"/>
        <charset val="1"/>
      </rPr>
      <t xml:space="preserve">23.376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年認列；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已認列收購相關 </t>
    </r>
    <r>
      <rPr>
        <sz val="11"/>
        <color theme="1"/>
        <rFont val="Calibri"/>
        <family val="2"/>
        <charset val="1"/>
      </rPr>
      <t xml:space="preserve">SBC 1.217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cursor.postSvcAwards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seg.si.sbcAcq.2026q3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</si>
  <si>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直線攤到 </t>
    </r>
    <r>
      <rPr>
        <sz val="11"/>
        <color theme="1"/>
        <rFont val="Calibri"/>
        <family val="2"/>
        <charset val="1"/>
      </rPr>
      <t xml:space="preserve">2029-06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起每年約 </t>
    </r>
    <r>
      <rPr>
        <sz val="11"/>
        <color theme="1"/>
        <rFont val="Calibri"/>
        <family val="2"/>
        <charset val="1"/>
      </rPr>
      <t xml:space="preserve">8.4</t>
    </r>
    <r>
      <rPr>
        <sz val="11"/>
        <color theme="1"/>
        <rFont val="Noto Sans CJK SC"/>
        <family val="2"/>
      </rPr>
      <t xml:space="preserve">）；非現金、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不加回</t>
    </r>
  </si>
  <si>
    <t xml:space="preserve">sbc_cur_yrs</t>
  </si>
  <si>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獎酬剩餘認列年數（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</si>
  <si>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2026-08-14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年 − 已過 </t>
    </r>
    <r>
      <rPr>
        <sz val="11"/>
        <color theme="1"/>
        <rFont val="Calibri"/>
        <family val="2"/>
        <charset val="1"/>
      </rPr>
      <t xml:space="preserve">0.13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</si>
  <si>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G. Space</t>
    </r>
    <r>
      <rPr>
        <b val="true"/>
        <sz val="11"/>
        <rFont val="Noto Sans CJK SC"/>
        <family val="2"/>
      </rPr>
      <t xml:space="preserve">（發射次數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每次收入＋發射與開發）</t>
    </r>
  </si>
  <si>
    <t xml:space="preserve">nl_q4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</si>
  <si>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客戶發射次數</t>
    </r>
  </si>
  <si>
    <t xml:space="preserve">次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</si>
  <si>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</si>
  <si>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nl_27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</si>
  <si>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客戶發射次數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</si>
  <si>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36 </t>
    </r>
    <r>
      <rPr>
        <sz val="11"/>
        <color theme="1"/>
        <rFont val="Noto Sans CJK SC"/>
        <family val="2"/>
      </rPr>
      <t xml:space="preserve">次</t>
    </r>
  </si>
  <si>
    <t xml:space="preserve">g_nl</t>
  </si>
  <si>
    <r>
      <rPr>
        <sz val="11"/>
        <color theme="1"/>
        <rFont val="Noto Sans CJK SC"/>
        <family val="2"/>
      </rPr>
      <t xml:space="preserve">客戶發射次數年增（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</si>
  <si>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t xml:space="preserve">g_rpl</t>
  </si>
  <si>
    <t xml:space="preserve">每次客戶發射收入年增</t>
  </si>
  <si>
    <r>
      <rPr>
        <sz val="11"/>
        <color theme="1"/>
        <rFont val="Noto Sans CJK SC"/>
        <family val="2"/>
      </rPr>
      <t xml:space="preserve">判斷：起點＝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發射服務 </t>
    </r>
    <r>
      <rPr>
        <sz val="11"/>
        <color theme="1"/>
        <rFont val="Calibri"/>
        <family val="2"/>
        <charset val="1"/>
      </rPr>
      <t xml:space="preserve">2.108 ÷ 29 </t>
    </r>
    <r>
      <rPr>
        <sz val="11"/>
        <color theme="1"/>
        <rFont val="Noto Sans CJK SC"/>
        <family val="2"/>
      </rPr>
      <t xml:space="preserve">次（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</si>
  <si>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gl_ld</t>
  </si>
  <si>
    <t xml:space="preserve">發射與開發（政府開發合約等）長期成長</t>
  </si>
  <si>
    <r>
      <rPr>
        <sz val="11"/>
        <color theme="1"/>
        <rFont val="Noto Sans CJK SC"/>
        <family val="2"/>
      </rPr>
      <t xml:space="preserve">判斷：起點＝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HLS </t>
    </r>
    <r>
      <rPr>
        <sz val="11"/>
        <color theme="1"/>
        <rFont val="Noto Sans CJK SC"/>
        <family val="2"/>
      </rPr>
      <t xml:space="preserve">等里程碑收入不規則</t>
    </r>
  </si>
  <si>
    <t xml:space="preserve">m_spl</t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</si>
  <si>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</si>
  <si>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9M26 −5.9%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Starship </t>
    </r>
    <r>
      <rPr>
        <sz val="11"/>
        <color theme="1"/>
        <rFont val="Noto Sans CJK SC"/>
        <family val="2"/>
      </rPr>
      <t xml:space="preserve">開發）；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二手轉述 </t>
    </r>
    <r>
      <rPr>
        <sz val="11"/>
        <color theme="1"/>
        <rFont val="Calibri"/>
        <family val="2"/>
        <charset val="1"/>
      </rPr>
      <t xml:space="preserve">16.0%</t>
    </r>
  </si>
  <si>
    <t xml:space="preserve">cx_spl</t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</si>
  <si>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資本支出占營收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</si>
  <si>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9M26 114%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Starship </t>
    </r>
    <r>
      <rPr>
        <sz val="11"/>
        <color theme="1"/>
        <rFont val="Noto Sans CJK SC"/>
        <family val="2"/>
      </rPr>
      <t xml:space="preserve">量產與發射台）</t>
    </r>
  </si>
  <si>
    <t xml:space="preserve">life_sp</t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</si>
  <si>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新增資本支出折舊年限</t>
    </r>
  </si>
  <si>
    <t xml:space="preserve">判斷：發射台、工廠與可重複使用載具</t>
  </si>
  <si>
    <t xml:space="preserve">rem_sp</t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</si>
  <si>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評價日在役資產剩餘折舊年數（基礎折舊直線遞減到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</si>
  <si>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Connectivity</t>
    </r>
    <r>
      <rPr>
        <b val="true"/>
        <sz val="11"/>
        <rFont val="Noto Sans CJK SC"/>
        <family val="2"/>
      </rPr>
      <t xml:space="preserve">（消費訂戶 </t>
    </r>
    <r>
      <rPr>
        <b val="true"/>
        <sz val="11"/>
        <rFont val="Cambria"/>
        <family val="0"/>
        <charset val="1"/>
      </rPr>
      <t xml:space="preserve">× ARPU</t>
    </r>
    <r>
      <rPr>
        <b val="true"/>
        <sz val="11"/>
        <rFont val="Noto Sans CJK SC"/>
        <family val="2"/>
      </rPr>
      <t xml:space="preserve">＋企業與政府）</t>
    </r>
  </si>
  <si>
    <t xml:space="preserve">nadd_q4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</si>
  <si>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消費訂戶淨增</t>
    </r>
  </si>
  <si>
    <t xml:space="preserve">百萬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</si>
  <si>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淨增 </t>
    </r>
    <r>
      <rPr>
        <sz val="11"/>
        <color theme="1"/>
        <rFont val="Calibri"/>
        <family val="2"/>
        <charset val="1"/>
      </rPr>
      <t xml:space="preserve">13.6 − 12.0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（新聞稿 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Noto Sans CJK SC"/>
        <family val="2"/>
      </rPr>
      <t xml:space="preserve">）</t>
    </r>
  </si>
  <si>
    <t xml:space="preserve">nadd_A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</si>
  <si>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消費訂戶淨增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</si>
  <si>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；直連手機（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頻譜）與新興市場</t>
    </r>
  </si>
  <si>
    <t xml:space="preserve">nadd_B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</si>
  <si>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消費訂戶淨增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</si>
  <si>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，淨增逐步放緩</t>
    </r>
  </si>
  <si>
    <t xml:space="preserve">nadd_C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</si>
  <si>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消費訂戶淨增</t>
    </r>
  </si>
  <si>
    <r>
      <rPr>
        <sz val="11"/>
        <color theme="1"/>
        <rFont val="Noto Sans CJK SC"/>
        <family val="2"/>
      </rPr>
      <t xml:space="preserve">判斷：低價方案帶來的增長放緩、競爭（</t>
    </r>
    <r>
      <rPr>
        <sz val="11"/>
        <color theme="1"/>
        <rFont val="Calibri"/>
        <family val="2"/>
        <charset val="1"/>
      </rPr>
      <t xml:space="preserve">Kuiper</t>
    </r>
    <r>
      <rPr>
        <sz val="11"/>
        <color theme="1"/>
        <rFont val="Noto Sans CJK SC"/>
        <family val="2"/>
      </rPr>
      <t xml:space="preserve">）</t>
    </r>
  </si>
  <si>
    <t xml:space="preserve">nadd_dec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</si>
  <si>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起淨增每年遞減</t>
    </r>
  </si>
  <si>
    <t xml:space="preserve">arpu0</t>
  </si>
  <si>
    <r>
      <rPr>
        <sz val="11"/>
        <color theme="1"/>
        <rFont val="Noto Sans CJK SC"/>
        <family val="2"/>
      </rPr>
      <t xml:space="preserve">消費 </t>
    </r>
    <r>
      <rPr>
        <sz val="11"/>
        <color theme="1"/>
        <rFont val="Calibri"/>
        <family val="2"/>
        <charset val="1"/>
      </rPr>
      <t xml:space="preserve">ARPU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</si>
  <si>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US$/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</si>
  <si>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mag/extract/docs/2026Q3/spacex_2026Q3_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分部頁（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seg.conn.kpi.arpu.2026q3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</si>
  <si>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2025Q2 85 → 2026Q1 66 → Q3 69</t>
  </si>
  <si>
    <t xml:space="preserve">g_arpu</t>
  </si>
  <si>
    <r>
      <rPr>
        <sz val="11"/>
        <color theme="1"/>
        <rFont val="Calibri"/>
        <family val="2"/>
        <charset val="1"/>
      </rPr>
      <t xml:space="preserve">ARPU </t>
    </r>
    <r>
      <rPr>
        <sz val="11"/>
        <color theme="1"/>
        <rFont val="Noto Sans CJK SC"/>
        <family val="2"/>
      </rPr>
      <t xml:space="preserve">年變動</t>
    </r>
  </si>
  <si>
    <r>
      <rPr>
        <sz val="11"/>
        <color theme="1"/>
        <rFont val="Noto Sans CJK SC"/>
        <family val="2"/>
      </rPr>
      <t xml:space="preserve">判斷：新興市場與低價方案占比上升（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ARPU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66</t>
    </r>
    <r>
      <rPr>
        <sz val="11"/>
        <color theme="1"/>
        <rFont val="Noto Sans CJK SC"/>
        <family val="2"/>
      </rPr>
      <t xml:space="preserve">）</t>
    </r>
  </si>
  <si>
    <t xml:space="preserve">g0_eg_adj</t>
  </si>
  <si>
    <r>
      <rPr>
        <sz val="11"/>
        <color theme="1"/>
        <rFont val="Noto Sans CJK SC"/>
        <family val="2"/>
      </rPr>
      <t xml:space="preserve">企業與政府：起始年增調整（加在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年增上）</t>
    </r>
  </si>
  <si>
    <r>
      <rPr>
        <sz val="11"/>
        <color theme="1"/>
        <rFont val="Noto Sans CJK SC"/>
        <family val="2"/>
      </rPr>
      <t xml:space="preserve">起點＝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</si>
  <si>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gl_eg</t>
  </si>
  <si>
    <t xml:space="preserve">企業與政府長期成長</t>
  </si>
  <si>
    <r>
      <rPr>
        <sz val="11"/>
        <color theme="1"/>
        <rFont val="Noto Sans CJK SC"/>
        <family val="2"/>
      </rPr>
      <t xml:space="preserve">判斷：航空、海事、</t>
    </r>
    <r>
      <rPr>
        <sz val="11"/>
        <color theme="1"/>
        <rFont val="Calibri"/>
        <family val="2"/>
        <charset val="1"/>
      </rPr>
      <t xml:space="preserve">Starshield </t>
    </r>
    <r>
      <rPr>
        <sz val="11"/>
        <color theme="1"/>
        <rFont val="Noto Sans CJK SC"/>
        <family val="2"/>
      </rPr>
      <t xml:space="preserve">政府合約</t>
    </r>
  </si>
  <si>
    <t xml:space="preserve">m_cn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</si>
  <si>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率（預測期）</t>
    </r>
  </si>
  <si>
    <r>
      <rPr>
        <sz val="11"/>
        <color theme="1"/>
        <rFont val="Calibri"/>
        <family val="2"/>
        <charset val="1"/>
      </rPr>
      <t xml:space="preserve">9M26 Connectivity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8.183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12.796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</si>
  <si>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cx_cn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</si>
  <si>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資本支出占營收</t>
    </r>
  </si>
  <si>
    <r>
      <rPr>
        <sz val="11"/>
        <color theme="1"/>
        <rFont val="Calibri"/>
        <family val="2"/>
        <charset val="1"/>
      </rPr>
      <t xml:space="preserve">9M26 4.242 ÷ 12.796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</si>
  <si>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life_cn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</si>
  <si>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新增資本支出折舊年限（衛星）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</si>
  <si>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Starlink V2 mini </t>
    </r>
    <r>
      <rPr>
        <sz val="11"/>
        <color theme="1"/>
        <rFont val="Noto Sans CJK SC"/>
        <family val="2"/>
      </rPr>
      <t xml:space="preserve">設計壽命約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</si>
  <si>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t xml:space="preserve">rem_cn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</si>
  <si>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評價日在役資產剩餘折舊年數</t>
    </r>
  </si>
  <si>
    <t xml:space="preserve">spec_2h</t>
  </si>
  <si>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頻譜信用協議付款 </t>
    </r>
    <r>
      <rPr>
        <sz val="11"/>
        <color theme="1"/>
        <rFont val="Calibri"/>
        <family val="2"/>
        <charset val="1"/>
      </rPr>
      <t xml:space="preserve">Q4 26</t>
    </r>
  </si>
  <si>
    <r>
      <rPr>
        <sz val="11"/>
        <color theme="1"/>
        <rFont val="Calibri"/>
        <family val="2"/>
        <charset val="1"/>
      </rPr>
      <t xml:space="preserve">10-Q MD&amp;A Spectrum Transaction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1.241</t>
    </r>
    <r>
      <rPr>
        <sz val="11"/>
        <color theme="1"/>
        <rFont val="Noto Sans CJK SC"/>
        <family val="2"/>
      </rPr>
      <t xml:space="preserve">、已付 </t>
    </r>
    <r>
      <rPr>
        <sz val="11"/>
        <color theme="1"/>
        <rFont val="Calibri"/>
        <family val="2"/>
        <charset val="1"/>
      </rPr>
      <t xml:space="preserve">0.856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spectrum.echostar.pay2026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.paid</t>
    </r>
    <r>
      <rPr>
        <sz val="11"/>
        <color theme="1"/>
        <rFont val="Noto Sans CJK SC"/>
        <family val="2"/>
      </rPr>
      <t xml:space="preserve">）</t>
    </r>
  </si>
  <si>
    <t xml:space="preserve">投資活動；頻譜按成本計（價值中性）</t>
  </si>
  <si>
    <t xml:space="preserve">spec_27</t>
  </si>
  <si>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現金（清償指定債務最多 </t>
    </r>
    <r>
      <rPr>
        <sz val="11"/>
        <color theme="1"/>
        <rFont val="Calibri"/>
        <family val="2"/>
        <charset val="1"/>
      </rPr>
      <t xml:space="preserve">8.5</t>
    </r>
    <r>
      <rPr>
        <sz val="11"/>
        <color theme="1"/>
        <rFont val="Noto Sans CJK SC"/>
        <family val="2"/>
      </rPr>
      <t xml:space="preserve">＋信用協議 </t>
    </r>
    <r>
      <rPr>
        <sz val="11"/>
        <color theme="1"/>
        <rFont val="Calibri"/>
        <family val="2"/>
        <charset val="1"/>
      </rPr>
      <t xml:space="preserve">0.828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</si>
  <si>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MD&amp;A</t>
    </r>
    <r>
      <rPr>
        <sz val="11"/>
        <color theme="1"/>
        <rFont val="Noto Sans CJK SC"/>
        <family val="2"/>
      </rPr>
      <t xml:space="preserve">：清償 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指定債務最多 </t>
    </r>
    <r>
      <rPr>
        <sz val="11"/>
        <color theme="1"/>
        <rFont val="Calibri"/>
        <family val="2"/>
        <charset val="1"/>
      </rPr>
      <t xml:space="preserve">8.5</t>
    </r>
    <r>
      <rPr>
        <sz val="11"/>
        <color theme="1"/>
        <rFont val="Noto Sans CJK SC"/>
        <family val="2"/>
      </rPr>
      <t xml:space="preserve">（不足以現金補）、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年付款 </t>
    </r>
    <r>
      <rPr>
        <sz val="11"/>
        <color theme="1"/>
        <rFont val="Calibri"/>
        <family val="2"/>
        <charset val="1"/>
      </rPr>
      <t xml:space="preserve">0.828</t>
    </r>
    <r>
      <rPr>
        <sz val="11"/>
        <color theme="1"/>
        <rFont val="Noto Sans CJK SC"/>
        <family val="2"/>
      </rPr>
      <t xml:space="preserve">；預計 </t>
    </r>
    <r>
      <rPr>
        <sz val="11"/>
        <color theme="1"/>
        <rFont val="Calibri"/>
        <family val="2"/>
        <charset val="1"/>
      </rPr>
      <t xml:space="preserve">2027-11-30 </t>
    </r>
    <r>
      <rPr>
        <sz val="11"/>
        <color theme="1"/>
        <rFont val="Noto Sans CJK SC"/>
        <family val="2"/>
      </rPr>
      <t xml:space="preserve">交割</t>
    </r>
  </si>
  <si>
    <r>
      <rPr>
        <sz val="11"/>
        <color theme="1"/>
        <rFont val="Noto Sans CJK SC"/>
        <family val="2"/>
      </rPr>
      <t xml:space="preserve">股權部分（約 </t>
    </r>
    <r>
      <rPr>
        <sz val="11"/>
        <color theme="1"/>
        <rFont val="Calibri"/>
        <family val="2"/>
        <charset val="1"/>
      </rPr>
      <t xml:space="preserve">261.8M </t>
    </r>
    <r>
      <rPr>
        <sz val="11"/>
        <color theme="1"/>
        <rFont val="Noto Sans CJK SC"/>
        <family val="2"/>
      </rPr>
      <t xml:space="preserve">股）列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dil_echo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 MHz </t>
    </r>
    <r>
      <rPr>
        <sz val="11"/>
        <color theme="1"/>
        <rFont val="Noto Sans CJK SC"/>
        <family val="2"/>
      </rPr>
      <t xml:space="preserve">交易金額未揭露（未找到）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</si>
  <si>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損益與現金流</t>
    </r>
  </si>
  <si>
    <t xml:space="preserve">tax</t>
  </si>
  <si>
    <t xml:space="preserve">有效稅率（預測期）</t>
  </si>
  <si>
    <r>
      <rPr>
        <sz val="11"/>
        <color theme="1"/>
        <rFont val="Noto Sans CJK SC"/>
        <family val="2"/>
      </rPr>
      <t xml:space="preserve">判斷：累積虧損與淨營業虧損抵減；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認列稅務利益（含評價備抵迴轉 </t>
    </r>
    <r>
      <rPr>
        <sz val="11"/>
        <color theme="1"/>
        <rFont val="Calibri"/>
        <family val="2"/>
        <charset val="1"/>
      </rPr>
      <t xml:space="preserve">0.449</t>
    </r>
    <r>
      <rPr>
        <sz val="11"/>
        <color theme="1"/>
        <rFont val="Noto Sans CJK SC"/>
        <family val="2"/>
      </rPr>
      <t xml:space="preserve">）</t>
    </r>
  </si>
  <si>
    <t xml:space="preserve">r_cash</t>
  </si>
  <si>
    <t xml:space="preserve">現金收益率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</si>
  <si>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0.873 × 4 ÷ </t>
    </r>
    <r>
      <rPr>
        <sz val="11"/>
        <color theme="1"/>
        <rFont val="Noto Sans CJK SC"/>
        <family val="2"/>
      </rPr>
      <t xml:space="preserve">平均現金與有價證券（</t>
    </r>
    <r>
      <rPr>
        <sz val="11"/>
        <color theme="1"/>
        <rFont val="Calibri"/>
        <family val="2"/>
        <charset val="1"/>
      </rPr>
      <t xml:space="preserve">6-30 100.0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9-30 89.9</t>
    </r>
    <r>
      <rPr>
        <sz val="11"/>
        <color theme="1"/>
        <rFont val="Noto Sans CJK SC"/>
        <family val="2"/>
      </rPr>
      <t xml:space="preserve">）</t>
    </r>
  </si>
  <si>
    <t xml:space="preserve">r_debt</t>
  </si>
  <si>
    <t xml:space="preserve">債務利率（含失敗售後租回）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</si>
  <si>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利息費用 </t>
    </r>
    <r>
      <rPr>
        <sz val="11"/>
        <color theme="1"/>
        <rFont val="Calibri"/>
        <family val="2"/>
        <charset val="1"/>
      </rPr>
      <t xml:space="preserve">0.675 × 4 ÷ </t>
    </r>
    <r>
      <rPr>
        <sz val="11"/>
        <color theme="1"/>
        <rFont val="Noto Sans CJK SC"/>
        <family val="2"/>
      </rPr>
      <t xml:space="preserve">債務本金 </t>
    </r>
    <r>
      <rPr>
        <sz val="11"/>
        <color theme="1"/>
        <rFont val="Calibri"/>
        <family val="2"/>
        <charset val="1"/>
      </rPr>
      <t xml:space="preserve">38.0</t>
    </r>
  </si>
  <si>
    <t xml:space="preserve">dil</t>
  </si>
  <si>
    <t xml:space="preserve">股數年稀釋（股權報酬）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</si>
  <si>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模板每年 </t>
    </r>
    <r>
      <rPr>
        <sz val="11"/>
        <color theme="1"/>
        <rFont val="Calibri"/>
        <family val="2"/>
        <charset val="1"/>
      </rPr>
      <t xml:space="preserve">1%</t>
    </r>
  </si>
  <si>
    <t xml:space="preserve">wc_k</t>
  </si>
  <si>
    <r>
      <rPr>
        <sz val="11"/>
        <color theme="1"/>
        <rFont val="Noto Sans CJK SC"/>
        <family val="2"/>
      </rPr>
      <t xml:space="preserve">營運資金變動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營收增量（流入）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</si>
  <si>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營運資金六列合計 </t>
    </r>
    <r>
      <rPr>
        <sz val="11"/>
        <color theme="1"/>
        <rFont val="Calibri"/>
        <family val="2"/>
        <charset val="1"/>
      </rPr>
      <t xml:space="preserve">0.375 ÷ </t>
    </r>
    <r>
      <rPr>
        <sz val="11"/>
        <color theme="1"/>
        <rFont val="Noto Sans CJK SC"/>
        <family val="2"/>
      </rPr>
      <t xml:space="preserve">營收增量 </t>
    </r>
    <r>
      <rPr>
        <sz val="11"/>
        <color theme="1"/>
        <rFont val="Calibri"/>
        <family val="2"/>
        <charset val="1"/>
      </rPr>
      <t xml:space="preserve">13.369</t>
    </r>
    <r>
      <rPr>
        <sz val="11"/>
        <color theme="1"/>
        <rFont val="Noto Sans CJK SC"/>
        <family val="2"/>
      </rPr>
      <t xml:space="preserve">（遞延收入 </t>
    </r>
    <r>
      <rPr>
        <sz val="11"/>
        <color theme="1"/>
        <rFont val="Calibri"/>
        <family val="2"/>
        <charset val="1"/>
      </rPr>
      <t xml:space="preserve">+4.9 </t>
    </r>
    <r>
      <rPr>
        <sz val="11"/>
        <color theme="1"/>
        <rFont val="Noto Sans CJK SC"/>
        <family val="2"/>
      </rPr>
      <t xml:space="preserve">被應收、存貨抵銷）</t>
    </r>
  </si>
  <si>
    <t xml:space="preserve">min_cash</t>
  </si>
  <si>
    <t xml:space="preserve">最低現金</t>
  </si>
  <si>
    <t xml:space="preserve">判斷：約一季資本支出</t>
  </si>
  <si>
    <t xml:space="preserve">mat_2H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</si>
  <si>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</si>
  <si>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到期表；</t>
    </r>
    <r>
      <rPr>
        <sz val="11"/>
        <color theme="1"/>
        <rFont val="Calibri"/>
        <family val="2"/>
        <charset val="1"/>
      </rPr>
      <t xml:space="preserve">SpaceX Notes 2031-07-15 </t>
    </r>
    <r>
      <rPr>
        <sz val="11"/>
        <color theme="1"/>
        <rFont val="Noto Sans CJK SC"/>
        <family val="2"/>
      </rPr>
      <t xml:space="preserve">前無重大本金（</t>
    </r>
    <r>
      <rPr>
        <sz val="11"/>
        <color theme="1"/>
        <rFont val="Calibri"/>
        <family val="2"/>
        <charset val="1"/>
      </rPr>
      <t xml:space="preserve">MD&amp;A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2026Q4–2030 </t>
    </r>
    <r>
      <rPr>
        <sz val="11"/>
        <color theme="1"/>
        <rFont val="Noto Sans CJK SC"/>
        <family val="2"/>
      </rPr>
      <t xml:space="preserve">推定主要為失敗售後租回與設備融資攤還</t>
    </r>
  </si>
  <si>
    <t xml:space="preserve">mat_27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</si>
  <si>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FY2027E</t>
    </r>
  </si>
  <si>
    <t xml:space="preserve">mat_28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</si>
  <si>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FY2028E</t>
    </r>
  </si>
  <si>
    <t xml:space="preserve">mat_29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</si>
  <si>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FY2029E</t>
    </r>
  </si>
  <si>
    <t xml:space="preserve">mat_30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</si>
  <si>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FY2030E</t>
    </r>
  </si>
  <si>
    <t xml:space="preserve">mat_31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</si>
  <si>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FY2031E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</si>
  <si>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／年（其後 </t>
    </r>
    <r>
      <rPr>
        <sz val="11"/>
        <color theme="1"/>
        <rFont val="Calibri"/>
        <family val="2"/>
        <charset val="1"/>
      </rPr>
      <t xml:space="preserve">25.2 </t>
    </r>
    <r>
      <rPr>
        <sz val="11"/>
        <color theme="1"/>
        <rFont val="Noto Sans CJK SC"/>
        <family val="2"/>
      </rPr>
      <t xml:space="preserve">未分年）</t>
    </r>
  </si>
  <si>
    <t xml:space="preserve">mat_32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</si>
  <si>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FY2032E</t>
    </r>
  </si>
  <si>
    <t xml:space="preserve">lease_2H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</si>
  <si>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</si>
  <si>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Noto Sans CJK SC"/>
        <family val="2"/>
      </rPr>
      <t xml:space="preserve">判斷：融資租賃負債 </t>
    </r>
    <r>
      <rPr>
        <sz val="11"/>
        <color theme="1"/>
        <rFont val="Calibri"/>
        <family val="2"/>
        <charset val="1"/>
      </rPr>
      <t xml:space="preserve">0.983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本金 </t>
    </r>
    <r>
      <rPr>
        <sz val="11"/>
        <color theme="1"/>
        <rFont val="Calibri"/>
        <family val="2"/>
        <charset val="1"/>
      </rPr>
      <t xml:space="preserve">0.270</t>
    </r>
  </si>
  <si>
    <t xml:space="preserve">lease_27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</si>
  <si>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FY2027E</t>
    </r>
  </si>
  <si>
    <t xml:space="preserve">lease_28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</si>
  <si>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FY2028E</t>
    </r>
  </si>
  <si>
    <t xml:space="preserve">lease_29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</si>
  <si>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FY2029E</t>
    </r>
  </si>
  <si>
    <t xml:space="preserve">lease_30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</si>
  <si>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FY2030E</t>
    </r>
  </si>
  <si>
    <t xml:space="preserve">lease_31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</si>
  <si>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FY2031E</t>
    </r>
  </si>
  <si>
    <t xml:space="preserve">lease_32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</si>
  <si>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FY2032E</t>
    </r>
  </si>
  <si>
    <r>
      <rPr>
        <b val="true"/>
        <sz val="11"/>
        <rFont val="Cambria"/>
        <family val="0"/>
        <charset val="1"/>
      </rPr>
      <t xml:space="preserve">I2. 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9M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CF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現金流量表）</t>
    </r>
  </si>
  <si>
    <t xml:space="preserve">cfo_9m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</si>
  <si>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營運現金流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</si>
  <si>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頁 合併現金流量表（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cf.cfo.9m2026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</si>
  <si>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capex_9m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</si>
  <si>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購置不動產與設備（＝分部資本支出合計）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</si>
  <si>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頁 合併現金流量表（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cf.capex.9m2026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</si>
  <si>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ppefin_9m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</si>
  <si>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（非現金，未入資本支出）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</si>
  <si>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頁 現金流量表補充揭露（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cf.ppeFin.9m2026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</si>
  <si>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lease_1H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</si>
  <si>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融資租賃本金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</si>
  <si>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頁 合併現金流量表（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cf.flPrin.9m2026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</si>
  <si>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slb_1H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</si>
  <si>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失敗售後租回本金償還</t>
    </r>
  </si>
  <si>
    <r>
      <rPr>
        <sz val="11"/>
        <color theme="1"/>
        <rFont val="Noto Sans CJK SC"/>
        <family val="2"/>
      </rPr>
      <t xml:space="preserve">未單獨揭露（含在償還債務 </t>
    </r>
    <r>
      <rPr>
        <sz val="11"/>
        <color theme="1"/>
        <rFont val="Calibri"/>
        <family val="2"/>
        <charset val="1"/>
      </rPr>
      <t xml:space="preserve">39.845</t>
    </r>
    <r>
      <rPr>
        <sz val="11"/>
        <color theme="1"/>
        <rFont val="Noto Sans CJK SC"/>
        <family val="2"/>
      </rPr>
      <t xml:space="preserve">；主要為過橋貸款與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舊債清償）→ </t>
    </r>
    <r>
      <rPr>
        <sz val="11"/>
        <color theme="1"/>
        <rFont val="Calibri"/>
        <family val="2"/>
        <charset val="1"/>
      </rPr>
      <t xml:space="preserve">0</t>
    </r>
  </si>
  <si>
    <t xml:space="preserve">資料缺口</t>
  </si>
  <si>
    <t xml:space="preserve">debt_1H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</si>
  <si>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債務淨流入（發行 − 償還 − 發行成本 − 清償溢價）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</si>
  <si>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現金流量表：發行 </t>
    </r>
    <r>
      <rPr>
        <sz val="11"/>
        <color theme="1"/>
        <rFont val="Calibri"/>
        <family val="2"/>
        <charset val="1"/>
      </rPr>
      <t xml:space="preserve">51.834 − </t>
    </r>
    <r>
      <rPr>
        <sz val="11"/>
        <color theme="1"/>
        <rFont val="Noto Sans CJK SC"/>
        <family val="2"/>
      </rPr>
      <t xml:space="preserve">償還 </t>
    </r>
    <r>
      <rPr>
        <sz val="11"/>
        <color theme="1"/>
        <rFont val="Calibri"/>
        <family val="2"/>
        <charset val="1"/>
      </rPr>
      <t xml:space="preserve">39.845 − </t>
    </r>
    <r>
      <rPr>
        <sz val="11"/>
        <color theme="1"/>
        <rFont val="Noto Sans CJK SC"/>
        <family val="2"/>
      </rPr>
      <t xml:space="preserve">成本 − 清償溢價 </t>
    </r>
    <r>
      <rPr>
        <sz val="11"/>
        <color theme="1"/>
        <rFont val="Calibri"/>
        <family val="2"/>
        <charset val="1"/>
      </rPr>
      <t xml:space="preserve">1.153</t>
    </r>
  </si>
  <si>
    <t xml:space="preserve">eq_1H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</si>
  <si>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股權淨流入（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淨額＋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前發行＋員工認股 − 買回 − 代扣稅）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</si>
  <si>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現金流量表：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85.675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前發行 </t>
    </r>
    <r>
      <rPr>
        <sz val="11"/>
        <color theme="1"/>
        <rFont val="Calibri"/>
        <family val="2"/>
        <charset val="1"/>
      </rPr>
      <t xml:space="preserve">8.319</t>
    </r>
    <r>
      <rPr>
        <sz val="11"/>
        <color theme="1"/>
        <rFont val="Noto Sans CJK SC"/>
        <family val="2"/>
      </rPr>
      <t xml:space="preserve">、買回 −</t>
    </r>
    <r>
      <rPr>
        <sz val="11"/>
        <color theme="1"/>
        <rFont val="Calibri"/>
        <family val="2"/>
        <charset val="1"/>
      </rPr>
      <t xml:space="preserve">4.426 </t>
    </r>
    <r>
      <rPr>
        <sz val="11"/>
        <color theme="1"/>
        <rFont val="Noto Sans CJK SC"/>
        <family val="2"/>
      </rPr>
      <t xml:space="preserve">等</t>
    </r>
  </si>
  <si>
    <t xml:space="preserve">sh_dil_1H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</si>
  <si>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稀釋加權股數（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用）</t>
    </r>
  </si>
  <si>
    <t xml:space="preserve">deemed_1H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</si>
  <si>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視同股利（特別股轉換；歸屬普通股淨利扣除）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</si>
  <si>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13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is.deemedDiv.9m2026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</si>
  <si>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J0.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）</t>
    </r>
  </si>
  <si>
    <t xml:space="preserve">gw_ye26_co</t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</si>
  <si>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年底名目算力（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法說，二手轉述）</t>
    </r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</si>
  <si>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條：公司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法說稱年底逾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（二手轉述、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</si>
  <si>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對照，不進模型</t>
    </r>
  </si>
  <si>
    <t xml:space="preserve">backlog</t>
  </si>
  <si>
    <r>
      <rPr>
        <sz val="11"/>
        <color theme="1"/>
        <rFont val="Calibri"/>
        <family val="2"/>
        <charset val="1"/>
      </rPr>
      <t xml:space="preserve">Backlog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，未分分部）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</si>
  <si>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3 Backlog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backlog.total.20260930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</si>
  <si>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67% </t>
    </r>
    <r>
      <rPr>
        <sz val="11"/>
        <color theme="1"/>
        <rFont val="Noto Sans CJK SC"/>
        <family val="2"/>
      </rPr>
      <t xml:space="preserve">一年內、</t>
    </r>
    <r>
      <rPr>
        <sz val="11"/>
        <color theme="1"/>
        <rFont val="Calibri"/>
        <family val="2"/>
        <charset val="1"/>
      </rPr>
      <t xml:space="preserve">27% </t>
    </r>
    <r>
      <rPr>
        <sz val="11"/>
        <color theme="1"/>
        <rFont val="Noto Sans CJK SC"/>
        <family val="2"/>
      </rPr>
      <t xml:space="preserve">一至三年</t>
    </r>
  </si>
  <si>
    <t xml:space="preserve">cloud_q2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</si>
  <si>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新簽雲端服務合約（合約金額）</t>
    </r>
  </si>
  <si>
    <r>
      <rPr>
        <sz val="11"/>
        <color theme="1"/>
        <rFont val="Calibri"/>
        <family val="2"/>
        <charset val="1"/>
      </rPr>
      <t xml:space="preserve">SpaceX 2026Q2 </t>
    </r>
    <r>
      <rPr>
        <sz val="11"/>
        <color theme="1"/>
        <rFont val="Noto Sans CJK SC"/>
        <family val="2"/>
      </rPr>
      <t xml:space="preserve">財報新聞稿（公司 </t>
    </r>
    <r>
      <rPr>
        <sz val="11"/>
        <color theme="1"/>
        <rFont val="Calibri"/>
        <family val="2"/>
        <charset val="1"/>
      </rPr>
      <t xml:space="preserve">IR PDF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https://s21.q4cdn.com/184289198/files/doc_financials/2026/q2/SpaceX-Reports-Second-Quarter-2026-Results.pdf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WebFetch 2026-10-30 </t>
    </r>
    <r>
      <rPr>
        <sz val="11"/>
        <color theme="1"/>
        <rFont val="Noto Sans CJK SC"/>
        <family val="2"/>
      </rPr>
      <t xml:space="preserve">讀取，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未入庫）（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si.cloud.contracted.2026q2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</si>
  <si>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commit_27</t>
  </si>
  <si>
    <r>
      <rPr>
        <sz val="11"/>
        <color theme="1"/>
        <rFont val="Noto Sans CJK SC"/>
        <family val="2"/>
      </rPr>
      <t xml:space="preserve">不可取消承諾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基礎設施、第三方雲容量、頻譜等）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</si>
  <si>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16 Unconditional Obligations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commit.uncond.2027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</si>
  <si>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未拆分算力採購與頻譜</t>
  </si>
  <si>
    <t xml:space="preserve">c_revenue_26</t>
  </si>
  <si>
    <r>
      <rPr>
        <sz val="11"/>
        <color theme="1"/>
        <rFont val="Noto Sans CJK SC"/>
        <family val="2"/>
      </rPr>
      <t xml:space="preserve">過期共識 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</si>
  <si>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Simply Wall St </t>
    </r>
    <r>
      <rPr>
        <sz val="11"/>
        <color theme="1"/>
        <rFont val="Noto Sans CJK SC"/>
        <family val="2"/>
      </rPr>
      <t xml:space="preserve">預測頁（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位分析師；頁面更新 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後首週，已過期，只作參考）（網址見 </t>
    </r>
    <r>
      <rPr>
        <sz val="11"/>
        <color theme="1"/>
        <rFont val="Calibri"/>
        <family val="2"/>
        <charset val="1"/>
      </rPr>
      <t xml:space="preserve">data/consensus_spcx_20261030.json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</si>
  <si>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後年度共識未找到（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段已搜尋 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S&amp;P 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Chartmill</t>
    </r>
    <r>
      <rPr>
        <sz val="11"/>
        <color theme="1"/>
        <rFont val="Noto Sans CJK SC"/>
        <family val="2"/>
      </rPr>
      <t xml:space="preserve">）；只作方向對照</t>
    </r>
  </si>
  <si>
    <t xml:space="preserve">c_earnings_26</t>
  </si>
  <si>
    <r>
      <rPr>
        <sz val="11"/>
        <color theme="1"/>
        <rFont val="Noto Sans CJK SC"/>
        <family val="2"/>
      </rPr>
      <t xml:space="preserve">過期共識 淨利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</si>
  <si>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c_fcf_26</t>
  </si>
  <si>
    <r>
      <rPr>
        <sz val="11"/>
        <color theme="1"/>
        <rFont val="Noto Sans CJK SC"/>
        <family val="2"/>
      </rPr>
      <t xml:space="preserve">過期共識 自由現金流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</si>
  <si>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c_revenue_27</t>
  </si>
  <si>
    <r>
      <rPr>
        <sz val="11"/>
        <color theme="1"/>
        <rFont val="Noto Sans CJK SC"/>
        <family val="2"/>
      </rPr>
      <t xml:space="preserve">過期共識 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</si>
  <si>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c_earnings_27</t>
  </si>
  <si>
    <r>
      <rPr>
        <sz val="11"/>
        <color theme="1"/>
        <rFont val="Noto Sans CJK SC"/>
        <family val="2"/>
      </rPr>
      <t xml:space="preserve">過期共識 淨利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</si>
  <si>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c_fcf_27</t>
  </si>
  <si>
    <r>
      <rPr>
        <sz val="11"/>
        <color theme="1"/>
        <rFont val="Noto Sans CJK SC"/>
        <family val="2"/>
      </rPr>
      <t xml:space="preserve">過期共識 自由現金流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</si>
  <si>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c_revenue_28</t>
  </si>
  <si>
    <r>
      <rPr>
        <sz val="11"/>
        <color theme="1"/>
        <rFont val="Noto Sans CJK SC"/>
        <family val="2"/>
      </rPr>
      <t xml:space="preserve">過期共識 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</si>
  <si>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c_earnings_28</t>
  </si>
  <si>
    <r>
      <rPr>
        <sz val="11"/>
        <color theme="1"/>
        <rFont val="Noto Sans CJK SC"/>
        <family val="2"/>
      </rPr>
      <t xml:space="preserve">過期共識 淨利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</si>
  <si>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c_fcf_28</t>
  </si>
  <si>
    <r>
      <rPr>
        <sz val="11"/>
        <color theme="1"/>
        <rFont val="Noto Sans CJK SC"/>
        <family val="2"/>
      </rPr>
      <t xml:space="preserve">過期共識 自由現金流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</si>
  <si>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</si>
  <si>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</si>
  <si>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</si>
  <si>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</si>
  <si>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scn_k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</si>
  <si>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</si>
  <si>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k30_A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k30_B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k30_C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校準值 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線性收斂</t>
    </r>
  </si>
  <si>
    <t xml:space="preserve">scn_n</t>
  </si>
  <si>
    <r>
      <rPr>
        <sz val="11"/>
        <color theme="1"/>
        <rFont val="Calibri"/>
        <family val="2"/>
        <charset val="1"/>
      </rPr>
      <t xml:space="preserve">Starlink </t>
    </r>
    <r>
      <rPr>
        <sz val="11"/>
        <color theme="1"/>
        <rFont val="Noto Sans CJK SC"/>
        <family val="2"/>
      </rPr>
      <t xml:space="preserve">消費訂戶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淨增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</si>
  <si>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nadd_A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nadd_B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nadd_C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起每年遞減 </t>
    </r>
    <r>
      <rPr>
        <sz val="11"/>
        <color theme="1"/>
        <rFont val="Calibri"/>
        <family val="2"/>
        <charset val="1"/>
      </rPr>
      <t xml:space="preserve">nadd_dec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</si>
  <si>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</si>
  <si>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</si>
  <si>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</si>
  <si>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美元；股數十億股；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、訂戶、次數為原單位）。資料取自 </t>
    </r>
    <r>
      <rPr>
        <sz val="11"/>
        <color theme="1"/>
        <rFont val="Calibri"/>
        <family val="2"/>
        <charset val="1"/>
      </rPr>
      <t xml:space="preserve">data/spacex_facts_2026q3.json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2026Q3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新聞稿兩讀核對）；</t>
    </r>
    <r>
      <rPr>
        <sz val="11"/>
        <color theme="1"/>
        <rFont val="Calibri"/>
        <family val="2"/>
        <charset val="1"/>
      </rPr>
      <t xml:space="preserve">FY2025* </t>
    </r>
    <r>
      <rPr>
        <sz val="11"/>
        <color theme="1"/>
        <rFont val="Noto Sans CJK SC"/>
        <family val="2"/>
      </rPr>
      <t xml:space="preserve">為媒體轉述 </t>
    </r>
    <r>
      <rPr>
        <sz val="11"/>
        <color theme="1"/>
        <rFont val="Calibri"/>
        <family val="2"/>
        <charset val="1"/>
      </rPr>
      <t xml:space="preserve">S-1</t>
    </r>
    <r>
      <rPr>
        <sz val="11"/>
        <color theme="1"/>
        <rFont val="Noto Sans CJK SC"/>
        <family val="2"/>
      </rPr>
      <t xml:space="preserve">（二手，待 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原文；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資本支出未取得）</t>
    </r>
  </si>
  <si>
    <r>
      <rPr>
        <sz val="11"/>
        <color theme="1"/>
        <rFont val="Noto Sans CJK SC"/>
        <family val="2"/>
      </rPr>
      <t xml:space="preserve">核對列（實績必須為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）：子列合計＝分部、分部合計＝合併（營收、營業利益、分部調整後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、資本支出）、分部調整後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恆等式、損益表恆等式</t>
    </r>
  </si>
  <si>
    <t xml:space="preserve">2025Q2</t>
  </si>
  <si>
    <t xml:space="preserve">2025Q3</t>
  </si>
  <si>
    <t xml:space="preserve">2026Q1</t>
  </si>
  <si>
    <t xml:space="preserve">2026Q2</t>
  </si>
  <si>
    <t xml:space="preserve">2026Q3</t>
  </si>
  <si>
    <t xml:space="preserve">9M25</t>
  </si>
  <si>
    <t xml:space="preserve">9M26</t>
  </si>
  <si>
    <t xml:space="preserve">FY2025*</t>
  </si>
  <si>
    <t xml:space="preserve">營收（官方分部與子列）</t>
  </si>
  <si>
    <t xml:space="preserve">Launch Services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</si>
  <si>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</si>
  <si>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2026Q3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（四期）；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欄）；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2025Q2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＝媒體轉述 </t>
    </r>
    <r>
      <rPr>
        <sz val="11"/>
        <color theme="1"/>
        <rFont val="Calibri"/>
        <family val="2"/>
        <charset val="1"/>
      </rPr>
      <t xml:space="preserve">S-1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seg.*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is.*</t>
    </r>
    <r>
      <rPr>
        <sz val="11"/>
        <color theme="1"/>
        <rFont val="Noto Sans CJK SC"/>
        <family val="2"/>
      </rPr>
      <t xml:space="preserve">）</t>
    </r>
  </si>
  <si>
    <t xml:space="preserve">Launch &amp; Development</t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</si>
  <si>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</si>
  <si>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子列合計 − </t>
    </r>
    <r>
      <rPr>
        <sz val="11"/>
        <color theme="1"/>
        <rFont val="Calibri"/>
        <family val="2"/>
        <charset val="1"/>
      </rPr>
      <t xml:space="preserve">Space</t>
    </r>
  </si>
  <si>
    <t xml:space="preserve">—</t>
  </si>
  <si>
    <t xml:space="preserve">Consumer</t>
  </si>
  <si>
    <t xml:space="preserve">Enterprise &amp; Government</t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</si>
  <si>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</si>
  <si>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子列合計 − </t>
    </r>
    <r>
      <rPr>
        <sz val="11"/>
        <color theme="1"/>
        <rFont val="Calibri"/>
        <family val="2"/>
        <charset val="1"/>
      </rPr>
      <t xml:space="preserve">Connectivity</t>
    </r>
  </si>
  <si>
    <t xml:space="preserve">Advertising</t>
  </si>
  <si>
    <t xml:space="preserve">SI Solutions &amp; Infrastructure</t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</si>
  <si>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</si>
  <si>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子列合計 − </t>
    </r>
    <r>
      <rPr>
        <sz val="11"/>
        <color theme="1"/>
        <rFont val="Calibri"/>
        <family val="2"/>
        <charset val="1"/>
      </rPr>
      <t xml:space="preserve">SI</t>
    </r>
  </si>
  <si>
    <t xml:space="preserve">合併營收</t>
  </si>
  <si>
    <t xml:space="preserve">檢查：分部合計 − 合併營收</t>
  </si>
  <si>
    <t xml:space="preserve">分部營業利益（損失）</t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</si>
  <si>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：分部營業利益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</si>
  <si>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：分部營業利益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</si>
  <si>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）：分部營業利益</t>
    </r>
  </si>
  <si>
    <t xml:space="preserve">合計：分部營業利益</t>
  </si>
  <si>
    <t xml:space="preserve">檢查：分部合計 − 合併（分部營業利益）</t>
  </si>
  <si>
    <r>
      <rPr>
        <b val="true"/>
        <sz val="11"/>
        <rFont val="Noto Sans CJK SC"/>
        <family val="2"/>
      </rPr>
      <t xml:space="preserve">分部調整後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（公司定義，不含 </t>
    </r>
    <r>
      <rPr>
        <b val="true"/>
        <sz val="11"/>
        <rFont val="Cambria"/>
        <family val="0"/>
        <charset val="1"/>
      </rPr>
      <t xml:space="preserve">SBC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</si>
  <si>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</si>
  <si>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</si>
  <si>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）：分部調整後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</si>
  <si>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合計：分部調整後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</si>
  <si>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檢查：分部合計 − 合併（分部調整後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）</t>
    </r>
  </si>
  <si>
    <t xml:space="preserve">分部資本支出（購置不動產與設備）</t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</si>
  <si>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：分部資本支出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</si>
  <si>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：分部資本支出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</si>
  <si>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）：分部資本支出</t>
    </r>
  </si>
  <si>
    <t xml:space="preserve">合計：分部資本支出</t>
  </si>
  <si>
    <t xml:space="preserve">檢查：分部合計 − 合併（分部資本支出）</t>
  </si>
  <si>
    <r>
      <rPr>
        <b val="true"/>
        <sz val="11"/>
        <rFont val="Noto Sans CJK SC"/>
        <family val="2"/>
      </rPr>
      <t xml:space="preserve">分部調整後 </t>
    </r>
    <r>
      <rPr>
        <b val="true"/>
        <sz val="11"/>
        <rFont val="Cambria"/>
        <family val="0"/>
        <charset val="1"/>
      </rPr>
      <t xml:space="preserve">EBITDA </t>
    </r>
    <r>
      <rPr>
        <b val="true"/>
        <sz val="11"/>
        <rFont val="Noto Sans CJK SC"/>
        <family val="2"/>
      </rPr>
      <t xml:space="preserve">調節項（折舊攤銷、股權報酬、收購相關、重組、減損）</t>
    </r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</si>
  <si>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：折舊攤銷</t>
    </r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</si>
  <si>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：股權報酬（一般）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</si>
  <si>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：折舊攤銷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</si>
  <si>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：股權報酬（一般）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</si>
  <si>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）：折舊攤銷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</si>
  <si>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）：股權報酬（一般）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</si>
  <si>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：收購相關股權報酬（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</si>
  <si>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：收購成本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</si>
  <si>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：重組費用（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</si>
  <si>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：減損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</si>
  <si>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− (</t>
    </r>
    <r>
      <rPr>
        <sz val="11"/>
        <color theme="1"/>
        <rFont val="Noto Sans CJK SC"/>
        <family val="2"/>
      </rPr>
      <t xml:space="preserve">營業利益＋折舊攤銷＋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＋其他調節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</si>
  <si>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五期（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</si>
  <si>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− (</t>
    </r>
    <r>
      <rPr>
        <sz val="11"/>
        <color theme="1"/>
        <rFont val="Noto Sans CJK SC"/>
        <family val="2"/>
      </rPr>
      <t xml:space="preserve">營業利益＋折舊攤銷＋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＋其他調節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</si>
  <si>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 調整後 </t>
    </r>
    <r>
      <rPr>
        <sz val="11"/>
        <color theme="1"/>
        <rFont val="Calibri"/>
        <family val="2"/>
        <charset val="1"/>
      </rPr>
      <t xml:space="preserve">EBITDA − (</t>
    </r>
    <r>
      <rPr>
        <sz val="11"/>
        <color theme="1"/>
        <rFont val="Noto Sans CJK SC"/>
        <family val="2"/>
      </rPr>
      <t xml:space="preserve">營業利益＋折舊攤銷＋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＋其他調節</t>
    </r>
    <r>
      <rPr>
        <sz val="11"/>
        <color theme="1"/>
        <rFont val="Calibri"/>
        <family val="2"/>
        <charset val="1"/>
      </rPr>
      <t xml:space="preserve">)</t>
    </r>
  </si>
  <si>
    <t xml:space="preserve">營運指標</t>
  </si>
  <si>
    <t xml:space="preserve">客戶發射（次）</t>
  </si>
  <si>
    <t xml:space="preserve">發射合計（次）</t>
  </si>
  <si>
    <r>
      <rPr>
        <sz val="11"/>
        <color theme="1"/>
        <rFont val="Calibri"/>
        <family val="2"/>
        <charset val="1"/>
      </rPr>
      <t xml:space="preserve">Starlink </t>
    </r>
    <r>
      <rPr>
        <sz val="11"/>
        <color theme="1"/>
        <rFont val="Noto Sans CJK SC"/>
        <family val="2"/>
      </rPr>
      <t xml:space="preserve">消費訂戶（百萬，期末）</t>
    </r>
  </si>
  <si>
    <r>
      <rPr>
        <sz val="11"/>
        <color theme="1"/>
        <rFont val="Noto Sans CJK SC"/>
        <family val="2"/>
      </rPr>
      <t xml:space="preserve">消費 </t>
    </r>
    <r>
      <rPr>
        <sz val="11"/>
        <color theme="1"/>
        <rFont val="Calibri"/>
        <family val="2"/>
        <charset val="1"/>
      </rPr>
      <t xml:space="preserve">ARPU</t>
    </r>
    <r>
      <rPr>
        <sz val="11"/>
        <color theme="1"/>
        <rFont val="Noto Sans CJK SC"/>
        <family val="2"/>
      </rPr>
      <t xml:space="preserve">（美元／月）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</si>
  <si>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，期末；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口徑）</t>
    </r>
  </si>
  <si>
    <r>
      <rPr>
        <b val="true"/>
        <sz val="11"/>
        <rFont val="Noto Sans CJK SC"/>
        <family val="2"/>
      </rPr>
      <t xml:space="preserve">合併損益（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四期；</t>
    </r>
    <r>
      <rPr>
        <b val="true"/>
        <sz val="11"/>
        <rFont val="Cambria"/>
        <family val="0"/>
        <charset val="1"/>
      </rPr>
      <t xml:space="preserve">2026Q2 </t>
    </r>
    <r>
      <rPr>
        <b val="true"/>
        <sz val="11"/>
        <rFont val="Noto Sans CJK SC"/>
        <family val="2"/>
      </rPr>
      <t xml:space="preserve">只有新聞稿 </t>
    </r>
    <r>
      <rPr>
        <b val="true"/>
        <sz val="11"/>
        <rFont val="Cambria"/>
        <family val="0"/>
        <charset val="1"/>
      </rPr>
      <t xml:space="preserve">Highlights</t>
    </r>
    <r>
      <rPr>
        <b val="true"/>
        <sz val="11"/>
        <rFont val="Noto Sans CJK SC"/>
        <family val="2"/>
      </rPr>
      <t xml:space="preserve">）</t>
    </r>
  </si>
  <si>
    <t xml:space="preserve">成本費用合計</t>
  </si>
  <si>
    <t xml:space="preserve">營業利益</t>
  </si>
  <si>
    <t xml:space="preserve">檢查：營收 − 成本費用 − 營業利益</t>
  </si>
  <si>
    <r>
      <rPr>
        <sz val="11"/>
        <color theme="1"/>
        <rFont val="Noto Sans CJK SC"/>
        <family val="2"/>
      </rPr>
      <t xml:space="preserve">利息費用（含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關係人）</t>
    </r>
  </si>
  <si>
    <t xml:space="preserve">利息收入</t>
  </si>
  <si>
    <t xml:space="preserve">其他收益（費用）淨額</t>
  </si>
  <si>
    <t xml:space="preserve">稅前利益</t>
  </si>
  <si>
    <t xml:space="preserve">檢查：營業利益＋利息＋其他 − 稅前</t>
  </si>
  <si>
    <t xml:space="preserve">所得稅費用（負值＝利益）</t>
  </si>
  <si>
    <t xml:space="preserve">淨利（損）</t>
  </si>
  <si>
    <t xml:space="preserve">檢查：稅前 − 所得稅 − 淨利</t>
  </si>
  <si>
    <t xml:space="preserve">歸屬普通股淨利（扣視同股利）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</si>
  <si>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（稀釋，美元）</t>
    </r>
  </si>
  <si>
    <t xml:space="preserve">稀釋加權股數（十億股）</t>
  </si>
  <si>
    <r>
      <rPr>
        <b val="true"/>
        <sz val="11"/>
        <rFont val="Noto Sans CJK SC"/>
        <family val="2"/>
      </rPr>
      <t xml:space="preserve">現金流（</t>
    </r>
    <r>
      <rPr>
        <b val="true"/>
        <sz val="11"/>
        <rFont val="Cambria"/>
        <family val="0"/>
        <charset val="1"/>
      </rPr>
      <t xml:space="preserve">9M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現金流量表）</t>
    </r>
  </si>
  <si>
    <t xml:space="preserve">營運現金流</t>
  </si>
  <si>
    <t xml:space="preserve">折舊攤銷</t>
  </si>
  <si>
    <t xml:space="preserve">股權報酬</t>
  </si>
  <si>
    <t xml:space="preserve">資本支出（購置不動產與設備）</t>
  </si>
  <si>
    <t xml:space="preserve">檢查：資本支出 − 分部資本支出合計</t>
  </si>
  <si>
    <r>
      <rPr>
        <sz val="11"/>
        <color theme="1"/>
        <rFont val="Noto Sans CJK SC"/>
        <family val="2"/>
      </rPr>
      <t xml:space="preserve">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（非現金）</t>
    </r>
  </si>
  <si>
    <t xml:space="preserve">融資租賃本金</t>
  </si>
  <si>
    <r>
      <rPr>
        <sz val="11"/>
        <color theme="1"/>
        <rFont val="Noto Sans CJK SC"/>
        <family val="2"/>
      </rPr>
      <t xml:space="preserve">公司口徑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（營運現金 − 資本支出）</t>
    </r>
  </si>
  <si>
    <r>
      <rPr>
        <b val="true"/>
        <sz val="11"/>
        <rFont val="Noto Sans CJK SC"/>
        <family val="2"/>
      </rPr>
      <t xml:space="preserve">核對彙總（實績必須為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</si>
  <si>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t xml:space="preserve">檢查：上列核對列絕對值合計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</si>
  <si>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9M26 − (2026Q1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Q3)</t>
    </r>
    <r>
      <rPr>
        <sz val="11"/>
        <color theme="1"/>
        <rFont val="Noto Sans CJK SC"/>
        <family val="2"/>
      </rPr>
      <t xml:space="preserve">（三分部營收、營業利益、調整後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、資本支出）</t>
    </r>
  </si>
  <si>
    <r>
      <rPr>
        <b val="true"/>
        <sz val="11"/>
        <rFont val="Noto Sans CJK SC"/>
        <family val="2"/>
      </rPr>
      <t xml:space="preserve">推導量（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Thesis </t>
    </r>
    <r>
      <rPr>
        <b val="true"/>
        <sz val="11"/>
        <rFont val="Noto Sans CJK SC"/>
        <family val="2"/>
      </rPr>
      <t xml:space="preserve">頁的起始值；</t>
    </r>
    <r>
      <rPr>
        <b val="true"/>
        <sz val="11"/>
        <rFont val="Cambria"/>
        <family val="0"/>
        <charset val="1"/>
      </rPr>
      <t xml:space="preserve">[Derived]</t>
    </r>
    <r>
      <rPr>
        <b val="true"/>
        <sz val="11"/>
        <rFont val="Noto Sans CJK SC"/>
        <family val="2"/>
      </rPr>
      <t xml:space="preserve">）</t>
    </r>
  </si>
  <si>
    <t xml:space="preserve">數值</t>
  </si>
  <si>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年增：</t>
    </r>
    <r>
      <rPr>
        <sz val="11"/>
        <color theme="1"/>
        <rFont val="Calibri"/>
        <family val="2"/>
        <charset val="1"/>
      </rPr>
      <t xml:space="preserve">Launch &amp; Development</t>
    </r>
  </si>
  <si>
    <r>
      <rPr>
        <sz val="11"/>
        <color theme="1"/>
        <rFont val="Calibri"/>
        <family val="2"/>
        <charset val="1"/>
      </rPr>
      <t xml:space="preserve">9M26 ÷ 9M25 − 1</t>
    </r>
    <r>
      <rPr>
        <sz val="11"/>
        <color theme="1"/>
        <rFont val="Noto Sans CJK SC"/>
        <family val="2"/>
      </rPr>
      <t xml:space="preserve">（最近可用的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同期比較；近四季需 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，為二手）</t>
    </r>
  </si>
  <si>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年增：</t>
    </r>
    <r>
      <rPr>
        <sz val="11"/>
        <color theme="1"/>
        <rFont val="Calibri"/>
        <family val="2"/>
        <charset val="1"/>
      </rPr>
      <t xml:space="preserve">Enterprise &amp; Government</t>
    </r>
  </si>
  <si>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年增：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</si>
  <si>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每次客戶發射收入（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</si>
  <si>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／次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</si>
  <si>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</si>
  <si>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</si>
  <si>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</si>
  <si>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</si>
  <si>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一般股權報酬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</si>
  <si>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單季（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後首個完整季）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</si>
  <si>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一般股權報酬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</si>
  <si>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 一般股權報酬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</si>
  <si>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年折舊（</t>
    </r>
    <r>
      <rPr>
        <sz val="11"/>
        <color theme="1"/>
        <rFont val="Calibri"/>
        <family val="2"/>
        <charset val="1"/>
      </rPr>
      <t xml:space="preserve">2026Q3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</si>
  <si>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年折舊（</t>
    </r>
    <r>
      <rPr>
        <sz val="11"/>
        <color theme="1"/>
        <rFont val="Calibri"/>
        <family val="2"/>
        <charset val="1"/>
      </rPr>
      <t xml:space="preserve">2026Q3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</si>
  <si>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消費營收 </t>
    </r>
    <r>
      <rPr>
        <sz val="11"/>
        <color theme="1"/>
        <rFont val="Calibri"/>
        <family val="2"/>
        <charset val="1"/>
      </rPr>
      <t xml:space="preserve">÷ (</t>
    </r>
    <r>
      <rPr>
        <sz val="11"/>
        <color theme="1"/>
        <rFont val="Noto Sans CJK SC"/>
        <family val="2"/>
      </rPr>
      <t xml:space="preserve">平均訂戶 </t>
    </r>
    <r>
      <rPr>
        <sz val="11"/>
        <color theme="1"/>
        <rFont val="Calibri"/>
        <family val="2"/>
        <charset val="1"/>
      </rPr>
      <t xml:space="preserve">× ARPU × 3)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Kits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</si>
  <si>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Kits</t>
    </r>
    <r>
      <rPr>
        <sz val="11"/>
        <color theme="1"/>
        <rFont val="Noto Sans CJK SC"/>
        <family val="2"/>
      </rPr>
      <t xml:space="preserve">（產品）收入全屬 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、未拆消費／企業（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節）→ 以本係數併入消費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</si>
  <si>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平均在役名目算力</t>
    </r>
  </si>
  <si>
    <t xml:space="preserve">2026Q3 SI Solutions &amp; Infrastructure</t>
  </si>
  <si>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SI Solutions &amp; Infrastructure</t>
    </r>
    <r>
      <rPr>
        <sz val="11"/>
        <color theme="1"/>
        <rFont val="Noto Sans CJK SC"/>
        <family val="2"/>
      </rPr>
      <t xml:space="preserve">（雲端服務自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</si>
  <si>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</si>
  <si>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</si>
  <si>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t xml:space="preserve">2026Q3 Advertising</t>
  </si>
  <si>
    <t xml:space="preserve">9M26 Launch &amp; Development</t>
  </si>
  <si>
    <t xml:space="preserve">2026Q3 Enterprise &amp; Government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</si>
  <si>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期末消費訂戶（百萬）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</si>
  <si>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2026-09-30 1.7</t>
    </r>
    <r>
      <rPr>
        <sz val="11"/>
        <color theme="1"/>
        <rFont val="Noto Sans CJK SC"/>
        <family val="2"/>
      </rPr>
      <t xml:space="preserve">）由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投資季速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資本支出推進；對外出租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ext_sh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k × Tokenomics </t>
    </r>
    <r>
      <rPr>
        <sz val="11"/>
        <color theme="1"/>
        <rFont val="Noto Sans CJK SC"/>
        <family val="2"/>
      </rPr>
      <t xml:space="preserve">持有成本，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校準值收斂，情境軸，見 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頁）→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對外雲端服務子列；同一套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推出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折舊、營運成本；自用 </t>
    </r>
    <r>
      <rPr>
        <sz val="11"/>
        <color theme="1"/>
        <rFont val="Calibri"/>
        <family val="2"/>
        <charset val="1"/>
      </rPr>
      <t xml:space="preserve">GW →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影子效益</t>
    </r>
  </si>
  <si>
    <r>
      <rPr>
        <sz val="11"/>
        <color theme="1"/>
        <rFont val="Noto Sans CJK SC"/>
        <family val="2"/>
      </rPr>
      <t xml:space="preserve">三情境共用（情境軸是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Starlink </t>
    </r>
    <r>
      <rPr>
        <sz val="11"/>
        <color theme="1"/>
        <rFont val="Noto Sans CJK SC"/>
        <family val="2"/>
      </rPr>
      <t xml:space="preserve">淨增，在 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頁）。名目算力為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口徑，與 </t>
    </r>
    <r>
      <rPr>
        <sz val="11"/>
        <color theme="1"/>
        <rFont val="Calibri"/>
        <family val="2"/>
        <charset val="1"/>
      </rPr>
      <t xml:space="preserve">Tokenomics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關鍵電力同口徑，不乘 </t>
    </r>
    <r>
      <rPr>
        <sz val="11"/>
        <color theme="1"/>
        <rFont val="Calibri"/>
        <family val="2"/>
        <charset val="1"/>
      </rPr>
      <t xml:space="preserve">PUE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條）；含對外出租、推定不含第三方雲（</t>
    </r>
    <r>
      <rPr>
        <sz val="11"/>
        <color theme="1"/>
        <rFont val="Calibri"/>
        <family val="2"/>
        <charset val="1"/>
      </rPr>
      <t xml:space="preserve">S6</t>
    </r>
    <r>
      <rPr>
        <sz val="11"/>
        <color theme="1"/>
        <rFont val="Noto Sans CJK SC"/>
        <family val="2"/>
      </rPr>
      <t xml:space="preserve">）。對外出租占比以 </t>
    </r>
    <r>
      <rPr>
        <sz val="11"/>
        <color theme="1"/>
        <rFont val="Calibri"/>
        <family val="2"/>
        <charset val="1"/>
      </rPr>
      <t xml:space="preserve">Customer B </t>
    </r>
    <r>
      <rPr>
        <sz val="11"/>
        <color theme="1"/>
        <rFont val="Noto Sans CJK SC"/>
        <family val="2"/>
      </rPr>
      <t xml:space="preserve">衍生 </t>
    </r>
    <r>
      <rPr>
        <sz val="11"/>
        <color theme="1"/>
        <rFont val="Calibri"/>
        <family val="2"/>
        <charset val="1"/>
      </rPr>
      <t xml:space="preserve">72% </t>
    </r>
    <r>
      <rPr>
        <sz val="11"/>
        <color theme="1"/>
        <rFont val="Noto Sans CJK SC"/>
        <family val="2"/>
      </rPr>
      <t xml:space="preserve">為起點，營收與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同比例（審查第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</si>
  <si>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校準與起始值（單一數值，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</si>
  <si>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評價日機隊每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</t>
    </r>
    <r>
      <rPr>
        <sz val="11"/>
        <color theme="1"/>
        <rFont val="Calibri"/>
        <family val="2"/>
        <charset val="1"/>
      </rPr>
      <t xml:space="preserve">Tokenomics IF_HoldEcon </t>
    </r>
    <r>
      <rPr>
        <sz val="11"/>
        <color theme="1"/>
        <rFont val="Noto Sans CJK SC"/>
        <family val="2"/>
      </rPr>
      <t xml:space="preserve">依機隊占比加權）</t>
    </r>
  </si>
  <si>
    <r>
      <rPr>
        <sz val="11"/>
        <color theme="1"/>
        <rFont val="Calibri"/>
        <family val="2"/>
        <charset val="1"/>
      </rPr>
      <t xml:space="preserve">US$B/GW-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</si>
  <si>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評價日機隊每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年營運費用（</t>
    </r>
    <r>
      <rPr>
        <sz val="11"/>
        <color theme="1"/>
        <rFont val="Calibri"/>
        <family val="2"/>
        <charset val="1"/>
      </rPr>
      <t xml:space="preserve">IF_OpexGW </t>
    </r>
    <r>
      <rPr>
        <sz val="11"/>
        <color theme="1"/>
        <rFont val="Noto Sans CJK SC"/>
        <family val="2"/>
      </rPr>
      <t xml:space="preserve">加權，不含折舊）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</si>
  <si>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年營收＝</t>
    </r>
    <r>
      <rPr>
        <sz val="11"/>
        <color theme="1"/>
        <rFont val="Calibri"/>
        <family val="2"/>
        <charset val="1"/>
      </rPr>
      <t xml:space="preserve">SI S&amp;I × 4 ÷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</si>
  <si>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條：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校準；對外出租營收與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同比例，故＝對外每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</t>
    </r>
  </si>
  <si>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評價日機隊持有成本</t>
    </r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</si>
  <si>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核心問題比值的起點（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比值見 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頁各情境）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</si>
  <si>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對外雲端服務營收（</t>
    </r>
    <r>
      <rPr>
        <sz val="11"/>
        <color theme="1"/>
        <rFont val="Calibri"/>
        <family val="2"/>
        <charset val="1"/>
      </rPr>
      <t xml:space="preserve">SI S&amp;I × ext_sh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</si>
  <si>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Customer B </t>
    </r>
    <r>
      <rPr>
        <sz val="11"/>
        <color theme="1"/>
        <rFont val="Noto Sans CJK SC"/>
        <family val="2"/>
      </rPr>
      <t xml:space="preserve">衍生 </t>
    </r>
    <r>
      <rPr>
        <sz val="11"/>
        <color theme="1"/>
        <rFont val="Calibri"/>
        <family val="2"/>
        <charset val="1"/>
      </rPr>
      <t xml:space="preserve">5.028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cust.B.rev.2026q3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</si>
  <si>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對外雲端服務營收（</t>
    </r>
    <r>
      <rPr>
        <sz val="11"/>
        <color theme="1"/>
        <rFont val="Calibri"/>
        <family val="2"/>
        <charset val="1"/>
      </rPr>
      <t xml:space="preserve">(Q2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SI S&amp;I) × ext_sh</t>
    </r>
    <r>
      <rPr>
        <sz val="11"/>
        <color theme="1"/>
        <rFont val="Noto Sans CJK SC"/>
        <family val="2"/>
      </rPr>
      <t xml:space="preserve">；雲端服務自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</si>
  <si>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Calibri"/>
        <family val="2"/>
        <charset val="1"/>
      </rPr>
      <t xml:space="preserve">Customer B 9M </t>
    </r>
    <r>
      <rPr>
        <sz val="11"/>
        <color theme="1"/>
        <rFont val="Noto Sans CJK SC"/>
        <family val="2"/>
      </rPr>
      <t xml:space="preserve">衍生 </t>
    </r>
    <r>
      <rPr>
        <sz val="11"/>
        <color theme="1"/>
        <rFont val="Calibri"/>
        <family val="2"/>
        <charset val="1"/>
      </rPr>
      <t xml:space="preserve">6.554</t>
    </r>
  </si>
  <si>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其他收入（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訂閱、資料授權、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</si>
  <si>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0.608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</si>
  <si>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校準：</t>
    </r>
    <r>
      <rPr>
        <sz val="11"/>
        <color theme="1"/>
        <rFont val="Calibri"/>
        <family val="2"/>
        <charset val="1"/>
      </rPr>
      <t xml:space="preserve">(SI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對外出租 </t>
    </r>
    <r>
      <rPr>
        <sz val="11"/>
        <color theme="1"/>
        <rFont val="Calibri"/>
        <family val="2"/>
        <charset val="1"/>
      </rPr>
      <t xml:space="preserve">EBITDA) ÷ (SI </t>
    </r>
    <r>
      <rPr>
        <sz val="11"/>
        <color theme="1"/>
        <rFont val="Noto Sans CJK SC"/>
        <family val="2"/>
      </rPr>
      <t xml:space="preserve">營收 − 對外出租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</si>
  <si>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對外出租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＝營收 − 對外 </t>
    </r>
    <r>
      <rPr>
        <sz val="11"/>
        <color theme="1"/>
        <rFont val="Calibri"/>
        <family val="2"/>
        <charset val="1"/>
      </rPr>
      <t xml:space="preserve">GW × Tokenomics </t>
    </r>
    <r>
      <rPr>
        <sz val="11"/>
        <color theme="1"/>
        <rFont val="Noto Sans CJK SC"/>
        <family val="2"/>
      </rPr>
      <t xml:space="preserve">營運費用；殘差含 </t>
    </r>
    <r>
      <rPr>
        <sz val="11"/>
        <color theme="1"/>
        <rFont val="Calibri"/>
        <family val="2"/>
        <charset val="1"/>
      </rPr>
      <t xml:space="preserve">Grok </t>
    </r>
    <r>
      <rPr>
        <sz val="11"/>
        <color theme="1"/>
        <rFont val="Noto Sans CJK SC"/>
        <family val="2"/>
      </rPr>
      <t xml:space="preserve">訓練人力、評價日自用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營運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</si>
  <si>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率（預測期採用）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</si>
  <si>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＋自建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機房）</t>
    </r>
  </si>
  <si>
    <t xml:space="preserve">US$B/GW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</si>
  <si>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selfb × IF_CapexFacility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</si>
  <si>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（伺服器與網通＋資料中心基礎設施，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名目算力</t>
    </r>
  </si>
  <si>
    <r>
      <rPr>
        <sz val="11"/>
        <color theme="1"/>
        <rFont val="Noto Sans CJK SC"/>
        <family val="2"/>
      </rPr>
      <t xml:space="preserve">毛額 </t>
    </r>
    <r>
      <rPr>
        <sz val="11"/>
        <color theme="1"/>
        <rFont val="Calibri"/>
        <family val="2"/>
        <charset val="1"/>
      </rPr>
      <t xml:space="preserve">43.206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6.333 ÷ 1.7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舊機隊、機房可能部分租用 → 低於 </t>
    </r>
    <r>
      <rPr>
        <sz val="11"/>
        <color theme="1"/>
        <rFont val="Calibri"/>
        <family val="2"/>
        <charset val="1"/>
      </rPr>
      <t xml:space="preserve">Tokenomics</t>
    </r>
  </si>
  <si>
    <r>
      <rPr>
        <b val="true"/>
        <sz val="11"/>
        <rFont val="Cambria"/>
        <family val="0"/>
        <charset val="1"/>
      </rPr>
      <t xml:space="preserve">B. SI </t>
    </r>
    <r>
      <rPr>
        <b val="true"/>
        <sz val="11"/>
        <rFont val="Noto Sans CJK SC"/>
        <family val="2"/>
      </rPr>
      <t xml:space="preserve">名目算力（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，期末；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口徑）— 依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世代錨分桶</t>
    </r>
  </si>
  <si>
    <t xml:space="preserve">9M25A</t>
  </si>
  <si>
    <t xml:space="preserve">9M26A</t>
  </si>
  <si>
    <t xml:space="preserve">Q4 26E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</si>
  <si>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</si>
  <si>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</si>
  <si>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</si>
  <si>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</si>
  <si>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</si>
  <si>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</si>
  <si>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</si>
  <si>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名目算力新增（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起收斂到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</si>
  <si>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FY2027–28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投資季速 </t>
    </r>
    <r>
      <rPr>
        <sz val="11"/>
        <color theme="1"/>
        <rFont val="Calibri"/>
        <family val="2"/>
        <charset val="1"/>
      </rPr>
      <t xml:space="preserve">× 4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投資）；</t>
    </r>
    <r>
      <rPr>
        <sz val="11"/>
        <color theme="1"/>
        <rFont val="Calibri"/>
        <family val="2"/>
        <charset val="1"/>
      </rPr>
      <t xml:space="preserve">FY2029–32 </t>
    </r>
    <r>
      <rPr>
        <sz val="11"/>
        <color theme="1"/>
        <rFont val="Noto Sans CJK SC"/>
        <family val="2"/>
      </rPr>
      <t xml:space="preserve">線性收斂（同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</si>
  <si>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</si>
  <si>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評價日 </t>
    </r>
    <r>
      <rPr>
        <sz val="11"/>
        <color theme="1"/>
        <rFont val="Calibri"/>
        <family val="2"/>
        <charset val="1"/>
      </rPr>
      <t xml:space="preserve">1.7 GW × </t>
    </r>
    <r>
      <rPr>
        <sz val="11"/>
        <color theme="1"/>
        <rFont val="Noto Sans CJK SC"/>
        <family val="2"/>
      </rPr>
      <t xml:space="preserve">機隊占比（</t>
    </r>
    <r>
      <rPr>
        <sz val="11"/>
        <color theme="1"/>
        <rFont val="Calibri"/>
        <family val="2"/>
        <charset val="1"/>
      </rPr>
      <t xml:space="preserve">mix0</t>
    </r>
    <r>
      <rPr>
        <sz val="11"/>
        <color theme="1"/>
        <rFont val="Noto Sans CJK SC"/>
        <family val="2"/>
      </rPr>
      <t xml:space="preserve">）；新增：</t>
    </r>
    <r>
      <rPr>
        <sz val="11"/>
        <color theme="1"/>
        <rFont val="Calibri"/>
        <family val="2"/>
        <charset val="1"/>
      </rPr>
      <t xml:space="preserve">2026 GB300 </t>
    </r>
    <r>
      <rPr>
        <sz val="11"/>
        <color theme="1"/>
        <rFont val="Noto Sans CJK SC"/>
        <family val="2"/>
      </rPr>
      <t xml:space="preserve">錨、</t>
    </r>
    <r>
      <rPr>
        <sz val="11"/>
        <color theme="1"/>
        <rFont val="Calibri"/>
        <family val="2"/>
        <charset val="1"/>
      </rPr>
      <t xml:space="preserve">2027 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各半、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</si>
  <si>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</si>
  <si>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</si>
  <si>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</si>
  <si>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b val="true"/>
        <sz val="11"/>
        <rFont val="Noto Sans CJK SC"/>
        <family val="2"/>
      </rPr>
      <t xml:space="preserve">期末 </t>
    </r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名目算力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</si>
  <si>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</si>
  <si>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</si>
  <si>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</si>
  <si>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</si>
  <si>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</si>
  <si>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：對外出租（</t>
    </r>
    <r>
      <rPr>
        <sz val="11"/>
        <color theme="1"/>
        <rFont val="Calibri"/>
        <family val="2"/>
        <charset val="1"/>
      </rPr>
      <t xml:space="preserve">× ext_sh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</si>
  <si>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：自用（</t>
    </r>
    <r>
      <rPr>
        <sz val="11"/>
        <color theme="1"/>
        <rFont val="Calibri"/>
        <family val="2"/>
        <charset val="1"/>
      </rPr>
      <t xml:space="preserve">×(1 − ext_sh)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</si>
  <si>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在役機隊每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</t>
    </r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依平均在役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</si>
  <si>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本列＝每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核心問題的分母</t>
    </r>
  </si>
  <si>
    <r>
      <rPr>
        <sz val="11"/>
        <color theme="1"/>
        <rFont val="Noto Sans CJK SC"/>
        <family val="2"/>
      </rPr>
      <t xml:space="preserve">在役機隊每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年營運費用（</t>
    </r>
    <r>
      <rPr>
        <sz val="11"/>
        <color theme="1"/>
        <rFont val="Calibri"/>
        <family val="2"/>
        <charset val="1"/>
      </rPr>
      <t xml:space="preserve">IF_OpexGW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</si>
  <si>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對外出租營運費用（對外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營運費用；含電費）</t>
    </r>
  </si>
  <si>
    <r>
      <rPr>
        <sz val="11"/>
        <color theme="1"/>
        <rFont val="Noto Sans CJK SC"/>
        <family val="2"/>
      </rPr>
      <t xml:space="preserve">自用增量營運費用（相對評價日自用機隊；</t>
    </r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</si>
  <si>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評價日自用機隊的營運費用已在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校準的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率內</t>
    </r>
  </si>
  <si>
    <r>
      <rPr>
        <b val="true"/>
        <sz val="11"/>
        <rFont val="Cambria"/>
        <family val="0"/>
        <charset val="1"/>
      </rPr>
      <t xml:space="preserve">C. SI </t>
    </r>
    <r>
      <rPr>
        <b val="true"/>
        <sz val="11"/>
        <rFont val="Noto Sans CJK SC"/>
        <family val="2"/>
      </rPr>
      <t xml:space="preserve">投資（新增 </t>
    </r>
    <r>
      <rPr>
        <b val="true"/>
        <sz val="11"/>
        <rFont val="Cambria"/>
        <family val="0"/>
        <charset val="1"/>
      </rPr>
      <t xml:space="preserve">GW × Tokenomics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成本；汰換只換 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；含以其他融資取得之 </t>
    </r>
    <r>
      <rPr>
        <b val="true"/>
        <sz val="11"/>
        <rFont val="Cambria"/>
        <family val="0"/>
        <charset val="1"/>
      </rPr>
      <t xml:space="preserve">PP&amp;E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</si>
  <si>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 IT </t>
    </r>
    <r>
      <rPr>
        <sz val="11"/>
        <color theme="1"/>
        <rFont val="Noto Sans CJK SC"/>
        <family val="2"/>
      </rPr>
      <t xml:space="preserve">投資（成長）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</si>
  <si>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機房投資（自建比例 </t>
    </r>
    <r>
      <rPr>
        <sz val="11"/>
        <color theme="1"/>
        <rFont val="Calibri"/>
        <family val="2"/>
        <charset val="1"/>
      </rPr>
      <t xml:space="preserve">× IF_CapexFacility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</si>
  <si>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汰換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年前上線，換成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</si>
  <si>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壽命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年底在役 →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汰換，以此類推；汰換後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照常在役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</si>
  <si>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汰換投資（只含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</si>
  <si>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投資合計（現金資本支出＋以其他融資取得）</t>
    </r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</si>
  <si>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39.995</t>
    </r>
    <r>
      <rPr>
        <sz val="11"/>
        <color theme="1"/>
        <rFont val="Noto Sans CJK SC"/>
        <family val="2"/>
      </rPr>
      <t xml:space="preserve">＋以其他融資取得 </t>
    </r>
    <r>
      <rPr>
        <sz val="11"/>
        <color theme="1"/>
        <rFont val="Calibri"/>
        <family val="2"/>
        <charset val="1"/>
      </rPr>
      <t xml:space="preserve">3.921</t>
    </r>
    <r>
      <rPr>
        <sz val="11"/>
        <color theme="1"/>
        <rFont val="Noto Sans CJK SC"/>
        <family val="2"/>
      </rPr>
      <t xml:space="preserve">（推定全屬 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</si>
  <si>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×(1 − fin_sh)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</si>
  <si>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fin_sh</t>
    </r>
    <r>
      <rPr>
        <sz val="11"/>
        <color theme="1"/>
        <rFont val="Noto Sans CJK SC"/>
        <family val="2"/>
      </rPr>
      <t xml:space="preserve">；非現金）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</si>
  <si>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</si>
  <si>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新增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折舊（在建工程與新增投資依年限直線攤提；評價日在役資產的折舊見 </t>
    </r>
    <r>
      <rPr>
        <b val="true"/>
        <sz val="11"/>
        <rFont val="Cambria"/>
        <family val="0"/>
        <charset val="1"/>
      </rPr>
      <t xml:space="preserve">E </t>
    </r>
    <r>
      <rPr>
        <b val="true"/>
        <sz val="11"/>
        <rFont val="Noto Sans CJK SC"/>
        <family val="2"/>
      </rPr>
      <t xml:space="preserve">節基礎折舊）</t>
    </r>
  </si>
  <si>
    <r>
      <rPr>
        <sz val="11"/>
        <color theme="1"/>
        <rFont val="Noto Sans CJK SC"/>
        <family val="2"/>
      </rPr>
      <t xml:space="preserve">在建工程轉入（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年度批次）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</si>
  <si>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修正三：在建工程為已付資產，照時程折舊、不另增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（判斷題）</t>
    </r>
  </si>
  <si>
    <r>
      <rPr>
        <sz val="11"/>
        <color theme="1"/>
        <rFont val="Noto Sans CJK SC"/>
        <family val="2"/>
      </rPr>
      <t xml:space="preserve">在建工程轉入（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）：機房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</si>
  <si>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批次金額（成長＋汰換）</t>
    </r>
  </si>
  <si>
    <t xml:space="preserve">機房批次金額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</si>
  <si>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IT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</si>
  <si>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欄＝年折舊 </t>
    </r>
    <r>
      <rPr>
        <sz val="11"/>
        <color theme="1"/>
        <rFont val="Calibri"/>
        <family val="2"/>
        <charset val="1"/>
      </rPr>
      <t xml:space="preserve">× 0.25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</si>
  <si>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折舊：機房</t>
    </r>
  </si>
  <si>
    <r>
      <rPr>
        <b val="true"/>
        <sz val="11"/>
        <rFont val="Noto Sans CJK SC"/>
        <family val="2"/>
      </rPr>
      <t xml:space="preserve">新增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</t>
    </r>
  </si>
  <si>
    <r>
      <rPr>
        <sz val="11"/>
        <color theme="1"/>
        <rFont val="Noto Sans CJK SC"/>
        <family val="2"/>
      </rPr>
      <t xml:space="preserve">  其中：對外（</t>
    </r>
    <r>
      <rPr>
        <sz val="11"/>
        <color theme="1"/>
        <rFont val="Calibri"/>
        <family val="2"/>
        <charset val="1"/>
      </rPr>
      <t xml:space="preserve">× ext_sh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</si>
  <si>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其中：自用（</t>
    </r>
    <r>
      <rPr>
        <sz val="11"/>
        <color theme="1"/>
        <rFont val="Calibri"/>
        <family val="2"/>
        <charset val="1"/>
      </rPr>
      <t xml:space="preserve">×(1 − ext_sh)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</si>
  <si>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SI </t>
    </r>
    <r>
      <rPr>
        <b val="true"/>
        <sz val="11"/>
        <rFont val="Noto Sans CJK SC"/>
        <family val="2"/>
      </rPr>
      <t xml:space="preserve">評價日在役資產的基礎折舊（隨期初機隊汰換遞減）</t>
    </r>
  </si>
  <si>
    <r>
      <rPr>
        <sz val="11"/>
        <color theme="1"/>
        <rFont val="Noto Sans CJK SC"/>
        <family val="2"/>
      </rPr>
      <t xml:space="preserve">累計已汰換的期初機隊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（當年以半年計）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</si>
  <si>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年折舊（</t>
    </r>
    <r>
      <rPr>
        <sz val="11"/>
        <color theme="1"/>
        <rFont val="Calibri"/>
        <family val="2"/>
        <charset val="1"/>
      </rPr>
      <t xml:space="preserve">Tokenomics IF_DeprIT </t>
    </r>
    <r>
      <rPr>
        <sz val="11"/>
        <color theme="1"/>
        <rFont val="Noto Sans CJK SC"/>
        <family val="2"/>
      </rPr>
      <t xml:space="preserve">依期初占比加權）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</si>
  <si>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基礎折舊＝</t>
    </r>
    <r>
      <rPr>
        <sz val="11"/>
        <color theme="1"/>
        <rFont val="Calibri"/>
        <family val="2"/>
        <charset val="1"/>
      </rPr>
      <t xml:space="preserve">da_si0 − MIN(da_si0 × IT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累計汰換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折舊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</si>
  <si>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折舊攤銷 </t>
    </r>
    <r>
      <rPr>
        <sz val="11"/>
        <color theme="1"/>
        <rFont val="Calibri"/>
        <family val="2"/>
        <charset val="1"/>
      </rPr>
      <t xml:space="preserve">2.473 × 4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無形資產攤銷）；期初機隊汰換後由新購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折舊取代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</si>
  <si>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（讀法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影子效益：自用增量 </t>
    </r>
    <r>
      <rPr>
        <b val="true"/>
        <sz val="11"/>
        <rFont val="Cambria"/>
        <family val="0"/>
        <charset val="1"/>
      </rPr>
      <t xml:space="preserve">GW × Tokenomics </t>
    </r>
    <r>
      <rPr>
        <b val="true"/>
        <sz val="11"/>
        <rFont val="Noto Sans CJK SC"/>
        <family val="2"/>
      </rPr>
      <t xml:space="preserve">持有成本，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；非財報營收）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</si>
  <si>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影子效益（自用增量 </t>
    </r>
    <r>
      <rPr>
        <sz val="11"/>
        <color theme="1"/>
        <rFont val="Calibri"/>
        <family val="2"/>
        <charset val="1"/>
      </rPr>
      <t xml:space="preserve">GW × IF_HoldEcon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</si>
  <si>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原則第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：只進評價口徑（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「營業利益（評價口徑）」、</t>
    </r>
    <r>
      <rPr>
        <sz val="11"/>
        <color theme="1"/>
        <rFont val="Calibri"/>
        <family val="2"/>
        <charset val="1"/>
      </rPr>
      <t xml:space="preserve">Val</t>
    </r>
    <r>
      <rPr>
        <sz val="11"/>
        <color theme="1"/>
        <rFont val="Noto Sans CJK SC"/>
        <family val="2"/>
      </rPr>
      <t xml:space="preserve">）；營收列與分部對帳不動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</si>
  <si>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增量成本（營運＋自用新增折舊）</t>
    </r>
  </si>
  <si>
    <r>
      <rPr>
        <sz val="11"/>
        <color theme="1"/>
        <rFont val="Noto Sans CJK SC"/>
        <family val="2"/>
      </rPr>
      <t xml:space="preserve">  影子效益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</si>
  <si>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＝價值中性（持有成本以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資金成本回收資本）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</si>
  <si>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營收分部層：官方分部 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Launch Services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Launch &amp; Development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Consumer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Enterprise &amp; Government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 Solutions &amp; Infrastructure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 S&amp;I </t>
    </r>
    <r>
      <rPr>
        <sz val="11"/>
        <color theme="1"/>
        <rFont val="Noto Sans CJK SC"/>
        <family val="2"/>
      </rPr>
      <t xml:space="preserve">之下的命題子列＝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對外雲端服務＋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訂閱、資料授權與 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（子列合計＝</t>
    </r>
    <r>
      <rPr>
        <sz val="11"/>
        <color theme="1"/>
        <rFont val="Calibri"/>
        <family val="2"/>
        <charset val="1"/>
      </rPr>
      <t xml:space="preserve">SI S&amp;I</t>
    </r>
    <r>
      <rPr>
        <sz val="11"/>
        <color theme="1"/>
        <rFont val="Noto Sans CJK SC"/>
        <family val="2"/>
      </rPr>
      <t xml:space="preserve">）。情境軸：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年營收的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到達）與 </t>
    </r>
    <r>
      <rPr>
        <sz val="11"/>
        <color theme="1"/>
        <rFont val="Calibri"/>
        <family val="2"/>
        <charset val="1"/>
      </rPr>
      <t xml:space="preserve">Starlink </t>
    </r>
    <r>
      <rPr>
        <sz val="11"/>
        <color theme="1"/>
        <rFont val="Noto Sans CJK SC"/>
        <family val="2"/>
      </rPr>
      <t xml:space="preserve">消費訂戶淨增</t>
    </r>
  </si>
  <si>
    <r>
      <rPr>
        <sz val="11"/>
        <color theme="1"/>
        <rFont val="Noto Sans CJK SC"/>
        <family val="2"/>
      </rPr>
      <t xml:space="preserve">成長路徑：起始年增＝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9M25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頁；近四季需 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，只有二手），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收斂到長期值（</t>
    </r>
    <r>
      <rPr>
        <sz val="11"/>
        <color theme="1"/>
        <rFont val="Calibri"/>
        <family val="2"/>
        <charset val="1"/>
      </rPr>
      <t xml:space="preserve">conv_n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＝客戶發射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每次收入＋發射與開發；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＝平均消費訂戶 </t>
    </r>
    <r>
      <rPr>
        <sz val="11"/>
        <color theme="1"/>
        <rFont val="Calibri"/>
        <family val="2"/>
        <charset val="1"/>
      </rPr>
      <t xml:space="preserve">× ARPU × 3 × </t>
    </r>
    <r>
      <rPr>
        <sz val="11"/>
        <color theme="1"/>
        <rFont val="Noto Sans CJK SC"/>
        <family val="2"/>
      </rPr>
      <t xml:space="preserve">係數（含 </t>
    </r>
    <r>
      <rPr>
        <sz val="11"/>
        <color theme="1"/>
        <rFont val="Calibri"/>
        <family val="2"/>
        <charset val="1"/>
      </rPr>
      <t xml:space="preserve">Kits</t>
    </r>
    <r>
      <rPr>
        <sz val="11"/>
        <color theme="1"/>
        <rFont val="Noto Sans CJK SC"/>
        <family val="2"/>
      </rPr>
      <t xml:space="preserve">）＋企業與政府；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對外出租＝對外 </t>
    </r>
    <r>
      <rPr>
        <sz val="11"/>
        <color theme="1"/>
        <rFont val="Calibri"/>
        <family val="2"/>
        <charset val="1"/>
      </rPr>
      <t xml:space="preserve">GW × k ×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其他以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備考全季（含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全季）為基期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</si>
  <si>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（算力租金維持高檔、</t>
    </r>
    <r>
      <rPr>
        <b val="true"/>
        <sz val="11"/>
        <rFont val="Cambria"/>
        <family val="0"/>
        <charset val="1"/>
      </rPr>
      <t xml:space="preserve">Starlink </t>
    </r>
    <r>
      <rPr>
        <b val="true"/>
        <sz val="11"/>
        <rFont val="Noto Sans CJK SC"/>
        <family val="2"/>
      </rPr>
      <t xml:space="preserve">增長快）</t>
    </r>
  </si>
  <si>
    <r>
      <rPr>
        <sz val="11"/>
        <color theme="1"/>
        <rFont val="Calibri"/>
        <family val="2"/>
        <charset val="1"/>
      </rPr>
      <t xml:space="preserve">  k</t>
    </r>
    <r>
      <rPr>
        <sz val="11"/>
        <color theme="1"/>
        <rFont val="Noto Sans CJK SC"/>
        <family val="2"/>
      </rPr>
      <t xml:space="preserve">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＝校準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＝情境值）</t>
    </r>
  </si>
  <si>
    <r>
      <rPr>
        <sz val="11"/>
        <color theme="1"/>
        <rFont val="Noto Sans CJK SC"/>
        <family val="2"/>
      </rPr>
      <t xml:space="preserve">  對外每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在役機隊持有成本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</si>
  <si>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對外雲端服務（命題子列）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</si>
  <si>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年營收；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SI S&amp;I) × ext_sh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Customer B </t>
    </r>
    <r>
      <rPr>
        <sz val="11"/>
        <color theme="1"/>
        <rFont val="Noto Sans CJK SC"/>
        <family val="2"/>
      </rPr>
      <t xml:space="preserve">衍生）</t>
    </r>
  </si>
  <si>
    <r>
      <rPr>
        <sz val="11"/>
        <color theme="1"/>
        <rFont val="Calibri"/>
        <family val="2"/>
        <charset val="1"/>
      </rPr>
      <t xml:space="preserve">  SI </t>
    </r>
    <r>
      <rPr>
        <sz val="11"/>
        <color theme="1"/>
        <rFont val="Noto Sans CJK SC"/>
        <family val="2"/>
      </rPr>
      <t xml:space="preserve">其他收入年增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</si>
  <si>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g27_nr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備考年化為基期），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gl_nr</t>
    </r>
  </si>
  <si>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訂閱、資料授權與 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</si>
  <si>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值＋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備考補足（審查第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條：以備考全季為起點）；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26 × 4 ×(1</t>
    </r>
    <r>
      <rPr>
        <sz val="11"/>
        <color theme="1"/>
        <rFont val="Noto Sans CJK SC"/>
        <family val="2"/>
      </rPr>
      <t xml:space="preserve">＋年增</t>
    </r>
    <r>
      <rPr>
        <sz val="11"/>
        <color theme="1"/>
        <rFont val="Calibri"/>
        <family val="2"/>
        <charset val="1"/>
      </rPr>
      <t xml:space="preserve">)^0.625</t>
    </r>
  </si>
  <si>
    <r>
      <rPr>
        <sz val="11"/>
        <color theme="1"/>
        <rFont val="Calibri"/>
        <family val="2"/>
        <charset val="1"/>
      </rPr>
      <t xml:space="preserve">  Advertising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</si>
  <si>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起點＝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gl_ads</t>
    </r>
  </si>
  <si>
    <t xml:space="preserve">SI (Super Intelligence; formerly AI)</t>
  </si>
  <si>
    <t xml:space="preserve">  客戶發射次數</t>
  </si>
  <si>
    <t xml:space="preserve">  每次客戶發射收入</t>
  </si>
  <si>
    <r>
      <rPr>
        <sz val="11"/>
        <color theme="1"/>
        <rFont val="Calibri"/>
        <family val="2"/>
        <charset val="1"/>
      </rPr>
      <t xml:space="preserve">  Launch &amp; Development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</si>
  <si>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季均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＋年增</t>
    </r>
    <r>
      <rPr>
        <sz val="11"/>
        <color theme="1"/>
        <rFont val="Calibri"/>
        <family val="2"/>
        <charset val="1"/>
      </rPr>
      <t xml:space="preserve">)^0.25</t>
    </r>
    <r>
      <rPr>
        <sz val="11"/>
        <color theme="1"/>
        <rFont val="Noto Sans CJK SC"/>
        <family val="2"/>
      </rPr>
      <t xml:space="preserve">（里程碑收入不規則）</t>
    </r>
  </si>
  <si>
    <t xml:space="preserve">Space</t>
  </si>
  <si>
    <r>
      <rPr>
        <sz val="11"/>
        <color theme="1"/>
        <rFont val="Calibri"/>
        <family val="2"/>
        <charset val="1"/>
      </rPr>
      <t xml:space="preserve">  Starlink </t>
    </r>
    <r>
      <rPr>
        <sz val="11"/>
        <color theme="1"/>
        <rFont val="Noto Sans CJK SC"/>
        <family val="2"/>
      </rPr>
      <t xml:space="preserve">消費訂戶（期末，百萬）</t>
    </r>
  </si>
  <si>
    <t xml:space="preserve">  平均消費訂戶</t>
  </si>
  <si>
    <r>
      <rPr>
        <sz val="11"/>
        <color theme="1"/>
        <rFont val="Noto Sans CJK SC"/>
        <family val="2"/>
      </rPr>
      <t xml:space="preserve">  消費 </t>
    </r>
    <r>
      <rPr>
        <sz val="11"/>
        <color theme="1"/>
        <rFont val="Calibri"/>
        <family val="2"/>
        <charset val="1"/>
      </rPr>
      <t xml:space="preserve">ARPU</t>
    </r>
    <r>
      <rPr>
        <sz val="11"/>
        <color theme="1"/>
        <rFont val="Noto Sans CJK SC"/>
        <family val="2"/>
      </rPr>
      <t xml:space="preserve">（美元／月）</t>
    </r>
  </si>
  <si>
    <r>
      <rPr>
        <sz val="11"/>
        <color theme="1"/>
        <rFont val="Noto Sans CJK SC"/>
        <family val="2"/>
      </rPr>
      <t xml:space="preserve">平均訂戶 </t>
    </r>
    <r>
      <rPr>
        <sz val="11"/>
        <color theme="1"/>
        <rFont val="Calibri"/>
        <family val="2"/>
        <charset val="1"/>
      </rPr>
      <t xml:space="preserve">× ARPU × </t>
    </r>
    <r>
      <rPr>
        <sz val="11"/>
        <color theme="1"/>
        <rFont val="Noto Sans CJK SC"/>
        <family val="2"/>
      </rPr>
      <t xml:space="preserve">月數 </t>
    </r>
    <r>
      <rPr>
        <sz val="11"/>
        <color theme="1"/>
        <rFont val="Calibri"/>
        <family val="2"/>
        <charset val="1"/>
      </rPr>
      <t xml:space="preserve">× uplift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校準，含 </t>
    </r>
    <r>
      <rPr>
        <sz val="11"/>
        <color theme="1"/>
        <rFont val="Calibri"/>
        <family val="2"/>
        <charset val="1"/>
      </rPr>
      <t xml:space="preserve">Kits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</si>
  <si>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Enterprise &amp; Government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</si>
  <si>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起點＝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+70%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gl_eg</t>
    </r>
  </si>
  <si>
    <t xml:space="preserve">Connectivity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</si>
  <si>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SI S&amp;I </t>
    </r>
    <r>
      <rPr>
        <sz val="11"/>
        <color theme="1"/>
        <rFont val="Noto Sans CJK SC"/>
        <family val="2"/>
      </rPr>
      <t xml:space="preserve">命題子列合計 − </t>
    </r>
    <r>
      <rPr>
        <sz val="11"/>
        <color theme="1"/>
        <rFont val="Calibri"/>
        <family val="2"/>
        <charset val="1"/>
      </rPr>
      <t xml:space="preserve">SI Solutions &amp; Infrastructure</t>
    </r>
  </si>
  <si>
    <r>
      <rPr>
        <sz val="11"/>
        <color theme="1"/>
        <rFont val="Noto Sans CJK SC"/>
        <family val="2"/>
      </rPr>
      <t xml:space="preserve">檢查：實績欄合併營收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</si>
  <si>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年持有成本（＝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</si>
  <si>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：與 </t>
    </r>
    <r>
      <rPr>
        <sz val="11"/>
        <color theme="1"/>
        <rFont val="Calibri"/>
        <family val="2"/>
        <charset val="1"/>
      </rPr>
      <t xml:space="preserve">OpenAI PxQ </t>
    </r>
    <r>
      <rPr>
        <sz val="11"/>
        <color theme="1"/>
        <rFont val="Noto Sans CJK SC"/>
        <family val="2"/>
      </rPr>
      <t xml:space="preserve">頁同口徑；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欄為核心問題比值（</t>
    </r>
    <r>
      <rPr>
        <sz val="11"/>
        <color theme="1"/>
        <rFont val="Calibri"/>
        <family val="2"/>
        <charset val="1"/>
      </rPr>
      <t xml:space="preserve">&gt; 1</t>
    </r>
    <r>
      <rPr>
        <sz val="11"/>
        <color theme="1"/>
        <rFont val="Noto Sans CJK SC"/>
        <family val="2"/>
      </rPr>
      <t xml:space="preserve">＝租金高於打平持有成本）</t>
    </r>
  </si>
  <si>
    <r>
      <rPr>
        <sz val="11"/>
        <color theme="1"/>
        <rFont val="Calibri"/>
        <family val="2"/>
        <charset val="1"/>
      </rPr>
      <t xml:space="preserve">  Space </t>
    </r>
    <r>
      <rPr>
        <sz val="11"/>
        <color theme="1"/>
        <rFont val="Noto Sans CJK SC"/>
        <family val="2"/>
      </rPr>
      <t xml:space="preserve">資本支出占營收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</si>
  <si>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Space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</si>
  <si>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cx_cn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</si>
  <si>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新增折舊：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life_sp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</si>
  <si>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新增折舊：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life_cn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</si>
  <si>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（租金向持有成本部分收斂；基準）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</si>
  <si>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（租金收斂到持有成本、</t>
    </r>
    <r>
      <rPr>
        <b val="true"/>
        <sz val="11"/>
        <rFont val="Cambria"/>
        <family val="0"/>
        <charset val="1"/>
      </rPr>
      <t xml:space="preserve">Starlink </t>
    </r>
    <r>
      <rPr>
        <b val="true"/>
        <sz val="11"/>
        <rFont val="Noto Sans CJK SC"/>
        <family val="2"/>
      </rPr>
      <t xml:space="preserve">增長放緩）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</si>
  <si>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分部營收 → 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（公司定義，不含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）− 折舊攤銷 − 股權報酬（含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收購後服務期獎酬）→ 分部營業利益 → 合併 → 利息 → 稅 → 淨利 →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（三情境；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美元）。實績欄 </t>
    </r>
    <r>
      <rPr>
        <sz val="11"/>
        <color theme="1"/>
        <rFont val="Calibri"/>
        <family val="2"/>
        <charset val="1"/>
      </rPr>
      <t xml:space="preserve">FY2025*</t>
    </r>
    <r>
      <rPr>
        <sz val="11"/>
        <color theme="1"/>
        <rFont val="Noto Sans CJK SC"/>
        <family val="2"/>
      </rPr>
      <t xml:space="preserve">（二手轉述 </t>
    </r>
    <r>
      <rPr>
        <sz val="11"/>
        <color theme="1"/>
        <rFont val="Calibri"/>
        <family val="2"/>
        <charset val="1"/>
      </rPr>
      <t xml:space="preserve">S-1</t>
    </r>
    <r>
      <rPr>
        <sz val="11"/>
        <color theme="1"/>
        <rFont val="Noto Sans CJK SC"/>
        <family val="2"/>
      </rPr>
      <t xml:space="preserve">，只有分部營收與營業利益）、</t>
    </r>
    <r>
      <rPr>
        <sz val="11"/>
        <color theme="1"/>
        <rFont val="Calibri"/>
        <family val="2"/>
        <charset val="1"/>
      </rPr>
      <t xml:space="preserve">9M25A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9M26A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</si>
  <si>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利益率（</t>
    </r>
    <r>
      <rPr>
        <sz val="11"/>
        <color theme="1"/>
        <rFont val="Calibri"/>
        <family val="2"/>
        <charset val="1"/>
      </rPr>
      <t xml:space="preserve">9M26 −5.9% → FY2030 m_spl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m_cn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＝對外出租營收 − 對外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營運費用（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 </t>
    </r>
    <r>
      <rPr>
        <sz val="11"/>
        <color theme="1"/>
        <rFont val="Calibri"/>
        <family val="2"/>
        <charset val="1"/>
      </rPr>
      <t xml:space="preserve">× m_so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校準） − 自用增量營運費用。折舊：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基礎折舊（</t>
    </r>
    <r>
      <rPr>
        <sz val="11"/>
        <color theme="1"/>
        <rFont val="Calibri"/>
        <family val="2"/>
        <charset val="1"/>
      </rPr>
      <t xml:space="preserve">2026Q3 × 4</t>
    </r>
    <r>
      <rPr>
        <sz val="11"/>
        <color theme="1"/>
        <rFont val="Noto Sans CJK SC"/>
        <family val="2"/>
      </rPr>
      <t xml:space="preserve">，直線遞減到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）＋新增資本支出折舊；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＝基礎折舊（汰換遞減）＋新增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折舊。三分部合計＝合併（無公司層級調節項）</t>
    </r>
  </si>
  <si>
    <r>
      <rPr>
        <b val="true"/>
        <sz val="11"/>
        <rFont val="Noto Sans CJK SC"/>
        <family val="2"/>
      </rPr>
      <t xml:space="preserve">分部對帳彙總（三情境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全部年度取絕對值最大者；實績欄同列）</t>
    </r>
  </si>
  <si>
    <r>
      <rPr>
        <sz val="11"/>
        <color theme="1"/>
        <rFont val="Noto Sans CJK SC"/>
        <family val="2"/>
      </rPr>
      <t xml:space="preserve">三情境各區塊同名核對列的最大絕對值；必須為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tools/segment_check </t>
    </r>
    <r>
      <rPr>
        <sz val="11"/>
        <color theme="1"/>
        <rFont val="Noto Sans CJK SC"/>
        <family val="2"/>
      </rPr>
      <t xml:space="preserve">讀本列）</t>
    </r>
  </si>
  <si>
    <t xml:space="preserve">檢查：分部營業利益合計 − 合併營業利益</t>
  </si>
  <si>
    <t xml:space="preserve">  合併營收年增</t>
  </si>
  <si>
    <r>
      <rPr>
        <sz val="11"/>
        <color theme="1"/>
        <rFont val="Calibri"/>
        <family val="2"/>
        <charset val="1"/>
      </rPr>
      <t xml:space="preserve">  Space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 → FY2030 m_spl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</si>
  <si>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</si>
  <si>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</si>
  <si>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  SI </t>
    </r>
    <r>
      <rPr>
        <sz val="11"/>
        <color theme="1"/>
        <rFont val="Noto Sans CJK SC"/>
        <family val="2"/>
      </rPr>
      <t xml:space="preserve">對外出租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（營收 − 對外 </t>
    </r>
    <r>
      <rPr>
        <sz val="11"/>
        <color theme="1"/>
        <rFont val="Calibri"/>
        <family val="2"/>
        <charset val="1"/>
      </rPr>
      <t xml:space="preserve">GW × Tokenomics </t>
    </r>
    <r>
      <rPr>
        <sz val="11"/>
        <color theme="1"/>
        <rFont val="Noto Sans CJK SC"/>
        <family val="2"/>
      </rPr>
      <t xml:space="preserve">營運費用）</t>
    </r>
  </si>
  <si>
    <r>
      <rPr>
        <sz val="11"/>
        <color theme="1"/>
        <rFont val="Calibri"/>
        <family val="2"/>
        <charset val="1"/>
      </rPr>
      <t xml:space="preserve">  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(SI </t>
    </r>
    <r>
      <rPr>
        <sz val="11"/>
        <color theme="1"/>
        <rFont val="Noto Sans CJK SC"/>
        <family val="2"/>
      </rPr>
      <t xml:space="preserve">其他收入＋廣告</t>
    </r>
    <r>
      <rPr>
        <sz val="11"/>
        <color theme="1"/>
        <rFont val="Calibri"/>
        <family val="2"/>
        <charset val="1"/>
      </rPr>
      <t xml:space="preserve">) × m_so − </t>
    </r>
    <r>
      <rPr>
        <sz val="11"/>
        <color theme="1"/>
        <rFont val="Noto Sans CJK SC"/>
        <family val="2"/>
      </rPr>
      <t xml:space="preserve">自用增量營運費用）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</si>
  <si>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</si>
  <si>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合併調整後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（分部合計）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</si>
  <si>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折舊攤銷（基礎遞減＋新增）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</si>
  <si>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折舊攤銷（基礎遞減＋新增）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</si>
  <si>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折舊攤銷（基礎＋新增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</si>
  <si>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折舊攤銷合計</t>
  </si>
  <si>
    <r>
      <rPr>
        <sz val="11"/>
        <color theme="1"/>
        <rFont val="Noto Sans CJK SC"/>
        <family val="2"/>
      </rPr>
      <t xml:space="preserve">  其中：新增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</si>
  <si>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股權報酬（一般；營收 </t>
    </r>
    <r>
      <rPr>
        <sz val="11"/>
        <color theme="1"/>
        <rFont val="Calibri"/>
        <family val="2"/>
        <charset val="1"/>
      </rPr>
      <t xml:space="preserve">× 2026Q3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</si>
  <si>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股權報酬（一般；營收 </t>
    </r>
    <r>
      <rPr>
        <sz val="11"/>
        <color theme="1"/>
        <rFont val="Calibri"/>
        <family val="2"/>
        <charset val="1"/>
      </rPr>
      <t xml:space="preserve">× 2026Q3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</si>
  <si>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股權報酬（一般；營收 </t>
    </r>
    <r>
      <rPr>
        <sz val="11"/>
        <color theme="1"/>
        <rFont val="Calibri"/>
        <family val="2"/>
        <charset val="1"/>
      </rPr>
      <t xml:space="preserve">× 2026Q3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</si>
  <si>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收購相關股權報酬（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）與其他調節項（收購成本、重組、減損）</t>
    </r>
  </si>
  <si>
    <r>
      <rPr>
        <sz val="11"/>
        <color theme="1"/>
        <rFont val="Noto Sans CJK SC"/>
        <family val="2"/>
      </rPr>
      <t xml:space="preserve">預測期只有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收購後服務期獎酬（直線攤到 </t>
    </r>
    <r>
      <rPr>
        <sz val="11"/>
        <color theme="1"/>
        <rFont val="Calibri"/>
        <family val="2"/>
        <charset val="1"/>
      </rPr>
      <t xml:space="preserve">2029-06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9M25 </t>
    </r>
    <r>
      <rPr>
        <sz val="11"/>
        <color theme="1"/>
        <rFont val="Noto Sans CJK SC"/>
        <family val="2"/>
      </rPr>
      <t xml:space="preserve">的重組與減損另含在下方實績差額</t>
    </r>
  </si>
  <si>
    <t xml:space="preserve">股權報酬與其他調節合計</t>
  </si>
  <si>
    <r>
      <rPr>
        <b val="true"/>
        <sz val="11"/>
        <rFont val="Cambria"/>
        <family val="0"/>
        <charset val="1"/>
      </rPr>
      <t xml:space="preserve">Space </t>
    </r>
    <r>
      <rPr>
        <b val="true"/>
        <sz val="11"/>
        <rFont val="Noto Sans CJK SC"/>
        <family val="2"/>
      </rPr>
      <t xml:space="preserve">分部營業利益</t>
    </r>
  </si>
  <si>
    <r>
      <rPr>
        <b val="true"/>
        <sz val="11"/>
        <rFont val="Cambria"/>
        <family val="0"/>
        <charset val="1"/>
      </rPr>
      <t xml:space="preserve">Connectivity </t>
    </r>
    <r>
      <rPr>
        <b val="true"/>
        <sz val="11"/>
        <rFont val="Noto Sans CJK SC"/>
        <family val="2"/>
      </rPr>
      <t xml:space="preserve">分部營業利益</t>
    </r>
  </si>
  <si>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分部營業利益</t>
    </r>
  </si>
  <si>
    <t xml:space="preserve">分部營業利益合計</t>
  </si>
  <si>
    <t xml:space="preserve">合併營業利益</t>
  </si>
  <si>
    <r>
      <rPr>
        <sz val="11"/>
        <color theme="1"/>
        <rFont val="Noto Sans CJK SC"/>
        <family val="2"/>
      </rPr>
      <t xml:space="preserve">預測期＝合併調整後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折舊攤銷 − 股權報酬與調節（與分部合計獨立計算）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</si>
  <si>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；非財報營收）</t>
    </r>
  </si>
  <si>
    <r>
      <rPr>
        <b val="true"/>
        <sz val="11"/>
        <rFont val="Noto Sans CJK SC"/>
        <family val="2"/>
      </rPr>
      <t xml:space="preserve">營業利益（評價口徑；讀法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含影子效益）</t>
    </r>
  </si>
  <si>
    <t xml:space="preserve">  營業利益率</t>
  </si>
  <si>
    <r>
      <rPr>
        <sz val="11"/>
        <color theme="1"/>
        <rFont val="Calibri"/>
        <family val="2"/>
        <charset val="1"/>
      </rPr>
      <t xml:space="preserve">  SI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</si>
  <si>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  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</si>
  <si>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利息收入（期初現金 </t>
    </r>
    <r>
      <rPr>
        <sz val="11"/>
        <color theme="1"/>
        <rFont val="Calibri"/>
        <family val="2"/>
        <charset val="1"/>
      </rPr>
      <t xml:space="preserve">× r_cash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</si>
  <si>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利息費用（期初債務 </t>
    </r>
    <r>
      <rPr>
        <sz val="11"/>
        <color theme="1"/>
        <rFont val="Calibri"/>
        <family val="2"/>
        <charset val="1"/>
      </rPr>
      <t xml:space="preserve">× r_debt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</si>
  <si>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其他收益（預測期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</si>
  <si>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9M26 −0.937</t>
    </r>
    <r>
      <rPr>
        <sz val="11"/>
        <color theme="1"/>
        <rFont val="Noto Sans CJK SC"/>
        <family val="2"/>
      </rPr>
      <t xml:space="preserve">（含債務清償損失 </t>
    </r>
    <r>
      <rPr>
        <sz val="11"/>
        <color theme="1"/>
        <rFont val="Calibri"/>
        <family val="2"/>
        <charset val="1"/>
      </rPr>
      <t xml:space="preserve">1.544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TBC </t>
    </r>
    <r>
      <rPr>
        <sz val="11"/>
        <color theme="1"/>
        <rFont val="Noto Sans CJK SC"/>
        <family val="2"/>
      </rPr>
      <t xml:space="preserve">利益 </t>
    </r>
    <r>
      <rPr>
        <sz val="11"/>
        <color theme="1"/>
        <rFont val="Calibri"/>
        <family val="2"/>
        <charset val="1"/>
      </rPr>
      <t xml:space="preserve">0.561</t>
    </r>
    <r>
      <rPr>
        <sz val="11"/>
        <color theme="1"/>
        <rFont val="Noto Sans CJK SC"/>
        <family val="2"/>
      </rPr>
      <t xml:space="preserve">）</t>
    </r>
  </si>
  <si>
    <t xml:space="preserve">所得稅</t>
  </si>
  <si>
    <t xml:space="preserve">淨利</t>
  </si>
  <si>
    <r>
      <rPr>
        <sz val="11"/>
        <color theme="1"/>
        <rFont val="Noto Sans CJK SC"/>
        <family val="2"/>
      </rPr>
      <t xml:space="preserve">檢查：實績淨利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</si>
  <si>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視同股利（特別股轉換）</t>
  </si>
  <si>
    <t xml:space="preserve">歸屬普通股淨利</t>
  </si>
  <si>
    <t xml:space="preserve">期末股數（十億股）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</si>
  <si>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期末＝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股；之後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dil × </t>
    </r>
    <r>
      <rPr>
        <sz val="11"/>
        <color theme="1"/>
        <rFont val="Noto Sans CJK SC"/>
        <family val="2"/>
      </rPr>
      <t xml:space="preserve">期間長度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；不買回</t>
    </r>
  </si>
  <si>
    <t xml:space="preserve">平均稀釋股數（十億股）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</si>
  <si>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前後加權（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</si>
  <si>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</si>
  <si>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含稅後影子效益，美元）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</si>
  <si>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現金流（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）。營運現金＝淨利＋折舊＋股權報酬＋營運資金；資本支出＝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）。收支關卡口徑（審查第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條，預設）＝營運現金 − 資本支出 − 融資租賃本金 −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失敗售後租回本金償還 − 以其他融資取得之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；公司口徑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＝營運現金 − 資本支出（並列）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</si>
  <si>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85.7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前發行 </t>
    </r>
    <r>
      <rPr>
        <sz val="11"/>
        <color theme="1"/>
        <rFont val="Calibri"/>
        <family val="2"/>
        <charset val="1"/>
      </rPr>
      <t xml:space="preserve">8.3</t>
    </r>
    <r>
      <rPr>
        <sz val="11"/>
        <color theme="1"/>
        <rFont val="Noto Sans CJK SC"/>
        <family val="2"/>
      </rPr>
      <t xml:space="preserve">、發債 </t>
    </r>
    <r>
      <rPr>
        <sz val="11"/>
        <color theme="1"/>
        <rFont val="Calibri"/>
        <family val="2"/>
        <charset val="1"/>
      </rPr>
      <t xml:space="preserve">51.8</t>
    </r>
    <r>
      <rPr>
        <sz val="11"/>
        <color theme="1"/>
        <rFont val="Noto Sans CJK SC"/>
        <family val="2"/>
      </rPr>
      <t xml:space="preserve">／償還 </t>
    </r>
    <r>
      <rPr>
        <sz val="11"/>
        <color theme="1"/>
        <rFont val="Calibri"/>
        <family val="2"/>
        <charset val="1"/>
      </rPr>
      <t xml:space="preserve">39.8</t>
    </r>
    <r>
      <rPr>
        <sz val="11"/>
        <color theme="1"/>
        <rFont val="Noto Sans CJK SC"/>
        <family val="2"/>
      </rPr>
      <t xml:space="preserve">（過橋與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舊債清償）。預測期不配息、不買回；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頻譜現金（</t>
    </r>
    <r>
      <rPr>
        <sz val="11"/>
        <color theme="1"/>
        <rFont val="Calibri"/>
        <family val="2"/>
        <charset val="1"/>
      </rPr>
      <t xml:space="preserve">2026Q4 0.385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9.328</t>
    </r>
    <r>
      <rPr>
        <sz val="11"/>
        <color theme="1"/>
        <rFont val="Noto Sans CJK SC"/>
        <family val="2"/>
      </rPr>
      <t xml:space="preserve">）列投資活動（按成本、價值中性）；現金低於最低現金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時以新債補足。失敗售後租回本金與資本支出可能重複扣（資產購置計入資本支出、售後租回現金列融資流入）——列為判斷題</t>
    </r>
  </si>
  <si>
    <r>
      <rPr>
        <b val="true"/>
        <sz val="11"/>
        <rFont val="Noto Sans CJK SC"/>
        <family val="2"/>
      </rPr>
      <t xml:space="preserve">收支關卡（地圖讀這兩列；</t>
    </r>
    <r>
      <rPr>
        <b val="true"/>
        <sz val="11"/>
        <rFont val="Cambria"/>
        <family val="0"/>
        <charset val="1"/>
      </rPr>
      <t xml:space="preserve">FY2026–FY2030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含 </t>
    </r>
    <r>
      <rPr>
        <b val="true"/>
        <sz val="11"/>
        <rFont val="Cambria"/>
        <family val="0"/>
        <charset val="1"/>
      </rPr>
      <t xml:space="preserve">9M </t>
    </r>
    <r>
      <rPr>
        <b val="true"/>
        <sz val="11"/>
        <rFont val="Noto Sans CJK SC"/>
        <family val="2"/>
      </rPr>
      <t xml:space="preserve">實績）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</si>
  <si>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</si>
  <si>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</si>
  <si>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</si>
  <si>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t xml:space="preserve">收支關卡：自由現金流（收支關卡口徑，五年合計）</t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</si>
  <si>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條預設口徑；負值＝入不敷出（由 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現金與舉債支應）</t>
    </r>
  </si>
  <si>
    <r>
      <rPr>
        <sz val="11"/>
        <color theme="1"/>
        <rFont val="Noto Sans CJK SC"/>
        <family val="2"/>
      </rPr>
      <t xml:space="preserve">  對照：公司口徑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（營運現金 − 資本支出，五年合計）</t>
    </r>
  </si>
  <si>
    <r>
      <rPr>
        <sz val="11"/>
        <color theme="1"/>
        <rFont val="Noto Sans CJK SC"/>
        <family val="2"/>
      </rPr>
      <t xml:space="preserve">公司口徑（不扣融資租賃、失敗售後租回、以融資取得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</si>
  <si>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t xml:space="preserve">  其中：五年新增舉債</t>
  </si>
  <si>
    <r>
      <rPr>
        <sz val="11"/>
        <color theme="1"/>
        <rFont val="Noto Sans CJK SC"/>
        <family val="2"/>
      </rPr>
      <t xml:space="preserve">  期末淨現金 </t>
    </r>
    <r>
      <rPr>
        <sz val="11"/>
        <color theme="1"/>
        <rFont val="Calibri"/>
        <family val="2"/>
        <charset val="1"/>
      </rPr>
      <t xml:space="preserve">FY2030</t>
    </r>
  </si>
  <si>
    <t xml:space="preserve">是否需要舉債</t>
  </si>
  <si>
    <r>
      <rPr>
        <sz val="11"/>
        <color theme="1"/>
        <rFont val="Noto Sans CJK SC"/>
        <family val="2"/>
      </rPr>
      <t xml:space="preserve">檢查：收支關卡 − 首年起五年逐欄加總（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＋…＋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</si>
  <si>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股權報酬（非現金；含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收購後服務期獎酬）</t>
    </r>
  </si>
  <si>
    <t xml:space="preserve">營運資金變動（流入＋）</t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</si>
  <si>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wc_k ×(Q4 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營收〔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二手 − </t>
    </r>
    <r>
      <rPr>
        <sz val="11"/>
        <color theme="1"/>
        <rFont val="Calibri"/>
        <family val="2"/>
        <charset val="1"/>
      </rPr>
      <t xml:space="preserve">9M25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；之後＝營收增量 </t>
    </r>
    <r>
      <rPr>
        <sz val="11"/>
        <color theme="1"/>
        <rFont val="Calibri"/>
        <family val="2"/>
        <charset val="1"/>
      </rPr>
      <t xml:space="preserve">× wc_k</t>
    </r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</si>
  <si>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實績差額：營運資金、遞延稅、清償損失等；預測期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</si>
  <si>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Connectivity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</si>
  <si>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（現金）</t>
    </r>
  </si>
  <si>
    <t xml:space="preserve">資本支出合計（現金）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</si>
  <si>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資本支出 −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購置不動產與設備</t>
    </r>
  </si>
  <si>
    <r>
      <rPr>
        <sz val="11"/>
        <color theme="1"/>
        <rFont val="Noto Sans CJK SC"/>
        <family val="2"/>
      </rPr>
      <t xml:space="preserve">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（非現金；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</si>
  <si>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失敗售後租回與設備融資本金償還（債務到期表）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</si>
  <si>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未單獨揭露（資料缺口，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）；預測期＝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到期表（</t>
    </r>
    <r>
      <rPr>
        <sz val="11"/>
        <color theme="1"/>
        <rFont val="Calibri"/>
        <family val="2"/>
        <charset val="1"/>
      </rPr>
      <t xml:space="preserve">SpaceX Notes 2031 </t>
    </r>
    <r>
      <rPr>
        <sz val="11"/>
        <color theme="1"/>
        <rFont val="Noto Sans CJK SC"/>
        <family val="2"/>
      </rPr>
      <t xml:space="preserve">前無重大本金 → 推定主要為失敗售後租回）</t>
    </r>
  </si>
  <si>
    <r>
      <rPr>
        <b val="true"/>
        <sz val="11"/>
        <rFont val="Noto Sans CJK SC"/>
        <family val="2"/>
      </rPr>
      <t xml:space="preserve">自由現金流（收支關卡口徑：− 融資租賃本金 − 失敗售後租回本金 − 以其他融資取得 </t>
    </r>
    <r>
      <rPr>
        <b val="true"/>
        <sz val="11"/>
        <rFont val="Cambria"/>
        <family val="0"/>
        <charset val="1"/>
      </rPr>
      <t xml:space="preserve">PP&amp;E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</si>
  <si>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頻譜（投資活動；按成本）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</si>
  <si>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債務淨流入／預測期已知新債</t>
    </r>
  </si>
  <si>
    <r>
      <rPr>
        <sz val="11"/>
        <color theme="1"/>
        <rFont val="Noto Sans CJK SC"/>
        <family val="2"/>
      </rPr>
      <t xml:space="preserve">股權淨流入（</t>
    </r>
    <r>
      <rPr>
        <sz val="11"/>
        <color theme="1"/>
        <rFont val="Calibri"/>
        <family val="2"/>
        <charset val="1"/>
      </rPr>
      <t xml:space="preserve">9M26 IPO </t>
    </r>
    <r>
      <rPr>
        <sz val="11"/>
        <color theme="1"/>
        <rFont val="Noto Sans CJK SC"/>
        <family val="2"/>
      </rPr>
      <t xml:space="preserve">等）</t>
    </r>
  </si>
  <si>
    <t xml:space="preserve">期初現金（現金＋有價證券）</t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</si>
  <si>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實績差額：收購現金、產品回饋金、匯率、頻譜預付等；預測期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</si>
  <si>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新債前現金</t>
  </si>
  <si>
    <t xml:space="preserve">新增舉債（現金低於最低現金時）</t>
  </si>
  <si>
    <t xml:space="preserve">期末現金（現金＋有價證券）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</si>
  <si>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期末現金 −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資產負債表</t>
    </r>
  </si>
  <si>
    <t xml:space="preserve">期初債務本金</t>
  </si>
  <si>
    <r>
      <rPr>
        <sz val="11"/>
        <color theme="1"/>
        <rFont val="Noto Sans CJK SC"/>
        <family val="2"/>
      </rPr>
      <t xml:space="preserve">期末債務本金（＋以其他融資取得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</si>
  <si>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t xml:space="preserve">淨現金（現金 − 債務）</t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</si>
  <si>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2027-10-30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頁，黃底＝判斷題）。分部加總即本模型的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（在分部層做）。主值＝自用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），讀法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並列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</si>
  <si>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：無槓桿自由現金流（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＋折舊 − 全部投資〔現金資本支出＋以其他融資取得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〕＋營運資金；股權報酬視為成本、不加回）以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折現到評價日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（期中慣例），終值＝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推到目標時點。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：目標時點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同業倍數；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對外出租用自身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／營收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</si>
  <si>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</si>
  <si>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對照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</si>
  <si>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</si>
  <si>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</si>
  <si>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＝分部加總（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）情境加權；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其他用同業倍數，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對外出租用自身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／營收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</si>
  <si>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</si>
  <si>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Equibles </t>
    </r>
    <r>
      <rPr>
        <sz val="11"/>
        <color theme="1"/>
        <rFont val="Noto Sans CJK SC"/>
        <family val="2"/>
      </rPr>
      <t xml:space="preserve">兩來源一致（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</si>
  <si>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</si>
  <si>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MarketBeat 46 </t>
    </r>
    <r>
      <rPr>
        <sz val="11"/>
        <color theme="1"/>
        <rFont val="Noto Sans CJK SC"/>
        <family val="2"/>
      </rPr>
      <t xml:space="preserve">位分析師平均（含 </t>
    </r>
    <r>
      <rPr>
        <sz val="11"/>
        <color theme="1"/>
        <rFont val="Calibri"/>
        <family val="2"/>
        <charset val="1"/>
      </rPr>
      <t xml:space="preserve">10-21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10-26 </t>
    </r>
    <r>
      <rPr>
        <sz val="11"/>
        <color theme="1"/>
        <rFont val="Noto Sans CJK SC"/>
        <family val="2"/>
      </rPr>
      <t xml:space="preserve">財報後調整）；只作對照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</si>
  <si>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</si>
  <si>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</si>
  <si>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</si>
  <si>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</si>
  <si>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</si>
  <si>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</si>
  <si>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</si>
  <si>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</si>
  <si>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悲觀情境價（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</si>
  <si>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地圖「悲觀情境空間」＝本列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</si>
  <si>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與分部加總加權）</t>
    </r>
  </si>
  <si>
    <r>
      <rPr>
        <sz val="11"/>
        <color theme="1"/>
        <rFont val="Noto Sans CJK SC"/>
        <family val="2"/>
      </rPr>
      <t xml:space="preserve">情境上檔空間（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</si>
  <si>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</si>
  <si>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價值中性）：目標價／上檔空間／投資建議</t>
    </r>
  </si>
  <si>
    <t xml:space="preserve">活公式（主值）</t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</si>
  <si>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只計成本）：目標價／上檔空間／投資建議</t>
    </r>
  </si>
  <si>
    <t xml:space="preserve">活公式（下緣敏感度）</t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</si>
  <si>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</si>
  <si>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的分部加總目標價（情境加權）</t>
    </r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</si>
  <si>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FY2028 SI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</si>
  <si>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收支關卡：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自由現金流（收支關卡口徑；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</si>
  <si>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頁；公司口徑對照見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</si>
  <si>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</si>
  <si>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（無槓桿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＋分部加總（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其他同業倍數；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對外出租自身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Space EV</t>
    </r>
    <r>
      <rPr>
        <sz val="11"/>
        <color theme="1"/>
        <rFont val="Noto Sans CJK SC"/>
        <family val="2"/>
      </rPr>
      <t xml:space="preserve">／營收）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</si>
  <si>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</si>
  <si>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檢查：主值目標價 − 所選讀法的目標價（應為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</si>
  <si>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0.0 </t>
    </r>
    <r>
      <rPr>
        <b val="true"/>
        <sz val="11"/>
        <rFont val="Noto Sans CJK SC"/>
        <family val="2"/>
      </rPr>
      <t xml:space="preserve">折現率（</t>
    </r>
    <r>
      <rPr>
        <b val="true"/>
        <sz val="11"/>
        <rFont val="Cambria"/>
        <family val="0"/>
        <charset val="1"/>
      </rPr>
      <t xml:space="preserve">CAPM</t>
    </r>
    <r>
      <rPr>
        <b val="true"/>
        <sz val="11"/>
        <rFont val="Noto Sans CJK SC"/>
        <family val="2"/>
      </rPr>
      <t xml:space="preserve">；負債含融資租賃）</t>
    </r>
  </si>
  <si>
    <r>
      <rPr>
        <sz val="11"/>
        <color theme="1"/>
        <rFont val="Noto Sans CJK SC"/>
        <family val="2"/>
      </rPr>
      <t xml:space="preserve">股權市值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＝評價日股價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流通股</t>
    </r>
  </si>
  <si>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（債務本金＋融資租賃）</t>
    </r>
  </si>
  <si>
    <r>
      <rPr>
        <sz val="11"/>
        <color theme="1"/>
        <rFont val="Noto Sans CJK SC"/>
        <family val="2"/>
      </rPr>
      <t xml:space="preserve">股東權益成本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</si>
  <si>
    <t xml:space="preserve">稅後債務成本</t>
  </si>
  <si>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（＋</t>
    </r>
    <r>
      <rPr>
        <b val="true"/>
        <sz val="11"/>
        <rFont val="Cambria"/>
        <family val="0"/>
        <charset val="1"/>
      </rPr>
      <t xml:space="preserve">wacc_adj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</si>
  <si>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永續期新投資報酬 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ronic_sp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</si>
  <si>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（無槓桿自由現金流；三情境各一區塊；欄 </t>
    </r>
    <r>
      <rPr>
        <b val="true"/>
        <sz val="11"/>
        <rFont val="Cambria"/>
        <family val="0"/>
        <charset val="1"/>
      </rPr>
      <t xml:space="preserve">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Q4 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FY2027–FY2032</t>
    </r>
    <r>
      <rPr>
        <b val="true"/>
        <sz val="11"/>
        <rFont val="Noto Sans CJK SC"/>
        <family val="2"/>
      </rPr>
      <t xml:space="preserve">）＋</t>
    </r>
    <r>
      <rPr>
        <b val="true"/>
        <sz val="11"/>
        <rFont val="Cambria"/>
        <family val="0"/>
        <charset val="1"/>
      </rPr>
      <t xml:space="preserve">0.15 SI </t>
    </r>
    <r>
      <rPr>
        <b val="true"/>
        <sz val="11"/>
        <rFont val="Noto Sans CJK SC"/>
        <family val="2"/>
      </rPr>
      <t xml:space="preserve">對外出租模組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（分部加總的對外出租腿）</t>
    </r>
  </si>
  <si>
    <r>
      <rPr>
        <sz val="11"/>
        <color theme="1"/>
        <rFont val="Noto Sans CJK SC"/>
        <family val="2"/>
      </rPr>
      <t xml:space="preserve">營業利益（財報口徑 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</si>
  <si>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(EBIT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sbc_add × </t>
    </r>
    <r>
      <rPr>
        <sz val="11"/>
        <color theme="1"/>
        <rFont val="Noto Sans CJK SC"/>
        <family val="2"/>
      </rPr>
      <t xml:space="preserve">股權報酬</t>
    </r>
    <r>
      <rPr>
        <sz val="11"/>
        <color theme="1"/>
        <rFont val="Calibri"/>
        <family val="2"/>
        <charset val="1"/>
      </rPr>
      <t xml:space="preserve">) 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</si>
  <si>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＋折舊攤銷</t>
  </si>
  <si>
    <r>
      <rPr>
        <sz val="11"/>
        <color theme="1"/>
        <rFont val="Noto Sans CJK SC"/>
        <family val="2"/>
      </rPr>
      <t xml:space="preserve">− 投資（現金資本支出＋以其他融資取得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</si>
  <si>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t xml:space="preserve">＋營運資金變動</t>
  </si>
  <si>
    <t xml:space="preserve">無槓桿自由現金流（財報口徑）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</si>
  <si>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影子效益（稅後；讀法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加入）</t>
    </r>
  </si>
  <si>
    <r>
      <rPr>
        <sz val="11"/>
        <color theme="1"/>
        <rFont val="Noto Sans CJK SC"/>
        <family val="2"/>
      </rPr>
      <t xml:space="preserve">折現年數（評價日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起，期中）</t>
    </r>
  </si>
  <si>
    <r>
      <rPr>
        <sz val="11"/>
        <color theme="1"/>
        <rFont val="Noto Sans CJK SC"/>
        <family val="2"/>
      </rPr>
      <t xml:space="preserve">折現因子 </t>
    </r>
    <r>
      <rPr>
        <sz val="11"/>
        <color theme="1"/>
        <rFont val="Calibri"/>
        <family val="2"/>
        <charset val="1"/>
      </rPr>
      <t xml:space="preserve">1 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WACC)^</t>
    </r>
    <r>
      <rPr>
        <sz val="11"/>
        <color theme="1"/>
        <rFont val="Noto Sans CJK SC"/>
        <family val="2"/>
      </rPr>
      <t xml:space="preserve">年數</t>
    </r>
  </si>
  <si>
    <t xml:space="preserve">現值（財報口徑）</t>
  </si>
  <si>
    <t xml:space="preserve">現值（影子效益）</t>
  </si>
  <si>
    <r>
      <rPr>
        <sz val="11"/>
        <color theme="1"/>
        <rFont val="Calibri"/>
        <family val="2"/>
        <charset val="1"/>
      </rPr>
      <t xml:space="preserve">0.15 SI </t>
    </r>
    <r>
      <rPr>
        <sz val="11"/>
        <color theme="1"/>
        <rFont val="Noto Sans CJK SC"/>
        <family val="2"/>
      </rPr>
      <t xml:space="preserve">對外出租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</si>
  <si>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對外新增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</si>
  <si>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對外出租 </t>
    </r>
    <r>
      <rPr>
        <sz val="11"/>
        <color theme="1"/>
        <rFont val="Calibri"/>
        <family val="2"/>
        <charset val="1"/>
      </rPr>
      <t xml:space="preserve">NOPAT</t>
    </r>
  </si>
  <si>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對外出租投資（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× ext_sh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</si>
  <si>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對外出租自由現金流</t>
    </r>
  </si>
  <si>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現值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</si>
  <si>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彙總</t>
    </r>
  </si>
  <si>
    <t xml:space="preserve">明確期現值合計（財報口徑）</t>
  </si>
  <si>
    <r>
      <rPr>
        <sz val="11"/>
        <color theme="1"/>
        <rFont val="Noto Sans CJK SC"/>
        <family val="2"/>
      </rPr>
      <t xml:space="preserve">終值（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年底，財報口徑）</t>
    </r>
  </si>
  <si>
    <r>
      <rPr>
        <sz val="11"/>
        <color theme="1"/>
        <rFont val="Noto Sans CJK SC"/>
        <family val="2"/>
      </rPr>
      <t xml:space="preserve">價值驅動：</t>
    </r>
    <r>
      <rPr>
        <sz val="11"/>
        <color theme="1"/>
        <rFont val="Calibri"/>
        <family val="2"/>
        <charset val="1"/>
      </rPr>
      <t xml:space="preserve">NOPAT(FY2033) ×(1 − g ÷ RONIC) ÷ (WACC − g)</t>
    </r>
  </si>
  <si>
    <t xml:space="preserve">終值現值</t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</si>
  <si>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</si>
  <si>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影子效益現值：明確期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</si>
  <si>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影子效益現值：終值</t>
    </r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</si>
  <si>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</t>
    </r>
  </si>
  <si>
    <r>
      <rPr>
        <b val="true"/>
        <sz val="11"/>
        <rFont val="Noto Sans CJK SC"/>
        <family val="2"/>
      </rPr>
      <t xml:space="preserve">企業價值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（主值，依 </t>
    </r>
    <r>
      <rPr>
        <b val="true"/>
        <sz val="11"/>
        <rFont val="Cambria"/>
        <family val="0"/>
        <charset val="1"/>
      </rPr>
      <t xml:space="preserve">internal_ai_reading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</si>
  <si>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（主值）</t>
    </r>
  </si>
  <si>
    <t xml:space="preserve">＋淨現金（評價日：現金＋有價證券 − 債務本金 − 融資租賃）</t>
  </si>
  <si>
    <t xml:space="preserve">＋數位資產（比特幣帳面）</t>
  </si>
  <si>
    <t xml:space="preserve">− 類債（訴訟準備）</t>
  </si>
  <si>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頻譜：未來付款與取得的頻譜按成本相抵（價值中性），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兩邊都不計</t>
    </r>
  </si>
  <si>
    <r>
      <rPr>
        <sz val="11"/>
        <color theme="1"/>
        <rFont val="Noto Sans CJK SC"/>
        <family val="2"/>
      </rPr>
      <t xml:space="preserve">股數（評價日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dil_x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時加潛在稀釋）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</si>
  <si>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</si>
  <si>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(EV</t>
    </r>
    <r>
      <rPr>
        <sz val="11"/>
        <color theme="1"/>
        <rFont val="Noto Sans CJK SC"/>
        <family val="2"/>
      </rPr>
      <t xml:space="preserve">＋淨現金＋數位資產 − 類債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ke)^t_tgt</t>
    </r>
    <r>
      <rPr>
        <sz val="11"/>
        <color theme="1"/>
        <rFont val="Noto Sans CJK SC"/>
        <family val="2"/>
      </rPr>
      <t xml:space="preserve">；不配息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</si>
  <si>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</si>
  <si>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情境價值推到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個月後（主值）</t>
    </r>
  </si>
  <si>
    <r>
      <rPr>
        <sz val="11"/>
        <color theme="1"/>
        <rFont val="Calibri"/>
        <family val="2"/>
        <charset val="1"/>
      </rPr>
      <t xml:space="preserve">0.15 SI </t>
    </r>
    <r>
      <rPr>
        <sz val="11"/>
        <color theme="1"/>
        <rFont val="Noto Sans CJK SC"/>
        <family val="2"/>
      </rPr>
      <t xml:space="preserve">對外出租明確期現值（</t>
    </r>
    <r>
      <rPr>
        <sz val="11"/>
        <color theme="1"/>
        <rFont val="Calibri"/>
        <family val="2"/>
        <charset val="1"/>
      </rPr>
      <t xml:space="preserve">FY2028–FY2032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</si>
  <si>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已反映在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</t>
    </r>
  </si>
  <si>
    <r>
      <rPr>
        <sz val="11"/>
        <color theme="1"/>
        <rFont val="Calibri"/>
        <family val="2"/>
        <charset val="1"/>
      </rPr>
      <t xml:space="preserve">0.15 SI </t>
    </r>
    <r>
      <rPr>
        <sz val="11"/>
        <color theme="1"/>
        <rFont val="Noto Sans CJK SC"/>
        <family val="2"/>
      </rPr>
      <t xml:space="preserve">對外出租終值現值</t>
    </r>
  </si>
  <si>
    <r>
      <rPr>
        <b val="true"/>
        <sz val="11"/>
        <rFont val="Cambria"/>
        <family val="0"/>
        <charset val="1"/>
      </rPr>
      <t xml:space="preserve">0.15 SI </t>
    </r>
    <r>
      <rPr>
        <b val="true"/>
        <sz val="11"/>
        <rFont val="Noto Sans CJK SC"/>
        <family val="2"/>
      </rPr>
      <t xml:space="preserve">對外出租價值（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年底，與分部加總淨現金同時點）</t>
    </r>
  </si>
  <si>
    <r>
      <rPr>
        <sz val="11"/>
        <color theme="1"/>
        <rFont val="Noto Sans CJK SC"/>
        <family val="2"/>
      </rPr>
      <t xml:space="preserve">評價日對外機隊的資本已投入（不再扣），其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計入；之後新增與汰換的對外投資全數扣除</t>
    </r>
  </si>
  <si>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；目標時點 </t>
    </r>
    <r>
      <rPr>
        <b val="true"/>
        <sz val="11"/>
        <rFont val="Cambria"/>
        <family val="0"/>
        <charset val="1"/>
      </rPr>
      <t xml:space="preserve">NTM </t>
    </r>
    <r>
      <rPr>
        <b val="true"/>
        <sz val="11"/>
        <rFont val="Noto Sans CJK SC"/>
        <family val="2"/>
      </rPr>
      <t xml:space="preserve">分部調整後 </t>
    </r>
    <r>
      <rPr>
        <b val="true"/>
        <sz val="11"/>
        <rFont val="Cambria"/>
        <family val="0"/>
        <charset val="1"/>
      </rPr>
      <t xml:space="preserve">EBITDA 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EV/EBITDA</t>
    </r>
    <r>
      <rPr>
        <b val="true"/>
        <sz val="11"/>
        <rFont val="Noto Sans CJK SC"/>
        <family val="2"/>
      </rPr>
      <t xml:space="preserve">；＝本模型的 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</t>
    </r>
  </si>
  <si>
    <t xml:space="preserve">同業組／倍數</t>
  </si>
  <si>
    <t xml:space="preserve">倍數</t>
  </si>
  <si>
    <t xml:space="preserve">家數</t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</si>
  <si>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：衛星與電信同業 </t>
    </r>
    <r>
      <rPr>
        <sz val="11"/>
        <color theme="1"/>
        <rFont val="Calibri"/>
        <family val="2"/>
        <charset val="1"/>
      </rPr>
      <t xml:space="preserve">EV/EBITDA FY2026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</si>
  <si>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data/peers_connectivity_20261030.json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IRDM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TMUS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CMCSA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SATS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</si>
  <si>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基礎設施／雲同業中位數 </t>
    </r>
    <r>
      <rPr>
        <sz val="11"/>
        <color theme="1"/>
        <rFont val="Calibri"/>
        <family val="2"/>
        <charset val="1"/>
      </rPr>
      <t xml:space="preserve">× mult_si_adj</t>
    </r>
  </si>
  <si>
    <r>
      <rPr>
        <sz val="11"/>
        <color theme="1"/>
        <rFont val="Calibri"/>
        <family val="2"/>
        <charset val="1"/>
      </rPr>
      <t xml:space="preserve">data/peers_si_20261030.json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 NTM</t>
    </r>
    <r>
      <rPr>
        <sz val="11"/>
        <color theme="1"/>
        <rFont val="Noto Sans CJK SC"/>
        <family val="2"/>
      </rPr>
      <t xml:space="preserve">（口徑不一、樣本小；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註明）</t>
    </r>
  </si>
  <si>
    <r>
      <rPr>
        <b val="true"/>
        <sz val="11"/>
        <rFont val="Noto Sans CJK SC"/>
        <family val="2"/>
      </rPr>
      <t xml:space="preserve">分部（</t>
    </r>
    <r>
      <rPr>
        <b val="true"/>
        <sz val="11"/>
        <rFont val="Cambria"/>
        <family val="0"/>
        <charset val="1"/>
      </rPr>
      <t xml:space="preserve">NTM </t>
    </r>
    <r>
      <rPr>
        <b val="true"/>
        <sz val="11"/>
        <rFont val="Noto Sans CJK SC"/>
        <family val="2"/>
      </rPr>
      <t xml:space="preserve">分部調整後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Space </t>
    </r>
    <r>
      <rPr>
        <b val="true"/>
        <sz val="11"/>
        <rFont val="Noto Sans CJK SC"/>
        <family val="2"/>
      </rPr>
      <t xml:space="preserve">為營收）</t>
    </r>
  </si>
  <si>
    <t xml:space="preserve">倍數與說明</t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</si>
  <si>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</si>
  <si>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</si>
  <si>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</si>
  <si>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</si>
  <si>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其他：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與廣告（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</si>
  <si>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EV</t>
    </r>
    <r>
      <rPr>
        <sz val="11"/>
        <color theme="1"/>
        <rFont val="Noto Sans CJK SC"/>
        <family val="2"/>
      </rPr>
      <t xml:space="preserve">／營收）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</si>
  <si>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對外雲端服務（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只供參考）</t>
    </r>
  </si>
  <si>
    <r>
      <rPr>
        <sz val="11"/>
        <color theme="1"/>
        <rFont val="Noto Sans CJK SC"/>
        <family val="2"/>
      </rPr>
      <t xml:space="preserve">對外出租模組 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</si>
  <si>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</si>
  <si>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增量營運成本加回（讀法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；價值中性）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</si>
  <si>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修正二（自用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的資本成本不在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，故不加影子效益）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</si>
  <si>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新增資產帳面淨值（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價值中性＝按帳面）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</si>
  <si>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年底淨現金已扣 </t>
    </r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投資與在建工程自用部分，讀法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下這些資產按帳面計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</si>
  <si>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</si>
  <si>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分部加總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（主值）</t>
    </r>
  </si>
  <si>
    <r>
      <rPr>
        <sz val="11"/>
        <color theme="1"/>
        <rFont val="Noto Sans CJK SC"/>
        <family val="2"/>
      </rPr>
      <t xml:space="preserve">＋淨現金（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頁；減融資租賃）</t>
    </r>
  </si>
  <si>
    <r>
      <rPr>
        <sz val="11"/>
        <color theme="1"/>
        <rFont val="Noto Sans CJK SC"/>
        <family val="2"/>
      </rPr>
      <t xml:space="preserve">＋數位資產＋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頻譜（按 </t>
    </r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已付成本）</t>
    </r>
  </si>
  <si>
    <t xml:space="preserve">頻譜付款已自淨現金扣除，資產按成本加回（價值中性）</t>
  </si>
  <si>
    <t xml:space="preserve">− 類債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</si>
  <si>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dil_x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時加潛在稀釋）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</si>
  <si>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</si>
  <si>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</si>
  <si>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分部加總每股價值（主值；目標時點）</t>
  </si>
  <si>
    <r>
      <rPr>
        <sz val="11"/>
        <color theme="1"/>
        <rFont val="Noto Sans CJK SC"/>
        <family val="2"/>
      </rPr>
      <t xml:space="preserve">  分部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合計（對照）</t>
    </r>
  </si>
  <si>
    <r>
      <rPr>
        <sz val="11"/>
        <color theme="1"/>
        <rFont val="Noto Sans CJK SC"/>
        <family val="2"/>
      </rPr>
      <t xml:space="preserve">  隱含 </t>
    </r>
    <r>
      <rPr>
        <sz val="11"/>
        <color theme="1"/>
        <rFont val="Calibri"/>
        <family val="2"/>
        <charset val="1"/>
      </rPr>
      <t xml:space="preserve">EV ÷ NTM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（主值）</t>
    </r>
  </si>
  <si>
    <r>
      <rPr>
        <sz val="11"/>
        <color theme="1"/>
        <rFont val="Noto Sans CJK SC"/>
        <family val="2"/>
      </rPr>
      <t xml:space="preserve">  對照：現價隱含 </t>
    </r>
    <r>
      <rPr>
        <sz val="11"/>
        <color theme="1"/>
        <rFont val="Calibri"/>
        <family val="2"/>
        <charset val="1"/>
      </rPr>
      <t xml:space="preserve">EV ÷ NTM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</si>
  <si>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口徑對照：合併層對市場共識（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後年度共識未找到，只有 </t>
    </r>
    <r>
      <rPr>
        <sz val="11"/>
        <color theme="1"/>
        <rFont val="Calibri"/>
        <family val="2"/>
        <charset val="1"/>
      </rPr>
      <t xml:space="preserve">2026-06-22 </t>
    </r>
    <r>
      <rPr>
        <sz val="11"/>
        <color theme="1"/>
        <rFont val="Noto Sans CJK SC"/>
        <family val="2"/>
      </rPr>
      <t xml:space="preserve">過期的 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）、逐分部對公司指引與營運數字、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核心問題比值的兩種讀法、每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投資對照。只作對照，不作校準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</si>
  <si>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合併層：本模型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過期共識（</t>
    </r>
    <r>
      <rPr>
        <b val="true"/>
        <sz val="11"/>
        <rFont val="Cambria"/>
        <family val="0"/>
        <charset val="1"/>
      </rPr>
      <t xml:space="preserve">Simply Wall St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2026-06-22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IPO </t>
    </r>
    <r>
      <rPr>
        <b val="true"/>
        <sz val="11"/>
        <rFont val="Noto Sans CJK SC"/>
        <family val="2"/>
      </rPr>
      <t xml:space="preserve">後首週）</t>
    </r>
  </si>
  <si>
    <t xml:space="preserve">年度</t>
  </si>
  <si>
    <t xml:space="preserve">過期共識</t>
  </si>
  <si>
    <r>
      <rPr>
        <b val="true"/>
        <sz val="11"/>
        <rFont val="Cambria"/>
        <family val="0"/>
        <charset val="1"/>
      </rPr>
      <t xml:space="preserve">B ÷ </t>
    </r>
    <r>
      <rPr>
        <b val="true"/>
        <sz val="11"/>
        <rFont val="Noto Sans CJK SC"/>
        <family val="2"/>
      </rPr>
      <t xml:space="preserve">共識 − </t>
    </r>
    <r>
      <rPr>
        <b val="true"/>
        <sz val="11"/>
        <rFont val="Cambria"/>
        <family val="0"/>
        <charset val="1"/>
      </rPr>
      <t xml:space="preserve">1</t>
    </r>
  </si>
  <si>
    <t xml:space="preserve">營收</t>
  </si>
  <si>
    <t xml:space="preserve">FY2026</t>
  </si>
  <si>
    <r>
      <rPr>
        <sz val="11"/>
        <color theme="1"/>
        <rFont val="Noto Sans CJK SC"/>
        <family val="2"/>
      </rPr>
      <t xml:space="preserve">過期：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14.575 </t>
    </r>
    <r>
      <rPr>
        <sz val="11"/>
        <color theme="1"/>
        <rFont val="Noto Sans CJK SC"/>
        <family val="2"/>
      </rPr>
      <t xml:space="preserve">遠高於當時預期（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12.59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Shacknews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後年度共識未找到</t>
    </r>
  </si>
  <si>
    <t xml:space="preserve">FY2027</t>
  </si>
  <si>
    <t xml:space="preserve">FY2028</t>
  </si>
  <si>
    <r>
      <rPr>
        <sz val="11"/>
        <color theme="1"/>
        <rFont val="Noto Sans CJK SC"/>
        <family val="2"/>
      </rPr>
      <t xml:space="preserve">公司口徑 </t>
    </r>
    <r>
      <rPr>
        <sz val="11"/>
        <color theme="1"/>
        <rFont val="Calibri"/>
        <family val="2"/>
        <charset val="1"/>
      </rPr>
      <t xml:space="preserve">FCF</t>
    </r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</si>
  <si>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</si>
  <si>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＝本模型加權目標價、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＝差距；共識區間 </t>
    </r>
    <r>
      <rPr>
        <sz val="11"/>
        <color theme="1"/>
        <rFont val="Calibri"/>
        <family val="2"/>
        <charset val="1"/>
      </rPr>
      <t xml:space="preserve">75–800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</si>
  <si>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逐分部：本模型（情境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公司指引與營運數字</t>
    </r>
  </si>
  <si>
    <t xml:space="preserve">分部／項目</t>
  </si>
  <si>
    <t xml:space="preserve">共識</t>
  </si>
  <si>
    <t xml:space="preserve">公司指引或原文</t>
  </si>
  <si>
    <t xml:space="preserve">未找到</t>
  </si>
  <si>
    <t xml:space="preserve">無指引</t>
  </si>
  <si>
    <t xml:space="preserve">分部共識需付費資料（未找到）</t>
  </si>
  <si>
    <r>
      <rPr>
        <sz val="11"/>
        <color theme="1"/>
        <rFont val="Calibri"/>
        <family val="2"/>
        <charset val="1"/>
      </rPr>
      <t xml:space="preserve">  SI </t>
    </r>
    <r>
      <rPr>
        <sz val="11"/>
        <color theme="1"/>
        <rFont val="Noto Sans CJK SC"/>
        <family val="2"/>
      </rPr>
      <t xml:space="preserve">對外雲端服務（命題子列）</t>
    </r>
  </si>
  <si>
    <r>
      <rPr>
        <sz val="11"/>
        <color theme="1"/>
        <rFont val="Noto Sans CJK SC"/>
        <family val="2"/>
      </rPr>
      <t xml:space="preserve">未單獨揭露；</t>
    </r>
    <r>
      <rPr>
        <sz val="11"/>
        <color theme="1"/>
        <rFont val="Calibri"/>
        <family val="2"/>
        <charset val="1"/>
      </rPr>
      <t xml:space="preserve">Customer B 2026Q3 5.028</t>
    </r>
    <r>
      <rPr>
        <sz val="11"/>
        <color theme="1"/>
        <rFont val="Noto Sans CJK SC"/>
        <family val="2"/>
      </rPr>
      <t xml:space="preserve">（衍生）</t>
    </r>
  </si>
  <si>
    <r>
      <rPr>
        <sz val="11"/>
        <color theme="1"/>
        <rFont val="Calibri"/>
        <family val="2"/>
        <charset val="1"/>
      </rPr>
      <t xml:space="preserve">  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訂閱、資料授權與 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（命題子列）</t>
    </r>
  </si>
  <si>
    <t xml:space="preserve">未單獨揭露</t>
  </si>
  <si>
    <t xml:space="preserve">  Advertising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</si>
  <si>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法說「逾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」（二手轉述）</t>
    </r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</si>
  <si>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，只作對照</t>
    </r>
  </si>
  <si>
    <r>
      <rPr>
        <sz val="11"/>
        <color theme="1"/>
        <rFont val="Calibri"/>
        <family val="2"/>
        <charset val="1"/>
      </rPr>
      <t xml:space="preserve">Backlog 62.959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67% </t>
    </r>
    <r>
      <rPr>
        <sz val="11"/>
        <color theme="1"/>
        <rFont val="Noto Sans CJK SC"/>
        <family val="2"/>
      </rPr>
      <t xml:space="preserve">一年內）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</si>
  <si>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未分分部；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欄＝一年內可認列約數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</si>
  <si>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新簽雲端合約 </t>
    </r>
    <r>
      <rPr>
        <sz val="11"/>
        <color theme="1"/>
        <rFont val="Calibri"/>
        <family val="2"/>
        <charset val="1"/>
      </rPr>
      <t xml:space="preserve">14.1</t>
    </r>
    <r>
      <rPr>
        <sz val="11"/>
        <color theme="1"/>
        <rFont val="Noto Sans CJK SC"/>
        <family val="2"/>
      </rPr>
      <t xml:space="preserve">（三年固定月費）年化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對外雲端服務（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</si>
  <si>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合約年化只是新簽部分；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另有新簽、未給金額</t>
    </r>
  </si>
  <si>
    <r>
      <rPr>
        <sz val="11"/>
        <color theme="1"/>
        <rFont val="Noto Sans CJK SC"/>
        <family val="2"/>
      </rPr>
      <t xml:space="preserve">不可取消承諾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基礎設施、第三方雲、頻譜）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SI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</si>
  <si>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承諾未拆分；第三方雲容量不在名目算力內（</t>
    </r>
    <r>
      <rPr>
        <sz val="11"/>
        <color theme="1"/>
        <rFont val="Calibri"/>
        <family val="2"/>
        <charset val="1"/>
      </rPr>
      <t xml:space="preserve">S6</t>
    </r>
    <r>
      <rPr>
        <sz val="11"/>
        <color theme="1"/>
        <rFont val="Noto Sans CJK SC"/>
        <family val="2"/>
      </rPr>
      <t xml:space="preserve">）→ 可能低估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算力成本</t>
    </r>
  </si>
  <si>
    <r>
      <rPr>
        <b val="true"/>
        <sz val="11"/>
        <rFont val="Cambria"/>
        <family val="0"/>
        <charset val="1"/>
      </rPr>
      <t xml:space="preserve">3. S2 </t>
    </r>
    <r>
      <rPr>
        <b val="true"/>
        <sz val="11"/>
        <rFont val="Noto Sans CJK SC"/>
        <family val="2"/>
      </rPr>
      <t xml:space="preserve">核心問題比值的讀法（審查第 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條；</t>
    </r>
    <r>
      <rPr>
        <b val="true"/>
        <sz val="11"/>
        <rFont val="Cambria"/>
        <family val="0"/>
        <charset val="1"/>
      </rPr>
      <t xml:space="preserve">S6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</si>
  <si>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對外每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</si>
  <si>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在役機隊每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</t>
    </r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</si>
  <si>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比值（讀法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：名目算力＝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負載，主值）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</si>
  <si>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關鍵電力同口徑，不乘 </t>
    </r>
    <r>
      <rPr>
        <sz val="11"/>
        <color theme="1"/>
        <rFont val="Calibri"/>
        <family val="2"/>
        <charset val="1"/>
      </rPr>
      <t xml:space="preserve">PUE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條）</t>
    </r>
  </si>
  <si>
    <r>
      <rPr>
        <sz val="11"/>
        <color theme="1"/>
        <rFont val="Noto Sans CJK SC"/>
        <family val="2"/>
      </rPr>
      <t xml:space="preserve">比值（讀法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：若名目算力實為設施功率，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GW ÷ IF_FacilityGW 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</si>
  <si>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定義明確排除冷卻與設施負載 → 讀法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不採，只列對照（</t>
    </r>
    <r>
      <rPr>
        <sz val="11"/>
        <color theme="1"/>
        <rFont val="Calibri"/>
        <family val="2"/>
        <charset val="1"/>
      </rPr>
      <t xml:space="preserve">S6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</si>
  <si>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SI S&amp;I ÷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 ÷ </t>
    </r>
    <r>
      <rPr>
        <sz val="11"/>
        <color theme="1"/>
        <rFont val="Noto Sans CJK SC"/>
        <family val="2"/>
      </rPr>
      <t xml:space="preserve">評價日機隊持有成本）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</si>
  <si>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收入的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平均；對外出租與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同比例時與對外每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相同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</si>
  <si>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投資對照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</si>
  <si>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＋自建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機房）</t>
    </r>
  </si>
  <si>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（伺服器與網通＋資料中心基礎設施）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</si>
  <si>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：含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舊機隊、機房部分租用；第三方雲與失敗售後租回資產另列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</si>
  <si>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2025Q4–2026Q3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二手 − </t>
    </r>
    <r>
      <rPr>
        <sz val="11"/>
        <color theme="1"/>
        <rFont val="Calibri"/>
        <family val="2"/>
        <charset val="1"/>
      </rPr>
      <t xml:space="preserve">9M25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＋以融資取得）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名目算力增量（</t>
    </r>
    <r>
      <rPr>
        <sz val="11"/>
        <color theme="1"/>
        <rFont val="Calibri"/>
        <family val="2"/>
        <charset val="1"/>
      </rPr>
      <t xml:space="preserve">0.6 → 1.7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</si>
  <si>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含在建工程（尚未在役）→ 高於每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投資屬合理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</si>
  <si>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一次改一個輸入（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頁敏感度低／高值），整本活頁簿以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重算後的加權目標價（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加權）」）；由 </t>
    </r>
    <r>
      <rPr>
        <sz val="11"/>
        <color theme="1"/>
        <rFont val="Calibri"/>
        <family val="2"/>
        <charset val="1"/>
      </rPr>
      <t xml:space="preserve">spacex/make_v01.sh </t>
    </r>
    <r>
      <rPr>
        <sz val="11"/>
        <color theme="1"/>
        <rFont val="Noto Sans CJK SC"/>
        <family val="2"/>
      </rPr>
      <t xml:space="preserve">產生，建置時寫入（數值）</t>
    </r>
  </si>
  <si>
    <r>
      <rPr>
        <sz val="11"/>
        <color theme="1"/>
        <rFont val="Noto Sans CJK SC"/>
        <family val="2"/>
      </rPr>
      <t xml:space="preserve">相對基準＝情境目標價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基準加權目標價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；龍捲風依絕對值排序（</t>
    </r>
    <r>
      <rPr>
        <sz val="11"/>
        <color theme="1"/>
        <rFont val="Calibri"/>
        <family val="2"/>
        <charset val="1"/>
      </rPr>
      <t xml:space="preserve">HTML</t>
    </r>
    <r>
      <rPr>
        <sz val="11"/>
        <color theme="1"/>
        <rFont val="Noto Sans CJK SC"/>
        <family val="2"/>
      </rPr>
      <t xml:space="preserve">）。基準與各案例的其他輸入相同</t>
    </r>
  </si>
  <si>
    <t xml:space="preserve">驅動</t>
  </si>
  <si>
    <t xml:space="preserve">設定</t>
  </si>
  <si>
    <t xml:space="preserve">方向</t>
  </si>
  <si>
    <t xml:space="preserve">加權目標價</t>
  </si>
  <si>
    <t xml:space="preserve">相對基準</t>
  </si>
  <si>
    <r>
      <rPr>
        <b val="true"/>
        <sz val="11"/>
        <rFont val="Noto Sans CJK SC"/>
        <family val="2"/>
      </rPr>
      <t xml:space="preserve">收支關卡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（五年）</t>
    </r>
  </si>
  <si>
    <r>
      <rPr>
        <b val="true"/>
        <sz val="11"/>
        <rFont val="Cambria"/>
        <family val="0"/>
        <charset val="1"/>
      </rPr>
      <t xml:space="preserve">FY2028 S2 </t>
    </r>
    <r>
      <rPr>
        <b val="true"/>
        <sz val="11"/>
        <rFont val="Noto Sans CJK SC"/>
        <family val="2"/>
      </rPr>
      <t xml:space="preserve">比值（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</si>
  <si>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（只計成本）：低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</si>
  <si>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→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</si>
  <si>
    <t xml:space="preserve">低</t>
  </si>
  <si>
    <r>
      <rPr>
        <sz val="11"/>
        <color theme="1"/>
        <rFont val="Noto Sans CJK SC"/>
        <family val="2"/>
      </rPr>
      <t xml:space="preserve">重算值（</t>
    </r>
    <r>
      <rPr>
        <sz val="11"/>
        <color theme="1"/>
        <rFont val="Calibri"/>
        <family val="2"/>
        <charset val="1"/>
      </rPr>
      <t xml:space="preserve">make_v01.sh</t>
    </r>
    <r>
      <rPr>
        <sz val="11"/>
        <color theme="1"/>
        <rFont val="Noto Sans CJK SC"/>
        <family val="2"/>
      </rPr>
      <t xml:space="preserve">）</t>
    </r>
  </si>
  <si>
    <t xml:space="preserve">對外出租占比：低</t>
  </si>
  <si>
    <r>
      <rPr>
        <sz val="11"/>
        <color theme="1"/>
        <rFont val="Calibri"/>
        <family val="2"/>
        <charset val="1"/>
      </rPr>
      <t xml:space="preserve">72% → 60%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條區間）</t>
    </r>
  </si>
  <si>
    <t xml:space="preserve">對外出租占比：高</t>
  </si>
  <si>
    <t xml:space="preserve">高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</si>
  <si>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名目算力新增速度：低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</si>
  <si>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× 2/3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 1.5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</si>
  <si>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名目算力新增速度：高</t>
    </r>
  </si>
  <si>
    <t xml:space="preserve">自建機房比例：低</t>
  </si>
  <si>
    <r>
      <rPr>
        <sz val="11"/>
        <color theme="1"/>
        <rFont val="Calibri"/>
        <family val="2"/>
        <charset val="1"/>
      </rPr>
      <t xml:space="preserve">90% → 75%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</si>
  <si>
    <t xml:space="preserve">自建機房比例：高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</si>
  <si>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FY2030 k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</si>
  <si>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1.25 → 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（只影響情境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</si>
  <si>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FY2030 k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</si>
  <si>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</si>
  <si>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Noto Sans CJK SC"/>
        <family val="2"/>
      </rPr>
      <t xml:space="preserve">校準值 </t>
    </r>
    <r>
      <rPr>
        <sz val="11"/>
        <color theme="1"/>
        <rFont val="Calibri"/>
        <family val="2"/>
        <charset val="1"/>
      </rPr>
      <t xml:space="preserve">±10pt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</si>
  <si>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</si>
  <si>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年增：低</t>
    </r>
  </si>
  <si>
    <r>
      <rPr>
        <sz val="11"/>
        <color theme="1"/>
        <rFont val="Calibri"/>
        <family val="2"/>
        <charset val="1"/>
      </rPr>
      <t xml:space="preserve">50% →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</si>
  <si>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年增：高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</si>
  <si>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其他收入長期成長：低</t>
    </r>
  </si>
  <si>
    <r>
      <rPr>
        <sz val="11"/>
        <color theme="1"/>
        <rFont val="Calibri"/>
        <family val="2"/>
        <charset val="1"/>
      </rPr>
      <t xml:space="preserve">15% → 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</si>
  <si>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其他收入長期成長：高</t>
    </r>
  </si>
  <si>
    <r>
      <rPr>
        <sz val="11"/>
        <color theme="1"/>
        <rFont val="Noto Sans CJK SC"/>
        <family val="2"/>
      </rPr>
      <t xml:space="preserve">在建工程屬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比例（折舊）：低</t>
    </r>
  </si>
  <si>
    <r>
      <rPr>
        <sz val="11"/>
        <color theme="1"/>
        <rFont val="Calibri"/>
        <family val="2"/>
        <charset val="1"/>
      </rPr>
      <t xml:space="preserve">85% →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</si>
  <si>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Noto Sans CJK SC"/>
        <family val="2"/>
      </rPr>
      <t xml:space="preserve">在建工程屬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比例（折舊）：高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</si>
  <si>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折舊年限：低</t>
    </r>
  </si>
  <si>
    <r>
      <rPr>
        <sz val="11"/>
        <color theme="1"/>
        <rFont val="Calibri"/>
        <family val="2"/>
        <charset val="1"/>
      </rPr>
      <t xml:space="preserve">6 →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</si>
  <si>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</si>
  <si>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Starlink FY2027 </t>
    </r>
    <r>
      <rPr>
        <sz val="11"/>
        <color theme="1"/>
        <rFont val="Noto Sans CJK SC"/>
        <family val="2"/>
      </rPr>
      <t xml:space="preserve">淨增：低</t>
    </r>
  </si>
  <si>
    <r>
      <rPr>
        <sz val="11"/>
        <color theme="1"/>
        <rFont val="Calibri"/>
        <family val="2"/>
        <charset val="1"/>
      </rPr>
      <t xml:space="preserve">5.5M → 4.0M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（只影響情境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</si>
  <si>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Starlink FY2027 </t>
    </r>
    <r>
      <rPr>
        <sz val="11"/>
        <color theme="1"/>
        <rFont val="Noto Sans CJK SC"/>
        <family val="2"/>
      </rPr>
      <t xml:space="preserve">淨增：高</t>
    </r>
  </si>
  <si>
    <r>
      <rPr>
        <sz val="11"/>
        <color theme="1"/>
        <rFont val="Calibri"/>
        <family val="2"/>
        <charset val="1"/>
      </rPr>
      <t xml:space="preserve">ARPU </t>
    </r>
    <r>
      <rPr>
        <sz val="11"/>
        <color theme="1"/>
        <rFont val="Noto Sans CJK SC"/>
        <family val="2"/>
      </rPr>
      <t xml:space="preserve">年變動：低</t>
    </r>
  </si>
  <si>
    <r>
      <rPr>
        <sz val="11"/>
        <color theme="1"/>
        <rFont val="Calibri"/>
        <family val="2"/>
        <charset val="1"/>
      </rPr>
      <t xml:space="preserve">−2% → −5%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</si>
  <si>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ARPU </t>
    </r>
    <r>
      <rPr>
        <sz val="11"/>
        <color theme="1"/>
        <rFont val="Noto Sans CJK SC"/>
        <family val="2"/>
      </rPr>
      <t xml:space="preserve">年變動：高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</si>
  <si>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</si>
  <si>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Calibri"/>
        <family val="2"/>
        <charset val="1"/>
      </rPr>
      <t xml:space="preserve">64% → 58%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</si>
  <si>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</si>
  <si>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資本支出占營收：低</t>
    </r>
  </si>
  <si>
    <r>
      <rPr>
        <sz val="11"/>
        <color theme="1"/>
        <rFont val="Calibri"/>
        <family val="2"/>
        <charset val="1"/>
      </rPr>
      <t xml:space="preserve">33% →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</si>
  <si>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資本支出占營收：高</t>
    </r>
  </si>
  <si>
    <t xml:space="preserve">企業與政府長期成長：低</t>
  </si>
  <si>
    <r>
      <rPr>
        <sz val="11"/>
        <color theme="1"/>
        <rFont val="Calibri"/>
        <family val="2"/>
        <charset val="1"/>
      </rPr>
      <t xml:space="preserve">10% → 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</si>
  <si>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企業與政府長期成長：高</t>
  </si>
  <si>
    <r>
      <rPr>
        <sz val="11"/>
        <color theme="1"/>
        <rFont val="Calibri"/>
        <family val="2"/>
        <charset val="1"/>
      </rPr>
      <t xml:space="preserve">Space FY2030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</si>
  <si>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Calibri"/>
        <family val="2"/>
        <charset val="1"/>
      </rPr>
      <t xml:space="preserve">20% → 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</si>
  <si>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Space FY2030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</si>
  <si>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Calibri"/>
        <family val="2"/>
        <charset val="1"/>
      </rPr>
      <t xml:space="preserve">Space FY2030 </t>
    </r>
    <r>
      <rPr>
        <sz val="11"/>
        <color theme="1"/>
        <rFont val="Noto Sans CJK SC"/>
        <family val="2"/>
      </rPr>
      <t xml:space="preserve">資本支出占營收：低</t>
    </r>
  </si>
  <si>
    <r>
      <rPr>
        <sz val="11"/>
        <color theme="1"/>
        <rFont val="Calibri"/>
        <family val="2"/>
        <charset val="1"/>
      </rPr>
      <t xml:space="preserve">30% → 20%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</si>
  <si>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Space FY2030 </t>
    </r>
    <r>
      <rPr>
        <sz val="11"/>
        <color theme="1"/>
        <rFont val="Noto Sans CJK SC"/>
        <family val="2"/>
      </rPr>
      <t xml:space="preserve">資本支出占營收：高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</si>
  <si>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客戶發射次數：低</t>
    </r>
  </si>
  <si>
    <r>
      <rPr>
        <sz val="11"/>
        <color theme="1"/>
        <rFont val="Calibri"/>
        <family val="2"/>
        <charset val="1"/>
      </rPr>
      <t xml:space="preserve">48 → 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</si>
  <si>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客戶發射次數：高</t>
    </r>
  </si>
  <si>
    <t xml:space="preserve">有效稅率：低</t>
  </si>
  <si>
    <r>
      <rPr>
        <sz val="11"/>
        <color theme="1"/>
        <rFont val="Calibri"/>
        <family val="2"/>
        <charset val="1"/>
      </rPr>
      <t xml:space="preserve">12% → 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21%</t>
    </r>
  </si>
  <si>
    <t xml:space="preserve">有效稅率：高</t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</si>
  <si>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</si>
  <si>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−1pt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</si>
  <si>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</si>
  <si>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</si>
  <si>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1.3 → 1.1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</si>
  <si>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：高</t>
    </r>
  </si>
  <si>
    <t xml:space="preserve">股權風險溢酬：低</t>
  </si>
  <si>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</si>
  <si>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t xml:space="preserve">股權風險溢酬：高</t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</si>
  <si>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</si>
  <si>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</si>
  <si>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</si>
  <si>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</si>
  <si>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→ 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</si>
  <si>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其他倍數：低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</si>
  <si>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0.7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 1.4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</si>
  <si>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其他倍數：高</t>
    </r>
  </si>
  <si>
    <r>
      <rPr>
        <sz val="11"/>
        <color theme="1"/>
        <rFont val="Calibri"/>
        <family val="2"/>
        <charset val="1"/>
      </rPr>
      <t xml:space="preserve">Space EV</t>
    </r>
    <r>
      <rPr>
        <sz val="11"/>
        <color theme="1"/>
        <rFont val="Noto Sans CJK SC"/>
        <family val="2"/>
      </rPr>
      <t xml:space="preserve">／營收：低</t>
    </r>
  </si>
  <si>
    <r>
      <rPr>
        <sz val="11"/>
        <color theme="1"/>
        <rFont val="Calibri"/>
        <family val="2"/>
        <charset val="1"/>
      </rPr>
      <t xml:space="preserve">3× → 2×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6×</t>
    </r>
  </si>
  <si>
    <r>
      <rPr>
        <sz val="11"/>
        <color theme="1"/>
        <rFont val="Calibri"/>
        <family val="2"/>
        <charset val="1"/>
      </rPr>
      <t xml:space="preserve">Space EV</t>
    </r>
    <r>
      <rPr>
        <sz val="11"/>
        <color theme="1"/>
        <rFont val="Noto Sans CJK SC"/>
        <family val="2"/>
      </rPr>
      <t xml:space="preserve">／營收：高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</si>
  <si>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權重：低</t>
    </r>
  </si>
  <si>
    <r>
      <rPr>
        <sz val="11"/>
        <color theme="1"/>
        <rFont val="Calibri"/>
        <family val="2"/>
        <charset val="1"/>
      </rPr>
      <t xml:space="preserve">50% → 30%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</si>
  <si>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權重：高</t>
    </r>
  </si>
  <si>
    <r>
      <rPr>
        <sz val="11"/>
        <color theme="1"/>
        <rFont val="Noto Sans CJK SC"/>
        <family val="2"/>
      </rPr>
      <t xml:space="preserve">評價股數加入潛在稀釋（績效獎酬、選擇權、</t>
    </r>
    <r>
      <rPr>
        <sz val="11"/>
        <color theme="1"/>
        <rFont val="Calibri"/>
        <family val="2"/>
        <charset val="1"/>
      </rPr>
      <t xml:space="preserve">RSU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EchoStar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</si>
  <si>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13.58 → 15.82 </t>
    </r>
    <r>
      <rPr>
        <sz val="11"/>
        <color theme="1"/>
        <rFont val="Noto Sans CJK SC"/>
        <family val="2"/>
      </rPr>
      <t xml:space="preserve">十億股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</si>
  <si>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加回股權報酬：高</t>
    </r>
  </si>
  <si>
    <t xml:space="preserve">不加回 → 加回（稅後）</t>
  </si>
  <si>
    <r>
      <rPr>
        <sz val="11"/>
        <color theme="1"/>
        <rFont val="Noto Sans CJK SC"/>
        <family val="2"/>
      </rPr>
      <t xml:space="preserve">基準加權目標價（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</si>
  <si>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t xml:space="preserve">敏感度重算時的基準值（應與上一列相同；不同表示敏感度已過期）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</si>
  <si>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來源（編號、文件、日期、網址、標記）</t>
    </r>
  </si>
  <si>
    <t xml:space="preserve">編號</t>
  </si>
  <si>
    <t xml:space="preserve">文件</t>
  </si>
  <si>
    <t xml:space="preserve">日期</t>
  </si>
  <si>
    <t xml:space="preserve">網址</t>
  </si>
  <si>
    <t xml:space="preserve">用途</t>
  </si>
  <si>
    <t xml:space="preserve">S01</t>
  </si>
  <si>
    <r>
      <rPr>
        <sz val="11"/>
        <color theme="1"/>
        <rFont val="Calibri"/>
        <family val="2"/>
        <charset val="1"/>
      </rPr>
      <t xml:space="preserve">SpaceX 10-Q 2026Q3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2026-10-30 </t>
    </r>
    <r>
      <rPr>
        <sz val="11"/>
        <color theme="1"/>
        <rFont val="Noto Sans CJK SC"/>
        <family val="2"/>
      </rPr>
      <t xml:space="preserve">提供原檔：</t>
    </r>
    <r>
      <rPr>
        <sz val="11"/>
        <color theme="1"/>
        <rFont val="Calibri"/>
        <family val="2"/>
        <charset val="1"/>
      </rPr>
      <t xml:space="preserve">mag/extract/docs/2026Q3/spacex_2026Q3_10-Q.pdf</t>
    </r>
    <r>
      <rPr>
        <sz val="11"/>
        <color theme="1"/>
        <rFont val="Noto Sans CJK SC"/>
        <family val="2"/>
      </rPr>
      <t xml:space="preserve">）</t>
    </r>
  </si>
  <si>
    <t xml:space="preserve">2026-10-22</t>
  </si>
  <si>
    <r>
      <rPr>
        <sz val="11"/>
        <color theme="1"/>
        <rFont val="Calibri"/>
        <family val="2"/>
        <charset val="1"/>
      </rPr>
      <t xml:space="preserve">https://ir.spacex.com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網站本環境不可達）</t>
    </r>
  </si>
  <si>
    <r>
      <rPr>
        <sz val="11"/>
        <color theme="1"/>
        <rFont val="Noto Sans CJK SC"/>
        <family val="2"/>
      </rPr>
      <t xml:space="preserve">分部、收入拆分、合併損益、現金流、資產負債、債務、承諾、客戶集中、名目算力定義（事實總帳 </t>
    </r>
    <r>
      <rPr>
        <sz val="11"/>
        <color theme="1"/>
        <rFont val="Calibri"/>
        <family val="2"/>
        <charset val="1"/>
      </rPr>
      <t xml:space="preserve">data/spacex_facts_2026q3.json</t>
    </r>
    <r>
      <rPr>
        <sz val="11"/>
        <color theme="1"/>
        <rFont val="Noto Sans CJK SC"/>
        <family val="2"/>
      </rPr>
      <t xml:space="preserve">）</t>
    </r>
  </si>
  <si>
    <t xml:space="preserve">S02</t>
  </si>
  <si>
    <r>
      <rPr>
        <sz val="11"/>
        <color theme="1"/>
        <rFont val="Calibri"/>
        <family val="2"/>
        <charset val="1"/>
      </rPr>
      <t xml:space="preserve">SpaceX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附件；</t>
    </r>
    <r>
      <rPr>
        <sz val="11"/>
        <color theme="1"/>
        <rFont val="Calibri"/>
        <family val="2"/>
        <charset val="1"/>
      </rPr>
      <t xml:space="preserve">mag/extract/docs/2026Q3/spacex_2026Q3_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</t>
    </r>
    <r>
      <rPr>
        <sz val="11"/>
        <color theme="1"/>
        <rFont val="Noto Sans CJK SC"/>
        <family val="2"/>
      </rPr>
      <t xml:space="preserve">）</t>
    </r>
  </si>
  <si>
    <t xml:space="preserve">2026-10-20</t>
  </si>
  <si>
    <t xml:space="preserve">https://ir.spacex.com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</si>
  <si>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比較欄、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Noto Sans CJK SC"/>
        <family val="2"/>
      </rPr>
      <t xml:space="preserve">（發射、訂戶、</t>
    </r>
    <r>
      <rPr>
        <sz val="11"/>
        <color theme="1"/>
        <rFont val="Calibri"/>
        <family val="2"/>
        <charset val="1"/>
      </rPr>
      <t xml:space="preserve">ARPU</t>
    </r>
    <r>
      <rPr>
        <sz val="11"/>
        <color theme="1"/>
        <rFont val="Noto Sans CJK SC"/>
        <family val="2"/>
      </rPr>
      <t xml:space="preserve">、名目算力）</t>
    </r>
  </si>
  <si>
    <t xml:space="preserve">S03</t>
  </si>
  <si>
    <r>
      <rPr>
        <sz val="11"/>
        <color theme="1"/>
        <rFont val="Calibri"/>
        <family val="2"/>
        <charset val="1"/>
      </rPr>
      <t xml:space="preserve">SpaceX 2026Q2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WebFetch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未入庫）</t>
    </r>
  </si>
  <si>
    <t xml:space="preserve">2026-07</t>
  </si>
  <si>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Backlog 6-30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新簽雲端合約 </t>
    </r>
    <r>
      <rPr>
        <sz val="11"/>
        <color theme="1"/>
        <rFont val="Calibri"/>
        <family val="2"/>
        <charset val="1"/>
      </rPr>
      <t xml:space="preserve">14.1</t>
    </r>
  </si>
  <si>
    <t xml:space="preserve">S04</t>
  </si>
  <si>
    <r>
      <rPr>
        <sz val="11"/>
        <color theme="1"/>
        <rFont val="Noto Sans CJK SC"/>
        <family val="2"/>
      </rPr>
      <t xml:space="preserve">媒體轉述 </t>
    </r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Implicator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Beancount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</si>
  <si>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07</t>
    </r>
  </si>
  <si>
    <r>
      <rPr>
        <sz val="11"/>
        <color theme="1"/>
        <rFont val="Noto Sans CJK SC"/>
        <family val="2"/>
      </rPr>
      <t xml:space="preserve">見事實總帳 </t>
    </r>
    <r>
      <rPr>
        <sz val="11"/>
        <color theme="1"/>
        <rFont val="Calibri"/>
        <family val="2"/>
        <charset val="1"/>
      </rPr>
      <t xml:space="preserve">seg.*.fy2025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url</t>
    </r>
  </si>
  <si>
    <r>
      <rPr>
        <sz val="11"/>
        <color theme="1"/>
        <rFont val="Noto Sans CJK SC"/>
        <family val="2"/>
      </rPr>
      <t xml:space="preserve">二手轉述 </t>
    </r>
    <r>
      <rPr>
        <sz val="11"/>
        <color theme="1"/>
        <rFont val="Calibri"/>
        <family val="2"/>
        <charset val="1"/>
      </rPr>
      <t xml:space="preserve">S-1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</si>
  <si>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分部營收與營業利益（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資本支出未取得）</t>
    </r>
  </si>
  <si>
    <t xml:space="preserve">S05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</si>
  <si>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spacex/data/tokenomics_snapshot_v21.7.json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alphabet/data/ </t>
    </r>
    <r>
      <rPr>
        <sz val="11"/>
        <color theme="1"/>
        <rFont val="Noto Sans CJK SC"/>
        <family val="2"/>
      </rPr>
      <t xml:space="preserve">複製；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）</t>
    </r>
  </si>
  <si>
    <t xml:space="preserve">2026-10-29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</si>
  <si>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內（</t>
    </r>
    <r>
      <rPr>
        <sz val="11"/>
        <color theme="1"/>
        <rFont val="Calibri"/>
        <family val="2"/>
        <charset val="1"/>
      </rPr>
      <t xml:space="preserve">YinchenChang/Tokenomics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</si>
  <si>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IF_FacilityGW</t>
    </r>
  </si>
  <si>
    <t xml:space="preserve">S06</t>
  </si>
  <si>
    <r>
      <rPr>
        <sz val="11"/>
        <color theme="1"/>
        <rFont val="Calibri"/>
        <family val="2"/>
        <charset val="1"/>
      </rPr>
      <t xml:space="preserve">MarketBeat SPCX </t>
    </r>
    <r>
      <rPr>
        <sz val="11"/>
        <color theme="1"/>
        <rFont val="Noto Sans CJK SC"/>
        <family val="2"/>
      </rPr>
      <t xml:space="preserve">預測頁</t>
    </r>
  </si>
  <si>
    <t xml:space="preserve">https://www.marketbeat.com/stocks/NASDAQ/SPCX/forecast/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</si>
  <si>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</si>
  <si>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143.89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4:00 PM </t>
    </r>
    <r>
      <rPr>
        <sz val="11"/>
        <color theme="1"/>
        <rFont val="Noto Sans CJK SC"/>
        <family val="2"/>
      </rPr>
      <t xml:space="preserve">收盤）、共識目標價 </t>
    </r>
    <r>
      <rPr>
        <sz val="11"/>
        <color theme="1"/>
        <rFont val="Calibri"/>
        <family val="2"/>
        <charset val="1"/>
      </rPr>
      <t xml:space="preserve">244.97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位）</t>
    </r>
  </si>
  <si>
    <t xml:space="preserve">S07</t>
  </si>
  <si>
    <r>
      <rPr>
        <sz val="11"/>
        <color theme="1"/>
        <rFont val="Calibri"/>
        <family val="2"/>
        <charset val="1"/>
      </rPr>
      <t xml:space="preserve">Equibles SPCX </t>
    </r>
    <r>
      <rPr>
        <sz val="11"/>
        <color theme="1"/>
        <rFont val="Noto Sans CJK SC"/>
        <family val="2"/>
      </rPr>
      <t xml:space="preserve">摘要</t>
    </r>
  </si>
  <si>
    <t xml:space="preserve">https://equibles.com/stocks/spcx/summary</t>
  </si>
  <si>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143.89</t>
    </r>
    <r>
      <rPr>
        <sz val="11"/>
        <color theme="1"/>
        <rFont val="Noto Sans CJK SC"/>
        <family val="2"/>
      </rPr>
      <t xml:space="preserve">（第二來源）</t>
    </r>
  </si>
  <si>
    <t xml:space="preserve">S08</t>
  </si>
  <si>
    <r>
      <rPr>
        <sz val="11"/>
        <color theme="1"/>
        <rFont val="Calibri"/>
        <family val="2"/>
        <charset val="1"/>
      </rPr>
      <t xml:space="preserve">Digrin SPCX </t>
    </r>
    <r>
      <rPr>
        <sz val="11"/>
        <color theme="1"/>
        <rFont val="Noto Sans CJK SC"/>
        <family val="2"/>
      </rPr>
      <t xml:space="preserve">月線</t>
    </r>
  </si>
  <si>
    <t xml:space="preserve">2026-10-30</t>
  </si>
  <si>
    <t xml:space="preserve">https://www.digrin.com/stocks/detail/SPCX/price</t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</si>
  <si>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150.86</t>
    </r>
    <r>
      <rPr>
        <sz val="11"/>
        <color theme="1"/>
        <rFont val="Noto Sans CJK SC"/>
        <family val="2"/>
      </rPr>
      <t xml:space="preserve">（評價日股價，單一來源）</t>
    </r>
  </si>
  <si>
    <t xml:space="preserve">S09</t>
  </si>
  <si>
    <r>
      <rPr>
        <sz val="11"/>
        <color theme="1"/>
        <rFont val="Noto Sans CJK SC"/>
        <family val="2"/>
      </rPr>
      <t xml:space="preserve">美國財政部每日殖利率曲線（</t>
    </r>
    <r>
      <rPr>
        <sz val="11"/>
        <color theme="1"/>
        <rFont val="Calibri"/>
        <family val="2"/>
        <charset val="1"/>
      </rPr>
      <t xml:space="preserve">10 Yr</t>
    </r>
    <r>
      <rPr>
        <sz val="11"/>
        <color theme="1"/>
        <rFont val="Noto Sans CJK SC"/>
        <family val="2"/>
      </rPr>
      <t xml:space="preserve">）</t>
    </r>
  </si>
  <si>
    <t xml:space="preserve">2026-10-27</t>
  </si>
  <si>
    <t xml:space="preserve">https://home.treasury.gov/resource-center/data-chart-center/interest-rates/TextView?type=daily_treasury_yield_curve&amp;field_tdr_date_value_month=202610</t>
  </si>
  <si>
    <r>
      <rPr>
        <sz val="11"/>
        <color theme="1"/>
        <rFont val="Noto Sans CJK SC"/>
        <family val="2"/>
      </rPr>
      <t xml:space="preserve">無風險利率 </t>
    </r>
    <r>
      <rPr>
        <sz val="11"/>
        <color theme="1"/>
        <rFont val="Calibri"/>
        <family val="2"/>
        <charset val="1"/>
      </rPr>
      <t xml:space="preserve">4.99%</t>
    </r>
  </si>
  <si>
    <t xml:space="preserve">S10</t>
  </si>
  <si>
    <r>
      <rPr>
        <sz val="11"/>
        <color theme="1"/>
        <rFont val="Noto Sans CJK SC"/>
        <family val="2"/>
      </rPr>
      <t xml:space="preserve">同業檔 </t>
    </r>
    <r>
      <rPr>
        <sz val="11"/>
        <color theme="1"/>
        <rFont val="Calibri"/>
        <family val="2"/>
        <charset val="1"/>
      </rPr>
      <t xml:space="preserve">spacex/data/peers_si_20261030.json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peers_connectivity_20261030.json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</si>
  <si>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10-23</t>
    </r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</si>
  <si>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</si>
  <si>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</t>
    </r>
  </si>
  <si>
    <t xml:space="preserve">S11</t>
  </si>
  <si>
    <r>
      <rPr>
        <sz val="11"/>
        <color theme="1"/>
        <rFont val="Noto Sans CJK SC"/>
        <family val="2"/>
      </rPr>
      <t xml:space="preserve">共識檔 </t>
    </r>
    <r>
      <rPr>
        <sz val="11"/>
        <color theme="1"/>
        <rFont val="Calibri"/>
        <family val="2"/>
        <charset val="1"/>
      </rPr>
      <t xml:space="preserve">spacex/data/consensus_spcx_20261030.json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Simply Wall St </t>
    </r>
    <r>
      <rPr>
        <sz val="11"/>
        <color theme="1"/>
        <rFont val="Noto Sans CJK SC"/>
        <family val="2"/>
      </rPr>
      <t xml:space="preserve">過期、</t>
    </r>
    <r>
      <rPr>
        <sz val="11"/>
        <color theme="1"/>
        <rFont val="Calibri"/>
        <family val="2"/>
        <charset val="1"/>
      </rPr>
      <t xml:space="preserve">Shacknews</t>
    </r>
    <r>
      <rPr>
        <sz val="11"/>
        <color theme="1"/>
        <rFont val="Noto Sans CJK SC"/>
        <family val="2"/>
      </rPr>
      <t xml:space="preserve">）</t>
    </r>
  </si>
  <si>
    <t xml:space="preserve">共識目標價、過期年度共識</t>
  </si>
  <si>
    <t xml:space="preserve">S12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</si>
  <si>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段事實總帳報告 </t>
    </r>
    <r>
      <rPr>
        <sz val="11"/>
        <color theme="1"/>
        <rFont val="Calibri"/>
        <family val="2"/>
        <charset val="1"/>
      </rPr>
      <t xml:space="preserve">spacex/docs/reports/20261030_spacex_v0.1_A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事實總帳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</si>
  <si>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Noto Sans CJK SC"/>
        <family val="2"/>
      </rPr>
      <t xml:space="preserve">名目算力口徑、</t>
    </r>
    <r>
      <rPr>
        <sz val="11"/>
        <color theme="1"/>
        <rFont val="Calibri"/>
        <family val="2"/>
        <charset val="1"/>
      </rPr>
      <t xml:space="preserve">Valor</t>
    </r>
    <r>
      <rPr>
        <sz val="11"/>
        <color theme="1"/>
        <rFont val="Noto Sans CJK SC"/>
        <family val="2"/>
      </rPr>
      <t xml:space="preserve">、找不到的項目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</si>
</sst>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0"/>
    <numFmt numFmtId="166" formatCode="0.0000"/>
    <numFmt numFmtId="167" formatCode="0.0%"/>
    <numFmt numFmtId="168" formatCode="0.00"/>
    <numFmt numFmtId="169" formatCode="0.0"/>
    <numFmt numFmtId="170" formatCode="0%"/>
    <numFmt numFmtId="171" formatCode="0.000"/>
    <numFmt numFmtId="172" formatCode="0"/>
    <numFmt numFmtId="173" formatCode="#,##0.00"/>
    <numFmt numFmtId="174" formatCode="#,##0.0"/>
    <numFmt numFmtId="175" formatCode="@"/>
    <numFmt numFmtId="176" formatCode="0.00%"/>
    <numFmt numFmtId="177" formatCode="\+0.0%;\-0.0%;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4" min="2" style="0" width="60"/>
  </cols>
  <sheetData>
    <row r="1" customFormat="false" ht="17.15" hidden="false" customHeight="false" outlineLevel="0" collapsed="false">
      <c r="A1" s="0" t="s">
        <v>0</v>
      </c>
    </row>
    <row r="3" customFormat="false" ht="32.8" hidden="false" customHeight="false" outlineLevel="0" collapsed="false">
      <c r="A3" s="1" t="s">
        <v>1</v>
      </c>
    </row>
    <row r="4" customFormat="false" ht="32.8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1" t="str">
        <f aca="false">"投資建議："&amp;Val!B14&amp;"（加權目標價 US$"&amp;TEXT(Val!B8,"0.00")&amp;"，上檔空間 "&amp;TEXT(Val!B11,"+0.0%;-0.0%")&amp;"；現價 "&amp;TEXT(px,"0.00")&amp;"，2026-10-29 收盤）"</f>
        <v>投資建議：強力放空（加權目標價 US$27.52，上檔空間 -80.9%；現價 143.89，2026-10-29 收盤）</v>
      </c>
    </row>
    <row r="6" customFormat="false" ht="32.8" hidden="false" customHeight="false" outlineLevel="0" collapsed="false">
      <c r="A6" s="1" t="str">
        <f aca="false">"重點觀察 1：目標價 "&amp;TEXT(Val!B8,"0.0")&amp;"＝DCF "&amp;TEXT(Val!B6,"0.0")&amp;"、分部加總 "&amp;TEXT(Val!B7,"0.0")&amp;" 各半；情境 A／B／C 為 "&amp;TEXT(Val!B17,"0.0")&amp;"／"&amp;TEXT(Val!C17,"0.0")&amp;"／"&amp;TEXT(Val!D17,"0.0")&amp;"；市場共識目標價 "&amp;TEXT(cons_tp,"0")&amp;"，現價隱含 NTM EV/EBITDA "&amp;TEXT(Val!B149,"0")&amp;" 倍。"</f>
        <v>重點觀察 1：目標價 27.5＝DCF 20.7、分部加總 34.4 各半；情境 A／B／C 為 39.1／26.7／17.6；市場共識目標價 245，現價隱含 NTM EV/EBITDA 26 倍。</v>
      </c>
    </row>
    <row r="7" customFormat="false" ht="32.8" hidden="false" customHeight="false" outlineLevel="0" collapsed="false">
      <c r="A7" s="1" t="str">
        <f aca="false">"重點觀察 2：S2 核心問題比值（FY2028 SI 每 GW 年營收 ÷ Tokenomics 持有成本）A／B／C＝"&amp;TEXT(Val!B24,"0.00")&amp;"／"&amp;TEXT(Val!C24,"0.00")&amp;"／"&amp;TEXT(Val!D24,"0.00")&amp;"（2026Q3 校準 "&amp;TEXT(k0,"0.00")&amp;"）；SI 名目算力 FY2028 年底 "&amp;TEXT(Thesis!I25,"0.0")&amp;" GW，FY2027 SI 投資 "&amp;TEXT(Thesis!H43,"0")&amp;"。"</f>
        <v>重點觀察 2：S2 核心問題比值（FY2028 SI 每 GW 年營收 ÷ Tokenomics 持有成本）A／B／C＝1.73／1.56／1.43（2026Q3 校準 1.87）；SI 名目算力 FY2028 年底 5.4 GW，FY2027 SI 投資 75。</v>
      </c>
    </row>
    <row r="8" customFormat="false" ht="32.8" hidden="false" customHeight="false" outlineLevel="0" collapsed="false">
      <c r="A8" s="1" t="str">
        <f aca="false">"重點觀察 3：收支關卡（FY2026–2030 自由現金流，收支關卡口徑）B "&amp;TEXT(CF!C6,"0.0")&amp;"（公司口徑 "&amp;TEXT(CF!C7,"0.0")&amp;"），"&amp;CF!C10&amp;"；情境 B 合併營業利益率 FY2028 "&amp;TEXT(PL!I120,"0.0%")&amp;"（新增 AI 折舊 "&amp;TEXT(PL!I106,"0.0")&amp;"）。"</f>
        <v>重點觀察 3：收支關卡（FY2026–2030 自由現金流，收支關卡口徑）B -96.9（公司口徑 -53.7），需要舉債；情境 B 合併營業利益率 FY2028 20.0%（新增 AI 折舊 18.5）。</v>
      </c>
    </row>
    <row r="10" customFormat="false" ht="15" hidden="false" customHeight="false" outlineLevel="0" collapsed="false">
      <c r="A10" s="2" t="s">
        <v>3</v>
      </c>
    </row>
    <row r="11" customFormat="false" ht="17.15" hidden="false" customHeight="false" outlineLevel="0" collapsed="false">
      <c r="A11" s="3" t="s">
        <v>4</v>
      </c>
      <c r="B11" s="3" t="s">
        <v>5</v>
      </c>
      <c r="C11" s="3" t="s">
        <v>6</v>
      </c>
      <c r="D11" s="3" t="s">
        <v>7</v>
      </c>
    </row>
    <row r="12" customFormat="false" ht="17.15" hidden="false" customHeight="false" outlineLevel="0" collapsed="false">
      <c r="A12" s="0" t="s">
        <v>8</v>
      </c>
      <c r="B12" s="0" t="s">
        <v>9</v>
      </c>
      <c r="C12" s="0" t="s">
        <v>10</v>
      </c>
      <c r="D12" s="0" t="s">
        <v>11</v>
      </c>
    </row>
    <row r="13" customFormat="false" ht="17.15" hidden="false" customHeight="false" outlineLevel="0" collapsed="false">
      <c r="A13" s="0" t="s">
        <v>12</v>
      </c>
      <c r="B13" s="0" t="s">
        <v>13</v>
      </c>
      <c r="C13" s="4" t="s">
        <v>14</v>
      </c>
      <c r="D13" s="4" t="s">
        <v>15</v>
      </c>
    </row>
    <row r="14" customFormat="false" ht="17.15" hidden="false" customHeight="false" outlineLevel="0" collapsed="false">
      <c r="A14" s="0" t="s">
        <v>16</v>
      </c>
      <c r="B14" s="0" t="s">
        <v>17</v>
      </c>
      <c r="C14" s="4" t="s">
        <v>18</v>
      </c>
      <c r="D14" s="4" t="s">
        <v>19</v>
      </c>
    </row>
    <row r="15" customFormat="false" ht="17.15" hidden="false" customHeight="false" outlineLevel="0" collapsed="false">
      <c r="A15" s="0" t="s">
        <v>20</v>
      </c>
      <c r="B15" s="0" t="s">
        <v>21</v>
      </c>
      <c r="C15" s="4" t="s">
        <v>22</v>
      </c>
      <c r="D15" s="4" t="s">
        <v>23</v>
      </c>
    </row>
    <row r="16" customFormat="false" ht="17.15" hidden="false" customHeight="false" outlineLevel="0" collapsed="false">
      <c r="A16" s="0" t="s">
        <v>24</v>
      </c>
      <c r="B16" s="0" t="s">
        <v>25</v>
      </c>
      <c r="C16" s="0" t="s">
        <v>26</v>
      </c>
      <c r="D16" s="4" t="s">
        <v>27</v>
      </c>
    </row>
    <row r="17" customFormat="false" ht="17.15" hidden="false" customHeight="false" outlineLevel="0" collapsed="false">
      <c r="A17" s="0" t="s">
        <v>28</v>
      </c>
      <c r="B17" s="0" t="s">
        <v>29</v>
      </c>
      <c r="C17" s="4" t="s">
        <v>30</v>
      </c>
      <c r="D17" s="4" t="s">
        <v>31</v>
      </c>
    </row>
    <row r="19" customFormat="false" ht="17.15" hidden="false" customHeight="false" outlineLevel="0" collapsed="false">
      <c r="A19" s="2" t="s">
        <v>32</v>
      </c>
    </row>
    <row r="20" customFormat="false" ht="17.15" hidden="false" customHeight="false" outlineLevel="0" collapsed="false">
      <c r="A20" s="4" t="s">
        <v>33</v>
      </c>
    </row>
    <row r="21" customFormat="false" ht="17.15" hidden="false" customHeight="false" outlineLevel="0" collapsed="false">
      <c r="A21" s="0" t="s">
        <v>34</v>
      </c>
    </row>
    <row r="22" customFormat="false" ht="17.15" hidden="false" customHeight="false" outlineLevel="0" collapsed="false">
      <c r="A22" s="4" t="s">
        <v>35</v>
      </c>
    </row>
    <row r="23" customFormat="false" ht="17.15" hidden="false" customHeight="false" outlineLevel="0" collapsed="false">
      <c r="A23" s="4" t="s">
        <v>36</v>
      </c>
    </row>
    <row r="24" customFormat="false" ht="17.15" hidden="false" customHeight="false" outlineLevel="0" collapsed="false">
      <c r="A24" s="0" t="s">
        <v>37</v>
      </c>
    </row>
    <row r="26" customFormat="false" ht="17.15" hidden="false" customHeight="false" outlineLevel="0" collapsed="false">
      <c r="A26" s="2" t="s">
        <v>38</v>
      </c>
    </row>
    <row r="27" customFormat="false" ht="17.15" hidden="false" customHeight="false" outlineLevel="0" collapsed="false">
      <c r="A27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90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40</v>
      </c>
    </row>
    <row r="2" customFormat="false" ht="17.15" hidden="false" customHeight="false" outlineLevel="0" collapsed="false">
      <c r="A2" s="4" t="s">
        <v>41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</row>
    <row r="4" customFormat="false" ht="17.15" hidden="false" customHeight="false" outlineLevel="0" collapsed="false">
      <c r="A4" s="5" t="s">
        <v>51</v>
      </c>
    </row>
    <row r="5" customFormat="false" ht="17.15" hidden="false" customHeight="false" outlineLevel="0" collapsed="false">
      <c r="A5" s="0" t="s">
        <v>52</v>
      </c>
      <c r="B5" s="4" t="s">
        <v>53</v>
      </c>
      <c r="C5" s="0" t="s">
        <v>54</v>
      </c>
      <c r="E5" s="6" t="n">
        <v>143.89</v>
      </c>
      <c r="G5" s="7" t="s">
        <v>55</v>
      </c>
      <c r="H5" s="7" t="s">
        <v>56</v>
      </c>
      <c r="I5" s="4" t="s">
        <v>57</v>
      </c>
    </row>
    <row r="6" customFormat="false" ht="17.15" hidden="false" customHeight="false" outlineLevel="0" collapsed="false">
      <c r="A6" s="0" t="s">
        <v>58</v>
      </c>
      <c r="B6" s="4" t="s">
        <v>59</v>
      </c>
      <c r="C6" s="0" t="s">
        <v>54</v>
      </c>
      <c r="E6" s="6" t="n">
        <v>150.86</v>
      </c>
      <c r="G6" s="7" t="s">
        <v>60</v>
      </c>
      <c r="H6" s="7" t="s">
        <v>61</v>
      </c>
      <c r="I6" s="4" t="s">
        <v>62</v>
      </c>
    </row>
    <row r="7" customFormat="false" ht="17.15" hidden="false" customHeight="false" outlineLevel="0" collapsed="false">
      <c r="A7" s="0" t="s">
        <v>63</v>
      </c>
      <c r="B7" s="4" t="s">
        <v>64</v>
      </c>
      <c r="C7" s="4" t="s">
        <v>65</v>
      </c>
      <c r="E7" s="6" t="n">
        <v>13.581064</v>
      </c>
      <c r="G7" s="7" t="s">
        <v>55</v>
      </c>
      <c r="H7" s="7" t="s">
        <v>66</v>
      </c>
      <c r="I7" s="7" t="s">
        <v>67</v>
      </c>
    </row>
    <row r="8" customFormat="false" ht="17.15" hidden="false" customHeight="false" outlineLevel="0" collapsed="false">
      <c r="A8" s="0" t="s">
        <v>68</v>
      </c>
      <c r="B8" s="0" t="s">
        <v>69</v>
      </c>
      <c r="C8" s="4" t="s">
        <v>65</v>
      </c>
      <c r="E8" s="6" t="n">
        <v>7.274</v>
      </c>
      <c r="G8" s="7" t="s">
        <v>55</v>
      </c>
      <c r="H8" s="7" t="s">
        <v>70</v>
      </c>
      <c r="I8" s="7" t="s">
        <v>71</v>
      </c>
    </row>
    <row r="9" customFormat="false" ht="17.15" hidden="false" customHeight="false" outlineLevel="0" collapsed="false">
      <c r="A9" s="0" t="s">
        <v>72</v>
      </c>
      <c r="B9" s="4" t="s">
        <v>73</v>
      </c>
      <c r="C9" s="4" t="s">
        <v>65</v>
      </c>
      <c r="E9" s="6" t="n">
        <v>1.333</v>
      </c>
      <c r="G9" s="7" t="s">
        <v>55</v>
      </c>
      <c r="H9" s="7" t="s">
        <v>74</v>
      </c>
      <c r="I9" s="4" t="s">
        <v>75</v>
      </c>
    </row>
    <row r="10" customFormat="false" ht="17.15" hidden="false" customHeight="false" outlineLevel="0" collapsed="false">
      <c r="A10" s="0" t="s">
        <v>76</v>
      </c>
      <c r="B10" s="4" t="s">
        <v>77</v>
      </c>
      <c r="C10" s="4" t="s">
        <v>65</v>
      </c>
      <c r="E10" s="6" t="n">
        <v>0.508</v>
      </c>
      <c r="G10" s="7" t="s">
        <v>55</v>
      </c>
      <c r="H10" s="7" t="s">
        <v>78</v>
      </c>
      <c r="I10" s="7" t="s">
        <v>79</v>
      </c>
    </row>
    <row r="11" customFormat="false" ht="17.15" hidden="false" customHeight="false" outlineLevel="0" collapsed="false">
      <c r="A11" s="0" t="s">
        <v>80</v>
      </c>
      <c r="B11" s="4" t="s">
        <v>81</v>
      </c>
      <c r="C11" s="4" t="s">
        <v>65</v>
      </c>
      <c r="E11" s="6" t="n">
        <v>0.142</v>
      </c>
      <c r="G11" s="7" t="s">
        <v>55</v>
      </c>
      <c r="H11" s="7" t="s">
        <v>82</v>
      </c>
      <c r="I11" s="7" t="s">
        <v>79</v>
      </c>
    </row>
    <row r="12" customFormat="false" ht="17.15" hidden="false" customHeight="false" outlineLevel="0" collapsed="false">
      <c r="A12" s="0" t="s">
        <v>83</v>
      </c>
      <c r="B12" s="4" t="s">
        <v>84</v>
      </c>
      <c r="C12" s="4" t="s">
        <v>65</v>
      </c>
      <c r="E12" s="6" t="n">
        <v>0.2618</v>
      </c>
      <c r="G12" s="7" t="s">
        <v>55</v>
      </c>
      <c r="H12" s="7" t="s">
        <v>85</v>
      </c>
      <c r="I12" s="4" t="s">
        <v>86</v>
      </c>
    </row>
    <row r="13" customFormat="false" ht="17.15" hidden="false" customHeight="false" outlineLevel="0" collapsed="false">
      <c r="A13" s="8" t="s">
        <v>87</v>
      </c>
      <c r="B13" s="9" t="s">
        <v>88</v>
      </c>
      <c r="C13" s="8" t="s">
        <v>89</v>
      </c>
      <c r="D13" s="8"/>
      <c r="E13" s="10" t="n">
        <v>0</v>
      </c>
      <c r="F13" s="10" t="n">
        <v>1</v>
      </c>
      <c r="G13" s="8" t="s">
        <v>90</v>
      </c>
      <c r="H13" s="9" t="s">
        <v>91</v>
      </c>
      <c r="I13" s="9" t="s">
        <v>92</v>
      </c>
    </row>
    <row r="14" customFormat="false" ht="17.15" hidden="false" customHeight="false" outlineLevel="0" collapsed="false">
      <c r="A14" s="0" t="s">
        <v>93</v>
      </c>
      <c r="B14" s="4" t="s">
        <v>94</v>
      </c>
      <c r="C14" s="0" t="s">
        <v>95</v>
      </c>
      <c r="E14" s="6" t="n">
        <v>89.855</v>
      </c>
      <c r="G14" s="7" t="s">
        <v>55</v>
      </c>
      <c r="H14" s="7" t="s">
        <v>96</v>
      </c>
      <c r="I14" s="7" t="s">
        <v>97</v>
      </c>
    </row>
    <row r="15" customFormat="false" ht="17.15" hidden="false" customHeight="false" outlineLevel="0" collapsed="false">
      <c r="A15" s="0" t="s">
        <v>98</v>
      </c>
      <c r="B15" s="4" t="s">
        <v>99</v>
      </c>
      <c r="C15" s="0" t="s">
        <v>95</v>
      </c>
      <c r="E15" s="6" t="n">
        <v>24.747</v>
      </c>
      <c r="G15" s="7" t="s">
        <v>55</v>
      </c>
      <c r="H15" s="7" t="s">
        <v>100</v>
      </c>
    </row>
    <row r="16" customFormat="false" ht="17.15" hidden="false" customHeight="false" outlineLevel="0" collapsed="false">
      <c r="A16" s="0" t="s">
        <v>101</v>
      </c>
      <c r="B16" s="4" t="s">
        <v>102</v>
      </c>
      <c r="C16" s="0" t="s">
        <v>95</v>
      </c>
      <c r="E16" s="6" t="n">
        <v>38.006</v>
      </c>
      <c r="G16" s="7" t="s">
        <v>55</v>
      </c>
      <c r="H16" s="7" t="s">
        <v>103</v>
      </c>
      <c r="I16" s="7" t="s">
        <v>104</v>
      </c>
    </row>
    <row r="17" customFormat="false" ht="17.15" hidden="false" customHeight="false" outlineLevel="0" collapsed="false">
      <c r="A17" s="0" t="s">
        <v>105</v>
      </c>
      <c r="B17" s="4" t="s">
        <v>106</v>
      </c>
      <c r="C17" s="0" t="s">
        <v>95</v>
      </c>
      <c r="E17" s="6" t="n">
        <v>22.049</v>
      </c>
      <c r="G17" s="7" t="s">
        <v>55</v>
      </c>
      <c r="H17" s="7" t="s">
        <v>107</v>
      </c>
    </row>
    <row r="18" customFormat="false" ht="17.15" hidden="false" customHeight="false" outlineLevel="0" collapsed="false">
      <c r="A18" s="0" t="s">
        <v>108</v>
      </c>
      <c r="B18" s="4" t="s">
        <v>109</v>
      </c>
      <c r="C18" s="0" t="s">
        <v>95</v>
      </c>
      <c r="E18" s="6" t="n">
        <v>12.897</v>
      </c>
      <c r="G18" s="7" t="s">
        <v>55</v>
      </c>
      <c r="H18" s="7" t="s">
        <v>110</v>
      </c>
      <c r="I18" s="4" t="s">
        <v>111</v>
      </c>
    </row>
    <row r="19" customFormat="false" ht="17.15" hidden="false" customHeight="false" outlineLevel="0" collapsed="false">
      <c r="A19" s="0" t="s">
        <v>112</v>
      </c>
      <c r="B19" s="4" t="s">
        <v>113</v>
      </c>
      <c r="C19" s="0" t="s">
        <v>95</v>
      </c>
      <c r="E19" s="6" t="n">
        <v>0.983</v>
      </c>
      <c r="G19" s="7" t="s">
        <v>55</v>
      </c>
      <c r="H19" s="7" t="s">
        <v>114</v>
      </c>
      <c r="I19" s="4" t="s">
        <v>115</v>
      </c>
    </row>
    <row r="20" customFormat="false" ht="17.15" hidden="false" customHeight="false" outlineLevel="0" collapsed="false">
      <c r="A20" s="0" t="s">
        <v>116</v>
      </c>
      <c r="B20" s="4" t="s">
        <v>117</v>
      </c>
      <c r="C20" s="0" t="s">
        <v>95</v>
      </c>
      <c r="E20" s="6" t="n">
        <v>1.573</v>
      </c>
      <c r="G20" s="7" t="s">
        <v>55</v>
      </c>
      <c r="H20" s="7" t="s">
        <v>118</v>
      </c>
      <c r="I20" s="4" t="s">
        <v>119</v>
      </c>
    </row>
    <row r="21" customFormat="false" ht="17.15" hidden="false" customHeight="false" outlineLevel="0" collapsed="false">
      <c r="A21" s="0" t="s">
        <v>120</v>
      </c>
      <c r="B21" s="4" t="s">
        <v>121</v>
      </c>
      <c r="C21" s="0" t="s">
        <v>95</v>
      </c>
      <c r="E21" s="6" t="n">
        <v>0.35</v>
      </c>
      <c r="G21" s="7" t="s">
        <v>55</v>
      </c>
      <c r="H21" s="7" t="s">
        <v>122</v>
      </c>
    </row>
    <row r="22" customFormat="false" ht="17.15" hidden="false" customHeight="false" outlineLevel="0" collapsed="false">
      <c r="A22" s="5" t="s">
        <v>123</v>
      </c>
    </row>
    <row r="23" customFormat="false" ht="17.15" hidden="false" customHeight="false" outlineLevel="0" collapsed="false">
      <c r="A23" s="0" t="s">
        <v>124</v>
      </c>
      <c r="B23" s="4" t="s">
        <v>125</v>
      </c>
      <c r="C23" s="0" t="s">
        <v>126</v>
      </c>
      <c r="E23" s="11" t="n">
        <v>0.0499</v>
      </c>
      <c r="G23" s="7" t="s">
        <v>55</v>
      </c>
      <c r="H23" s="4" t="s">
        <v>127</v>
      </c>
    </row>
    <row r="24" customFormat="false" ht="17.15" hidden="false" customHeight="false" outlineLevel="0" collapsed="false">
      <c r="A24" s="8" t="s">
        <v>128</v>
      </c>
      <c r="B24" s="8" t="s">
        <v>129</v>
      </c>
      <c r="C24" s="8" t="s">
        <v>89</v>
      </c>
      <c r="D24" s="10" t="n">
        <v>1.1</v>
      </c>
      <c r="E24" s="10" t="n">
        <v>1.3</v>
      </c>
      <c r="F24" s="10" t="n">
        <v>1.6</v>
      </c>
      <c r="G24" s="8" t="s">
        <v>90</v>
      </c>
      <c r="H24" s="9" t="s">
        <v>130</v>
      </c>
      <c r="I24" s="8" t="s">
        <v>131</v>
      </c>
    </row>
    <row r="25" customFormat="false" ht="17.15" hidden="false" customHeight="false" outlineLevel="0" collapsed="false">
      <c r="A25" s="0" t="s">
        <v>132</v>
      </c>
      <c r="B25" s="4" t="s">
        <v>133</v>
      </c>
      <c r="C25" s="0" t="s">
        <v>126</v>
      </c>
      <c r="D25" s="11" t="n">
        <v>0.04</v>
      </c>
      <c r="E25" s="11" t="n">
        <v>0.05</v>
      </c>
      <c r="F25" s="11" t="n">
        <v>0.06</v>
      </c>
      <c r="G25" s="7" t="s">
        <v>90</v>
      </c>
      <c r="H25" s="4" t="s">
        <v>134</v>
      </c>
    </row>
    <row r="26" customFormat="false" ht="17.15" hidden="false" customHeight="false" outlineLevel="0" collapsed="false">
      <c r="A26" s="0" t="s">
        <v>135</v>
      </c>
      <c r="B26" s="4" t="s">
        <v>136</v>
      </c>
      <c r="C26" s="0" t="s">
        <v>126</v>
      </c>
      <c r="E26" s="11" t="n">
        <v>0.06072</v>
      </c>
      <c r="G26" s="7" t="s">
        <v>55</v>
      </c>
      <c r="H26" s="7" t="s">
        <v>137</v>
      </c>
      <c r="I26" s="4" t="s">
        <v>138</v>
      </c>
    </row>
    <row r="27" customFormat="false" ht="17.15" hidden="false" customHeight="false" outlineLevel="0" collapsed="false">
      <c r="A27" s="0" t="s">
        <v>139</v>
      </c>
      <c r="B27" s="0" t="s">
        <v>140</v>
      </c>
      <c r="C27" s="0" t="s">
        <v>126</v>
      </c>
      <c r="E27" s="11" t="n">
        <v>0.21</v>
      </c>
      <c r="G27" s="7" t="s">
        <v>90</v>
      </c>
      <c r="H27" s="4" t="s">
        <v>141</v>
      </c>
    </row>
    <row r="28" customFormat="false" ht="17.15" hidden="false" customHeight="false" outlineLevel="0" collapsed="false">
      <c r="A28" s="0" t="s">
        <v>142</v>
      </c>
      <c r="B28" s="0" t="s">
        <v>143</v>
      </c>
      <c r="C28" s="0" t="s">
        <v>126</v>
      </c>
      <c r="D28" s="11" t="n">
        <v>-0.01</v>
      </c>
      <c r="E28" s="11" t="n">
        <v>0</v>
      </c>
      <c r="F28" s="11" t="n">
        <v>0.01</v>
      </c>
      <c r="G28" s="7" t="s">
        <v>90</v>
      </c>
      <c r="H28" s="7" t="s">
        <v>79</v>
      </c>
    </row>
    <row r="29" customFormat="false" ht="17.15" hidden="false" customHeight="false" outlineLevel="0" collapsed="false">
      <c r="A29" s="8" t="s">
        <v>144</v>
      </c>
      <c r="B29" s="9" t="s">
        <v>145</v>
      </c>
      <c r="C29" s="8" t="s">
        <v>126</v>
      </c>
      <c r="D29" s="12" t="n">
        <v>0.02</v>
      </c>
      <c r="E29" s="12" t="n">
        <v>0.03</v>
      </c>
      <c r="F29" s="12" t="n">
        <v>0.04</v>
      </c>
      <c r="G29" s="8" t="s">
        <v>90</v>
      </c>
      <c r="H29" s="9" t="s">
        <v>134</v>
      </c>
      <c r="I29" s="8"/>
    </row>
    <row r="30" customFormat="false" ht="17.15" hidden="false" customHeight="false" outlineLevel="0" collapsed="false">
      <c r="A30" s="8" t="s">
        <v>146</v>
      </c>
      <c r="B30" s="9" t="s">
        <v>147</v>
      </c>
      <c r="C30" s="8" t="s">
        <v>126</v>
      </c>
      <c r="D30" s="8"/>
      <c r="E30" s="12" t="n">
        <v>0</v>
      </c>
      <c r="F30" s="12" t="n">
        <v>0.05</v>
      </c>
      <c r="G30" s="8" t="s">
        <v>90</v>
      </c>
      <c r="H30" s="9" t="s">
        <v>148</v>
      </c>
      <c r="I30" s="8" t="s">
        <v>149</v>
      </c>
    </row>
    <row r="31" customFormat="false" ht="15" hidden="false" customHeight="false" outlineLevel="0" collapsed="false">
      <c r="A31" s="0" t="s">
        <v>150</v>
      </c>
      <c r="B31" s="4" t="s">
        <v>151</v>
      </c>
      <c r="C31" s="4" t="s">
        <v>152</v>
      </c>
      <c r="E31" s="6" t="n">
        <v>0.5</v>
      </c>
      <c r="G31" s="7" t="s">
        <v>60</v>
      </c>
      <c r="H31" s="4" t="s">
        <v>153</v>
      </c>
    </row>
    <row r="32" customFormat="false" ht="17.15" hidden="false" customHeight="false" outlineLevel="0" collapsed="false">
      <c r="A32" s="0" t="s">
        <v>154</v>
      </c>
      <c r="B32" s="4" t="s">
        <v>155</v>
      </c>
      <c r="C32" s="4" t="s">
        <v>152</v>
      </c>
      <c r="E32" s="6" t="n">
        <v>2026.75</v>
      </c>
      <c r="G32" s="7" t="s">
        <v>60</v>
      </c>
      <c r="H32" s="4" t="s">
        <v>156</v>
      </c>
    </row>
    <row r="33" customFormat="false" ht="17.15" hidden="false" customHeight="false" outlineLevel="0" collapsed="false">
      <c r="A33" s="0" t="s">
        <v>157</v>
      </c>
      <c r="B33" s="0" t="s">
        <v>158</v>
      </c>
      <c r="C33" s="4" t="s">
        <v>152</v>
      </c>
      <c r="E33" s="6" t="n">
        <v>0.125</v>
      </c>
      <c r="G33" s="7" t="s">
        <v>60</v>
      </c>
      <c r="H33" s="7" t="s">
        <v>159</v>
      </c>
    </row>
    <row r="34" customFormat="false" ht="17.15" hidden="false" customHeight="false" outlineLevel="0" collapsed="false">
      <c r="A34" s="8" t="s">
        <v>160</v>
      </c>
      <c r="B34" s="9" t="s">
        <v>161</v>
      </c>
      <c r="C34" s="8" t="s">
        <v>126</v>
      </c>
      <c r="D34" s="8"/>
      <c r="E34" s="12" t="n">
        <v>0.25</v>
      </c>
      <c r="F34" s="8"/>
      <c r="G34" s="8" t="s">
        <v>90</v>
      </c>
      <c r="H34" s="9" t="s">
        <v>162</v>
      </c>
      <c r="I34" s="8"/>
    </row>
    <row r="35" customFormat="false" ht="17.15" hidden="false" customHeight="false" outlineLevel="0" collapsed="false">
      <c r="A35" s="8" t="s">
        <v>163</v>
      </c>
      <c r="B35" s="9" t="s">
        <v>164</v>
      </c>
      <c r="C35" s="8" t="s">
        <v>126</v>
      </c>
      <c r="D35" s="8"/>
      <c r="E35" s="12" t="n">
        <v>0.5</v>
      </c>
      <c r="F35" s="8"/>
      <c r="G35" s="8" t="s">
        <v>90</v>
      </c>
      <c r="H35" s="9" t="s">
        <v>165</v>
      </c>
      <c r="I35" s="8"/>
    </row>
    <row r="36" customFormat="false" ht="17.15" hidden="false" customHeight="false" outlineLevel="0" collapsed="false">
      <c r="A36" s="8" t="s">
        <v>166</v>
      </c>
      <c r="B36" s="9" t="s">
        <v>167</v>
      </c>
      <c r="C36" s="8" t="s">
        <v>126</v>
      </c>
      <c r="D36" s="8"/>
      <c r="E36" s="12" t="n">
        <v>0.25</v>
      </c>
      <c r="F36" s="8"/>
      <c r="G36" s="8" t="s">
        <v>90</v>
      </c>
      <c r="H36" s="9" t="s">
        <v>165</v>
      </c>
      <c r="I36" s="8"/>
    </row>
    <row r="37" customFormat="false" ht="17.15" hidden="false" customHeight="false" outlineLevel="0" collapsed="false">
      <c r="A37" s="8" t="s">
        <v>168</v>
      </c>
      <c r="B37" s="9" t="s">
        <v>169</v>
      </c>
      <c r="C37" s="8" t="s">
        <v>126</v>
      </c>
      <c r="D37" s="12" t="n">
        <v>0.3</v>
      </c>
      <c r="E37" s="12" t="n">
        <v>0.5</v>
      </c>
      <c r="F37" s="12" t="n">
        <v>0.7</v>
      </c>
      <c r="G37" s="8" t="s">
        <v>90</v>
      </c>
      <c r="H37" s="9" t="s">
        <v>170</v>
      </c>
      <c r="I37" s="8"/>
    </row>
    <row r="38" customFormat="false" ht="17.15" hidden="false" customHeight="false" outlineLevel="0" collapsed="false">
      <c r="A38" s="0" t="s">
        <v>171</v>
      </c>
      <c r="B38" s="4" t="s">
        <v>172</v>
      </c>
      <c r="C38" s="4" t="s">
        <v>152</v>
      </c>
      <c r="E38" s="6" t="n">
        <v>1.0822</v>
      </c>
      <c r="G38" s="7" t="s">
        <v>60</v>
      </c>
      <c r="H38" s="7" t="s">
        <v>173</v>
      </c>
    </row>
    <row r="39" customFormat="false" ht="17.15" hidden="false" customHeight="false" outlineLevel="0" collapsed="false">
      <c r="A39" s="0" t="s">
        <v>174</v>
      </c>
      <c r="B39" s="4" t="s">
        <v>175</v>
      </c>
      <c r="C39" s="0" t="s">
        <v>126</v>
      </c>
      <c r="E39" s="11" t="n">
        <v>0.1699</v>
      </c>
      <c r="G39" s="7" t="s">
        <v>60</v>
      </c>
      <c r="H39" s="7" t="s">
        <v>176</v>
      </c>
    </row>
    <row r="40" customFormat="false" ht="17.15" hidden="false" customHeight="false" outlineLevel="0" collapsed="false">
      <c r="A40" s="0" t="s">
        <v>177</v>
      </c>
      <c r="B40" s="4" t="s">
        <v>178</v>
      </c>
      <c r="C40" s="0" t="s">
        <v>54</v>
      </c>
      <c r="D40" s="6" t="n">
        <v>75</v>
      </c>
      <c r="E40" s="6" t="n">
        <v>244.97</v>
      </c>
      <c r="F40" s="6" t="n">
        <v>800</v>
      </c>
      <c r="G40" s="7" t="s">
        <v>179</v>
      </c>
      <c r="H40" s="7" t="s">
        <v>180</v>
      </c>
      <c r="I40" s="4" t="s">
        <v>181</v>
      </c>
    </row>
    <row r="41" customFormat="false" ht="17.15" hidden="false" customHeight="false" outlineLevel="0" collapsed="false">
      <c r="A41" s="8" t="s">
        <v>182</v>
      </c>
      <c r="B41" s="9" t="s">
        <v>183</v>
      </c>
      <c r="C41" s="8" t="s">
        <v>89</v>
      </c>
      <c r="D41" s="10" t="n">
        <v>1</v>
      </c>
      <c r="E41" s="10" t="n">
        <v>2</v>
      </c>
      <c r="F41" s="8"/>
      <c r="G41" s="8" t="s">
        <v>90</v>
      </c>
      <c r="H41" s="9" t="s">
        <v>184</v>
      </c>
      <c r="I41" s="9" t="s">
        <v>185</v>
      </c>
    </row>
    <row r="42" customFormat="false" ht="17.15" hidden="false" customHeight="false" outlineLevel="0" collapsed="false">
      <c r="A42" s="8" t="s">
        <v>186</v>
      </c>
      <c r="B42" s="8" t="s">
        <v>187</v>
      </c>
      <c r="C42" s="8" t="s">
        <v>89</v>
      </c>
      <c r="D42" s="8"/>
      <c r="E42" s="10" t="n">
        <v>0</v>
      </c>
      <c r="F42" s="10" t="n">
        <v>1</v>
      </c>
      <c r="G42" s="8" t="s">
        <v>90</v>
      </c>
      <c r="H42" s="9" t="s">
        <v>188</v>
      </c>
      <c r="I42" s="8"/>
    </row>
    <row r="43" customFormat="false" ht="17.15" hidden="false" customHeight="false" outlineLevel="0" collapsed="false">
      <c r="A43" s="8" t="s">
        <v>189</v>
      </c>
      <c r="B43" s="9" t="s">
        <v>190</v>
      </c>
      <c r="C43" s="8" t="s">
        <v>89</v>
      </c>
      <c r="D43" s="8"/>
      <c r="E43" s="10" t="n">
        <v>0</v>
      </c>
      <c r="F43" s="10" t="n">
        <v>1</v>
      </c>
      <c r="G43" s="8" t="s">
        <v>90</v>
      </c>
      <c r="H43" s="9" t="s">
        <v>191</v>
      </c>
      <c r="I43" s="8"/>
    </row>
    <row r="44" customFormat="false" ht="17.15" hidden="false" customHeight="false" outlineLevel="0" collapsed="false">
      <c r="A44" s="5" t="s">
        <v>192</v>
      </c>
    </row>
    <row r="45" customFormat="false" ht="17.15" hidden="false" customHeight="false" outlineLevel="0" collapsed="false">
      <c r="A45" s="0" t="s">
        <v>193</v>
      </c>
      <c r="B45" s="0" t="s">
        <v>194</v>
      </c>
      <c r="C45" s="0" t="s">
        <v>89</v>
      </c>
      <c r="E45" s="13" t="n">
        <v>13.39</v>
      </c>
      <c r="G45" s="7" t="s">
        <v>60</v>
      </c>
      <c r="H45" s="7" t="s">
        <v>195</v>
      </c>
    </row>
    <row r="46" customFormat="false" ht="17.15" hidden="false" customHeight="false" outlineLevel="0" collapsed="false">
      <c r="A46" s="0" t="s">
        <v>196</v>
      </c>
      <c r="B46" s="0" t="s">
        <v>197</v>
      </c>
      <c r="C46" s="0" t="s">
        <v>89</v>
      </c>
      <c r="E46" s="13" t="n">
        <v>7.13</v>
      </c>
      <c r="G46" s="7" t="s">
        <v>60</v>
      </c>
      <c r="H46" s="7" t="s">
        <v>195</v>
      </c>
    </row>
    <row r="47" customFormat="false" ht="17.15" hidden="false" customHeight="false" outlineLevel="0" collapsed="false">
      <c r="A47" s="0" t="s">
        <v>198</v>
      </c>
      <c r="B47" s="0" t="s">
        <v>199</v>
      </c>
      <c r="C47" s="0" t="s">
        <v>89</v>
      </c>
      <c r="E47" s="13" t="n">
        <v>6.57</v>
      </c>
      <c r="G47" s="7" t="s">
        <v>60</v>
      </c>
      <c r="H47" s="7" t="s">
        <v>195</v>
      </c>
    </row>
    <row r="48" customFormat="false" ht="17.15" hidden="false" customHeight="false" outlineLevel="0" collapsed="false">
      <c r="A48" s="0" t="s">
        <v>200</v>
      </c>
      <c r="B48" s="0" t="s">
        <v>201</v>
      </c>
      <c r="C48" s="0" t="s">
        <v>89</v>
      </c>
      <c r="E48" s="13" t="n">
        <v>4.71</v>
      </c>
      <c r="G48" s="7" t="s">
        <v>60</v>
      </c>
      <c r="H48" s="7" t="s">
        <v>195</v>
      </c>
    </row>
    <row r="49" customFormat="false" ht="17.15" hidden="false" customHeight="false" outlineLevel="0" collapsed="false">
      <c r="A49" s="0" t="s">
        <v>202</v>
      </c>
      <c r="B49" s="0" t="s">
        <v>203</v>
      </c>
      <c r="C49" s="0" t="s">
        <v>89</v>
      </c>
      <c r="E49" s="13" t="n">
        <v>16.66</v>
      </c>
      <c r="G49" s="7" t="s">
        <v>60</v>
      </c>
      <c r="H49" s="7" t="s">
        <v>195</v>
      </c>
      <c r="I49" s="7" t="s">
        <v>204</v>
      </c>
    </row>
    <row r="50" customFormat="false" ht="17.15" hidden="false" customHeight="false" outlineLevel="0" collapsed="false">
      <c r="A50" s="0" t="s">
        <v>205</v>
      </c>
      <c r="B50" s="0" t="s">
        <v>206</v>
      </c>
      <c r="C50" s="0" t="s">
        <v>89</v>
      </c>
      <c r="E50" s="13" t="n">
        <v>6.23</v>
      </c>
      <c r="G50" s="7" t="s">
        <v>60</v>
      </c>
      <c r="H50" s="7" t="s">
        <v>207</v>
      </c>
    </row>
    <row r="51" customFormat="false" ht="17.15" hidden="false" customHeight="false" outlineLevel="0" collapsed="false">
      <c r="A51" s="0" t="s">
        <v>208</v>
      </c>
      <c r="B51" s="0" t="s">
        <v>209</v>
      </c>
      <c r="C51" s="0" t="s">
        <v>89</v>
      </c>
      <c r="E51" s="13" t="n">
        <v>11.9</v>
      </c>
      <c r="G51" s="7" t="s">
        <v>60</v>
      </c>
      <c r="H51" s="7" t="s">
        <v>210</v>
      </c>
      <c r="I51" s="7" t="s">
        <v>211</v>
      </c>
    </row>
    <row r="52" customFormat="false" ht="17.15" hidden="false" customHeight="false" outlineLevel="0" collapsed="false">
      <c r="A52" s="0" t="s">
        <v>212</v>
      </c>
      <c r="B52" s="0" t="s">
        <v>213</v>
      </c>
      <c r="C52" s="0" t="s">
        <v>89</v>
      </c>
      <c r="E52" s="13" t="n">
        <v>9.49</v>
      </c>
      <c r="G52" s="7" t="s">
        <v>60</v>
      </c>
      <c r="H52" s="4" t="s">
        <v>214</v>
      </c>
      <c r="I52" s="4" t="s">
        <v>215</v>
      </c>
    </row>
    <row r="53" customFormat="false" ht="17.15" hidden="false" customHeight="false" outlineLevel="0" collapsed="false">
      <c r="A53" s="8" t="s">
        <v>216</v>
      </c>
      <c r="B53" s="8" t="s">
        <v>217</v>
      </c>
      <c r="C53" s="8" t="s">
        <v>89</v>
      </c>
      <c r="D53" s="10" t="n">
        <v>0.7</v>
      </c>
      <c r="E53" s="10" t="n">
        <v>1</v>
      </c>
      <c r="F53" s="10" t="n">
        <v>1.4</v>
      </c>
      <c r="G53" s="8" t="s">
        <v>90</v>
      </c>
      <c r="H53" s="9" t="s">
        <v>218</v>
      </c>
      <c r="I53" s="9" t="s">
        <v>219</v>
      </c>
    </row>
    <row r="54" customFormat="false" ht="17.15" hidden="false" customHeight="false" outlineLevel="0" collapsed="false">
      <c r="A54" s="8" t="s">
        <v>220</v>
      </c>
      <c r="B54" s="8" t="s">
        <v>221</v>
      </c>
      <c r="C54" s="8" t="s">
        <v>89</v>
      </c>
      <c r="D54" s="10" t="n">
        <v>2</v>
      </c>
      <c r="E54" s="10" t="n">
        <v>3</v>
      </c>
      <c r="F54" s="10" t="n">
        <v>6</v>
      </c>
      <c r="G54" s="8" t="s">
        <v>90</v>
      </c>
      <c r="H54" s="9" t="s">
        <v>222</v>
      </c>
      <c r="I54" s="9" t="s">
        <v>223</v>
      </c>
    </row>
    <row r="55" customFormat="false" ht="17.15" hidden="false" customHeight="false" outlineLevel="0" collapsed="false">
      <c r="A55" s="5" t="s">
        <v>224</v>
      </c>
    </row>
    <row r="56" customFormat="false" ht="17.15" hidden="false" customHeight="false" outlineLevel="0" collapsed="false">
      <c r="A56" s="0" t="s">
        <v>225</v>
      </c>
      <c r="B56" s="0" t="s">
        <v>226</v>
      </c>
      <c r="C56" s="0" t="s">
        <v>227</v>
      </c>
      <c r="E56" s="6" t="n">
        <v>1.7</v>
      </c>
      <c r="G56" s="7" t="s">
        <v>179</v>
      </c>
      <c r="H56" s="7" t="s">
        <v>228</v>
      </c>
      <c r="I56" s="7" t="s">
        <v>229</v>
      </c>
    </row>
    <row r="57" customFormat="false" ht="17.15" hidden="false" customHeight="false" outlineLevel="0" collapsed="false">
      <c r="A57" s="0" t="s">
        <v>230</v>
      </c>
      <c r="B57" s="0" t="s">
        <v>231</v>
      </c>
      <c r="C57" s="0" t="s">
        <v>227</v>
      </c>
      <c r="E57" s="6" t="n">
        <v>1.4</v>
      </c>
      <c r="G57" s="7" t="s">
        <v>179</v>
      </c>
      <c r="H57" s="7" t="s">
        <v>232</v>
      </c>
    </row>
    <row r="58" customFormat="false" ht="17.15" hidden="false" customHeight="false" outlineLevel="0" collapsed="false">
      <c r="A58" s="0" t="s">
        <v>233</v>
      </c>
      <c r="B58" s="0" t="s">
        <v>234</v>
      </c>
      <c r="C58" s="0" t="s">
        <v>227</v>
      </c>
      <c r="D58" s="6" t="n">
        <v>0.7</v>
      </c>
      <c r="E58" s="6" t="n">
        <v>0.8</v>
      </c>
      <c r="F58" s="6" t="n">
        <v>0.9</v>
      </c>
      <c r="G58" s="7" t="s">
        <v>60</v>
      </c>
      <c r="H58" s="7" t="s">
        <v>235</v>
      </c>
      <c r="I58" s="4" t="s">
        <v>236</v>
      </c>
    </row>
    <row r="59" customFormat="false" ht="17.15" hidden="false" customHeight="false" outlineLevel="0" collapsed="false">
      <c r="A59" s="0" t="s">
        <v>237</v>
      </c>
      <c r="B59" s="0" t="s">
        <v>238</v>
      </c>
      <c r="C59" s="0" t="s">
        <v>227</v>
      </c>
      <c r="D59" s="6" t="n">
        <v>0.1</v>
      </c>
      <c r="E59" s="6" t="n">
        <v>0.15</v>
      </c>
      <c r="F59" s="6" t="n">
        <v>0.25</v>
      </c>
      <c r="G59" s="7" t="s">
        <v>90</v>
      </c>
      <c r="H59" s="4" t="s">
        <v>239</v>
      </c>
      <c r="I59" s="4" t="s">
        <v>240</v>
      </c>
    </row>
    <row r="60" customFormat="false" ht="17.15" hidden="false" customHeight="false" outlineLevel="0" collapsed="false">
      <c r="A60" s="8" t="s">
        <v>241</v>
      </c>
      <c r="B60" s="9" t="s">
        <v>242</v>
      </c>
      <c r="C60" s="8" t="s">
        <v>126</v>
      </c>
      <c r="D60" s="12" t="n">
        <v>0.6</v>
      </c>
      <c r="E60" s="12" t="n">
        <v>0.72</v>
      </c>
      <c r="F60" s="12" t="n">
        <v>0.85</v>
      </c>
      <c r="G60" s="8" t="s">
        <v>60</v>
      </c>
      <c r="H60" s="9" t="s">
        <v>243</v>
      </c>
      <c r="I60" s="9" t="s">
        <v>244</v>
      </c>
    </row>
    <row r="61" customFormat="false" ht="17.15" hidden="false" customHeight="false" outlineLevel="0" collapsed="false">
      <c r="A61" s="0" t="s">
        <v>245</v>
      </c>
      <c r="B61" s="4" t="s">
        <v>246</v>
      </c>
      <c r="C61" s="0" t="s">
        <v>126</v>
      </c>
      <c r="E61" s="11" t="n">
        <v>0.3</v>
      </c>
      <c r="G61" s="7" t="s">
        <v>90</v>
      </c>
      <c r="H61" s="4" t="s">
        <v>247</v>
      </c>
      <c r="I61" s="4" t="s">
        <v>248</v>
      </c>
    </row>
    <row r="62" customFormat="false" ht="17.15" hidden="false" customHeight="false" outlineLevel="0" collapsed="false">
      <c r="A62" s="0" t="s">
        <v>249</v>
      </c>
      <c r="B62" s="4" t="s">
        <v>250</v>
      </c>
      <c r="C62" s="0" t="s">
        <v>126</v>
      </c>
      <c r="E62" s="11" t="n">
        <v>0.4</v>
      </c>
      <c r="G62" s="7" t="s">
        <v>90</v>
      </c>
      <c r="H62" s="4" t="s">
        <v>251</v>
      </c>
    </row>
    <row r="63" customFormat="false" ht="17.15" hidden="false" customHeight="false" outlineLevel="0" collapsed="false">
      <c r="A63" s="0" t="s">
        <v>252</v>
      </c>
      <c r="B63" s="4" t="s">
        <v>253</v>
      </c>
      <c r="C63" s="0" t="s">
        <v>126</v>
      </c>
      <c r="E63" s="11" t="n">
        <v>0.3</v>
      </c>
      <c r="G63" s="7" t="s">
        <v>90</v>
      </c>
      <c r="H63" s="4" t="s">
        <v>254</v>
      </c>
    </row>
    <row r="64" customFormat="false" ht="17.15" hidden="false" customHeight="false" outlineLevel="0" collapsed="false">
      <c r="A64" s="0" t="s">
        <v>255</v>
      </c>
      <c r="B64" s="0" t="s">
        <v>256</v>
      </c>
      <c r="C64" s="0" t="s">
        <v>126</v>
      </c>
      <c r="E64" s="11" t="n">
        <v>0.5</v>
      </c>
      <c r="G64" s="7" t="s">
        <v>90</v>
      </c>
      <c r="H64" s="4" t="s">
        <v>257</v>
      </c>
    </row>
    <row r="65" customFormat="false" ht="17.15" hidden="false" customHeight="false" outlineLevel="0" collapsed="false">
      <c r="A65" s="8" t="s">
        <v>258</v>
      </c>
      <c r="B65" s="9" t="s">
        <v>259</v>
      </c>
      <c r="C65" s="8" t="s">
        <v>126</v>
      </c>
      <c r="D65" s="12" t="n">
        <v>0.75</v>
      </c>
      <c r="E65" s="12" t="n">
        <v>0.9</v>
      </c>
      <c r="F65" s="12" t="n">
        <v>1</v>
      </c>
      <c r="G65" s="8" t="s">
        <v>90</v>
      </c>
      <c r="H65" s="9" t="s">
        <v>260</v>
      </c>
      <c r="I65" s="8"/>
    </row>
    <row r="66" customFormat="false" ht="17.15" hidden="false" customHeight="false" outlineLevel="0" collapsed="false">
      <c r="A66" s="0" t="s">
        <v>261</v>
      </c>
      <c r="B66" s="0" t="s">
        <v>262</v>
      </c>
      <c r="C66" s="0" t="s">
        <v>263</v>
      </c>
      <c r="E66" s="6" t="n">
        <v>17.751</v>
      </c>
      <c r="G66" s="7" t="s">
        <v>60</v>
      </c>
      <c r="H66" s="7" t="s">
        <v>264</v>
      </c>
      <c r="I66" s="4" t="s">
        <v>265</v>
      </c>
    </row>
    <row r="67" customFormat="false" ht="17.15" hidden="false" customHeight="false" outlineLevel="0" collapsed="false">
      <c r="A67" s="0" t="s">
        <v>266</v>
      </c>
      <c r="B67" s="0" t="s">
        <v>267</v>
      </c>
      <c r="C67" s="0" t="s">
        <v>268</v>
      </c>
      <c r="D67" s="6" t="n">
        <v>1.0847</v>
      </c>
      <c r="E67" s="14" t="n">
        <f aca="false">4*si_cx_rr/(cit_b3+selfb*cfac)</f>
        <v>1.62703106198538</v>
      </c>
      <c r="F67" s="6" t="n">
        <v>2.4405</v>
      </c>
      <c r="G67" s="7" t="s">
        <v>60</v>
      </c>
      <c r="H67" s="4" t="s">
        <v>269</v>
      </c>
      <c r="I67" s="4" t="s">
        <v>270</v>
      </c>
    </row>
    <row r="68" customFormat="false" ht="17.15" hidden="false" customHeight="false" outlineLevel="0" collapsed="false">
      <c r="A68" s="8" t="s">
        <v>271</v>
      </c>
      <c r="B68" s="8" t="s">
        <v>272</v>
      </c>
      <c r="C68" s="9" t="s">
        <v>152</v>
      </c>
      <c r="D68" s="8"/>
      <c r="E68" s="15" t="n">
        <v>4</v>
      </c>
      <c r="F68" s="8"/>
      <c r="G68" s="8" t="s">
        <v>90</v>
      </c>
      <c r="H68" s="9" t="s">
        <v>273</v>
      </c>
      <c r="I68" s="8"/>
    </row>
    <row r="69" customFormat="false" ht="17.15" hidden="false" customHeight="false" outlineLevel="0" collapsed="false">
      <c r="A69" s="0" t="s">
        <v>274</v>
      </c>
      <c r="B69" s="0" t="s">
        <v>275</v>
      </c>
      <c r="C69" s="0" t="s">
        <v>126</v>
      </c>
      <c r="E69" s="11" t="n">
        <v>0.0893</v>
      </c>
      <c r="G69" s="7" t="s">
        <v>60</v>
      </c>
      <c r="H69" s="7" t="s">
        <v>276</v>
      </c>
      <c r="I69" s="4" t="s">
        <v>277</v>
      </c>
    </row>
    <row r="70" customFormat="false" ht="17.15" hidden="false" customHeight="false" outlineLevel="0" collapsed="false">
      <c r="A70" s="0" t="s">
        <v>278</v>
      </c>
      <c r="B70" s="0" t="s">
        <v>279</v>
      </c>
      <c r="C70" s="0" t="s">
        <v>280</v>
      </c>
      <c r="D70" s="6" t="n">
        <v>6.79107465326444</v>
      </c>
      <c r="E70" s="6" t="n">
        <v>9.70308728611469</v>
      </c>
      <c r="F70" s="6" t="n">
        <v>16.6637697337026</v>
      </c>
      <c r="G70" s="7" t="s">
        <v>60</v>
      </c>
      <c r="H70" s="7" t="s">
        <v>281</v>
      </c>
      <c r="I70" s="7" t="s">
        <v>282</v>
      </c>
    </row>
    <row r="71" customFormat="false" ht="17.15" hidden="false" customHeight="false" outlineLevel="0" collapsed="false">
      <c r="A71" s="0" t="s">
        <v>283</v>
      </c>
      <c r="B71" s="0" t="s">
        <v>284</v>
      </c>
      <c r="C71" s="0" t="s">
        <v>280</v>
      </c>
      <c r="D71" s="6" t="n">
        <v>6.6118162762144</v>
      </c>
      <c r="E71" s="6" t="n">
        <v>8.82816556596761</v>
      </c>
      <c r="F71" s="6" t="n">
        <v>14.3185748619737</v>
      </c>
      <c r="G71" s="7" t="s">
        <v>60</v>
      </c>
      <c r="H71" s="7" t="s">
        <v>281</v>
      </c>
      <c r="I71" s="7" t="s">
        <v>282</v>
      </c>
    </row>
    <row r="72" customFormat="false" ht="17.15" hidden="false" customHeight="false" outlineLevel="0" collapsed="false">
      <c r="A72" s="0" t="s">
        <v>285</v>
      </c>
      <c r="B72" s="0" t="s">
        <v>286</v>
      </c>
      <c r="C72" s="0" t="s">
        <v>280</v>
      </c>
      <c r="D72" s="6" t="n">
        <v>8.42889912085495</v>
      </c>
      <c r="E72" s="6" t="n">
        <v>10.8864110021101</v>
      </c>
      <c r="F72" s="6" t="n">
        <v>18.5346455040469</v>
      </c>
      <c r="G72" s="7" t="s">
        <v>60</v>
      </c>
      <c r="H72" s="7" t="s">
        <v>281</v>
      </c>
      <c r="I72" s="7" t="s">
        <v>282</v>
      </c>
    </row>
    <row r="73" customFormat="false" ht="17.15" hidden="false" customHeight="false" outlineLevel="0" collapsed="false">
      <c r="A73" s="0" t="s">
        <v>287</v>
      </c>
      <c r="B73" s="0" t="s">
        <v>288</v>
      </c>
      <c r="C73" s="0" t="s">
        <v>280</v>
      </c>
      <c r="D73" s="6" t="n">
        <v>9.21907146281596</v>
      </c>
      <c r="E73" s="6" t="n">
        <v>12.2254710045841</v>
      </c>
      <c r="F73" s="6" t="n">
        <v>19.7506269894487</v>
      </c>
      <c r="G73" s="7" t="s">
        <v>60</v>
      </c>
      <c r="H73" s="7" t="s">
        <v>281</v>
      </c>
      <c r="I73" s="7" t="s">
        <v>282</v>
      </c>
    </row>
    <row r="74" customFormat="false" ht="17.15" hidden="false" customHeight="false" outlineLevel="0" collapsed="false">
      <c r="A74" s="0" t="s">
        <v>289</v>
      </c>
      <c r="B74" s="0" t="s">
        <v>290</v>
      </c>
      <c r="C74" s="0" t="s">
        <v>280</v>
      </c>
      <c r="E74" s="6" t="n">
        <v>1.88466748019734</v>
      </c>
      <c r="G74" s="7" t="s">
        <v>60</v>
      </c>
      <c r="H74" s="7" t="s">
        <v>291</v>
      </c>
    </row>
    <row r="75" customFormat="false" ht="17.15" hidden="false" customHeight="false" outlineLevel="0" collapsed="false">
      <c r="A75" s="0" t="s">
        <v>292</v>
      </c>
      <c r="B75" s="0" t="s">
        <v>293</v>
      </c>
      <c r="C75" s="0" t="s">
        <v>280</v>
      </c>
      <c r="E75" s="6" t="n">
        <v>1.812232738713</v>
      </c>
      <c r="G75" s="7" t="s">
        <v>60</v>
      </c>
      <c r="H75" s="7" t="s">
        <v>291</v>
      </c>
    </row>
    <row r="76" customFormat="false" ht="17.15" hidden="false" customHeight="false" outlineLevel="0" collapsed="false">
      <c r="A76" s="0" t="s">
        <v>294</v>
      </c>
      <c r="B76" s="0" t="s">
        <v>295</v>
      </c>
      <c r="C76" s="0" t="s">
        <v>280</v>
      </c>
      <c r="E76" s="6" t="n">
        <v>1.98263481314457</v>
      </c>
      <c r="G76" s="7" t="s">
        <v>60</v>
      </c>
      <c r="H76" s="7" t="s">
        <v>291</v>
      </c>
    </row>
    <row r="77" customFormat="false" ht="17.15" hidden="false" customHeight="false" outlineLevel="0" collapsed="false">
      <c r="A77" s="0" t="s">
        <v>296</v>
      </c>
      <c r="B77" s="0" t="s">
        <v>297</v>
      </c>
      <c r="C77" s="0" t="s">
        <v>280</v>
      </c>
      <c r="E77" s="6" t="n">
        <v>2.09349554831403</v>
      </c>
      <c r="G77" s="7" t="s">
        <v>60</v>
      </c>
      <c r="H77" s="7" t="s">
        <v>291</v>
      </c>
    </row>
    <row r="78" customFormat="false" ht="17.15" hidden="false" customHeight="false" outlineLevel="0" collapsed="false">
      <c r="A78" s="0" t="s">
        <v>298</v>
      </c>
      <c r="B78" s="0" t="s">
        <v>299</v>
      </c>
      <c r="C78" s="0" t="s">
        <v>300</v>
      </c>
      <c r="E78" s="6" t="n">
        <v>32.237224</v>
      </c>
      <c r="G78" s="7" t="s">
        <v>60</v>
      </c>
      <c r="H78" s="7" t="s">
        <v>291</v>
      </c>
    </row>
    <row r="79" customFormat="false" ht="17.15" hidden="false" customHeight="false" outlineLevel="0" collapsed="false">
      <c r="A79" s="0" t="s">
        <v>301</v>
      </c>
      <c r="B79" s="0" t="s">
        <v>302</v>
      </c>
      <c r="C79" s="0" t="s">
        <v>300</v>
      </c>
      <c r="E79" s="6" t="n">
        <v>37.586352</v>
      </c>
      <c r="G79" s="7" t="s">
        <v>60</v>
      </c>
      <c r="H79" s="7" t="s">
        <v>291</v>
      </c>
    </row>
    <row r="80" customFormat="false" ht="17.15" hidden="false" customHeight="false" outlineLevel="0" collapsed="false">
      <c r="A80" s="0" t="s">
        <v>303</v>
      </c>
      <c r="B80" s="0" t="s">
        <v>304</v>
      </c>
      <c r="C80" s="0" t="s">
        <v>300</v>
      </c>
      <c r="E80" s="6" t="n">
        <v>12.67</v>
      </c>
      <c r="G80" s="7" t="s">
        <v>60</v>
      </c>
      <c r="H80" s="7" t="s">
        <v>291</v>
      </c>
    </row>
    <row r="81" customFormat="false" ht="17.15" hidden="false" customHeight="false" outlineLevel="0" collapsed="false">
      <c r="A81" s="0" t="s">
        <v>305</v>
      </c>
      <c r="B81" s="0" t="s">
        <v>306</v>
      </c>
      <c r="C81" s="0" t="s">
        <v>280</v>
      </c>
      <c r="E81" s="6" t="n">
        <v>4.58503566666667</v>
      </c>
      <c r="G81" s="7" t="s">
        <v>60</v>
      </c>
      <c r="H81" s="7" t="s">
        <v>291</v>
      </c>
      <c r="I81" s="4" t="s">
        <v>307</v>
      </c>
    </row>
    <row r="82" customFormat="false" ht="17.15" hidden="false" customHeight="false" outlineLevel="0" collapsed="false">
      <c r="A82" s="0" t="s">
        <v>308</v>
      </c>
      <c r="B82" s="0" t="s">
        <v>309</v>
      </c>
      <c r="C82" s="0" t="s">
        <v>280</v>
      </c>
      <c r="E82" s="6" t="n">
        <v>4.002529</v>
      </c>
      <c r="G82" s="7" t="s">
        <v>60</v>
      </c>
      <c r="H82" s="7" t="s">
        <v>291</v>
      </c>
      <c r="I82" s="4" t="s">
        <v>307</v>
      </c>
    </row>
    <row r="83" customFormat="false" ht="17.15" hidden="false" customHeight="false" outlineLevel="0" collapsed="false">
      <c r="A83" s="0" t="s">
        <v>310</v>
      </c>
      <c r="B83" s="0" t="s">
        <v>311</v>
      </c>
      <c r="C83" s="0" t="s">
        <v>280</v>
      </c>
      <c r="E83" s="6" t="n">
        <v>5.37287066666667</v>
      </c>
      <c r="G83" s="7" t="s">
        <v>60</v>
      </c>
      <c r="H83" s="7" t="s">
        <v>291</v>
      </c>
      <c r="I83" s="4" t="s">
        <v>307</v>
      </c>
    </row>
    <row r="84" customFormat="false" ht="17.15" hidden="false" customHeight="false" outlineLevel="0" collapsed="false">
      <c r="A84" s="0" t="s">
        <v>312</v>
      </c>
      <c r="B84" s="0" t="s">
        <v>313</v>
      </c>
      <c r="C84" s="4" t="s">
        <v>152</v>
      </c>
      <c r="D84" s="6" t="n">
        <v>5</v>
      </c>
      <c r="E84" s="6" t="n">
        <v>6</v>
      </c>
      <c r="F84" s="6" t="n">
        <v>7</v>
      </c>
      <c r="G84" s="7" t="s">
        <v>60</v>
      </c>
      <c r="H84" s="7" t="s">
        <v>314</v>
      </c>
    </row>
    <row r="85" customFormat="false" ht="17.15" hidden="false" customHeight="false" outlineLevel="0" collapsed="false">
      <c r="A85" s="0" t="s">
        <v>315</v>
      </c>
      <c r="B85" s="4" t="s">
        <v>316</v>
      </c>
      <c r="C85" s="4" t="s">
        <v>152</v>
      </c>
      <c r="D85" s="6" t="n">
        <v>15</v>
      </c>
      <c r="E85" s="6" t="n">
        <v>20</v>
      </c>
      <c r="F85" s="6" t="n">
        <v>25</v>
      </c>
      <c r="G85" s="7" t="s">
        <v>60</v>
      </c>
      <c r="H85" s="7" t="s">
        <v>317</v>
      </c>
    </row>
    <row r="86" customFormat="false" ht="17.15" hidden="false" customHeight="false" outlineLevel="0" collapsed="false">
      <c r="A86" s="0" t="s">
        <v>318</v>
      </c>
      <c r="B86" s="4" t="s">
        <v>319</v>
      </c>
      <c r="C86" s="0" t="s">
        <v>89</v>
      </c>
      <c r="D86" s="13" t="n">
        <v>0</v>
      </c>
      <c r="E86" s="13" t="n">
        <v>0.25</v>
      </c>
      <c r="F86" s="13" t="n">
        <v>0.5</v>
      </c>
      <c r="G86" s="7" t="s">
        <v>90</v>
      </c>
      <c r="H86" s="4" t="s">
        <v>191</v>
      </c>
    </row>
    <row r="87" customFormat="false" ht="17.15" hidden="false" customHeight="false" outlineLevel="0" collapsed="false">
      <c r="A87" s="0" t="s">
        <v>320</v>
      </c>
      <c r="B87" s="4" t="s">
        <v>321</v>
      </c>
      <c r="C87" s="0" t="s">
        <v>95</v>
      </c>
      <c r="E87" s="6" t="n">
        <v>23.745</v>
      </c>
      <c r="G87" s="7" t="s">
        <v>55</v>
      </c>
      <c r="H87" s="7" t="s">
        <v>322</v>
      </c>
      <c r="I87" s="4" t="s">
        <v>323</v>
      </c>
    </row>
    <row r="88" customFormat="false" ht="17.15" hidden="false" customHeight="false" outlineLevel="0" collapsed="false">
      <c r="A88" s="8" t="s">
        <v>324</v>
      </c>
      <c r="B88" s="9" t="s">
        <v>325</v>
      </c>
      <c r="C88" s="8" t="s">
        <v>126</v>
      </c>
      <c r="D88" s="12" t="n">
        <v>0</v>
      </c>
      <c r="E88" s="12" t="n">
        <v>0.85</v>
      </c>
      <c r="F88" s="12" t="n">
        <v>1</v>
      </c>
      <c r="G88" s="8" t="s">
        <v>90</v>
      </c>
      <c r="H88" s="9" t="s">
        <v>326</v>
      </c>
      <c r="I88" s="8" t="s">
        <v>327</v>
      </c>
    </row>
    <row r="89" customFormat="false" ht="17.15" hidden="false" customHeight="false" outlineLevel="0" collapsed="false">
      <c r="A89" s="0" t="s">
        <v>328</v>
      </c>
      <c r="B89" s="4" t="s">
        <v>329</v>
      </c>
      <c r="C89" s="0" t="s">
        <v>126</v>
      </c>
      <c r="E89" s="11" t="n">
        <v>0.8</v>
      </c>
      <c r="G89" s="7" t="s">
        <v>90</v>
      </c>
      <c r="H89" s="4" t="s">
        <v>330</v>
      </c>
    </row>
    <row r="90" customFormat="false" ht="17.15" hidden="false" customHeight="false" outlineLevel="0" collapsed="false">
      <c r="A90" s="0" t="s">
        <v>331</v>
      </c>
      <c r="B90" s="0" t="s">
        <v>332</v>
      </c>
      <c r="C90" s="0" t="s">
        <v>333</v>
      </c>
      <c r="E90" s="6" t="n">
        <v>9.892</v>
      </c>
      <c r="G90" s="7" t="s">
        <v>60</v>
      </c>
      <c r="H90" s="7" t="s">
        <v>334</v>
      </c>
      <c r="I90" s="4" t="s">
        <v>335</v>
      </c>
    </row>
    <row r="91" customFormat="false" ht="17.15" hidden="false" customHeight="false" outlineLevel="0" collapsed="false">
      <c r="A91" s="0" t="s">
        <v>336</v>
      </c>
      <c r="B91" s="0" t="s">
        <v>337</v>
      </c>
      <c r="C91" s="0" t="s">
        <v>126</v>
      </c>
      <c r="E91" s="11" t="n">
        <v>0.8</v>
      </c>
      <c r="G91" s="7" t="s">
        <v>90</v>
      </c>
      <c r="H91" s="4" t="s">
        <v>338</v>
      </c>
    </row>
    <row r="92" customFormat="false" ht="17.15" hidden="false" customHeight="false" outlineLevel="0" collapsed="false">
      <c r="A92" s="5" t="s">
        <v>339</v>
      </c>
    </row>
    <row r="93" customFormat="false" ht="17.15" hidden="false" customHeight="false" outlineLevel="0" collapsed="false">
      <c r="A93" s="8" t="s">
        <v>340</v>
      </c>
      <c r="B93" s="9" t="s">
        <v>341</v>
      </c>
      <c r="C93" s="8" t="s">
        <v>89</v>
      </c>
      <c r="D93" s="8"/>
      <c r="E93" s="10" t="n">
        <v>1.6</v>
      </c>
      <c r="F93" s="8"/>
      <c r="G93" s="8" t="s">
        <v>90</v>
      </c>
      <c r="H93" s="9" t="s">
        <v>342</v>
      </c>
      <c r="I93" s="8" t="s">
        <v>343</v>
      </c>
    </row>
    <row r="94" customFormat="false" ht="17.15" hidden="false" customHeight="false" outlineLevel="0" collapsed="false">
      <c r="A94" s="8" t="s">
        <v>344</v>
      </c>
      <c r="B94" s="9" t="s">
        <v>345</v>
      </c>
      <c r="C94" s="8" t="s">
        <v>89</v>
      </c>
      <c r="D94" s="10" t="n">
        <v>1</v>
      </c>
      <c r="E94" s="10" t="n">
        <v>1.25</v>
      </c>
      <c r="F94" s="10" t="n">
        <v>1.5</v>
      </c>
      <c r="G94" s="8" t="s">
        <v>90</v>
      </c>
      <c r="H94" s="9" t="s">
        <v>346</v>
      </c>
      <c r="I94" s="8"/>
    </row>
    <row r="95" customFormat="false" ht="17.15" hidden="false" customHeight="false" outlineLevel="0" collapsed="false">
      <c r="A95" s="8" t="s">
        <v>347</v>
      </c>
      <c r="B95" s="9" t="s">
        <v>348</v>
      </c>
      <c r="C95" s="8" t="s">
        <v>89</v>
      </c>
      <c r="D95" s="8"/>
      <c r="E95" s="10" t="n">
        <v>1</v>
      </c>
      <c r="F95" s="8"/>
      <c r="G95" s="8" t="s">
        <v>90</v>
      </c>
      <c r="H95" s="9" t="s">
        <v>349</v>
      </c>
      <c r="I95" s="8"/>
    </row>
    <row r="96" customFormat="false" ht="17.15" hidden="false" customHeight="false" outlineLevel="0" collapsed="false">
      <c r="A96" s="0" t="s">
        <v>350</v>
      </c>
      <c r="B96" s="0" t="s">
        <v>351</v>
      </c>
      <c r="C96" s="4" t="s">
        <v>152</v>
      </c>
      <c r="E96" s="6" t="n">
        <v>4</v>
      </c>
      <c r="G96" s="7" t="s">
        <v>90</v>
      </c>
      <c r="H96" s="4" t="s">
        <v>352</v>
      </c>
    </row>
    <row r="97" customFormat="false" ht="17.15" hidden="false" customHeight="false" outlineLevel="0" collapsed="false">
      <c r="A97" s="5" t="s">
        <v>353</v>
      </c>
    </row>
    <row r="98" customFormat="false" ht="17.15" hidden="false" customHeight="false" outlineLevel="0" collapsed="false">
      <c r="A98" s="0" t="s">
        <v>354</v>
      </c>
      <c r="B98" s="0" t="s">
        <v>355</v>
      </c>
      <c r="C98" s="0" t="s">
        <v>263</v>
      </c>
      <c r="E98" s="6" t="n">
        <v>0.539</v>
      </c>
      <c r="G98" s="7" t="s">
        <v>179</v>
      </c>
      <c r="H98" s="7" t="s">
        <v>356</v>
      </c>
      <c r="I98" s="4" t="s">
        <v>357</v>
      </c>
    </row>
    <row r="99" customFormat="false" ht="17.15" hidden="false" customHeight="false" outlineLevel="0" collapsed="false">
      <c r="A99" s="8" t="s">
        <v>358</v>
      </c>
      <c r="B99" s="8" t="s">
        <v>359</v>
      </c>
      <c r="C99" s="8" t="s">
        <v>126</v>
      </c>
      <c r="D99" s="12" t="n">
        <v>0.25</v>
      </c>
      <c r="E99" s="12" t="n">
        <v>0.5</v>
      </c>
      <c r="F99" s="12" t="n">
        <v>0.8</v>
      </c>
      <c r="G99" s="8" t="s">
        <v>90</v>
      </c>
      <c r="H99" s="9" t="s">
        <v>360</v>
      </c>
      <c r="I99" s="8"/>
    </row>
    <row r="100" customFormat="false" ht="17.15" hidden="false" customHeight="false" outlineLevel="0" collapsed="false">
      <c r="A100" s="8" t="s">
        <v>361</v>
      </c>
      <c r="B100" s="8" t="s">
        <v>362</v>
      </c>
      <c r="C100" s="8" t="s">
        <v>126</v>
      </c>
      <c r="D100" s="12" t="n">
        <v>0.08</v>
      </c>
      <c r="E100" s="12" t="n">
        <v>0.15</v>
      </c>
      <c r="F100" s="12" t="n">
        <v>0.25</v>
      </c>
      <c r="G100" s="8" t="s">
        <v>90</v>
      </c>
      <c r="H100" s="9" t="s">
        <v>363</v>
      </c>
      <c r="I100" s="8"/>
    </row>
    <row r="101" customFormat="false" ht="17.15" hidden="false" customHeight="false" outlineLevel="0" collapsed="false">
      <c r="A101" s="0" t="s">
        <v>364</v>
      </c>
      <c r="B101" s="0" t="s">
        <v>365</v>
      </c>
      <c r="C101" s="0" t="s">
        <v>126</v>
      </c>
      <c r="D101" s="11" t="n">
        <v>-0.03</v>
      </c>
      <c r="E101" s="11" t="n">
        <v>0.03</v>
      </c>
      <c r="F101" s="11" t="n">
        <v>0.08</v>
      </c>
      <c r="G101" s="7" t="s">
        <v>90</v>
      </c>
      <c r="H101" s="4" t="s">
        <v>366</v>
      </c>
    </row>
    <row r="102" customFormat="false" ht="17.15" hidden="false" customHeight="false" outlineLevel="0" collapsed="false">
      <c r="A102" s="0" t="s">
        <v>367</v>
      </c>
      <c r="B102" s="4" t="s">
        <v>368</v>
      </c>
      <c r="C102" s="4" t="s">
        <v>152</v>
      </c>
      <c r="E102" s="6" t="n">
        <v>4</v>
      </c>
      <c r="G102" s="7" t="s">
        <v>90</v>
      </c>
      <c r="H102" s="4" t="s">
        <v>369</v>
      </c>
    </row>
    <row r="103" customFormat="false" ht="17.15" hidden="false" customHeight="false" outlineLevel="0" collapsed="false">
      <c r="A103" s="0" t="s">
        <v>370</v>
      </c>
      <c r="B103" s="0" t="s">
        <v>371</v>
      </c>
      <c r="C103" s="0" t="s">
        <v>126</v>
      </c>
      <c r="D103" s="11" t="n">
        <v>-0.1</v>
      </c>
      <c r="E103" s="11" t="n">
        <v>0</v>
      </c>
      <c r="F103" s="11" t="n">
        <v>0.1</v>
      </c>
      <c r="G103" s="7" t="s">
        <v>90</v>
      </c>
      <c r="H103" s="7" t="s">
        <v>372</v>
      </c>
      <c r="I103" s="7" t="s">
        <v>79</v>
      </c>
    </row>
    <row r="104" customFormat="false" ht="17.15" hidden="false" customHeight="false" outlineLevel="0" collapsed="false">
      <c r="A104" s="0" t="s">
        <v>373</v>
      </c>
      <c r="B104" s="0" t="s">
        <v>374</v>
      </c>
      <c r="C104" s="0" t="s">
        <v>95</v>
      </c>
      <c r="E104" s="6" t="n">
        <v>22.159</v>
      </c>
      <c r="G104" s="7" t="s">
        <v>60</v>
      </c>
      <c r="H104" s="7" t="s">
        <v>375</v>
      </c>
      <c r="I104" s="4" t="s">
        <v>376</v>
      </c>
    </row>
    <row r="105" customFormat="false" ht="17.15" hidden="false" customHeight="false" outlineLevel="0" collapsed="false">
      <c r="A105" s="0" t="s">
        <v>377</v>
      </c>
      <c r="B105" s="0" t="s">
        <v>378</v>
      </c>
      <c r="C105" s="4" t="s">
        <v>152</v>
      </c>
      <c r="E105" s="6" t="n">
        <v>2.65</v>
      </c>
      <c r="G105" s="7" t="s">
        <v>60</v>
      </c>
      <c r="H105" s="7" t="s">
        <v>379</v>
      </c>
    </row>
    <row r="106" customFormat="false" ht="17.15" hidden="false" customHeight="false" outlineLevel="0" collapsed="false">
      <c r="A106" s="5" t="s">
        <v>380</v>
      </c>
    </row>
    <row r="107" customFormat="false" ht="17.15" hidden="false" customHeight="false" outlineLevel="0" collapsed="false">
      <c r="A107" s="0" t="s">
        <v>381</v>
      </c>
      <c r="B107" s="0" t="s">
        <v>382</v>
      </c>
      <c r="C107" s="4" t="s">
        <v>383</v>
      </c>
      <c r="E107" s="6" t="n">
        <v>12</v>
      </c>
      <c r="G107" s="7" t="s">
        <v>90</v>
      </c>
      <c r="H107" s="7" t="s">
        <v>384</v>
      </c>
    </row>
    <row r="108" customFormat="false" ht="17.15" hidden="false" customHeight="false" outlineLevel="0" collapsed="false">
      <c r="A108" s="8" t="s">
        <v>385</v>
      </c>
      <c r="B108" s="8" t="s">
        <v>386</v>
      </c>
      <c r="C108" s="9" t="s">
        <v>383</v>
      </c>
      <c r="D108" s="15" t="n">
        <v>40</v>
      </c>
      <c r="E108" s="15" t="n">
        <v>48</v>
      </c>
      <c r="F108" s="15" t="n">
        <v>60</v>
      </c>
      <c r="G108" s="8" t="s">
        <v>90</v>
      </c>
      <c r="H108" s="9" t="s">
        <v>387</v>
      </c>
      <c r="I108" s="8"/>
    </row>
    <row r="109" customFormat="false" ht="17.15" hidden="false" customHeight="false" outlineLevel="0" collapsed="false">
      <c r="A109" s="0" t="s">
        <v>388</v>
      </c>
      <c r="B109" s="4" t="s">
        <v>389</v>
      </c>
      <c r="C109" s="0" t="s">
        <v>126</v>
      </c>
      <c r="D109" s="11" t="n">
        <v>0</v>
      </c>
      <c r="E109" s="11" t="n">
        <v>0.05</v>
      </c>
      <c r="F109" s="11" t="n">
        <v>0.1</v>
      </c>
      <c r="G109" s="7" t="s">
        <v>90</v>
      </c>
      <c r="H109" s="4" t="s">
        <v>363</v>
      </c>
    </row>
    <row r="110" customFormat="false" ht="17.15" hidden="false" customHeight="false" outlineLevel="0" collapsed="false">
      <c r="A110" s="0" t="s">
        <v>390</v>
      </c>
      <c r="B110" s="4" t="s">
        <v>391</v>
      </c>
      <c r="C110" s="0" t="s">
        <v>126</v>
      </c>
      <c r="D110" s="11" t="n">
        <v>0</v>
      </c>
      <c r="E110" s="11" t="n">
        <v>0.03</v>
      </c>
      <c r="F110" s="11" t="n">
        <v>0.06</v>
      </c>
      <c r="G110" s="7" t="s">
        <v>90</v>
      </c>
      <c r="H110" s="4" t="s">
        <v>392</v>
      </c>
    </row>
    <row r="111" customFormat="false" ht="17.15" hidden="false" customHeight="false" outlineLevel="0" collapsed="false">
      <c r="A111" s="0" t="s">
        <v>393</v>
      </c>
      <c r="B111" s="4" t="s">
        <v>394</v>
      </c>
      <c r="C111" s="0" t="s">
        <v>126</v>
      </c>
      <c r="D111" s="11" t="n">
        <v>0</v>
      </c>
      <c r="E111" s="11" t="n">
        <v>0.08</v>
      </c>
      <c r="F111" s="11" t="n">
        <v>0.15</v>
      </c>
      <c r="G111" s="7" t="s">
        <v>90</v>
      </c>
      <c r="H111" s="4" t="s">
        <v>395</v>
      </c>
    </row>
    <row r="112" customFormat="false" ht="17.15" hidden="false" customHeight="false" outlineLevel="0" collapsed="false">
      <c r="A112" s="8" t="s">
        <v>396</v>
      </c>
      <c r="B112" s="8" t="s">
        <v>397</v>
      </c>
      <c r="C112" s="8" t="s">
        <v>126</v>
      </c>
      <c r="D112" s="12" t="n">
        <v>0.05</v>
      </c>
      <c r="E112" s="12" t="n">
        <v>0.2</v>
      </c>
      <c r="F112" s="12" t="n">
        <v>0.3</v>
      </c>
      <c r="G112" s="8" t="s">
        <v>90</v>
      </c>
      <c r="H112" s="9" t="s">
        <v>398</v>
      </c>
      <c r="I112" s="8"/>
    </row>
    <row r="113" customFormat="false" ht="17.15" hidden="false" customHeight="false" outlineLevel="0" collapsed="false">
      <c r="A113" s="8" t="s">
        <v>399</v>
      </c>
      <c r="B113" s="8" t="s">
        <v>400</v>
      </c>
      <c r="C113" s="8" t="s">
        <v>126</v>
      </c>
      <c r="D113" s="12" t="n">
        <v>0.2</v>
      </c>
      <c r="E113" s="12" t="n">
        <v>0.3</v>
      </c>
      <c r="F113" s="12" t="n">
        <v>0.5</v>
      </c>
      <c r="G113" s="8" t="s">
        <v>90</v>
      </c>
      <c r="H113" s="9" t="s">
        <v>401</v>
      </c>
      <c r="I113" s="8"/>
    </row>
    <row r="114" customFormat="false" ht="17.15" hidden="false" customHeight="false" outlineLevel="0" collapsed="false">
      <c r="A114" s="0" t="s">
        <v>402</v>
      </c>
      <c r="B114" s="0" t="s">
        <v>403</v>
      </c>
      <c r="C114" s="4" t="s">
        <v>152</v>
      </c>
      <c r="E114" s="6" t="n">
        <v>10</v>
      </c>
      <c r="G114" s="7" t="s">
        <v>90</v>
      </c>
      <c r="H114" s="4" t="s">
        <v>404</v>
      </c>
    </row>
    <row r="115" customFormat="false" ht="17.15" hidden="false" customHeight="false" outlineLevel="0" collapsed="false">
      <c r="A115" s="0" t="s">
        <v>405</v>
      </c>
      <c r="B115" s="0" t="s">
        <v>406</v>
      </c>
      <c r="C115" s="4" t="s">
        <v>152</v>
      </c>
      <c r="E115" s="6" t="n">
        <v>5</v>
      </c>
      <c r="G115" s="7" t="s">
        <v>90</v>
      </c>
      <c r="H115" s="4" t="s">
        <v>363</v>
      </c>
    </row>
    <row r="116" customFormat="false" ht="17.15" hidden="false" customHeight="false" outlineLevel="0" collapsed="false">
      <c r="A116" s="5" t="s">
        <v>407</v>
      </c>
    </row>
    <row r="117" customFormat="false" ht="17.15" hidden="false" customHeight="false" outlineLevel="0" collapsed="false">
      <c r="A117" s="0" t="s">
        <v>408</v>
      </c>
      <c r="B117" s="0" t="s">
        <v>409</v>
      </c>
      <c r="C117" s="4" t="s">
        <v>410</v>
      </c>
      <c r="E117" s="6" t="n">
        <v>1.6</v>
      </c>
      <c r="G117" s="7" t="s">
        <v>179</v>
      </c>
      <c r="H117" s="7" t="s">
        <v>411</v>
      </c>
    </row>
    <row r="118" customFormat="false" ht="17.15" hidden="false" customHeight="false" outlineLevel="0" collapsed="false">
      <c r="A118" s="8" t="s">
        <v>412</v>
      </c>
      <c r="B118" s="9" t="s">
        <v>413</v>
      </c>
      <c r="C118" s="9" t="s">
        <v>410</v>
      </c>
      <c r="D118" s="8"/>
      <c r="E118" s="15" t="n">
        <v>7</v>
      </c>
      <c r="F118" s="8"/>
      <c r="G118" s="8" t="s">
        <v>90</v>
      </c>
      <c r="H118" s="9" t="s">
        <v>414</v>
      </c>
      <c r="I118" s="8"/>
    </row>
    <row r="119" customFormat="false" ht="17.15" hidden="false" customHeight="false" outlineLevel="0" collapsed="false">
      <c r="A119" s="8" t="s">
        <v>415</v>
      </c>
      <c r="B119" s="9" t="s">
        <v>416</v>
      </c>
      <c r="C119" s="9" t="s">
        <v>410</v>
      </c>
      <c r="D119" s="15" t="n">
        <v>4</v>
      </c>
      <c r="E119" s="15" t="n">
        <v>5.5</v>
      </c>
      <c r="F119" s="15" t="n">
        <v>7</v>
      </c>
      <c r="G119" s="8" t="s">
        <v>90</v>
      </c>
      <c r="H119" s="9" t="s">
        <v>417</v>
      </c>
      <c r="I119" s="8"/>
    </row>
    <row r="120" customFormat="false" ht="17.15" hidden="false" customHeight="false" outlineLevel="0" collapsed="false">
      <c r="A120" s="8" t="s">
        <v>418</v>
      </c>
      <c r="B120" s="9" t="s">
        <v>419</v>
      </c>
      <c r="C120" s="9" t="s">
        <v>410</v>
      </c>
      <c r="D120" s="8"/>
      <c r="E120" s="15" t="n">
        <v>4</v>
      </c>
      <c r="F120" s="8"/>
      <c r="G120" s="8" t="s">
        <v>90</v>
      </c>
      <c r="H120" s="9" t="s">
        <v>420</v>
      </c>
      <c r="I120" s="8"/>
    </row>
    <row r="121" customFormat="false" ht="17.15" hidden="false" customHeight="false" outlineLevel="0" collapsed="false">
      <c r="A121" s="0" t="s">
        <v>421</v>
      </c>
      <c r="B121" s="0" t="s">
        <v>422</v>
      </c>
      <c r="C121" s="0" t="s">
        <v>126</v>
      </c>
      <c r="E121" s="11" t="n">
        <v>0.1</v>
      </c>
      <c r="G121" s="7" t="s">
        <v>90</v>
      </c>
      <c r="H121" s="4" t="s">
        <v>363</v>
      </c>
    </row>
    <row r="122" customFormat="false" ht="17.15" hidden="false" customHeight="false" outlineLevel="0" collapsed="false">
      <c r="A122" s="0" t="s">
        <v>423</v>
      </c>
      <c r="B122" s="4" t="s">
        <v>424</v>
      </c>
      <c r="C122" s="0" t="s">
        <v>425</v>
      </c>
      <c r="E122" s="6" t="n">
        <v>69</v>
      </c>
      <c r="G122" s="7" t="s">
        <v>179</v>
      </c>
      <c r="H122" s="7" t="s">
        <v>426</v>
      </c>
      <c r="I122" s="7" t="s">
        <v>427</v>
      </c>
    </row>
    <row r="123" customFormat="false" ht="17.15" hidden="false" customHeight="false" outlineLevel="0" collapsed="false">
      <c r="A123" s="0" t="s">
        <v>428</v>
      </c>
      <c r="B123" s="0" t="s">
        <v>429</v>
      </c>
      <c r="C123" s="0" t="s">
        <v>126</v>
      </c>
      <c r="D123" s="11" t="n">
        <v>-0.05</v>
      </c>
      <c r="E123" s="11" t="n">
        <v>-0.02</v>
      </c>
      <c r="F123" s="11" t="n">
        <v>0</v>
      </c>
      <c r="G123" s="7" t="s">
        <v>90</v>
      </c>
      <c r="H123" s="4" t="s">
        <v>430</v>
      </c>
    </row>
    <row r="124" customFormat="false" ht="17.15" hidden="false" customHeight="false" outlineLevel="0" collapsed="false">
      <c r="A124" s="0" t="s">
        <v>431</v>
      </c>
      <c r="B124" s="4" t="s">
        <v>432</v>
      </c>
      <c r="C124" s="0" t="s">
        <v>126</v>
      </c>
      <c r="E124" s="11" t="n">
        <v>0</v>
      </c>
      <c r="G124" s="7" t="s">
        <v>90</v>
      </c>
      <c r="H124" s="4" t="s">
        <v>433</v>
      </c>
    </row>
    <row r="125" customFormat="false" ht="17.15" hidden="false" customHeight="false" outlineLevel="0" collapsed="false">
      <c r="A125" s="0" t="s">
        <v>434</v>
      </c>
      <c r="B125" s="4" t="s">
        <v>435</v>
      </c>
      <c r="C125" s="0" t="s">
        <v>126</v>
      </c>
      <c r="D125" s="11" t="n">
        <v>0.05</v>
      </c>
      <c r="E125" s="11" t="n">
        <v>0.1</v>
      </c>
      <c r="F125" s="11" t="n">
        <v>0.15</v>
      </c>
      <c r="G125" s="7" t="s">
        <v>90</v>
      </c>
      <c r="H125" s="4" t="s">
        <v>436</v>
      </c>
    </row>
    <row r="126" customFormat="false" ht="17.15" hidden="false" customHeight="false" outlineLevel="0" collapsed="false">
      <c r="A126" s="0" t="s">
        <v>437</v>
      </c>
      <c r="B126" s="0" t="s">
        <v>438</v>
      </c>
      <c r="C126" s="0" t="s">
        <v>126</v>
      </c>
      <c r="D126" s="11" t="n">
        <v>0.58</v>
      </c>
      <c r="E126" s="16" t="n">
        <f aca="false">Q!B100</f>
        <v>0.639496717724289</v>
      </c>
      <c r="F126" s="11" t="n">
        <v>0.7</v>
      </c>
      <c r="G126" s="7" t="s">
        <v>60</v>
      </c>
      <c r="H126" s="7" t="s">
        <v>439</v>
      </c>
    </row>
    <row r="127" customFormat="false" ht="17.15" hidden="false" customHeight="false" outlineLevel="0" collapsed="false">
      <c r="A127" s="0" t="s">
        <v>440</v>
      </c>
      <c r="B127" s="0" t="s">
        <v>441</v>
      </c>
      <c r="C127" s="0" t="s">
        <v>126</v>
      </c>
      <c r="D127" s="11" t="n">
        <v>0.25</v>
      </c>
      <c r="E127" s="16" t="n">
        <f aca="false">Q!B102</f>
        <v>0.331509846827133</v>
      </c>
      <c r="F127" s="11" t="n">
        <v>0.4</v>
      </c>
      <c r="G127" s="7" t="s">
        <v>60</v>
      </c>
      <c r="H127" s="7" t="s">
        <v>442</v>
      </c>
    </row>
    <row r="128" customFormat="false" ht="17.15" hidden="false" customHeight="false" outlineLevel="0" collapsed="false">
      <c r="A128" s="0" t="s">
        <v>443</v>
      </c>
      <c r="B128" s="0" t="s">
        <v>444</v>
      </c>
      <c r="C128" s="4" t="s">
        <v>152</v>
      </c>
      <c r="E128" s="6" t="n">
        <v>6</v>
      </c>
      <c r="G128" s="7" t="s">
        <v>90</v>
      </c>
      <c r="H128" s="4" t="s">
        <v>445</v>
      </c>
    </row>
    <row r="129" customFormat="false" ht="17.15" hidden="false" customHeight="false" outlineLevel="0" collapsed="false">
      <c r="A129" s="0" t="s">
        <v>446</v>
      </c>
      <c r="B129" s="0" t="s">
        <v>447</v>
      </c>
      <c r="C129" s="4" t="s">
        <v>152</v>
      </c>
      <c r="E129" s="6" t="n">
        <v>3</v>
      </c>
      <c r="G129" s="7" t="s">
        <v>90</v>
      </c>
      <c r="H129" s="4" t="s">
        <v>363</v>
      </c>
    </row>
    <row r="130" customFormat="false" ht="17.15" hidden="false" customHeight="false" outlineLevel="0" collapsed="false">
      <c r="A130" s="0" t="s">
        <v>448</v>
      </c>
      <c r="B130" s="0" t="s">
        <v>449</v>
      </c>
      <c r="C130" s="0" t="s">
        <v>95</v>
      </c>
      <c r="E130" s="6" t="n">
        <v>0.385</v>
      </c>
      <c r="G130" s="7" t="s">
        <v>55</v>
      </c>
      <c r="H130" s="7" t="s">
        <v>450</v>
      </c>
      <c r="I130" s="4" t="s">
        <v>451</v>
      </c>
    </row>
    <row r="131" customFormat="false" ht="17.15" hidden="false" customHeight="false" outlineLevel="0" collapsed="false">
      <c r="A131" s="0" t="s">
        <v>452</v>
      </c>
      <c r="B131" s="0" t="s">
        <v>453</v>
      </c>
      <c r="C131" s="0" t="s">
        <v>95</v>
      </c>
      <c r="E131" s="6" t="n">
        <v>9.328</v>
      </c>
      <c r="G131" s="7" t="s">
        <v>55</v>
      </c>
      <c r="H131" s="7" t="s">
        <v>454</v>
      </c>
      <c r="I131" s="4" t="s">
        <v>455</v>
      </c>
    </row>
    <row r="132" customFormat="false" ht="17.15" hidden="false" customHeight="false" outlineLevel="0" collapsed="false">
      <c r="A132" s="5" t="s">
        <v>456</v>
      </c>
    </row>
    <row r="133" customFormat="false" ht="17.15" hidden="false" customHeight="false" outlineLevel="0" collapsed="false">
      <c r="A133" s="8" t="s">
        <v>457</v>
      </c>
      <c r="B133" s="9" t="s">
        <v>458</v>
      </c>
      <c r="C133" s="8" t="s">
        <v>126</v>
      </c>
      <c r="D133" s="12" t="n">
        <v>0.05</v>
      </c>
      <c r="E133" s="12" t="n">
        <v>0.12</v>
      </c>
      <c r="F133" s="12" t="n">
        <v>0.21</v>
      </c>
      <c r="G133" s="8" t="s">
        <v>90</v>
      </c>
      <c r="H133" s="9" t="s">
        <v>459</v>
      </c>
      <c r="I133" s="8"/>
    </row>
    <row r="134" customFormat="false" ht="17.15" hidden="false" customHeight="false" outlineLevel="0" collapsed="false">
      <c r="A134" s="0" t="s">
        <v>460</v>
      </c>
      <c r="B134" s="4" t="s">
        <v>461</v>
      </c>
      <c r="C134" s="0" t="s">
        <v>126</v>
      </c>
      <c r="E134" s="11" t="n">
        <v>0.0368</v>
      </c>
      <c r="G134" s="7" t="s">
        <v>60</v>
      </c>
      <c r="H134" s="7" t="s">
        <v>462</v>
      </c>
    </row>
    <row r="135" customFormat="false" ht="17.15" hidden="false" customHeight="false" outlineLevel="0" collapsed="false">
      <c r="A135" s="0" t="s">
        <v>463</v>
      </c>
      <c r="B135" s="4" t="s">
        <v>464</v>
      </c>
      <c r="C135" s="0" t="s">
        <v>126</v>
      </c>
      <c r="E135" s="11" t="n">
        <v>0.071</v>
      </c>
      <c r="G135" s="7" t="s">
        <v>60</v>
      </c>
      <c r="H135" s="7" t="s">
        <v>465</v>
      </c>
    </row>
    <row r="136" customFormat="false" ht="17.15" hidden="false" customHeight="false" outlineLevel="0" collapsed="false">
      <c r="A136" s="0" t="s">
        <v>466</v>
      </c>
      <c r="B136" s="4" t="s">
        <v>467</v>
      </c>
      <c r="C136" s="0" t="s">
        <v>126</v>
      </c>
      <c r="D136" s="11" t="n">
        <v>0</v>
      </c>
      <c r="E136" s="11" t="n">
        <v>0.01</v>
      </c>
      <c r="F136" s="11" t="n">
        <v>0.02</v>
      </c>
      <c r="G136" s="7" t="s">
        <v>90</v>
      </c>
      <c r="H136" s="4" t="s">
        <v>468</v>
      </c>
    </row>
    <row r="137" customFormat="false" ht="17.15" hidden="false" customHeight="false" outlineLevel="0" collapsed="false">
      <c r="A137" s="0" t="s">
        <v>469</v>
      </c>
      <c r="B137" s="4" t="s">
        <v>470</v>
      </c>
      <c r="C137" s="0" t="s">
        <v>126</v>
      </c>
      <c r="D137" s="11" t="n">
        <v>0</v>
      </c>
      <c r="E137" s="11" t="n">
        <v>0.028</v>
      </c>
      <c r="F137" s="11" t="n">
        <v>0.1</v>
      </c>
      <c r="G137" s="7" t="s">
        <v>60</v>
      </c>
      <c r="H137" s="7" t="s">
        <v>471</v>
      </c>
    </row>
    <row r="138" customFormat="false" ht="15" hidden="false" customHeight="false" outlineLevel="0" collapsed="false">
      <c r="A138" s="0" t="s">
        <v>472</v>
      </c>
      <c r="B138" s="4" t="s">
        <v>473</v>
      </c>
      <c r="C138" s="0" t="s">
        <v>95</v>
      </c>
      <c r="E138" s="6" t="n">
        <v>30</v>
      </c>
      <c r="G138" s="7" t="s">
        <v>90</v>
      </c>
      <c r="H138" s="4" t="s">
        <v>474</v>
      </c>
    </row>
    <row r="139" customFormat="false" ht="17.15" hidden="false" customHeight="false" outlineLevel="0" collapsed="false">
      <c r="A139" s="0" t="s">
        <v>475</v>
      </c>
      <c r="B139" s="4" t="s">
        <v>476</v>
      </c>
      <c r="C139" s="0" t="s">
        <v>95</v>
      </c>
      <c r="E139" s="6" t="n">
        <v>0.495</v>
      </c>
      <c r="G139" s="7" t="s">
        <v>55</v>
      </c>
      <c r="H139" s="7" t="s">
        <v>477</v>
      </c>
    </row>
    <row r="140" customFormat="false" ht="17.15" hidden="false" customHeight="false" outlineLevel="0" collapsed="false">
      <c r="A140" s="0" t="s">
        <v>478</v>
      </c>
      <c r="B140" s="4" t="s">
        <v>479</v>
      </c>
      <c r="C140" s="0" t="s">
        <v>95</v>
      </c>
      <c r="E140" s="6" t="n">
        <v>2.425</v>
      </c>
      <c r="G140" s="7" t="s">
        <v>55</v>
      </c>
    </row>
    <row r="141" customFormat="false" ht="17.15" hidden="false" customHeight="false" outlineLevel="0" collapsed="false">
      <c r="A141" s="0" t="s">
        <v>480</v>
      </c>
      <c r="B141" s="4" t="s">
        <v>481</v>
      </c>
      <c r="C141" s="0" t="s">
        <v>95</v>
      </c>
      <c r="E141" s="6" t="n">
        <v>2.867</v>
      </c>
      <c r="G141" s="7" t="s">
        <v>55</v>
      </c>
    </row>
    <row r="142" customFormat="false" ht="17.15" hidden="false" customHeight="false" outlineLevel="0" collapsed="false">
      <c r="A142" s="0" t="s">
        <v>482</v>
      </c>
      <c r="B142" s="4" t="s">
        <v>483</v>
      </c>
      <c r="C142" s="0" t="s">
        <v>95</v>
      </c>
      <c r="E142" s="6" t="n">
        <v>3.422</v>
      </c>
      <c r="G142" s="7" t="s">
        <v>55</v>
      </c>
    </row>
    <row r="143" customFormat="false" ht="17.15" hidden="false" customHeight="false" outlineLevel="0" collapsed="false">
      <c r="A143" s="0" t="s">
        <v>484</v>
      </c>
      <c r="B143" s="4" t="s">
        <v>485</v>
      </c>
      <c r="C143" s="0" t="s">
        <v>95</v>
      </c>
      <c r="E143" s="6" t="n">
        <v>3.597</v>
      </c>
      <c r="G143" s="7" t="s">
        <v>55</v>
      </c>
    </row>
    <row r="144" customFormat="false" ht="17.15" hidden="false" customHeight="false" outlineLevel="0" collapsed="false">
      <c r="A144" s="0" t="s">
        <v>486</v>
      </c>
      <c r="B144" s="4" t="s">
        <v>487</v>
      </c>
      <c r="C144" s="0" t="s">
        <v>95</v>
      </c>
      <c r="E144" s="6" t="n">
        <v>5</v>
      </c>
      <c r="G144" s="7" t="s">
        <v>90</v>
      </c>
      <c r="H144" s="7" t="s">
        <v>488</v>
      </c>
    </row>
    <row r="145" customFormat="false" ht="17.15" hidden="false" customHeight="false" outlineLevel="0" collapsed="false">
      <c r="A145" s="0" t="s">
        <v>489</v>
      </c>
      <c r="B145" s="4" t="s">
        <v>490</v>
      </c>
      <c r="C145" s="0" t="s">
        <v>95</v>
      </c>
      <c r="E145" s="6" t="n">
        <v>5</v>
      </c>
      <c r="G145" s="7" t="s">
        <v>90</v>
      </c>
    </row>
    <row r="146" customFormat="false" ht="17.15" hidden="false" customHeight="false" outlineLevel="0" collapsed="false">
      <c r="A146" s="0" t="s">
        <v>491</v>
      </c>
      <c r="B146" s="4" t="s">
        <v>492</v>
      </c>
      <c r="C146" s="0" t="s">
        <v>95</v>
      </c>
      <c r="E146" s="6" t="n">
        <v>0.123</v>
      </c>
      <c r="G146" s="7" t="s">
        <v>90</v>
      </c>
      <c r="H146" s="4" t="s">
        <v>493</v>
      </c>
    </row>
    <row r="147" customFormat="false" ht="17.15" hidden="false" customHeight="false" outlineLevel="0" collapsed="false">
      <c r="A147" s="0" t="s">
        <v>494</v>
      </c>
      <c r="B147" s="4" t="s">
        <v>495</v>
      </c>
      <c r="C147" s="0" t="s">
        <v>95</v>
      </c>
      <c r="E147" s="6" t="n">
        <v>0.25</v>
      </c>
      <c r="G147" s="7" t="s">
        <v>90</v>
      </c>
    </row>
    <row r="148" customFormat="false" ht="17.15" hidden="false" customHeight="false" outlineLevel="0" collapsed="false">
      <c r="A148" s="0" t="s">
        <v>496</v>
      </c>
      <c r="B148" s="4" t="s">
        <v>497</v>
      </c>
      <c r="C148" s="0" t="s">
        <v>95</v>
      </c>
      <c r="E148" s="6" t="n">
        <v>0.2</v>
      </c>
      <c r="G148" s="7" t="s">
        <v>90</v>
      </c>
    </row>
    <row r="149" customFormat="false" ht="17.15" hidden="false" customHeight="false" outlineLevel="0" collapsed="false">
      <c r="A149" s="0" t="s">
        <v>498</v>
      </c>
      <c r="B149" s="4" t="s">
        <v>499</v>
      </c>
      <c r="C149" s="0" t="s">
        <v>95</v>
      </c>
      <c r="E149" s="6" t="n">
        <v>0.15</v>
      </c>
      <c r="G149" s="7" t="s">
        <v>90</v>
      </c>
    </row>
    <row r="150" customFormat="false" ht="17.15" hidden="false" customHeight="false" outlineLevel="0" collapsed="false">
      <c r="A150" s="0" t="s">
        <v>500</v>
      </c>
      <c r="B150" s="4" t="s">
        <v>501</v>
      </c>
      <c r="C150" s="0" t="s">
        <v>95</v>
      </c>
      <c r="E150" s="6" t="n">
        <v>0.1</v>
      </c>
      <c r="G150" s="7" t="s">
        <v>90</v>
      </c>
    </row>
    <row r="151" customFormat="false" ht="17.15" hidden="false" customHeight="false" outlineLevel="0" collapsed="false">
      <c r="A151" s="0" t="s">
        <v>502</v>
      </c>
      <c r="B151" s="4" t="s">
        <v>503</v>
      </c>
      <c r="C151" s="0" t="s">
        <v>95</v>
      </c>
      <c r="E151" s="6" t="n">
        <v>0.1</v>
      </c>
      <c r="G151" s="7" t="s">
        <v>90</v>
      </c>
    </row>
    <row r="152" customFormat="false" ht="17.15" hidden="false" customHeight="false" outlineLevel="0" collapsed="false">
      <c r="A152" s="0" t="s">
        <v>504</v>
      </c>
      <c r="B152" s="4" t="s">
        <v>505</v>
      </c>
      <c r="C152" s="0" t="s">
        <v>95</v>
      </c>
      <c r="E152" s="6" t="n">
        <v>0.1</v>
      </c>
      <c r="G152" s="7" t="s">
        <v>90</v>
      </c>
    </row>
    <row r="153" customFormat="false" ht="17.15" hidden="false" customHeight="false" outlineLevel="0" collapsed="false">
      <c r="A153" s="5" t="s">
        <v>506</v>
      </c>
    </row>
    <row r="154" customFormat="false" ht="17.15" hidden="false" customHeight="false" outlineLevel="0" collapsed="false">
      <c r="A154" s="0" t="s">
        <v>507</v>
      </c>
      <c r="B154" s="0" t="s">
        <v>508</v>
      </c>
      <c r="C154" s="0" t="s">
        <v>95</v>
      </c>
      <c r="E154" s="6" t="n">
        <v>13.097</v>
      </c>
      <c r="G154" s="7" t="s">
        <v>55</v>
      </c>
      <c r="H154" s="7" t="s">
        <v>509</v>
      </c>
    </row>
    <row r="155" customFormat="false" ht="17.15" hidden="false" customHeight="false" outlineLevel="0" collapsed="false">
      <c r="A155" s="0" t="s">
        <v>510</v>
      </c>
      <c r="B155" s="0" t="s">
        <v>511</v>
      </c>
      <c r="C155" s="0" t="s">
        <v>95</v>
      </c>
      <c r="E155" s="6" t="n">
        <v>48.069</v>
      </c>
      <c r="G155" s="7" t="s">
        <v>55</v>
      </c>
      <c r="H155" s="7" t="s">
        <v>512</v>
      </c>
    </row>
    <row r="156" customFormat="false" ht="17.15" hidden="false" customHeight="false" outlineLevel="0" collapsed="false">
      <c r="A156" s="0" t="s">
        <v>513</v>
      </c>
      <c r="B156" s="0" t="s">
        <v>514</v>
      </c>
      <c r="C156" s="0" t="s">
        <v>95</v>
      </c>
      <c r="E156" s="6" t="n">
        <v>3.921</v>
      </c>
      <c r="G156" s="7" t="s">
        <v>55</v>
      </c>
      <c r="H156" s="7" t="s">
        <v>515</v>
      </c>
    </row>
    <row r="157" customFormat="false" ht="17.15" hidden="false" customHeight="false" outlineLevel="0" collapsed="false">
      <c r="A157" s="0" t="s">
        <v>516</v>
      </c>
      <c r="B157" s="0" t="s">
        <v>517</v>
      </c>
      <c r="C157" s="0" t="s">
        <v>95</v>
      </c>
      <c r="E157" s="6" t="n">
        <v>0.27</v>
      </c>
      <c r="G157" s="7" t="s">
        <v>55</v>
      </c>
      <c r="H157" s="7" t="s">
        <v>518</v>
      </c>
    </row>
    <row r="158" customFormat="false" ht="17.15" hidden="false" customHeight="false" outlineLevel="0" collapsed="false">
      <c r="A158" s="0" t="s">
        <v>519</v>
      </c>
      <c r="B158" s="0" t="s">
        <v>520</v>
      </c>
      <c r="C158" s="0" t="s">
        <v>95</v>
      </c>
      <c r="E158" s="6" t="n">
        <v>0</v>
      </c>
      <c r="G158" s="7" t="s">
        <v>60</v>
      </c>
      <c r="H158" s="4" t="s">
        <v>521</v>
      </c>
      <c r="I158" s="4" t="s">
        <v>522</v>
      </c>
    </row>
    <row r="159" customFormat="false" ht="17.15" hidden="false" customHeight="false" outlineLevel="0" collapsed="false">
      <c r="A159" s="0" t="s">
        <v>523</v>
      </c>
      <c r="B159" s="0" t="s">
        <v>524</v>
      </c>
      <c r="C159" s="0" t="s">
        <v>95</v>
      </c>
      <c r="E159" s="6" t="n">
        <v>10.712</v>
      </c>
      <c r="G159" s="7" t="s">
        <v>55</v>
      </c>
      <c r="H159" s="7" t="s">
        <v>525</v>
      </c>
    </row>
    <row r="160" customFormat="false" ht="17.15" hidden="false" customHeight="false" outlineLevel="0" collapsed="false">
      <c r="A160" s="0" t="s">
        <v>526</v>
      </c>
      <c r="B160" s="0" t="s">
        <v>527</v>
      </c>
      <c r="C160" s="0" t="s">
        <v>95</v>
      </c>
      <c r="E160" s="6" t="n">
        <v>89.377</v>
      </c>
      <c r="G160" s="7" t="s">
        <v>55</v>
      </c>
      <c r="H160" s="7" t="s">
        <v>528</v>
      </c>
    </row>
    <row r="161" customFormat="false" ht="17.15" hidden="false" customHeight="false" outlineLevel="0" collapsed="false">
      <c r="A161" s="0" t="s">
        <v>529</v>
      </c>
      <c r="B161" s="0" t="s">
        <v>530</v>
      </c>
      <c r="C161" s="4" t="s">
        <v>65</v>
      </c>
      <c r="E161" s="6" t="n">
        <v>7.274</v>
      </c>
      <c r="G161" s="7" t="s">
        <v>55</v>
      </c>
      <c r="H161" s="7" t="s">
        <v>70</v>
      </c>
    </row>
    <row r="162" customFormat="false" ht="17.15" hidden="false" customHeight="false" outlineLevel="0" collapsed="false">
      <c r="A162" s="0" t="s">
        <v>531</v>
      </c>
      <c r="B162" s="0" t="s">
        <v>532</v>
      </c>
      <c r="C162" s="0" t="s">
        <v>95</v>
      </c>
      <c r="E162" s="6" t="n">
        <v>0.671</v>
      </c>
      <c r="G162" s="7" t="s">
        <v>55</v>
      </c>
      <c r="H162" s="7" t="s">
        <v>533</v>
      </c>
    </row>
    <row r="163" customFormat="false" ht="17.15" hidden="false" customHeight="false" outlineLevel="0" collapsed="false">
      <c r="A163" s="5" t="s">
        <v>534</v>
      </c>
    </row>
    <row r="164" customFormat="false" ht="17.15" hidden="false" customHeight="false" outlineLevel="0" collapsed="false">
      <c r="A164" s="0" t="s">
        <v>535</v>
      </c>
      <c r="B164" s="4" t="s">
        <v>536</v>
      </c>
      <c r="C164" s="0" t="s">
        <v>227</v>
      </c>
      <c r="E164" s="6" t="n">
        <v>2</v>
      </c>
      <c r="G164" s="7" t="s">
        <v>179</v>
      </c>
      <c r="H164" s="4" t="s">
        <v>537</v>
      </c>
      <c r="I164" s="4" t="s">
        <v>538</v>
      </c>
    </row>
    <row r="165" customFormat="false" ht="17.15" hidden="false" customHeight="false" outlineLevel="0" collapsed="false">
      <c r="A165" s="0" t="s">
        <v>539</v>
      </c>
      <c r="B165" s="0" t="s">
        <v>540</v>
      </c>
      <c r="C165" s="0" t="s">
        <v>95</v>
      </c>
      <c r="E165" s="6" t="n">
        <v>62.959</v>
      </c>
      <c r="G165" s="7" t="s">
        <v>55</v>
      </c>
      <c r="H165" s="7" t="s">
        <v>541</v>
      </c>
      <c r="I165" s="7" t="s">
        <v>542</v>
      </c>
    </row>
    <row r="166" customFormat="false" ht="17.15" hidden="false" customHeight="false" outlineLevel="0" collapsed="false">
      <c r="A166" s="0" t="s">
        <v>543</v>
      </c>
      <c r="B166" s="0" t="s">
        <v>544</v>
      </c>
      <c r="C166" s="0" t="s">
        <v>95</v>
      </c>
      <c r="E166" s="6" t="n">
        <v>14.1</v>
      </c>
      <c r="G166" s="7" t="s">
        <v>179</v>
      </c>
      <c r="H166" s="7" t="s">
        <v>545</v>
      </c>
    </row>
    <row r="167" customFormat="false" ht="17.15" hidden="false" customHeight="false" outlineLevel="0" collapsed="false">
      <c r="A167" s="0" t="s">
        <v>546</v>
      </c>
      <c r="B167" s="4" t="s">
        <v>547</v>
      </c>
      <c r="C167" s="0" t="s">
        <v>95</v>
      </c>
      <c r="E167" s="6" t="n">
        <v>25.569</v>
      </c>
      <c r="G167" s="7" t="s">
        <v>55</v>
      </c>
      <c r="H167" s="7" t="s">
        <v>548</v>
      </c>
      <c r="I167" s="4" t="s">
        <v>549</v>
      </c>
    </row>
    <row r="168" customFormat="false" ht="17.15" hidden="false" customHeight="false" outlineLevel="0" collapsed="false">
      <c r="A168" s="0" t="s">
        <v>550</v>
      </c>
      <c r="B168" s="4" t="s">
        <v>551</v>
      </c>
      <c r="C168" s="0" t="s">
        <v>95</v>
      </c>
      <c r="E168" s="6" t="n">
        <v>36.85</v>
      </c>
      <c r="G168" s="7" t="s">
        <v>179</v>
      </c>
      <c r="H168" s="7" t="s">
        <v>552</v>
      </c>
      <c r="I168" s="7" t="s">
        <v>553</v>
      </c>
    </row>
    <row r="169" customFormat="false" ht="17.15" hidden="false" customHeight="false" outlineLevel="0" collapsed="false">
      <c r="A169" s="0" t="s">
        <v>554</v>
      </c>
      <c r="B169" s="4" t="s">
        <v>555</v>
      </c>
      <c r="C169" s="0" t="s">
        <v>95</v>
      </c>
      <c r="E169" s="6" t="n">
        <v>-6.912</v>
      </c>
      <c r="G169" s="7" t="s">
        <v>179</v>
      </c>
      <c r="H169" s="4" t="s">
        <v>165</v>
      </c>
    </row>
    <row r="170" customFormat="false" ht="17.15" hidden="false" customHeight="false" outlineLevel="0" collapsed="false">
      <c r="A170" s="0" t="s">
        <v>556</v>
      </c>
      <c r="B170" s="4" t="s">
        <v>557</v>
      </c>
      <c r="C170" s="0" t="s">
        <v>95</v>
      </c>
      <c r="E170" s="6" t="n">
        <v>-28.749</v>
      </c>
      <c r="G170" s="7" t="s">
        <v>179</v>
      </c>
      <c r="H170" s="4" t="s">
        <v>165</v>
      </c>
    </row>
    <row r="171" customFormat="false" ht="17.15" hidden="false" customHeight="false" outlineLevel="0" collapsed="false">
      <c r="A171" s="0" t="s">
        <v>558</v>
      </c>
      <c r="B171" s="4" t="s">
        <v>559</v>
      </c>
      <c r="C171" s="0" t="s">
        <v>95</v>
      </c>
      <c r="E171" s="6" t="n">
        <v>68.255</v>
      </c>
      <c r="G171" s="7" t="s">
        <v>179</v>
      </c>
      <c r="H171" s="4" t="s">
        <v>165</v>
      </c>
    </row>
    <row r="172" customFormat="false" ht="17.15" hidden="false" customHeight="false" outlineLevel="0" collapsed="false">
      <c r="A172" s="0" t="s">
        <v>560</v>
      </c>
      <c r="B172" s="4" t="s">
        <v>561</v>
      </c>
      <c r="C172" s="0" t="s">
        <v>95</v>
      </c>
      <c r="E172" s="6" t="n">
        <v>3.35</v>
      </c>
      <c r="G172" s="7" t="s">
        <v>179</v>
      </c>
      <c r="H172" s="4" t="s">
        <v>165</v>
      </c>
    </row>
    <row r="173" customFormat="false" ht="17.15" hidden="false" customHeight="false" outlineLevel="0" collapsed="false">
      <c r="A173" s="0" t="s">
        <v>562</v>
      </c>
      <c r="B173" s="4" t="s">
        <v>563</v>
      </c>
      <c r="C173" s="0" t="s">
        <v>95</v>
      </c>
      <c r="E173" s="6" t="n">
        <v>-28.378</v>
      </c>
      <c r="G173" s="7" t="s">
        <v>179</v>
      </c>
      <c r="H173" s="4" t="s">
        <v>165</v>
      </c>
    </row>
    <row r="174" customFormat="false" ht="17.15" hidden="false" customHeight="false" outlineLevel="0" collapsed="false">
      <c r="A174" s="0" t="s">
        <v>564</v>
      </c>
      <c r="B174" s="4" t="s">
        <v>565</v>
      </c>
      <c r="C174" s="0" t="s">
        <v>95</v>
      </c>
      <c r="E174" s="6" t="n">
        <v>97.508</v>
      </c>
      <c r="G174" s="7" t="s">
        <v>179</v>
      </c>
      <c r="H174" s="4" t="s">
        <v>165</v>
      </c>
    </row>
    <row r="175" customFormat="false" ht="17.15" hidden="false" customHeight="false" outlineLevel="0" collapsed="false">
      <c r="A175" s="0" t="s">
        <v>566</v>
      </c>
      <c r="B175" s="4" t="s">
        <v>567</v>
      </c>
      <c r="C175" s="0" t="s">
        <v>95</v>
      </c>
      <c r="E175" s="6" t="n">
        <v>7.646</v>
      </c>
      <c r="G175" s="7" t="s">
        <v>179</v>
      </c>
      <c r="H175" s="4" t="s">
        <v>165</v>
      </c>
    </row>
    <row r="176" customFormat="false" ht="17.15" hidden="false" customHeight="false" outlineLevel="0" collapsed="false">
      <c r="A176" s="0" t="s">
        <v>568</v>
      </c>
      <c r="B176" s="4" t="s">
        <v>569</v>
      </c>
      <c r="C176" s="0" t="s">
        <v>95</v>
      </c>
      <c r="E176" s="6" t="n">
        <v>-14.581</v>
      </c>
      <c r="G176" s="7" t="s">
        <v>179</v>
      </c>
      <c r="H176" s="4" t="s">
        <v>165</v>
      </c>
    </row>
    <row r="178" customFormat="false" ht="17.15" hidden="false" customHeight="false" outlineLevel="0" collapsed="false">
      <c r="A178" s="5" t="s">
        <v>570</v>
      </c>
    </row>
    <row r="179" customFormat="false" ht="17.15" hidden="false" customHeight="false" outlineLevel="0" collapsed="false">
      <c r="A179" s="3" t="s">
        <v>42</v>
      </c>
      <c r="B179" s="3" t="s">
        <v>43</v>
      </c>
      <c r="C179" s="3" t="s">
        <v>44</v>
      </c>
      <c r="D179" s="3" t="s">
        <v>571</v>
      </c>
      <c r="E179" s="3" t="s">
        <v>572</v>
      </c>
      <c r="F179" s="3" t="s">
        <v>573</v>
      </c>
      <c r="G179" s="3" t="s">
        <v>48</v>
      </c>
      <c r="H179" s="3" t="s">
        <v>50</v>
      </c>
    </row>
    <row r="180" customFormat="false" ht="17.15" hidden="false" customHeight="false" outlineLevel="0" collapsed="false">
      <c r="A180" s="0" t="s">
        <v>574</v>
      </c>
      <c r="B180" s="0" t="s">
        <v>575</v>
      </c>
      <c r="C180" s="0" t="s">
        <v>89</v>
      </c>
      <c r="D180" s="17" t="n">
        <f aca="false">E93</f>
        <v>1.6</v>
      </c>
      <c r="E180" s="17" t="n">
        <f aca="false">E94</f>
        <v>1.25</v>
      </c>
      <c r="F180" s="17" t="n">
        <f aca="false">E95</f>
        <v>1</v>
      </c>
      <c r="G180" s="7" t="s">
        <v>60</v>
      </c>
      <c r="H180" s="4" t="s">
        <v>576</v>
      </c>
    </row>
    <row r="181" customFormat="false" ht="17.15" hidden="false" customHeight="false" outlineLevel="0" collapsed="false">
      <c r="A181" s="0" t="s">
        <v>577</v>
      </c>
      <c r="B181" s="0" t="s">
        <v>578</v>
      </c>
      <c r="C181" s="4" t="s">
        <v>410</v>
      </c>
      <c r="D181" s="18" t="n">
        <f aca="false">E118</f>
        <v>7</v>
      </c>
      <c r="E181" s="18" t="n">
        <f aca="false">E119</f>
        <v>5.5</v>
      </c>
      <c r="F181" s="18" t="n">
        <f aca="false">E120</f>
        <v>4</v>
      </c>
      <c r="G181" s="7" t="s">
        <v>60</v>
      </c>
      <c r="H181" s="4" t="s">
        <v>579</v>
      </c>
    </row>
    <row r="182" customFormat="false" ht="17.15" hidden="false" customHeight="false" outlineLevel="0" collapsed="false">
      <c r="A182" s="0" t="s">
        <v>580</v>
      </c>
      <c r="B182" s="4" t="s">
        <v>581</v>
      </c>
      <c r="C182" s="0" t="s">
        <v>126</v>
      </c>
      <c r="D182" s="19" t="n">
        <f aca="false">E34</f>
        <v>0.25</v>
      </c>
      <c r="E182" s="19" t="n">
        <f aca="false">E35</f>
        <v>0.5</v>
      </c>
      <c r="F182" s="19" t="n">
        <f aca="false">E36</f>
        <v>0.25</v>
      </c>
      <c r="G182" s="7" t="s">
        <v>60</v>
      </c>
      <c r="H182" s="4" t="s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9" min="2" style="0" width="11"/>
    <col collapsed="false" customWidth="true" hidden="false" outlineLevel="0" max="10" min="10" style="0" width="22"/>
    <col collapsed="false" customWidth="true" hidden="false" outlineLevel="0" max="11" min="11" style="0" width="90"/>
  </cols>
  <sheetData>
    <row r="1" customFormat="false" ht="17.15" hidden="false" customHeight="false" outlineLevel="0" collapsed="false">
      <c r="A1" s="0" t="s">
        <v>583</v>
      </c>
    </row>
    <row r="2" customFormat="false" ht="17.15" hidden="false" customHeight="false" outlineLevel="0" collapsed="false">
      <c r="A2" s="4" t="s">
        <v>584</v>
      </c>
    </row>
    <row r="3" customFormat="false" ht="15" hidden="false" customHeight="false" outlineLevel="0" collapsed="false">
      <c r="A3" s="3" t="s">
        <v>43</v>
      </c>
      <c r="B3" s="20" t="s">
        <v>585</v>
      </c>
      <c r="C3" s="20" t="s">
        <v>586</v>
      </c>
      <c r="D3" s="20" t="s">
        <v>587</v>
      </c>
      <c r="E3" s="20" t="s">
        <v>588</v>
      </c>
      <c r="F3" s="20" t="s">
        <v>589</v>
      </c>
      <c r="G3" s="20" t="s">
        <v>590</v>
      </c>
      <c r="H3" s="20" t="s">
        <v>591</v>
      </c>
      <c r="I3" s="20" t="s">
        <v>592</v>
      </c>
      <c r="J3" s="3" t="s">
        <v>48</v>
      </c>
      <c r="K3" s="3" t="s">
        <v>49</v>
      </c>
    </row>
    <row r="4" customFormat="false" ht="15" hidden="false" customHeight="false" outlineLevel="0" collapsed="false">
      <c r="A4" s="2" t="s">
        <v>593</v>
      </c>
    </row>
    <row r="5" customFormat="false" ht="17.15" hidden="false" customHeight="false" outlineLevel="0" collapsed="false">
      <c r="A5" s="0" t="s">
        <v>594</v>
      </c>
      <c r="B5" s="6" t="n">
        <v>0.49</v>
      </c>
      <c r="C5" s="6" t="n">
        <v>1</v>
      </c>
      <c r="D5" s="6" t="n">
        <v>0.33</v>
      </c>
      <c r="E5" s="6" t="n">
        <v>0.648</v>
      </c>
      <c r="F5" s="6" t="n">
        <v>1.13</v>
      </c>
      <c r="G5" s="6" t="n">
        <v>2.056</v>
      </c>
      <c r="H5" s="6" t="n">
        <v>2.108</v>
      </c>
      <c r="J5" s="7" t="s">
        <v>595</v>
      </c>
      <c r="K5" s="7" t="s">
        <v>596</v>
      </c>
    </row>
    <row r="6" customFormat="false" ht="17.15" hidden="false" customHeight="false" outlineLevel="0" collapsed="false">
      <c r="A6" s="0" t="s">
        <v>597</v>
      </c>
      <c r="B6" s="6" t="n">
        <v>0.256</v>
      </c>
      <c r="C6" s="6" t="n">
        <v>0.666</v>
      </c>
      <c r="D6" s="6" t="n">
        <v>0.289</v>
      </c>
      <c r="E6" s="6" t="n">
        <v>0.314</v>
      </c>
      <c r="F6" s="6" t="n">
        <v>0.637</v>
      </c>
      <c r="G6" s="6" t="n">
        <v>1.221</v>
      </c>
      <c r="H6" s="6" t="n">
        <v>1.24</v>
      </c>
      <c r="J6" s="7" t="s">
        <v>595</v>
      </c>
      <c r="K6" s="7" t="s">
        <v>596</v>
      </c>
    </row>
    <row r="7" customFormat="false" ht="17.15" hidden="false" customHeight="false" outlineLevel="0" collapsed="false">
      <c r="A7" s="0" t="s">
        <v>598</v>
      </c>
      <c r="B7" s="6" t="n">
        <v>0.746</v>
      </c>
      <c r="C7" s="6" t="n">
        <v>1.666</v>
      </c>
      <c r="D7" s="6" t="n">
        <v>0.619</v>
      </c>
      <c r="E7" s="6" t="n">
        <v>0.962</v>
      </c>
      <c r="F7" s="6" t="n">
        <v>1.767</v>
      </c>
      <c r="G7" s="6" t="n">
        <v>3.277</v>
      </c>
      <c r="H7" s="6" t="n">
        <v>3.348</v>
      </c>
      <c r="I7" s="6" t="n">
        <v>4.086</v>
      </c>
      <c r="J7" s="7" t="s">
        <v>595</v>
      </c>
      <c r="K7" s="7" t="s">
        <v>596</v>
      </c>
    </row>
    <row r="8" customFormat="false" ht="17.15" hidden="false" customHeight="false" outlineLevel="0" collapsed="false">
      <c r="A8" s="4" t="s">
        <v>599</v>
      </c>
      <c r="B8" s="21" t="n">
        <f aca="false">B5+B6-B7</f>
        <v>0</v>
      </c>
      <c r="C8" s="21" t="n">
        <f aca="false">C5+C6-C7</f>
        <v>0</v>
      </c>
      <c r="D8" s="21" t="n">
        <f aca="false">D5+D6-D7</f>
        <v>0</v>
      </c>
      <c r="E8" s="21" t="n">
        <f aca="false">E5+E6-E7</f>
        <v>0</v>
      </c>
      <c r="F8" s="21" t="n">
        <f aca="false">F5+F6-F7</f>
        <v>0</v>
      </c>
      <c r="G8" s="21" t="n">
        <f aca="false">G5+G6-G7</f>
        <v>0</v>
      </c>
      <c r="H8" s="21" t="n">
        <f aca="false">H5+H6-H7</f>
        <v>0</v>
      </c>
      <c r="J8" s="7" t="s">
        <v>600</v>
      </c>
      <c r="K8" s="7" t="s">
        <v>600</v>
      </c>
    </row>
    <row r="9" customFormat="false" ht="17.15" hidden="false" customHeight="false" outlineLevel="0" collapsed="false">
      <c r="A9" s="0" t="s">
        <v>601</v>
      </c>
      <c r="B9" s="6" t="n">
        <v>1.721</v>
      </c>
      <c r="C9" s="6" t="n">
        <v>1.986</v>
      </c>
      <c r="D9" s="6" t="n">
        <v>2.148</v>
      </c>
      <c r="E9" s="6" t="n">
        <v>2.485</v>
      </c>
      <c r="F9" s="6" t="n">
        <v>3.121</v>
      </c>
      <c r="G9" s="6" t="n">
        <v>5.198</v>
      </c>
      <c r="H9" s="6" t="n">
        <v>7.754</v>
      </c>
      <c r="J9" s="7" t="s">
        <v>595</v>
      </c>
      <c r="K9" s="7" t="s">
        <v>596</v>
      </c>
    </row>
    <row r="10" customFormat="false" ht="17.15" hidden="false" customHeight="false" outlineLevel="0" collapsed="false">
      <c r="A10" s="0" t="s">
        <v>602</v>
      </c>
      <c r="B10" s="6" t="n">
        <v>0.867</v>
      </c>
      <c r="C10" s="6" t="n">
        <v>1.111</v>
      </c>
      <c r="D10" s="6" t="n">
        <v>1.109</v>
      </c>
      <c r="E10" s="6" t="n">
        <v>1.806</v>
      </c>
      <c r="F10" s="6" t="n">
        <v>2.127</v>
      </c>
      <c r="G10" s="6" t="n">
        <v>2.961</v>
      </c>
      <c r="H10" s="6" t="n">
        <v>5.042</v>
      </c>
      <c r="J10" s="7" t="s">
        <v>595</v>
      </c>
      <c r="K10" s="7" t="s">
        <v>596</v>
      </c>
    </row>
    <row r="11" customFormat="false" ht="17.15" hidden="false" customHeight="false" outlineLevel="0" collapsed="false">
      <c r="A11" s="0" t="s">
        <v>603</v>
      </c>
      <c r="B11" s="6" t="n">
        <v>2.588</v>
      </c>
      <c r="C11" s="6" t="n">
        <v>3.097</v>
      </c>
      <c r="D11" s="6" t="n">
        <v>3.257</v>
      </c>
      <c r="E11" s="6" t="n">
        <v>4.291</v>
      </c>
      <c r="F11" s="6" t="n">
        <v>5.248</v>
      </c>
      <c r="G11" s="6" t="n">
        <v>8.159</v>
      </c>
      <c r="H11" s="6" t="n">
        <v>12.796</v>
      </c>
      <c r="I11" s="6" t="n">
        <v>11.387</v>
      </c>
      <c r="J11" s="7" t="s">
        <v>595</v>
      </c>
      <c r="K11" s="7" t="s">
        <v>596</v>
      </c>
    </row>
    <row r="12" customFormat="false" ht="17.15" hidden="false" customHeight="false" outlineLevel="0" collapsed="false">
      <c r="A12" s="4" t="s">
        <v>604</v>
      </c>
      <c r="B12" s="21" t="n">
        <f aca="false">B9+B10-B11</f>
        <v>0</v>
      </c>
      <c r="C12" s="21" t="n">
        <f aca="false">C9+C10-C11</f>
        <v>0</v>
      </c>
      <c r="D12" s="21" t="n">
        <f aca="false">D9+D10-D11</f>
        <v>0</v>
      </c>
      <c r="E12" s="21" t="n">
        <f aca="false">E9+E10-E11</f>
        <v>0</v>
      </c>
      <c r="F12" s="21" t="n">
        <f aca="false">F9+F10-F11</f>
        <v>0</v>
      </c>
      <c r="G12" s="21" t="n">
        <f aca="false">G9+G10-G11</f>
        <v>0</v>
      </c>
      <c r="H12" s="21" t="n">
        <f aca="false">H9+H10-H11</f>
        <v>0</v>
      </c>
      <c r="J12" s="7" t="s">
        <v>600</v>
      </c>
      <c r="K12" s="7" t="s">
        <v>600</v>
      </c>
    </row>
    <row r="13" customFormat="false" ht="17.15" hidden="false" customHeight="false" outlineLevel="0" collapsed="false">
      <c r="A13" s="0" t="s">
        <v>605</v>
      </c>
      <c r="B13" s="6" t="n">
        <v>0.426</v>
      </c>
      <c r="C13" s="6" t="n">
        <v>0.454</v>
      </c>
      <c r="D13" s="6" t="n">
        <v>0.343</v>
      </c>
      <c r="E13" s="6" t="n">
        <v>0.367</v>
      </c>
      <c r="F13" s="6" t="n">
        <v>0.538</v>
      </c>
      <c r="G13" s="6" t="n">
        <v>1.323</v>
      </c>
      <c r="H13" s="6" t="n">
        <v>1.248</v>
      </c>
      <c r="J13" s="7" t="s">
        <v>595</v>
      </c>
      <c r="K13" s="7" t="s">
        <v>596</v>
      </c>
    </row>
    <row r="14" customFormat="false" ht="17.15" hidden="false" customHeight="false" outlineLevel="0" collapsed="false">
      <c r="A14" s="0" t="s">
        <v>606</v>
      </c>
      <c r="B14" s="6" t="n">
        <v>0.311</v>
      </c>
      <c r="C14" s="6" t="n">
        <v>0.359</v>
      </c>
      <c r="D14" s="6" t="n">
        <v>0.475</v>
      </c>
      <c r="E14" s="6" t="n">
        <v>2.194</v>
      </c>
      <c r="F14" s="6" t="n">
        <v>7.022</v>
      </c>
      <c r="G14" s="6" t="n">
        <v>0.955</v>
      </c>
      <c r="H14" s="6" t="n">
        <v>9.691</v>
      </c>
      <c r="J14" s="7" t="s">
        <v>595</v>
      </c>
      <c r="K14" s="7" t="s">
        <v>596</v>
      </c>
    </row>
    <row r="15" customFormat="false" ht="17.15" hidden="false" customHeight="false" outlineLevel="0" collapsed="false">
      <c r="A15" s="0" t="s">
        <v>607</v>
      </c>
      <c r="B15" s="6" t="n">
        <v>0.737</v>
      </c>
      <c r="C15" s="6" t="n">
        <v>0.813</v>
      </c>
      <c r="D15" s="6" t="n">
        <v>0.818</v>
      </c>
      <c r="E15" s="6" t="n">
        <v>2.561</v>
      </c>
      <c r="F15" s="6" t="n">
        <v>7.56</v>
      </c>
      <c r="G15" s="6" t="n">
        <v>2.278</v>
      </c>
      <c r="H15" s="6" t="n">
        <v>10.939</v>
      </c>
      <c r="I15" s="6" t="n">
        <v>3.201</v>
      </c>
      <c r="J15" s="7" t="s">
        <v>595</v>
      </c>
      <c r="K15" s="7" t="s">
        <v>596</v>
      </c>
    </row>
    <row r="16" customFormat="false" ht="17.15" hidden="false" customHeight="false" outlineLevel="0" collapsed="false">
      <c r="A16" s="4" t="s">
        <v>608</v>
      </c>
      <c r="B16" s="21" t="n">
        <f aca="false">B13+B14-B15</f>
        <v>0</v>
      </c>
      <c r="C16" s="21" t="n">
        <f aca="false">C13+C14-C15</f>
        <v>0</v>
      </c>
      <c r="D16" s="21" t="n">
        <f aca="false">D13+D14-D15</f>
        <v>0</v>
      </c>
      <c r="E16" s="21" t="n">
        <f aca="false">E13+E14-E15</f>
        <v>0</v>
      </c>
      <c r="F16" s="21" t="n">
        <f aca="false">F13+F14-F15</f>
        <v>0</v>
      </c>
      <c r="G16" s="21" t="n">
        <f aca="false">G13+G14-G15</f>
        <v>0</v>
      </c>
      <c r="H16" s="21" t="n">
        <f aca="false">H13+H14-H15</f>
        <v>0</v>
      </c>
      <c r="J16" s="7" t="s">
        <v>600</v>
      </c>
      <c r="K16" s="7" t="s">
        <v>600</v>
      </c>
    </row>
    <row r="17" customFormat="false" ht="17.15" hidden="false" customHeight="false" outlineLevel="0" collapsed="false">
      <c r="A17" s="4" t="s">
        <v>609</v>
      </c>
      <c r="B17" s="6" t="n">
        <v>4.071</v>
      </c>
      <c r="C17" s="6" t="n">
        <v>5.576</v>
      </c>
      <c r="D17" s="6" t="n">
        <v>4.694</v>
      </c>
      <c r="E17" s="6" t="n">
        <v>7.814</v>
      </c>
      <c r="F17" s="6" t="n">
        <v>14.575</v>
      </c>
      <c r="G17" s="6" t="n">
        <v>13.714</v>
      </c>
      <c r="H17" s="6" t="n">
        <v>27.083</v>
      </c>
      <c r="I17" s="6" t="n">
        <v>18.674</v>
      </c>
      <c r="J17" s="7" t="s">
        <v>595</v>
      </c>
      <c r="K17" s="7" t="s">
        <v>596</v>
      </c>
    </row>
    <row r="18" customFormat="false" ht="15" hidden="false" customHeight="false" outlineLevel="0" collapsed="false">
      <c r="A18" s="4" t="s">
        <v>610</v>
      </c>
      <c r="B18" s="21" t="n">
        <f aca="false">B7+B11+B15-B17</f>
        <v>0</v>
      </c>
      <c r="C18" s="21" t="n">
        <f aca="false">C7+C11+C15-C17</f>
        <v>0</v>
      </c>
      <c r="D18" s="21" t="n">
        <f aca="false">D7+D11+D15-D17</f>
        <v>0</v>
      </c>
      <c r="E18" s="21" t="n">
        <f aca="false">E7+E11+E15-E17</f>
        <v>0</v>
      </c>
      <c r="F18" s="21" t="n">
        <f aca="false">F7+F11+F15-F17</f>
        <v>0</v>
      </c>
      <c r="G18" s="21" t="n">
        <f aca="false">G7+G11+G15-G17</f>
        <v>0</v>
      </c>
      <c r="H18" s="21" t="n">
        <f aca="false">H7+H11+H15-H17</f>
        <v>0</v>
      </c>
      <c r="I18" s="21" t="n">
        <f aca="false">I7+I11+I15-I17</f>
        <v>0</v>
      </c>
      <c r="J18" s="7" t="s">
        <v>600</v>
      </c>
      <c r="K18" s="7" t="s">
        <v>600</v>
      </c>
    </row>
    <row r="20" customFormat="false" ht="15" hidden="false" customHeight="false" outlineLevel="0" collapsed="false">
      <c r="A20" s="2" t="s">
        <v>611</v>
      </c>
    </row>
    <row r="21" customFormat="false" ht="17.15" hidden="false" customHeight="false" outlineLevel="0" collapsed="false">
      <c r="A21" s="0" t="s">
        <v>612</v>
      </c>
      <c r="B21" s="6" t="n">
        <v>-0.369</v>
      </c>
      <c r="C21" s="6" t="n">
        <v>0.259</v>
      </c>
      <c r="D21" s="6" t="n">
        <v>-0.662</v>
      </c>
      <c r="E21" s="6" t="n">
        <v>-0.542</v>
      </c>
      <c r="F21" s="6" t="n">
        <v>-0.007</v>
      </c>
      <c r="G21" s="6" t="n">
        <v>-0.181</v>
      </c>
      <c r="H21" s="6" t="n">
        <v>-1.211</v>
      </c>
      <c r="I21" s="6" t="n">
        <v>-0.657</v>
      </c>
      <c r="J21" s="7" t="s">
        <v>595</v>
      </c>
      <c r="K21" s="7" t="s">
        <v>596</v>
      </c>
    </row>
    <row r="22" customFormat="false" ht="17.15" hidden="false" customHeight="false" outlineLevel="0" collapsed="false">
      <c r="A22" s="0" t="s">
        <v>613</v>
      </c>
      <c r="B22" s="6" t="n">
        <v>0.923</v>
      </c>
      <c r="C22" s="6" t="n">
        <v>1.19</v>
      </c>
      <c r="D22" s="6" t="n">
        <v>1.188</v>
      </c>
      <c r="E22" s="6" t="n">
        <v>1.656</v>
      </c>
      <c r="F22" s="6" t="n">
        <v>2.367</v>
      </c>
      <c r="G22" s="6" t="n">
        <v>3.147</v>
      </c>
      <c r="H22" s="6" t="n">
        <v>5.211</v>
      </c>
      <c r="I22" s="6" t="n">
        <v>4.423</v>
      </c>
      <c r="J22" s="7" t="s">
        <v>595</v>
      </c>
      <c r="K22" s="7" t="s">
        <v>596</v>
      </c>
    </row>
    <row r="23" customFormat="false" ht="17.15" hidden="false" customHeight="false" outlineLevel="0" collapsed="false">
      <c r="A23" s="0" t="s">
        <v>614</v>
      </c>
      <c r="B23" s="6" t="n">
        <v>-1.524</v>
      </c>
      <c r="C23" s="6" t="n">
        <v>-1.722</v>
      </c>
      <c r="D23" s="6" t="n">
        <v>-2.469</v>
      </c>
      <c r="E23" s="6" t="n">
        <v>-1.257</v>
      </c>
      <c r="F23" s="6" t="n">
        <v>0.431</v>
      </c>
      <c r="G23" s="6" t="n">
        <v>-4.182</v>
      </c>
      <c r="H23" s="6" t="n">
        <v>-3.295</v>
      </c>
      <c r="I23" s="6" t="n">
        <v>-6.355</v>
      </c>
      <c r="J23" s="7" t="s">
        <v>595</v>
      </c>
      <c r="K23" s="7" t="s">
        <v>596</v>
      </c>
    </row>
    <row r="24" customFormat="false" ht="17.15" hidden="false" customHeight="false" outlineLevel="0" collapsed="false">
      <c r="A24" s="4" t="s">
        <v>615</v>
      </c>
      <c r="B24" s="6" t="n">
        <v>-0.97</v>
      </c>
      <c r="C24" s="6" t="n">
        <v>-0.273</v>
      </c>
      <c r="D24" s="6" t="n">
        <v>-1.943</v>
      </c>
      <c r="E24" s="6" t="n">
        <v>-0.143</v>
      </c>
      <c r="F24" s="6" t="n">
        <v>2.791</v>
      </c>
      <c r="G24" s="6" t="n">
        <v>-1.216</v>
      </c>
      <c r="H24" s="6" t="n">
        <v>0.705</v>
      </c>
      <c r="I24" s="6" t="n">
        <v>-2.589</v>
      </c>
      <c r="J24" s="7" t="s">
        <v>595</v>
      </c>
      <c r="K24" s="7" t="s">
        <v>596</v>
      </c>
    </row>
    <row r="25" customFormat="false" ht="15" hidden="false" customHeight="false" outlineLevel="0" collapsed="false">
      <c r="A25" s="4" t="s">
        <v>616</v>
      </c>
      <c r="B25" s="21" t="n">
        <f aca="false">B21+B22+B23-B24</f>
        <v>0</v>
      </c>
      <c r="C25" s="21" t="n">
        <f aca="false">C21+C22+C23-C24</f>
        <v>0</v>
      </c>
      <c r="D25" s="21" t="n">
        <f aca="false">D21+D22+D23-D24</f>
        <v>0</v>
      </c>
      <c r="E25" s="21" t="n">
        <f aca="false">E21+E22+E23-E24</f>
        <v>0</v>
      </c>
      <c r="F25" s="21" t="n">
        <f aca="false">F21+F22+F23-F24</f>
        <v>0</v>
      </c>
      <c r="G25" s="21" t="n">
        <f aca="false">G21+G22+G23-G24</f>
        <v>0</v>
      </c>
      <c r="H25" s="21" t="n">
        <f aca="false">H21+H22+H23-H24</f>
        <v>0</v>
      </c>
      <c r="I25" s="21" t="n">
        <f aca="false">I21+I22+I23-I24</f>
        <v>0</v>
      </c>
      <c r="J25" s="7" t="s">
        <v>600</v>
      </c>
      <c r="K25" s="7" t="s">
        <v>600</v>
      </c>
    </row>
    <row r="27" customFormat="false" ht="17.15" hidden="false" customHeight="false" outlineLevel="0" collapsed="false">
      <c r="A27" s="2" t="s">
        <v>617</v>
      </c>
    </row>
    <row r="28" customFormat="false" ht="17.15" hidden="false" customHeight="false" outlineLevel="0" collapsed="false">
      <c r="A28" s="0" t="s">
        <v>618</v>
      </c>
      <c r="B28" s="6" t="n">
        <v>-0.093</v>
      </c>
      <c r="C28" s="6" t="n">
        <v>0.674</v>
      </c>
      <c r="D28" s="6" t="n">
        <v>-0.351</v>
      </c>
      <c r="E28" s="6" t="n">
        <v>-0.205</v>
      </c>
      <c r="F28" s="6" t="n">
        <v>0.357</v>
      </c>
      <c r="G28" s="6" t="n">
        <v>0.803</v>
      </c>
      <c r="H28" s="6" t="n">
        <v>-0.199</v>
      </c>
      <c r="I28" s="6" t="n">
        <v>0.653</v>
      </c>
      <c r="J28" s="7" t="s">
        <v>595</v>
      </c>
      <c r="K28" s="7" t="s">
        <v>596</v>
      </c>
    </row>
    <row r="29" customFormat="false" ht="17.15" hidden="false" customHeight="false" outlineLevel="0" collapsed="false">
      <c r="A29" s="0" t="s">
        <v>619</v>
      </c>
      <c r="B29" s="6" t="n">
        <v>1.583</v>
      </c>
      <c r="C29" s="6" t="n">
        <v>1.923</v>
      </c>
      <c r="D29" s="6" t="n">
        <v>2.087</v>
      </c>
      <c r="E29" s="6" t="n">
        <v>2.597</v>
      </c>
      <c r="F29" s="6" t="n">
        <v>3.499</v>
      </c>
      <c r="G29" s="6" t="n">
        <v>5.123</v>
      </c>
      <c r="H29" s="6" t="n">
        <v>8.183</v>
      </c>
      <c r="I29" s="6" t="n">
        <v>7.168</v>
      </c>
      <c r="J29" s="7" t="s">
        <v>595</v>
      </c>
      <c r="K29" s="7" t="s">
        <v>596</v>
      </c>
    </row>
    <row r="30" customFormat="false" ht="17.15" hidden="false" customHeight="false" outlineLevel="0" collapsed="false">
      <c r="A30" s="0" t="s">
        <v>620</v>
      </c>
      <c r="B30" s="6" t="n">
        <v>-0.276</v>
      </c>
      <c r="C30" s="6" t="n">
        <v>-0.428</v>
      </c>
      <c r="D30" s="6" t="n">
        <v>-0.609</v>
      </c>
      <c r="E30" s="6" t="n">
        <v>1.146</v>
      </c>
      <c r="F30" s="6" t="n">
        <v>4.953</v>
      </c>
      <c r="G30" s="6" t="n">
        <v>-0.813</v>
      </c>
      <c r="H30" s="6" t="n">
        <v>5.49</v>
      </c>
      <c r="I30" s="6" t="n">
        <v>-1.237</v>
      </c>
      <c r="J30" s="7" t="s">
        <v>595</v>
      </c>
      <c r="K30" s="7" t="s">
        <v>596</v>
      </c>
    </row>
    <row r="31" customFormat="false" ht="17.15" hidden="false" customHeight="false" outlineLevel="0" collapsed="false">
      <c r="A31" s="4" t="s">
        <v>621</v>
      </c>
      <c r="B31" s="6" t="n">
        <v>1.214</v>
      </c>
      <c r="C31" s="6" t="n">
        <v>2.169</v>
      </c>
      <c r="D31" s="6" t="n">
        <v>1.127</v>
      </c>
      <c r="E31" s="6" t="n">
        <v>3.538</v>
      </c>
      <c r="F31" s="6" t="n">
        <v>8.809</v>
      </c>
      <c r="G31" s="6" t="n">
        <v>5.113</v>
      </c>
      <c r="H31" s="6" t="n">
        <v>13.474</v>
      </c>
      <c r="I31" s="6" t="n">
        <v>6.584</v>
      </c>
      <c r="J31" s="7" t="s">
        <v>595</v>
      </c>
      <c r="K31" s="7" t="s">
        <v>596</v>
      </c>
    </row>
    <row r="32" customFormat="false" ht="17.15" hidden="false" customHeight="false" outlineLevel="0" collapsed="false">
      <c r="A32" s="4" t="s">
        <v>622</v>
      </c>
      <c r="B32" s="21" t="n">
        <f aca="false">B28+B29+B30-B31</f>
        <v>0</v>
      </c>
      <c r="C32" s="21" t="n">
        <f aca="false">C28+C29+C30-C31</f>
        <v>0</v>
      </c>
      <c r="D32" s="21" t="n">
        <f aca="false">D28+D29+D30-D31</f>
        <v>0</v>
      </c>
      <c r="E32" s="21" t="n">
        <f aca="false">E28+E29+E30-E31</f>
        <v>0</v>
      </c>
      <c r="F32" s="21" t="n">
        <f aca="false">F28+F29+F30-F31</f>
        <v>0</v>
      </c>
      <c r="G32" s="21" t="n">
        <f aca="false">G28+G29+G30-G31</f>
        <v>0</v>
      </c>
      <c r="H32" s="21" t="n">
        <f aca="false">H28+H29+H30-H31</f>
        <v>0</v>
      </c>
      <c r="I32" s="21" t="n">
        <f aca="false">I28+I29+I30-I31</f>
        <v>0</v>
      </c>
      <c r="J32" s="7" t="s">
        <v>600</v>
      </c>
      <c r="K32" s="7" t="s">
        <v>600</v>
      </c>
    </row>
    <row r="34" customFormat="false" ht="15" hidden="false" customHeight="false" outlineLevel="0" collapsed="false">
      <c r="A34" s="2" t="s">
        <v>623</v>
      </c>
    </row>
    <row r="35" customFormat="false" ht="17.15" hidden="false" customHeight="false" outlineLevel="0" collapsed="false">
      <c r="A35" s="0" t="s">
        <v>624</v>
      </c>
      <c r="B35" s="6" t="n">
        <v>0.946</v>
      </c>
      <c r="C35" s="6" t="n">
        <v>1.113</v>
      </c>
      <c r="D35" s="6" t="n">
        <v>1.052</v>
      </c>
      <c r="E35" s="6" t="n">
        <v>1.174</v>
      </c>
      <c r="F35" s="6" t="n">
        <v>1.606</v>
      </c>
      <c r="G35" s="6" t="n">
        <v>2.818</v>
      </c>
      <c r="H35" s="6" t="n">
        <v>3.832</v>
      </c>
      <c r="J35" s="7" t="s">
        <v>595</v>
      </c>
      <c r="K35" s="7" t="s">
        <v>596</v>
      </c>
    </row>
    <row r="36" customFormat="false" ht="17.15" hidden="false" customHeight="false" outlineLevel="0" collapsed="false">
      <c r="A36" s="0" t="s">
        <v>625</v>
      </c>
      <c r="B36" s="6" t="n">
        <v>1.13</v>
      </c>
      <c r="C36" s="6" t="n">
        <v>1.007</v>
      </c>
      <c r="D36" s="6" t="n">
        <v>1.332</v>
      </c>
      <c r="E36" s="6" t="n">
        <v>1.367</v>
      </c>
      <c r="F36" s="6" t="n">
        <v>1.543</v>
      </c>
      <c r="G36" s="6" t="n">
        <v>2.951</v>
      </c>
      <c r="H36" s="6" t="n">
        <v>4.242</v>
      </c>
      <c r="I36" s="6" t="n">
        <v>4.178</v>
      </c>
      <c r="J36" s="7" t="s">
        <v>595</v>
      </c>
      <c r="K36" s="7" t="s">
        <v>596</v>
      </c>
    </row>
    <row r="37" customFormat="false" ht="17.15" hidden="false" customHeight="false" outlineLevel="0" collapsed="false">
      <c r="A37" s="0" t="s">
        <v>626</v>
      </c>
      <c r="B37" s="6" t="n">
        <v>0.749</v>
      </c>
      <c r="C37" s="6" t="n">
        <v>4.76</v>
      </c>
      <c r="D37" s="6" t="n">
        <v>7.723</v>
      </c>
      <c r="E37" s="6" t="n">
        <v>15.828</v>
      </c>
      <c r="F37" s="6" t="n">
        <v>16.444</v>
      </c>
      <c r="G37" s="6" t="n">
        <v>8.077</v>
      </c>
      <c r="H37" s="6" t="n">
        <v>39.995</v>
      </c>
      <c r="I37" s="6" t="n">
        <v>12.727</v>
      </c>
      <c r="J37" s="7" t="s">
        <v>595</v>
      </c>
      <c r="K37" s="7" t="s">
        <v>596</v>
      </c>
    </row>
    <row r="38" customFormat="false" ht="17.15" hidden="false" customHeight="false" outlineLevel="0" collapsed="false">
      <c r="A38" s="4" t="s">
        <v>627</v>
      </c>
      <c r="B38" s="6" t="n">
        <v>2.825</v>
      </c>
      <c r="C38" s="6" t="n">
        <v>6.88</v>
      </c>
      <c r="D38" s="6" t="n">
        <v>10.107</v>
      </c>
      <c r="E38" s="6" t="n">
        <v>18.369</v>
      </c>
      <c r="F38" s="6" t="n">
        <v>19.593</v>
      </c>
      <c r="G38" s="6" t="n">
        <v>13.846</v>
      </c>
      <c r="H38" s="6" t="n">
        <v>48.069</v>
      </c>
      <c r="I38" s="6" t="n">
        <v>20.737</v>
      </c>
      <c r="J38" s="7" t="s">
        <v>595</v>
      </c>
      <c r="K38" s="7" t="s">
        <v>596</v>
      </c>
    </row>
    <row r="39" customFormat="false" ht="15" hidden="false" customHeight="false" outlineLevel="0" collapsed="false">
      <c r="A39" s="4" t="s">
        <v>628</v>
      </c>
      <c r="B39" s="21" t="n">
        <f aca="false">B35+B36+B37-B38</f>
        <v>0</v>
      </c>
      <c r="C39" s="21" t="n">
        <f aca="false">C35+C36+C37-C38</f>
        <v>0</v>
      </c>
      <c r="D39" s="21" t="n">
        <f aca="false">D35+D36+D37-D38</f>
        <v>0</v>
      </c>
      <c r="E39" s="21" t="n">
        <f aca="false">E35+E36+E37-E38</f>
        <v>0</v>
      </c>
      <c r="F39" s="21" t="n">
        <f aca="false">F35+F36+F37-F38</f>
        <v>0</v>
      </c>
      <c r="G39" s="21" t="n">
        <f aca="false">G35+G36+G37-G38</f>
        <v>0</v>
      </c>
      <c r="H39" s="21" t="n">
        <f aca="false">H35+H36+H37-H38</f>
        <v>0</v>
      </c>
      <c r="J39" s="7" t="s">
        <v>600</v>
      </c>
      <c r="K39" s="7" t="s">
        <v>600</v>
      </c>
    </row>
    <row r="41" customFormat="false" ht="17.15" hidden="false" customHeight="false" outlineLevel="0" collapsed="false">
      <c r="A41" s="2" t="s">
        <v>629</v>
      </c>
    </row>
    <row r="42" customFormat="false" ht="17.15" hidden="false" customHeight="false" outlineLevel="0" collapsed="false">
      <c r="A42" s="0" t="s">
        <v>630</v>
      </c>
      <c r="B42" s="6" t="n">
        <v>0.146</v>
      </c>
      <c r="C42" s="6" t="n">
        <v>0.264</v>
      </c>
      <c r="D42" s="6" t="n">
        <v>0.166</v>
      </c>
      <c r="E42" s="6" t="n">
        <v>0.158</v>
      </c>
      <c r="F42" s="6" t="n">
        <v>0.185</v>
      </c>
      <c r="G42" s="6" t="n">
        <v>0.572</v>
      </c>
      <c r="H42" s="6" t="n">
        <v>0.509</v>
      </c>
      <c r="J42" s="7" t="s">
        <v>595</v>
      </c>
      <c r="K42" s="7" t="s">
        <v>596</v>
      </c>
    </row>
    <row r="43" customFormat="false" ht="17.15" hidden="false" customHeight="false" outlineLevel="0" collapsed="false">
      <c r="A43" s="0" t="s">
        <v>631</v>
      </c>
      <c r="B43" s="6" t="n">
        <v>0.125</v>
      </c>
      <c r="C43" s="6" t="n">
        <v>0.151</v>
      </c>
      <c r="D43" s="6" t="n">
        <v>0.145</v>
      </c>
      <c r="E43" s="6" t="n">
        <v>0.179</v>
      </c>
      <c r="F43" s="6" t="n">
        <v>0.179</v>
      </c>
      <c r="G43" s="6" t="n">
        <v>0.383</v>
      </c>
      <c r="H43" s="6" t="n">
        <v>0.503</v>
      </c>
      <c r="J43" s="7" t="s">
        <v>595</v>
      </c>
      <c r="K43" s="7" t="s">
        <v>596</v>
      </c>
    </row>
    <row r="44" customFormat="false" ht="17.15" hidden="false" customHeight="false" outlineLevel="0" collapsed="false">
      <c r="A44" s="0" t="s">
        <v>632</v>
      </c>
      <c r="B44" s="6" t="n">
        <v>0.569</v>
      </c>
      <c r="C44" s="6" t="n">
        <v>0.628</v>
      </c>
      <c r="D44" s="6" t="n">
        <v>0.783</v>
      </c>
      <c r="E44" s="6" t="n">
        <v>0.805</v>
      </c>
      <c r="F44" s="6" t="n">
        <v>0.986</v>
      </c>
      <c r="G44" s="6" t="n">
        <v>1.706</v>
      </c>
      <c r="H44" s="6" t="n">
        <v>2.574</v>
      </c>
      <c r="J44" s="7" t="s">
        <v>595</v>
      </c>
      <c r="K44" s="7" t="s">
        <v>596</v>
      </c>
    </row>
    <row r="45" customFormat="false" ht="17.15" hidden="false" customHeight="false" outlineLevel="0" collapsed="false">
      <c r="A45" s="0" t="s">
        <v>633</v>
      </c>
      <c r="B45" s="6" t="n">
        <v>0.091</v>
      </c>
      <c r="C45" s="6" t="n">
        <v>0.105</v>
      </c>
      <c r="D45" s="6" t="n">
        <v>0.116</v>
      </c>
      <c r="E45" s="6" t="n">
        <v>0.136</v>
      </c>
      <c r="F45" s="6" t="n">
        <v>0.146</v>
      </c>
      <c r="G45" s="6" t="n">
        <v>0.27</v>
      </c>
      <c r="H45" s="6" t="n">
        <v>0.398</v>
      </c>
      <c r="J45" s="7" t="s">
        <v>595</v>
      </c>
      <c r="K45" s="7" t="s">
        <v>596</v>
      </c>
    </row>
    <row r="46" customFormat="false" ht="17.15" hidden="false" customHeight="false" outlineLevel="0" collapsed="false">
      <c r="A46" s="0" t="s">
        <v>634</v>
      </c>
      <c r="B46" s="6" t="n">
        <v>0.811</v>
      </c>
      <c r="C46" s="6" t="n">
        <v>0.922</v>
      </c>
      <c r="D46" s="6" t="n">
        <v>1.493</v>
      </c>
      <c r="E46" s="6" t="n">
        <v>1.885</v>
      </c>
      <c r="F46" s="6" t="n">
        <v>2.473</v>
      </c>
      <c r="G46" s="6" t="n">
        <v>2.506</v>
      </c>
      <c r="H46" s="6" t="n">
        <v>5.851</v>
      </c>
      <c r="J46" s="7" t="s">
        <v>595</v>
      </c>
      <c r="K46" s="7" t="s">
        <v>596</v>
      </c>
    </row>
    <row r="47" customFormat="false" ht="17.15" hidden="false" customHeight="false" outlineLevel="0" collapsed="false">
      <c r="A47" s="0" t="s">
        <v>635</v>
      </c>
      <c r="B47" s="6" t="n">
        <v>0.247</v>
      </c>
      <c r="C47" s="6" t="n">
        <v>0.094</v>
      </c>
      <c r="D47" s="6" t="n">
        <v>0.378</v>
      </c>
      <c r="E47" s="6" t="n">
        <v>0.516</v>
      </c>
      <c r="F47" s="6" t="n">
        <v>0.821</v>
      </c>
      <c r="G47" s="6" t="n">
        <v>0.391</v>
      </c>
      <c r="H47" s="6" t="n">
        <v>1.715</v>
      </c>
      <c r="J47" s="7" t="s">
        <v>595</v>
      </c>
      <c r="K47" s="7" t="s">
        <v>596</v>
      </c>
    </row>
    <row r="48" customFormat="false" ht="17.15" hidden="false" customHeight="false" outlineLevel="0" collapsed="false">
      <c r="A48" s="0" t="s">
        <v>636</v>
      </c>
      <c r="E48" s="6" t="n">
        <v>0</v>
      </c>
      <c r="F48" s="6" t="n">
        <v>1.217</v>
      </c>
      <c r="H48" s="6" t="n">
        <v>1.217</v>
      </c>
      <c r="J48" s="7" t="s">
        <v>595</v>
      </c>
      <c r="K48" s="7" t="s">
        <v>596</v>
      </c>
    </row>
    <row r="49" customFormat="false" ht="17.15" hidden="false" customHeight="false" outlineLevel="0" collapsed="false">
      <c r="A49" s="0" t="s">
        <v>637</v>
      </c>
      <c r="E49" s="6" t="n">
        <v>0</v>
      </c>
      <c r="F49" s="6" t="n">
        <v>0.008</v>
      </c>
      <c r="H49" s="6" t="n">
        <v>0.008</v>
      </c>
      <c r="J49" s="7" t="s">
        <v>595</v>
      </c>
      <c r="K49" s="7" t="s">
        <v>596</v>
      </c>
    </row>
    <row r="50" customFormat="false" ht="17.15" hidden="false" customHeight="false" outlineLevel="0" collapsed="false">
      <c r="A50" s="0" t="s">
        <v>638</v>
      </c>
      <c r="C50" s="6" t="n">
        <v>0.278</v>
      </c>
      <c r="E50" s="6" t="n">
        <v>0.002</v>
      </c>
      <c r="F50" s="6" t="n">
        <v>0.003</v>
      </c>
      <c r="G50" s="6" t="n">
        <v>0.472</v>
      </c>
      <c r="H50" s="6" t="n">
        <v>-0.006</v>
      </c>
      <c r="J50" s="7" t="s">
        <v>595</v>
      </c>
      <c r="K50" s="7" t="s">
        <v>596</v>
      </c>
    </row>
    <row r="51" customFormat="false" ht="17.15" hidden="false" customHeight="false" outlineLevel="0" collapsed="false">
      <c r="A51" s="0" t="s">
        <v>639</v>
      </c>
      <c r="E51" s="6" t="n">
        <v>0</v>
      </c>
      <c r="G51" s="6" t="n">
        <v>0.029</v>
      </c>
      <c r="J51" s="7" t="s">
        <v>595</v>
      </c>
      <c r="K51" s="7" t="s">
        <v>596</v>
      </c>
    </row>
    <row r="52" customFormat="false" ht="17.15" hidden="false" customHeight="false" outlineLevel="0" collapsed="false">
      <c r="A52" s="4" t="s">
        <v>640</v>
      </c>
      <c r="C52" s="21" t="n">
        <f aca="false">C28-(C21+C42+C43+N(C51))</f>
        <v>0</v>
      </c>
      <c r="E52" s="21" t="n">
        <f aca="false">E28-(E21+E42+E43+N(E51))</f>
        <v>0</v>
      </c>
      <c r="F52" s="21" t="n">
        <f aca="false">F28-(F21+F42+F43+N(F51))</f>
        <v>0</v>
      </c>
      <c r="G52" s="21" t="n">
        <f aca="false">G28-(G21+G42+G43+N(G51))</f>
        <v>0</v>
      </c>
      <c r="H52" s="21" t="n">
        <f aca="false">H28-(H21+H42+H43+N(H51))</f>
        <v>0</v>
      </c>
      <c r="J52" s="7" t="s">
        <v>600</v>
      </c>
      <c r="K52" s="4" t="s">
        <v>641</v>
      </c>
    </row>
    <row r="53" customFormat="false" ht="17.15" hidden="false" customHeight="false" outlineLevel="0" collapsed="false">
      <c r="A53" s="4" t="s">
        <v>642</v>
      </c>
      <c r="C53" s="21" t="n">
        <f aca="false">C29-(C22+C44+C45)</f>
        <v>0</v>
      </c>
      <c r="E53" s="21" t="n">
        <f aca="false">E29-(E22+E44+E45)</f>
        <v>0</v>
      </c>
      <c r="F53" s="21" t="n">
        <f aca="false">F29-(F22+F44+F45)</f>
        <v>0</v>
      </c>
      <c r="G53" s="21" t="n">
        <f aca="false">G29-(G22+G44+G45)</f>
        <v>0</v>
      </c>
      <c r="H53" s="21" t="n">
        <f aca="false">H29-(H22+H44+H45)</f>
        <v>0</v>
      </c>
      <c r="J53" s="7" t="s">
        <v>600</v>
      </c>
      <c r="K53" s="4" t="s">
        <v>641</v>
      </c>
    </row>
    <row r="54" customFormat="false" ht="17.15" hidden="false" customHeight="false" outlineLevel="0" collapsed="false">
      <c r="A54" s="4" t="s">
        <v>643</v>
      </c>
      <c r="C54" s="21" t="n">
        <f aca="false">C30-(C23+C46+C47+N(C48)+N(C49)+N(C50))</f>
        <v>0</v>
      </c>
      <c r="E54" s="21" t="n">
        <f aca="false">E30-(E23+E46+E47+N(E48)+N(E49)+N(E50))</f>
        <v>0</v>
      </c>
      <c r="F54" s="21" t="n">
        <f aca="false">F30-(F23+F46+F47+N(F48)+N(F49)+N(F50))</f>
        <v>0</v>
      </c>
      <c r="G54" s="21" t="n">
        <f aca="false">G30-(G23+G46+G47+N(G48)+N(G49)+N(G50))</f>
        <v>0</v>
      </c>
      <c r="H54" s="21" t="n">
        <f aca="false">H30-(H23+H46+H47+N(H48)+N(H49)+N(H50))</f>
        <v>0</v>
      </c>
      <c r="J54" s="7" t="s">
        <v>600</v>
      </c>
      <c r="K54" s="4" t="s">
        <v>641</v>
      </c>
    </row>
    <row r="56" customFormat="false" ht="15" hidden="false" customHeight="false" outlineLevel="0" collapsed="false">
      <c r="A56" s="2" t="s">
        <v>644</v>
      </c>
    </row>
    <row r="57" customFormat="false" ht="17.15" hidden="false" customHeight="false" outlineLevel="0" collapsed="false">
      <c r="A57" s="4" t="s">
        <v>645</v>
      </c>
      <c r="B57" s="22" t="n">
        <v>9</v>
      </c>
      <c r="C57" s="22" t="n">
        <v>15</v>
      </c>
      <c r="D57" s="22" t="n">
        <v>7</v>
      </c>
      <c r="E57" s="22" t="n">
        <v>10</v>
      </c>
      <c r="F57" s="22" t="n">
        <v>12</v>
      </c>
      <c r="G57" s="22" t="n">
        <v>36</v>
      </c>
      <c r="H57" s="22" t="n">
        <v>29</v>
      </c>
      <c r="J57" s="7" t="s">
        <v>595</v>
      </c>
      <c r="K57" s="7" t="s">
        <v>596</v>
      </c>
    </row>
    <row r="58" customFormat="false" ht="17.15" hidden="false" customHeight="false" outlineLevel="0" collapsed="false">
      <c r="A58" s="4" t="s">
        <v>646</v>
      </c>
      <c r="B58" s="22" t="n">
        <v>46</v>
      </c>
      <c r="C58" s="22" t="n">
        <v>44</v>
      </c>
      <c r="D58" s="22" t="n">
        <v>40</v>
      </c>
      <c r="E58" s="22" t="n">
        <v>38</v>
      </c>
      <c r="F58" s="22" t="n">
        <v>35</v>
      </c>
      <c r="G58" s="22" t="n">
        <v>128</v>
      </c>
      <c r="H58" s="22" t="n">
        <v>113</v>
      </c>
      <c r="J58" s="7" t="s">
        <v>595</v>
      </c>
      <c r="K58" s="7" t="s">
        <v>596</v>
      </c>
    </row>
    <row r="59" customFormat="false" ht="17.15" hidden="false" customHeight="false" outlineLevel="0" collapsed="false">
      <c r="A59" s="0" t="s">
        <v>647</v>
      </c>
      <c r="B59" s="23" t="n">
        <v>6</v>
      </c>
      <c r="C59" s="23" t="n">
        <v>7.2</v>
      </c>
      <c r="D59" s="23" t="n">
        <v>10.3</v>
      </c>
      <c r="E59" s="23" t="n">
        <v>12</v>
      </c>
      <c r="F59" s="23" t="n">
        <v>13.6</v>
      </c>
      <c r="J59" s="7" t="s">
        <v>595</v>
      </c>
      <c r="K59" s="7" t="s">
        <v>596</v>
      </c>
    </row>
    <row r="60" customFormat="false" ht="17.15" hidden="false" customHeight="false" outlineLevel="0" collapsed="false">
      <c r="A60" s="4" t="s">
        <v>648</v>
      </c>
      <c r="B60" s="22" t="n">
        <v>85</v>
      </c>
      <c r="C60" s="22" t="n">
        <v>83</v>
      </c>
      <c r="D60" s="22" t="n">
        <v>66</v>
      </c>
      <c r="E60" s="22" t="n">
        <v>66</v>
      </c>
      <c r="F60" s="22" t="n">
        <v>69</v>
      </c>
      <c r="G60" s="22" t="n">
        <v>84</v>
      </c>
      <c r="H60" s="22" t="n">
        <v>67</v>
      </c>
      <c r="J60" s="7" t="s">
        <v>595</v>
      </c>
      <c r="K60" s="7" t="s">
        <v>596</v>
      </c>
    </row>
    <row r="61" customFormat="false" ht="17.15" hidden="false" customHeight="false" outlineLevel="0" collapsed="false">
      <c r="A61" s="0" t="s">
        <v>649</v>
      </c>
      <c r="B61" s="23" t="n">
        <v>0.4</v>
      </c>
      <c r="C61" s="23" t="n">
        <v>0.6</v>
      </c>
      <c r="D61" s="23" t="n">
        <v>1</v>
      </c>
      <c r="E61" s="23" t="n">
        <v>1.4</v>
      </c>
      <c r="F61" s="23" t="n">
        <v>1.7</v>
      </c>
      <c r="J61" s="7" t="s">
        <v>595</v>
      </c>
      <c r="K61" s="7" t="s">
        <v>596</v>
      </c>
    </row>
    <row r="63" customFormat="false" ht="17.15" hidden="false" customHeight="false" outlineLevel="0" collapsed="false">
      <c r="A63" s="2" t="s">
        <v>650</v>
      </c>
    </row>
    <row r="64" customFormat="false" ht="17.15" hidden="false" customHeight="false" outlineLevel="0" collapsed="false">
      <c r="A64" s="4" t="s">
        <v>651</v>
      </c>
      <c r="C64" s="6" t="n">
        <v>5.849</v>
      </c>
      <c r="F64" s="6" t="n">
        <v>11.784</v>
      </c>
      <c r="G64" s="6" t="n">
        <v>14.93</v>
      </c>
      <c r="H64" s="6" t="n">
        <v>26.378</v>
      </c>
      <c r="J64" s="7" t="s">
        <v>595</v>
      </c>
      <c r="K64" s="7" t="s">
        <v>596</v>
      </c>
    </row>
    <row r="65" customFormat="false" ht="17.15" hidden="false" customHeight="false" outlineLevel="0" collapsed="false">
      <c r="A65" s="4" t="s">
        <v>652</v>
      </c>
      <c r="C65" s="6" t="n">
        <v>-0.273</v>
      </c>
      <c r="E65" s="6" t="n">
        <v>-0.143</v>
      </c>
      <c r="F65" s="6" t="n">
        <v>2.791</v>
      </c>
      <c r="G65" s="6" t="n">
        <v>-1.216</v>
      </c>
      <c r="H65" s="6" t="n">
        <v>0.705</v>
      </c>
      <c r="J65" s="7" t="s">
        <v>595</v>
      </c>
      <c r="K65" s="7" t="s">
        <v>596</v>
      </c>
    </row>
    <row r="66" customFormat="false" ht="15" hidden="false" customHeight="false" outlineLevel="0" collapsed="false">
      <c r="A66" s="4" t="s">
        <v>653</v>
      </c>
      <c r="C66" s="21" t="n">
        <f aca="false">C17-C64-C65</f>
        <v>0</v>
      </c>
      <c r="F66" s="21" t="n">
        <f aca="false">F17-F64-F65</f>
        <v>0</v>
      </c>
      <c r="G66" s="21" t="n">
        <f aca="false">G17-G64-G65</f>
        <v>0</v>
      </c>
      <c r="H66" s="21" t="n">
        <f aca="false">H17-H64-H65</f>
        <v>0</v>
      </c>
      <c r="J66" s="7" t="s">
        <v>600</v>
      </c>
      <c r="K66" s="7" t="s">
        <v>600</v>
      </c>
    </row>
    <row r="67" customFormat="false" ht="17.15" hidden="false" customHeight="false" outlineLevel="0" collapsed="false">
      <c r="A67" s="4" t="s">
        <v>654</v>
      </c>
      <c r="C67" s="6" t="n">
        <v>-0.514</v>
      </c>
      <c r="F67" s="6" t="n">
        <v>-0.675</v>
      </c>
      <c r="G67" s="6" t="n">
        <v>-1.372</v>
      </c>
      <c r="H67" s="6" t="n">
        <v>-1.968</v>
      </c>
      <c r="J67" s="7" t="s">
        <v>595</v>
      </c>
      <c r="K67" s="7" t="s">
        <v>596</v>
      </c>
    </row>
    <row r="68" customFormat="false" ht="17.15" hidden="false" customHeight="false" outlineLevel="0" collapsed="false">
      <c r="A68" s="4" t="s">
        <v>655</v>
      </c>
      <c r="C68" s="6" t="n">
        <v>0.155</v>
      </c>
      <c r="F68" s="6" t="n">
        <v>0.873</v>
      </c>
      <c r="G68" s="6" t="n">
        <v>0.37</v>
      </c>
      <c r="H68" s="6" t="n">
        <v>1.426</v>
      </c>
      <c r="J68" s="7" t="s">
        <v>595</v>
      </c>
      <c r="K68" s="7" t="s">
        <v>596</v>
      </c>
    </row>
    <row r="69" customFormat="false" ht="17.15" hidden="false" customHeight="false" outlineLevel="0" collapsed="false">
      <c r="A69" s="4" t="s">
        <v>656</v>
      </c>
      <c r="C69" s="6" t="n">
        <v>0.14</v>
      </c>
      <c r="F69" s="6" t="n">
        <v>1.025</v>
      </c>
      <c r="G69" s="6" t="n">
        <v>0.342</v>
      </c>
      <c r="H69" s="6" t="n">
        <v>-0.937</v>
      </c>
      <c r="J69" s="7" t="s">
        <v>595</v>
      </c>
      <c r="K69" s="7" t="s">
        <v>596</v>
      </c>
    </row>
    <row r="70" customFormat="false" ht="17.15" hidden="false" customHeight="false" outlineLevel="0" collapsed="false">
      <c r="A70" s="4" t="s">
        <v>657</v>
      </c>
      <c r="C70" s="6" t="n">
        <v>-0.492</v>
      </c>
      <c r="F70" s="6" t="n">
        <v>4.014</v>
      </c>
      <c r="G70" s="6" t="n">
        <v>-1.876</v>
      </c>
      <c r="H70" s="6" t="n">
        <v>-0.774</v>
      </c>
      <c r="J70" s="7" t="s">
        <v>595</v>
      </c>
      <c r="K70" s="7" t="s">
        <v>596</v>
      </c>
    </row>
    <row r="71" customFormat="false" ht="15" hidden="false" customHeight="false" outlineLevel="0" collapsed="false">
      <c r="A71" s="4" t="s">
        <v>658</v>
      </c>
      <c r="C71" s="21" t="n">
        <f aca="false">C65+C67+C68+C69-C70</f>
        <v>0</v>
      </c>
      <c r="F71" s="21" t="n">
        <f aca="false">F65+F67+F68+F69-F70</f>
        <v>0</v>
      </c>
      <c r="G71" s="21" t="n">
        <f aca="false">G65+G67+G68+G69-G70</f>
        <v>0</v>
      </c>
      <c r="H71" s="21" t="n">
        <f aca="false">H65+H67+H68+H69-H70</f>
        <v>0</v>
      </c>
      <c r="J71" s="7" t="s">
        <v>600</v>
      </c>
      <c r="K71" s="7" t="s">
        <v>600</v>
      </c>
    </row>
    <row r="72" customFormat="false" ht="17.15" hidden="false" customHeight="false" outlineLevel="0" collapsed="false">
      <c r="A72" s="4" t="s">
        <v>659</v>
      </c>
      <c r="C72" s="6" t="n">
        <v>0.562</v>
      </c>
      <c r="F72" s="6" t="n">
        <v>-0.39</v>
      </c>
      <c r="G72" s="6" t="n">
        <v>0.714</v>
      </c>
      <c r="H72" s="6" t="n">
        <v>-0.361</v>
      </c>
      <c r="J72" s="7" t="s">
        <v>595</v>
      </c>
      <c r="K72" s="7" t="s">
        <v>596</v>
      </c>
    </row>
    <row r="73" customFormat="false" ht="17.15" hidden="false" customHeight="false" outlineLevel="0" collapsed="false">
      <c r="A73" s="4" t="s">
        <v>660</v>
      </c>
      <c r="C73" s="6" t="n">
        <v>-1.054</v>
      </c>
      <c r="E73" s="6" t="n">
        <v>-0.541</v>
      </c>
      <c r="F73" s="6" t="n">
        <v>4.404</v>
      </c>
      <c r="G73" s="6" t="n">
        <v>-2.59</v>
      </c>
      <c r="H73" s="6" t="n">
        <v>-0.413</v>
      </c>
      <c r="J73" s="7" t="s">
        <v>595</v>
      </c>
      <c r="K73" s="7" t="s">
        <v>596</v>
      </c>
    </row>
    <row r="74" customFormat="false" ht="15" hidden="false" customHeight="false" outlineLevel="0" collapsed="false">
      <c r="A74" s="4" t="s">
        <v>661</v>
      </c>
      <c r="C74" s="21" t="n">
        <f aca="false">C70-C72-C73</f>
        <v>0</v>
      </c>
      <c r="F74" s="21" t="n">
        <f aca="false">F70-F72-F73</f>
        <v>0</v>
      </c>
      <c r="G74" s="21" t="n">
        <f aca="false">G70-G72-G73</f>
        <v>0</v>
      </c>
      <c r="H74" s="21" t="n">
        <f aca="false">H70-H72-H73</f>
        <v>0</v>
      </c>
      <c r="J74" s="7" t="s">
        <v>600</v>
      </c>
      <c r="K74" s="7" t="s">
        <v>600</v>
      </c>
    </row>
    <row r="75" customFormat="false" ht="17.15" hidden="false" customHeight="false" outlineLevel="0" collapsed="false">
      <c r="A75" s="4" t="s">
        <v>662</v>
      </c>
      <c r="C75" s="6" t="n">
        <v>-1.054</v>
      </c>
      <c r="F75" s="6" t="n">
        <v>4.404</v>
      </c>
      <c r="G75" s="6" t="n">
        <v>-2.59</v>
      </c>
      <c r="H75" s="6" t="n">
        <v>-1.084</v>
      </c>
      <c r="J75" s="7" t="s">
        <v>595</v>
      </c>
      <c r="K75" s="7" t="s">
        <v>596</v>
      </c>
    </row>
    <row r="76" customFormat="false" ht="17.15" hidden="false" customHeight="false" outlineLevel="0" collapsed="false">
      <c r="A76" s="0" t="s">
        <v>663</v>
      </c>
      <c r="C76" s="24" t="n">
        <v>-0.36</v>
      </c>
      <c r="E76" s="24" t="n">
        <v>-0.09</v>
      </c>
      <c r="F76" s="24" t="n">
        <v>0.35</v>
      </c>
      <c r="G76" s="24" t="n">
        <v>-0.89</v>
      </c>
      <c r="H76" s="24" t="n">
        <v>-0.15</v>
      </c>
      <c r="J76" s="7" t="s">
        <v>595</v>
      </c>
      <c r="K76" s="7" t="s">
        <v>596</v>
      </c>
    </row>
    <row r="77" customFormat="false" ht="17.15" hidden="false" customHeight="false" outlineLevel="0" collapsed="false">
      <c r="A77" s="4" t="s">
        <v>664</v>
      </c>
      <c r="C77" s="25" t="n">
        <v>2.941</v>
      </c>
      <c r="E77" s="25" t="n">
        <v>5.864</v>
      </c>
      <c r="F77" s="25" t="n">
        <v>12.475</v>
      </c>
      <c r="G77" s="25" t="n">
        <v>2.915</v>
      </c>
      <c r="H77" s="25" t="n">
        <v>7.274</v>
      </c>
      <c r="J77" s="7" t="s">
        <v>595</v>
      </c>
      <c r="K77" s="7" t="s">
        <v>596</v>
      </c>
    </row>
    <row r="79" customFormat="false" ht="17.15" hidden="false" customHeight="false" outlineLevel="0" collapsed="false">
      <c r="A79" s="2" t="s">
        <v>665</v>
      </c>
    </row>
    <row r="80" customFormat="false" ht="17.15" hidden="false" customHeight="false" outlineLevel="0" collapsed="false">
      <c r="A80" s="4" t="s">
        <v>666</v>
      </c>
      <c r="G80" s="6" t="n">
        <v>4.12</v>
      </c>
      <c r="H80" s="6" t="n">
        <v>13.097</v>
      </c>
      <c r="J80" s="7" t="s">
        <v>595</v>
      </c>
      <c r="K80" s="7" t="s">
        <v>596</v>
      </c>
    </row>
    <row r="81" customFormat="false" ht="17.15" hidden="false" customHeight="false" outlineLevel="0" collapsed="false">
      <c r="A81" s="4" t="s">
        <v>667</v>
      </c>
      <c r="G81" s="6" t="n">
        <v>4.784</v>
      </c>
      <c r="H81" s="6" t="n">
        <v>8.934</v>
      </c>
      <c r="J81" s="7" t="s">
        <v>595</v>
      </c>
      <c r="K81" s="7" t="s">
        <v>596</v>
      </c>
    </row>
    <row r="82" customFormat="false" ht="17.15" hidden="false" customHeight="false" outlineLevel="0" collapsed="false">
      <c r="A82" s="4" t="s">
        <v>668</v>
      </c>
      <c r="G82" s="6" t="n">
        <v>1.044</v>
      </c>
      <c r="H82" s="6" t="n">
        <v>3.833</v>
      </c>
      <c r="J82" s="7" t="s">
        <v>595</v>
      </c>
      <c r="K82" s="7" t="s">
        <v>596</v>
      </c>
    </row>
    <row r="83" customFormat="false" ht="17.15" hidden="false" customHeight="false" outlineLevel="0" collapsed="false">
      <c r="A83" s="4" t="s">
        <v>669</v>
      </c>
      <c r="G83" s="6" t="n">
        <v>13.846</v>
      </c>
      <c r="H83" s="6" t="n">
        <v>48.069</v>
      </c>
      <c r="J83" s="7" t="s">
        <v>595</v>
      </c>
      <c r="K83" s="7" t="s">
        <v>596</v>
      </c>
    </row>
    <row r="84" customFormat="false" ht="15" hidden="false" customHeight="false" outlineLevel="0" collapsed="false">
      <c r="A84" s="4" t="s">
        <v>670</v>
      </c>
      <c r="G84" s="21" t="n">
        <f aca="false">G83-G38</f>
        <v>0</v>
      </c>
      <c r="H84" s="21" t="n">
        <f aca="false">H83-H38</f>
        <v>0</v>
      </c>
      <c r="J84" s="7" t="s">
        <v>600</v>
      </c>
      <c r="K84" s="7" t="s">
        <v>600</v>
      </c>
    </row>
    <row r="85" customFormat="false" ht="17.15" hidden="false" customHeight="false" outlineLevel="0" collapsed="false">
      <c r="A85" s="4" t="s">
        <v>671</v>
      </c>
      <c r="G85" s="6" t="n">
        <v>0</v>
      </c>
      <c r="H85" s="6" t="n">
        <v>3.921</v>
      </c>
      <c r="J85" s="7" t="s">
        <v>595</v>
      </c>
      <c r="K85" s="7" t="s">
        <v>596</v>
      </c>
    </row>
    <row r="86" customFormat="false" ht="17.15" hidden="false" customHeight="false" outlineLevel="0" collapsed="false">
      <c r="A86" s="4" t="s">
        <v>672</v>
      </c>
      <c r="G86" s="6" t="n">
        <v>0.213</v>
      </c>
      <c r="H86" s="6" t="n">
        <v>0.27</v>
      </c>
      <c r="J86" s="7" t="s">
        <v>595</v>
      </c>
      <c r="K86" s="7" t="s">
        <v>596</v>
      </c>
    </row>
    <row r="87" customFormat="false" ht="17.15" hidden="false" customHeight="false" outlineLevel="0" collapsed="false">
      <c r="A87" s="4" t="s">
        <v>673</v>
      </c>
      <c r="G87" s="14" t="n">
        <f aca="false">G80-G83</f>
        <v>-9.726</v>
      </c>
      <c r="H87" s="14" t="n">
        <f aca="false">H80-H83</f>
        <v>-34.972</v>
      </c>
      <c r="J87" s="7" t="s">
        <v>60</v>
      </c>
      <c r="K87" s="7" t="s">
        <v>600</v>
      </c>
    </row>
    <row r="89" customFormat="false" ht="17.15" hidden="false" customHeight="false" outlineLevel="0" collapsed="false">
      <c r="A89" s="2" t="s">
        <v>674</v>
      </c>
    </row>
    <row r="90" customFormat="false" ht="15" hidden="false" customHeight="false" outlineLevel="0" collapsed="false">
      <c r="A90" s="4" t="s">
        <v>675</v>
      </c>
      <c r="B90" s="21" t="n">
        <f aca="false">SUMPRODUCT(ABS(B8:I8))+SUMPRODUCT(ABS(B12:I12))+SUMPRODUCT(ABS(B16:I16))+SUMPRODUCT(ABS(B18:I18))+SUMPRODUCT(ABS(B25:I25))+SUMPRODUCT(ABS(B32:I32))+SUMPRODUCT(ABS(B39:I39))+SUMPRODUCT(ABS(B52:I52))+SUMPRODUCT(ABS(B53:I53))+SUMPRODUCT(ABS(B54:I54))+SUMPRODUCT(ABS(B66:I66))+SUMPRODUCT(ABS(B71:I71))+SUMPRODUCT(ABS(B74:I74))+SUMPRODUCT(ABS(B84:I84))</f>
        <v>0</v>
      </c>
    </row>
    <row r="91" customFormat="false" ht="17.15" hidden="false" customHeight="false" outlineLevel="0" collapsed="false">
      <c r="A91" s="4" t="s">
        <v>676</v>
      </c>
      <c r="B91" s="21" t="n">
        <f aca="false">ABS(H7-D7-E7-F7)+ABS(H11-D11-E11-F11)+ABS(H15-D15-E15-F15)+ABS(H21-D21-E21-F21)+ABS(H22-D22-E22-F22)+ABS(H23-D23-E23-F23)+ABS(H28-D28-E28-F28)+ABS(H29-D29-E29-F29)+ABS(H30-D30-E30-F30)+ABS(H35-D35-E35-F35)+ABS(H36-D36-E36-F36)+ABS(H37-D37-E37-F37)</f>
        <v>0</v>
      </c>
    </row>
    <row r="93" customFormat="false" ht="17.15" hidden="false" customHeight="false" outlineLevel="0" collapsed="false">
      <c r="A93" s="2" t="s">
        <v>677</v>
      </c>
    </row>
    <row r="94" customFormat="false" ht="15" hidden="false" customHeight="false" outlineLevel="0" collapsed="false">
      <c r="A94" s="3" t="s">
        <v>43</v>
      </c>
      <c r="B94" s="3" t="s">
        <v>678</v>
      </c>
      <c r="C94" s="3" t="s">
        <v>50</v>
      </c>
    </row>
    <row r="95" customFormat="false" ht="17.15" hidden="false" customHeight="false" outlineLevel="0" collapsed="false">
      <c r="A95" s="0" t="s">
        <v>679</v>
      </c>
      <c r="B95" s="16" t="n">
        <f aca="false">H6/G6-1</f>
        <v>0.0155610155610155</v>
      </c>
      <c r="C95" s="7" t="s">
        <v>680</v>
      </c>
    </row>
    <row r="96" customFormat="false" ht="17.15" hidden="false" customHeight="false" outlineLevel="0" collapsed="false">
      <c r="A96" s="0" t="s">
        <v>681</v>
      </c>
      <c r="B96" s="16" t="n">
        <f aca="false">H10/G10-1</f>
        <v>0.702803107058426</v>
      </c>
    </row>
    <row r="97" customFormat="false" ht="17.15" hidden="false" customHeight="false" outlineLevel="0" collapsed="false">
      <c r="A97" s="0" t="s">
        <v>682</v>
      </c>
      <c r="B97" s="16" t="n">
        <f aca="false">H13/G13-1</f>
        <v>-0.0566893424036281</v>
      </c>
    </row>
    <row r="98" customFormat="false" ht="17.15" hidden="false" customHeight="false" outlineLevel="0" collapsed="false">
      <c r="A98" s="4" t="s">
        <v>683</v>
      </c>
      <c r="B98" s="26" t="n">
        <f aca="false">H5/H57</f>
        <v>0.0726896551724138</v>
      </c>
      <c r="C98" s="7" t="s">
        <v>684</v>
      </c>
    </row>
    <row r="99" customFormat="false" ht="17.15" hidden="false" customHeight="false" outlineLevel="0" collapsed="false">
      <c r="A99" s="0" t="s">
        <v>685</v>
      </c>
      <c r="B99" s="16" t="n">
        <f aca="false">H28/H7</f>
        <v>-0.0594384707287933</v>
      </c>
    </row>
    <row r="100" customFormat="false" ht="17.15" hidden="false" customHeight="false" outlineLevel="0" collapsed="false">
      <c r="A100" s="0" t="s">
        <v>686</v>
      </c>
      <c r="B100" s="16" t="n">
        <f aca="false">H29/H11</f>
        <v>0.639496717724289</v>
      </c>
    </row>
    <row r="101" customFormat="false" ht="17.15" hidden="false" customHeight="false" outlineLevel="0" collapsed="false">
      <c r="A101" s="0" t="s">
        <v>687</v>
      </c>
      <c r="B101" s="16" t="n">
        <f aca="false">H35/H7</f>
        <v>1.14456391875747</v>
      </c>
    </row>
    <row r="102" customFormat="false" ht="17.15" hidden="false" customHeight="false" outlineLevel="0" collapsed="false">
      <c r="A102" s="0" t="s">
        <v>688</v>
      </c>
      <c r="B102" s="16" t="n">
        <f aca="false">H36/H11</f>
        <v>0.331509846827133</v>
      </c>
    </row>
    <row r="103" customFormat="false" ht="17.15" hidden="false" customHeight="false" outlineLevel="0" collapsed="false">
      <c r="A103" s="0" t="s">
        <v>689</v>
      </c>
      <c r="B103" s="16" t="n">
        <f aca="false">F43/F7</f>
        <v>0.101301641199774</v>
      </c>
      <c r="C103" s="7" t="s">
        <v>690</v>
      </c>
    </row>
    <row r="104" customFormat="false" ht="17.15" hidden="false" customHeight="false" outlineLevel="0" collapsed="false">
      <c r="A104" s="0" t="s">
        <v>691</v>
      </c>
      <c r="B104" s="16" t="n">
        <f aca="false">F45/F11</f>
        <v>0.0278201219512195</v>
      </c>
      <c r="C104" s="7" t="s">
        <v>690</v>
      </c>
    </row>
    <row r="105" customFormat="false" ht="17.15" hidden="false" customHeight="false" outlineLevel="0" collapsed="false">
      <c r="A105" s="0" t="s">
        <v>692</v>
      </c>
      <c r="B105" s="16" t="n">
        <f aca="false">F47/F15</f>
        <v>0.108597883597884</v>
      </c>
      <c r="C105" s="7" t="s">
        <v>690</v>
      </c>
    </row>
    <row r="106" customFormat="false" ht="17.15" hidden="false" customHeight="false" outlineLevel="0" collapsed="false">
      <c r="A106" s="0" t="s">
        <v>693</v>
      </c>
      <c r="B106" s="14" t="n">
        <f aca="false">F42*4</f>
        <v>0.74</v>
      </c>
    </row>
    <row r="107" customFormat="false" ht="17.15" hidden="false" customHeight="false" outlineLevel="0" collapsed="false">
      <c r="A107" s="0" t="s">
        <v>694</v>
      </c>
      <c r="B107" s="14" t="n">
        <f aca="false">F44*4</f>
        <v>3.944</v>
      </c>
    </row>
    <row r="108" customFormat="false" ht="17.15" hidden="false" customHeight="false" outlineLevel="0" collapsed="false">
      <c r="A108" s="4" t="s">
        <v>695</v>
      </c>
      <c r="B108" s="21" t="n">
        <f aca="false">F9/((E59+F59)/2*F60/1000*3)</f>
        <v>1.177913647343</v>
      </c>
      <c r="C108" s="7" t="s">
        <v>696</v>
      </c>
    </row>
    <row r="109" customFormat="false" ht="17.15" hidden="false" customHeight="false" outlineLevel="0" collapsed="false">
      <c r="A109" s="0" t="s">
        <v>697</v>
      </c>
      <c r="B109" s="21" t="n">
        <f aca="false">(E61+F61)/2</f>
        <v>1.55</v>
      </c>
      <c r="C109" s="7" t="s">
        <v>227</v>
      </c>
    </row>
    <row r="110" customFormat="false" ht="15" hidden="false" customHeight="false" outlineLevel="0" collapsed="false">
      <c r="A110" s="0" t="s">
        <v>698</v>
      </c>
      <c r="B110" s="14" t="n">
        <f aca="false">F14</f>
        <v>7.022</v>
      </c>
    </row>
    <row r="111" customFormat="false" ht="17.15" hidden="false" customHeight="false" outlineLevel="0" collapsed="false">
      <c r="A111" s="0" t="s">
        <v>699</v>
      </c>
      <c r="B111" s="14" t="n">
        <f aca="false">E14+F14</f>
        <v>9.216</v>
      </c>
    </row>
    <row r="112" customFormat="false" ht="17.15" hidden="false" customHeight="false" outlineLevel="0" collapsed="false">
      <c r="A112" s="0" t="s">
        <v>700</v>
      </c>
      <c r="B112" s="14" t="n">
        <f aca="false">F15</f>
        <v>7.56</v>
      </c>
    </row>
    <row r="113" customFormat="false" ht="17.15" hidden="false" customHeight="false" outlineLevel="0" collapsed="false">
      <c r="A113" s="0" t="s">
        <v>701</v>
      </c>
      <c r="B113" s="14" t="n">
        <f aca="false">F30</f>
        <v>4.953</v>
      </c>
    </row>
    <row r="114" customFormat="false" ht="15" hidden="false" customHeight="false" outlineLevel="0" collapsed="false">
      <c r="A114" s="0" t="s">
        <v>702</v>
      </c>
      <c r="B114" s="14" t="n">
        <f aca="false">F13</f>
        <v>0.538</v>
      </c>
    </row>
    <row r="115" customFormat="false" ht="15" hidden="false" customHeight="false" outlineLevel="0" collapsed="false">
      <c r="A115" s="0" t="s">
        <v>703</v>
      </c>
      <c r="B115" s="14" t="n">
        <f aca="false">H6</f>
        <v>1.24</v>
      </c>
    </row>
    <row r="116" customFormat="false" ht="15" hidden="false" customHeight="false" outlineLevel="0" collapsed="false">
      <c r="A116" s="0" t="s">
        <v>704</v>
      </c>
      <c r="B116" s="14" t="n">
        <f aca="false">F10</f>
        <v>2.127</v>
      </c>
    </row>
    <row r="117" customFormat="false" ht="17.15" hidden="false" customHeight="false" outlineLevel="0" collapsed="false">
      <c r="A117" s="0" t="s">
        <v>705</v>
      </c>
      <c r="B117" s="17" t="n">
        <f aca="false">F59</f>
        <v>13.6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706</v>
      </c>
    </row>
    <row r="2" customFormat="false" ht="17.15" hidden="false" customHeight="false" outlineLevel="0" collapsed="false">
      <c r="A2" s="4" t="s">
        <v>707</v>
      </c>
    </row>
    <row r="4" customFormat="false" ht="17.15" hidden="false" customHeight="false" outlineLevel="0" collapsed="false">
      <c r="A4" s="5" t="s">
        <v>708</v>
      </c>
    </row>
    <row r="5" customFormat="false" ht="15" hidden="false" customHeight="false" outlineLevel="0" collapsed="false">
      <c r="A5" s="3" t="s">
        <v>43</v>
      </c>
      <c r="B5" s="3" t="s">
        <v>44</v>
      </c>
      <c r="C5" s="3" t="s">
        <v>678</v>
      </c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50</v>
      </c>
    </row>
    <row r="6" customFormat="false" ht="17.15" hidden="false" customHeight="false" outlineLevel="0" collapsed="false">
      <c r="A6" s="4" t="s">
        <v>709</v>
      </c>
      <c r="B6" s="0" t="s">
        <v>710</v>
      </c>
      <c r="C6" s="17" t="n">
        <f aca="false">mix0_h*he_h+mix0_b2*he_b2+mix0_b3*he_b3</f>
        <v>9.70811571285448</v>
      </c>
    </row>
    <row r="7" customFormat="false" ht="17.15" hidden="false" customHeight="false" outlineLevel="0" collapsed="false">
      <c r="A7" s="4" t="s">
        <v>711</v>
      </c>
      <c r="B7" s="0" t="s">
        <v>710</v>
      </c>
      <c r="C7" s="17" t="n">
        <f aca="false">mix0_h*opx_h+mix0_b2*opx_b2+mix0_b3*opx_b3</f>
        <v>1.88508378348777</v>
      </c>
    </row>
    <row r="8" customFormat="false" ht="17.15" hidden="false" customHeight="false" outlineLevel="0" collapsed="false">
      <c r="A8" s="0" t="s">
        <v>712</v>
      </c>
      <c r="B8" s="0" t="s">
        <v>710</v>
      </c>
      <c r="C8" s="17" t="n">
        <f aca="false">ssi_q3*4/avg_gw_q3</f>
        <v>18.1212903225807</v>
      </c>
      <c r="N8" s="4" t="s">
        <v>713</v>
      </c>
    </row>
    <row r="9" customFormat="false" ht="17.15" hidden="false" customHeight="false" outlineLevel="0" collapsed="false">
      <c r="A9" s="4" t="s">
        <v>714</v>
      </c>
      <c r="B9" s="0" t="s">
        <v>89</v>
      </c>
      <c r="C9" s="17" t="n">
        <f aca="false">rev_gw0/he0</f>
        <v>1.86661251869776</v>
      </c>
      <c r="N9" s="7" t="s">
        <v>715</v>
      </c>
    </row>
    <row r="10" customFormat="false" ht="17.15" hidden="false" customHeight="false" outlineLevel="0" collapsed="false">
      <c r="A10" s="0" t="s">
        <v>716</v>
      </c>
      <c r="B10" s="0" t="s">
        <v>95</v>
      </c>
      <c r="C10" s="14" t="n">
        <f aca="false">ext_sh*ssi_q3</f>
        <v>5.05584</v>
      </c>
      <c r="N10" s="7" t="s">
        <v>717</v>
      </c>
    </row>
    <row r="11" customFormat="false" ht="17.15" hidden="false" customHeight="false" outlineLevel="0" collapsed="false">
      <c r="A11" s="0" t="s">
        <v>718</v>
      </c>
      <c r="B11" s="0" t="s">
        <v>95</v>
      </c>
      <c r="C11" s="14" t="n">
        <f aca="false">ext_sh*ssi_h2</f>
        <v>6.63552</v>
      </c>
      <c r="N11" s="7" t="s">
        <v>719</v>
      </c>
    </row>
    <row r="12" customFormat="false" ht="17.15" hidden="false" customHeight="false" outlineLevel="0" collapsed="false">
      <c r="A12" s="0" t="s">
        <v>720</v>
      </c>
      <c r="B12" s="0" t="s">
        <v>95</v>
      </c>
      <c r="C12" s="14" t="n">
        <f aca="false">ssi_q3-rent_q3</f>
        <v>1.96616</v>
      </c>
      <c r="N12" s="4" t="s">
        <v>721</v>
      </c>
    </row>
    <row r="13" customFormat="false" ht="17.15" hidden="false" customHeight="false" outlineLevel="0" collapsed="false">
      <c r="A13" s="0" t="s">
        <v>722</v>
      </c>
      <c r="B13" s="0" t="s">
        <v>126</v>
      </c>
      <c r="C13" s="16" t="n">
        <f aca="false">(sie_q3-(rent_q3-ext_sh*avg_gw_q3*opex0/4))/(si_q3-rent_q3)</f>
        <v>0.168958203786136</v>
      </c>
      <c r="N13" s="4" t="s">
        <v>723</v>
      </c>
    </row>
    <row r="14" customFormat="false" ht="17.15" hidden="false" customHeight="false" outlineLevel="0" collapsed="false">
      <c r="A14" s="0" t="s">
        <v>724</v>
      </c>
      <c r="B14" s="0" t="s">
        <v>126</v>
      </c>
      <c r="C14" s="16" t="n">
        <f aca="false">m_so0+m_so_adj</f>
        <v>0.168958203786136</v>
      </c>
    </row>
    <row r="15" customFormat="false" ht="17.15" hidden="false" customHeight="false" outlineLevel="0" collapsed="false">
      <c r="A15" s="4" t="s">
        <v>725</v>
      </c>
      <c r="B15" s="0" t="s">
        <v>726</v>
      </c>
      <c r="C15" s="17" t="n">
        <f aca="false">cit_b3+selfb*cfac</f>
        <v>43.640224</v>
      </c>
      <c r="N15" s="7" t="s">
        <v>727</v>
      </c>
    </row>
    <row r="16" customFormat="false" ht="17.15" hidden="false" customHeight="false" outlineLevel="0" collapsed="false">
      <c r="A16" s="4" t="s">
        <v>728</v>
      </c>
      <c r="B16" s="0" t="s">
        <v>726</v>
      </c>
      <c r="C16" s="17" t="n">
        <f aca="false">(43.206+6.333)/gw_0</f>
        <v>29.1405882352941</v>
      </c>
      <c r="N16" s="4" t="s">
        <v>729</v>
      </c>
    </row>
    <row r="18" customFormat="false" ht="17.15" hidden="false" customHeight="false" outlineLevel="0" collapsed="false">
      <c r="A18" s="5" t="s">
        <v>730</v>
      </c>
    </row>
    <row r="19" customFormat="false" ht="15" hidden="false" customHeight="false" outlineLevel="0" collapsed="false">
      <c r="A19" s="3" t="s">
        <v>43</v>
      </c>
      <c r="B19" s="3" t="s">
        <v>44</v>
      </c>
      <c r="C19" s="20" t="s">
        <v>592</v>
      </c>
      <c r="D19" s="20" t="s">
        <v>731</v>
      </c>
      <c r="E19" s="20" t="s">
        <v>732</v>
      </c>
      <c r="F19" s="20" t="s">
        <v>733</v>
      </c>
      <c r="G19" s="20" t="s">
        <v>734</v>
      </c>
      <c r="H19" s="20" t="s">
        <v>735</v>
      </c>
      <c r="I19" s="20" t="s">
        <v>736</v>
      </c>
      <c r="J19" s="20" t="s">
        <v>737</v>
      </c>
      <c r="K19" s="20" t="s">
        <v>738</v>
      </c>
      <c r="L19" s="20" t="s">
        <v>739</v>
      </c>
      <c r="M19" s="20" t="s">
        <v>740</v>
      </c>
      <c r="N19" s="3" t="s">
        <v>50</v>
      </c>
    </row>
    <row r="20" customFormat="false" ht="17.15" hidden="false" customHeight="false" outlineLevel="0" collapsed="false">
      <c r="A20" s="0" t="s">
        <v>741</v>
      </c>
      <c r="B20" s="0" t="s">
        <v>227</v>
      </c>
      <c r="F20" s="14" t="n">
        <f aca="false">pace*0.25</f>
        <v>0.406757765496346</v>
      </c>
      <c r="G20" s="14" t="n">
        <f aca="false">F20</f>
        <v>0.406757765496346</v>
      </c>
      <c r="H20" s="14" t="n">
        <f aca="false">pace</f>
        <v>1.62703106198538</v>
      </c>
      <c r="I20" s="14" t="n">
        <f aca="false">pace</f>
        <v>1.62703106198538</v>
      </c>
      <c r="J20" s="14" t="n">
        <f aca="false">pace+(g_tv*I25-pace)*MIN(1,(2029-2028)/conv_mw)</f>
        <v>1.26047944566004</v>
      </c>
      <c r="K20" s="14" t="n">
        <f aca="false">pace+(g_tv*J25-pace)*MIN(1,(2030-2028)/conv_mw)</f>
        <v>0.912835021019599</v>
      </c>
      <c r="L20" s="14" t="n">
        <f aca="false">pace+(g_tv*K25-pace)*MIN(1,(2031-2028)/conv_mw)</f>
        <v>0.576275788509648</v>
      </c>
      <c r="M20" s="14" t="n">
        <f aca="false">pace+(g_tv*L25-pace)*MIN(1,(2032-2028)/conv_mw)</f>
        <v>0.243312304339692</v>
      </c>
      <c r="N20" s="7" t="s">
        <v>742</v>
      </c>
    </row>
    <row r="21" customFormat="false" ht="17.15" hidden="false" customHeight="false" outlineLevel="0" collapsed="false">
      <c r="A21" s="4" t="s">
        <v>743</v>
      </c>
      <c r="B21" s="0" t="s">
        <v>227</v>
      </c>
      <c r="E21" s="14" t="n">
        <f aca="false">gw_0*mix0_h</f>
        <v>0.51</v>
      </c>
      <c r="F21" s="14" t="n">
        <f aca="false">E21+F20*0</f>
        <v>0.51</v>
      </c>
      <c r="G21" s="14" t="n">
        <f aca="false">F21</f>
        <v>0.51</v>
      </c>
      <c r="H21" s="14" t="n">
        <f aca="false">F21+H20*0</f>
        <v>0.51</v>
      </c>
      <c r="I21" s="14" t="n">
        <f aca="false">H21+I20*0</f>
        <v>0.51</v>
      </c>
      <c r="J21" s="14" t="n">
        <f aca="false">I21+J20*0</f>
        <v>0.51</v>
      </c>
      <c r="K21" s="14" t="n">
        <f aca="false">J21+K20*0</f>
        <v>0.51</v>
      </c>
      <c r="L21" s="14" t="n">
        <f aca="false">K21+L20*0</f>
        <v>0.51</v>
      </c>
      <c r="M21" s="14" t="n">
        <f aca="false">L21+M20*0</f>
        <v>0.51</v>
      </c>
      <c r="N21" s="4" t="s">
        <v>744</v>
      </c>
    </row>
    <row r="22" customFormat="false" ht="17.15" hidden="false" customHeight="false" outlineLevel="0" collapsed="false">
      <c r="A22" s="4" t="s">
        <v>745</v>
      </c>
      <c r="B22" s="0" t="s">
        <v>227</v>
      </c>
      <c r="E22" s="14" t="n">
        <f aca="false">gw_0*mix0_b2</f>
        <v>0.68</v>
      </c>
      <c r="F22" s="14" t="n">
        <f aca="false">E22+F20*0</f>
        <v>0.68</v>
      </c>
      <c r="G22" s="14" t="n">
        <f aca="false">F22</f>
        <v>0.68</v>
      </c>
      <c r="H22" s="14" t="n">
        <f aca="false">F22+H20*0</f>
        <v>0.68</v>
      </c>
      <c r="I22" s="14" t="n">
        <f aca="false">H22+I20*0</f>
        <v>0.68</v>
      </c>
      <c r="J22" s="14" t="n">
        <f aca="false">I22+J20*0</f>
        <v>0.68</v>
      </c>
      <c r="K22" s="14" t="n">
        <f aca="false">J22+K20*0</f>
        <v>0.68</v>
      </c>
      <c r="L22" s="14" t="n">
        <f aca="false">K22+L20*0</f>
        <v>0.68</v>
      </c>
      <c r="M22" s="14" t="n">
        <f aca="false">L22+M20*0</f>
        <v>0.68</v>
      </c>
    </row>
    <row r="23" customFormat="false" ht="17.15" hidden="false" customHeight="false" outlineLevel="0" collapsed="false">
      <c r="A23" s="4" t="s">
        <v>746</v>
      </c>
      <c r="B23" s="0" t="s">
        <v>227</v>
      </c>
      <c r="E23" s="14" t="n">
        <f aca="false">gw_0*mix0_b3</f>
        <v>0.51</v>
      </c>
      <c r="F23" s="14" t="n">
        <f aca="false">E23+F20*1</f>
        <v>0.916757765496346</v>
      </c>
      <c r="G23" s="14" t="n">
        <f aca="false">F23</f>
        <v>0.916757765496346</v>
      </c>
      <c r="H23" s="14" t="n">
        <f aca="false">F23+H20*am_27</f>
        <v>1.73027329648904</v>
      </c>
      <c r="I23" s="14" t="n">
        <f aca="false">H23+I20*0</f>
        <v>1.73027329648904</v>
      </c>
      <c r="J23" s="14" t="n">
        <f aca="false">I23+J20*0</f>
        <v>1.73027329648904</v>
      </c>
      <c r="K23" s="14" t="n">
        <f aca="false">J23+K20*0</f>
        <v>1.73027329648904</v>
      </c>
      <c r="L23" s="14" t="n">
        <f aca="false">K23+L20*0</f>
        <v>1.73027329648904</v>
      </c>
      <c r="M23" s="14" t="n">
        <f aca="false">L23+M20*0</f>
        <v>1.73027329648904</v>
      </c>
    </row>
    <row r="24" customFormat="false" ht="17.15" hidden="false" customHeight="false" outlineLevel="0" collapsed="false">
      <c r="A24" s="4" t="s">
        <v>747</v>
      </c>
      <c r="B24" s="0" t="s">
        <v>227</v>
      </c>
      <c r="E24" s="14" t="n">
        <f aca="false">gw_0*0</f>
        <v>0</v>
      </c>
      <c r="F24" s="14" t="n">
        <f aca="false">E24+F20*0</f>
        <v>0</v>
      </c>
      <c r="G24" s="14" t="n">
        <f aca="false">F24</f>
        <v>0</v>
      </c>
      <c r="H24" s="14" t="n">
        <f aca="false">F24+H20*(1-am_27)</f>
        <v>0.813515530992692</v>
      </c>
      <c r="I24" s="14" t="n">
        <f aca="false">H24+I20*1</f>
        <v>2.44054659297808</v>
      </c>
      <c r="J24" s="14" t="n">
        <f aca="false">I24+J20*1</f>
        <v>3.70102603863812</v>
      </c>
      <c r="K24" s="14" t="n">
        <f aca="false">J24+K20*1</f>
        <v>4.61386105965771</v>
      </c>
      <c r="L24" s="14" t="n">
        <f aca="false">K24+L20*1</f>
        <v>5.19013684816736</v>
      </c>
      <c r="M24" s="14" t="n">
        <f aca="false">L24+M20*1</f>
        <v>5.43344915250705</v>
      </c>
    </row>
    <row r="25" customFormat="false" ht="17.15" hidden="false" customHeight="false" outlineLevel="0" collapsed="false">
      <c r="A25" s="2" t="s">
        <v>748</v>
      </c>
      <c r="B25" s="7" t="s">
        <v>227</v>
      </c>
      <c r="E25" s="14" t="n">
        <f aca="false">E21+E22+E23+E24</f>
        <v>1.7</v>
      </c>
      <c r="F25" s="14" t="n">
        <f aca="false">F21+F22+F23+F24</f>
        <v>2.10675776549635</v>
      </c>
      <c r="G25" s="14" t="n">
        <f aca="false">G21+G22+G23+G24</f>
        <v>2.10675776549635</v>
      </c>
      <c r="H25" s="14" t="n">
        <f aca="false">H21+H22+H23+H24</f>
        <v>3.73378882748173</v>
      </c>
      <c r="I25" s="14" t="n">
        <f aca="false">I21+I22+I23+I24</f>
        <v>5.36081988946711</v>
      </c>
      <c r="J25" s="14" t="n">
        <f aca="false">J21+J22+J23+J24</f>
        <v>6.62129933512715</v>
      </c>
      <c r="K25" s="14" t="n">
        <f aca="false">K21+K22+K23+K24</f>
        <v>7.53413435614675</v>
      </c>
      <c r="L25" s="14" t="n">
        <f aca="false">L21+L22+L23+L24</f>
        <v>8.1104101446564</v>
      </c>
      <c r="M25" s="14" t="n">
        <f aca="false">M21+M22+M23+M24</f>
        <v>8.35372244899609</v>
      </c>
    </row>
    <row r="26" customFormat="false" ht="17.15" hidden="false" customHeight="false" outlineLevel="0" collapsed="false">
      <c r="A26" s="4" t="s">
        <v>749</v>
      </c>
      <c r="B26" s="0" t="s">
        <v>227</v>
      </c>
      <c r="F26" s="14" t="n">
        <f aca="false">(E21+F21)/2</f>
        <v>0.51</v>
      </c>
      <c r="H26" s="14" t="n">
        <f aca="false">(F21+H21)/2</f>
        <v>0.51</v>
      </c>
      <c r="I26" s="14" t="n">
        <f aca="false">(H21+I21)/2</f>
        <v>0.51</v>
      </c>
      <c r="J26" s="14" t="n">
        <f aca="false">(I21+J21)/2</f>
        <v>0.51</v>
      </c>
      <c r="K26" s="14" t="n">
        <f aca="false">(J21+K21)/2</f>
        <v>0.51</v>
      </c>
      <c r="L26" s="14" t="n">
        <f aca="false">(K21+L21)/2</f>
        <v>0.51</v>
      </c>
      <c r="M26" s="14" t="n">
        <f aca="false">(L21+M21)/2</f>
        <v>0.51</v>
      </c>
    </row>
    <row r="27" customFormat="false" ht="17.15" hidden="false" customHeight="false" outlineLevel="0" collapsed="false">
      <c r="A27" s="4" t="s">
        <v>750</v>
      </c>
      <c r="B27" s="0" t="s">
        <v>227</v>
      </c>
      <c r="F27" s="14" t="n">
        <f aca="false">(E22+F22)/2</f>
        <v>0.68</v>
      </c>
      <c r="H27" s="14" t="n">
        <f aca="false">(F22+H22)/2</f>
        <v>0.68</v>
      </c>
      <c r="I27" s="14" t="n">
        <f aca="false">(H22+I22)/2</f>
        <v>0.68</v>
      </c>
      <c r="J27" s="14" t="n">
        <f aca="false">(I22+J22)/2</f>
        <v>0.68</v>
      </c>
      <c r="K27" s="14" t="n">
        <f aca="false">(J22+K22)/2</f>
        <v>0.68</v>
      </c>
      <c r="L27" s="14" t="n">
        <f aca="false">(K22+L22)/2</f>
        <v>0.68</v>
      </c>
      <c r="M27" s="14" t="n">
        <f aca="false">(L22+M22)/2</f>
        <v>0.68</v>
      </c>
    </row>
    <row r="28" customFormat="false" ht="17.15" hidden="false" customHeight="false" outlineLevel="0" collapsed="false">
      <c r="A28" s="4" t="s">
        <v>751</v>
      </c>
      <c r="B28" s="0" t="s">
        <v>227</v>
      </c>
      <c r="F28" s="14" t="n">
        <f aca="false">(E23+F23)/2</f>
        <v>0.713378882748173</v>
      </c>
      <c r="H28" s="14" t="n">
        <f aca="false">(F23+H23)/2</f>
        <v>1.32351553099269</v>
      </c>
      <c r="I28" s="14" t="n">
        <f aca="false">(H23+I23)/2</f>
        <v>1.73027329648904</v>
      </c>
      <c r="J28" s="14" t="n">
        <f aca="false">(I23+J23)/2</f>
        <v>1.73027329648904</v>
      </c>
      <c r="K28" s="14" t="n">
        <f aca="false">(J23+K23)/2</f>
        <v>1.73027329648904</v>
      </c>
      <c r="L28" s="14" t="n">
        <f aca="false">(K23+L23)/2</f>
        <v>1.73027329648904</v>
      </c>
      <c r="M28" s="14" t="n">
        <f aca="false">(L23+M23)/2</f>
        <v>1.73027329648904</v>
      </c>
    </row>
    <row r="29" customFormat="false" ht="17.15" hidden="false" customHeight="false" outlineLevel="0" collapsed="false">
      <c r="A29" s="4" t="s">
        <v>752</v>
      </c>
      <c r="B29" s="0" t="s">
        <v>227</v>
      </c>
      <c r="F29" s="14" t="n">
        <f aca="false">(E24+F24)/2</f>
        <v>0</v>
      </c>
      <c r="H29" s="14" t="n">
        <f aca="false">(F24+H24)/2</f>
        <v>0.406757765496346</v>
      </c>
      <c r="I29" s="14" t="n">
        <f aca="false">(H24+I24)/2</f>
        <v>1.62703106198538</v>
      </c>
      <c r="J29" s="14" t="n">
        <f aca="false">(I24+J24)/2</f>
        <v>3.0707863158081</v>
      </c>
      <c r="K29" s="14" t="n">
        <f aca="false">(J24+K24)/2</f>
        <v>4.15744354914792</v>
      </c>
      <c r="L29" s="14" t="n">
        <f aca="false">(K24+L24)/2</f>
        <v>4.90199895391254</v>
      </c>
      <c r="M29" s="14" t="n">
        <f aca="false">(L24+M24)/2</f>
        <v>5.31179300033721</v>
      </c>
    </row>
    <row r="30" customFormat="false" ht="17.15" hidden="false" customHeight="false" outlineLevel="0" collapsed="false">
      <c r="A30" s="4" t="s">
        <v>753</v>
      </c>
      <c r="B30" s="0" t="s">
        <v>227</v>
      </c>
      <c r="F30" s="14" t="n">
        <f aca="false">F26+F27+F28+F29</f>
        <v>1.90337888274817</v>
      </c>
      <c r="H30" s="14" t="n">
        <f aca="false">H26+H27+H28+H29</f>
        <v>2.92027329648904</v>
      </c>
      <c r="I30" s="14" t="n">
        <f aca="false">I26+I27+I28+I29</f>
        <v>4.54730435847442</v>
      </c>
      <c r="J30" s="14" t="n">
        <f aca="false">J26+J27+J28+J29</f>
        <v>5.99105961229713</v>
      </c>
      <c r="K30" s="14" t="n">
        <f aca="false">K26+K27+K28+K29</f>
        <v>7.07771684563695</v>
      </c>
      <c r="L30" s="14" t="n">
        <f aca="false">L26+L27+L28+L29</f>
        <v>7.82227225040158</v>
      </c>
      <c r="M30" s="14" t="n">
        <f aca="false">M26+M27+M28+M29</f>
        <v>8.23206629682625</v>
      </c>
    </row>
    <row r="31" customFormat="false" ht="17.15" hidden="false" customHeight="false" outlineLevel="0" collapsed="false">
      <c r="A31" s="4" t="s">
        <v>754</v>
      </c>
      <c r="B31" s="0" t="s">
        <v>227</v>
      </c>
      <c r="F31" s="14" t="n">
        <f aca="false">F30*ext_sh</f>
        <v>1.37043279557868</v>
      </c>
      <c r="H31" s="14" t="n">
        <f aca="false">H30*ext_sh</f>
        <v>2.10259677347211</v>
      </c>
      <c r="I31" s="14" t="n">
        <f aca="false">I30*ext_sh</f>
        <v>3.27405913810158</v>
      </c>
      <c r="J31" s="14" t="n">
        <f aca="false">J30*ext_sh</f>
        <v>4.31356292085394</v>
      </c>
      <c r="K31" s="14" t="n">
        <f aca="false">K30*ext_sh</f>
        <v>5.09595612885861</v>
      </c>
      <c r="L31" s="14" t="n">
        <f aca="false">L30*ext_sh</f>
        <v>5.63203602028913</v>
      </c>
      <c r="M31" s="14" t="n">
        <f aca="false">M30*ext_sh</f>
        <v>5.9270877337149</v>
      </c>
    </row>
    <row r="32" customFormat="false" ht="17.15" hidden="false" customHeight="false" outlineLevel="0" collapsed="false">
      <c r="A32" s="4" t="s">
        <v>755</v>
      </c>
      <c r="B32" s="0" t="s">
        <v>227</v>
      </c>
      <c r="F32" s="14" t="n">
        <f aca="false">F30*(1-ext_sh)</f>
        <v>0.532946087169488</v>
      </c>
      <c r="H32" s="14" t="n">
        <f aca="false">H30*(1-ext_sh)</f>
        <v>0.817676523016931</v>
      </c>
      <c r="I32" s="14" t="n">
        <f aca="false">I30*(1-ext_sh)</f>
        <v>1.27324522037284</v>
      </c>
      <c r="J32" s="14" t="n">
        <f aca="false">J30*(1-ext_sh)</f>
        <v>1.6774966914432</v>
      </c>
      <c r="K32" s="14" t="n">
        <f aca="false">K30*(1-ext_sh)</f>
        <v>1.98176071677835</v>
      </c>
      <c r="L32" s="14" t="n">
        <f aca="false">L30*(1-ext_sh)</f>
        <v>2.19023623011244</v>
      </c>
      <c r="M32" s="14" t="n">
        <f aca="false">M30*(1-ext_sh)</f>
        <v>2.30497856311135</v>
      </c>
    </row>
    <row r="33" customFormat="false" ht="17.15" hidden="false" customHeight="false" outlineLevel="0" collapsed="false">
      <c r="A33" s="4" t="s">
        <v>756</v>
      </c>
      <c r="B33" s="0" t="s">
        <v>710</v>
      </c>
      <c r="F33" s="17" t="n">
        <f aca="false">(F26*he_h+F27*he_b2+F28*he_b3+F29*he_vr)/F30</f>
        <v>9.83401832827608</v>
      </c>
      <c r="H33" s="17" t="n">
        <f aca="false">(H26*he_h+H27*he_b2+H28*he_b3+H29*he_vr)/H30</f>
        <v>10.386995779906</v>
      </c>
      <c r="I33" s="17" t="n">
        <f aca="false">(I26*he_h+I27*he_b2+I28*he_b3+I29*he_vr)/I30</f>
        <v>10.925025137499</v>
      </c>
      <c r="J33" s="17" t="n">
        <f aca="false">(J26*he_h+J27*he_b2+J28*he_b3+J29*he_vr)/J30</f>
        <v>11.2384130311969</v>
      </c>
      <c r="K33" s="17" t="n">
        <f aca="false">(K26*he_h+K27*he_b2+K28*he_b3+K29*he_vr)/K30</f>
        <v>11.3899581847966</v>
      </c>
      <c r="L33" s="17" t="n">
        <f aca="false">(L26*he_h+L27*he_b2+L28*he_b3+L29*he_vr)/L30</f>
        <v>11.469485662978</v>
      </c>
      <c r="M33" s="17" t="n">
        <f aca="false">(M26*he_h+M27*he_b2+M28*he_b3+M29*he_vr)/M30</f>
        <v>11.5071187773145</v>
      </c>
      <c r="N33" s="7" t="s">
        <v>757</v>
      </c>
    </row>
    <row r="34" customFormat="false" ht="17.15" hidden="false" customHeight="false" outlineLevel="0" collapsed="false">
      <c r="A34" s="4" t="s">
        <v>758</v>
      </c>
      <c r="B34" s="0" t="s">
        <v>710</v>
      </c>
      <c r="F34" s="17" t="n">
        <f aca="false">(F26*opx_h+F27*opx_b2+F28*opx_b3+F29*opx_vr)/F30</f>
        <v>1.89550725702862</v>
      </c>
      <c r="H34" s="17" t="n">
        <f aca="false">(H26*opx_h+H27*opx_b2+H28*opx_b3+H29*opx_vr)/H30</f>
        <v>1.94128824272498</v>
      </c>
      <c r="I34" s="17" t="n">
        <f aca="false">(I26*opx_h+I27*opx_b2+I28*opx_b3+I29*opx_vr)/I30</f>
        <v>1.98583167618973</v>
      </c>
      <c r="J34" s="17" t="n">
        <f aca="false">(J26*opx_h+J27*opx_b2+J28*opx_b3+J29*opx_vr)/J30</f>
        <v>2.01177704997758</v>
      </c>
      <c r="K34" s="17" t="n">
        <f aca="false">(K26*opx_h+K27*opx_b2+K28*opx_b3+K29*opx_vr)/K30</f>
        <v>2.02432346844157</v>
      </c>
      <c r="L34" s="17" t="n">
        <f aca="false">(L26*opx_h+L27*opx_b2+L28*opx_b3+L29*opx_vr)/L30</f>
        <v>2.03090754583995</v>
      </c>
      <c r="M34" s="17" t="n">
        <f aca="false">(M26*opx_h+M27*opx_b2+M28*opx_b3+M29*opx_vr)/M30</f>
        <v>2.03402319018326</v>
      </c>
    </row>
    <row r="35" customFormat="false" ht="17.15" hidden="false" customHeight="false" outlineLevel="0" collapsed="false">
      <c r="A35" s="4" t="s">
        <v>759</v>
      </c>
      <c r="B35" s="0" t="s">
        <v>95</v>
      </c>
      <c r="F35" s="27" t="n">
        <f aca="false">F31*F34*0.25</f>
        <v>0.649416327322354</v>
      </c>
      <c r="G35" s="27" t="n">
        <f aca="false">F35</f>
        <v>0.649416327322354</v>
      </c>
      <c r="H35" s="27" t="n">
        <f aca="false">H31*H34*1</f>
        <v>4.08174639553287</v>
      </c>
      <c r="I35" s="27" t="n">
        <f aca="false">I31*I34*1</f>
        <v>6.50173034616056</v>
      </c>
      <c r="J35" s="27" t="n">
        <f aca="false">J31*J34*1</f>
        <v>8.67792688780821</v>
      </c>
      <c r="K35" s="27" t="n">
        <f aca="false">K31*K34*1</f>
        <v>10.3158635857971</v>
      </c>
      <c r="L35" s="27" t="n">
        <f aca="false">L31*L34*1</f>
        <v>11.4381444520476</v>
      </c>
      <c r="M35" s="27" t="n">
        <f aca="false">M31*M34*1</f>
        <v>12.0558339006269</v>
      </c>
    </row>
    <row r="36" customFormat="false" ht="17.15" hidden="false" customHeight="false" outlineLevel="0" collapsed="false">
      <c r="A36" s="4" t="s">
        <v>760</v>
      </c>
      <c r="B36" s="0" t="s">
        <v>95</v>
      </c>
      <c r="F36" s="27" t="n">
        <f aca="false">(1-ext_sh)*((F26*opx_h+F27*opx_b2+F28*opx_b3+F29*opx_vr)-($E$21*opx_h+$E$22*opx_b2+$E$23*opx_b3+$E$24*opx_vr))*0.25</f>
        <v>0.0282258237236483</v>
      </c>
      <c r="G36" s="27" t="n">
        <f aca="false">F36</f>
        <v>0.0282258237236483</v>
      </c>
      <c r="H36" s="27" t="n">
        <f aca="false">(1-ext_sh)*((H26*opx_h+H27*opx_b2+H28*opx_b3+H29*opx_vr)-($E$21*opx_h+$E$22*opx_b2+$E$23*opx_b3+$E$24*opx_vr))*1</f>
        <v>0.690045939544825</v>
      </c>
      <c r="I36" s="27" t="n">
        <f aca="false">(1-ext_sh)*((I26*opx_h+I27*opx_b2+I28*opx_b3+I29*opx_vr)-($E$21*opx_h+$E$22*opx_b2+$E$23*opx_b3+$E$24*opx_vr))*1</f>
        <v>1.63115080923337</v>
      </c>
      <c r="J36" s="27" t="n">
        <f aca="false">(1-ext_sh)*((J26*opx_h+J27*opx_b2+J28*opx_b3+J29*opx_vr)-($E$21*opx_h+$E$22*opx_b2+$E$23*opx_b3+$E$24*opx_vr))*1</f>
        <v>2.47744946431857</v>
      </c>
      <c r="K36" s="27" t="n">
        <f aca="false">(1-ext_sh)*((K26*opx_h+K27*opx_b2+K28*opx_b3+K29*opx_vr)-($E$21*opx_h+$E$22*opx_b2+$E$23*opx_b3+$E$24*opx_vr))*1</f>
        <v>3.11442484686981</v>
      </c>
      <c r="L36" s="27" t="n">
        <f aca="false">(1-ext_sh)*((L26*opx_h+L27*opx_b2+L28*opx_b3+L29*opx_vr)-($E$21*opx_h+$E$22*opx_b2+$E$23*opx_b3+$E$24*opx_vr))*1</f>
        <v>3.55086740596722</v>
      </c>
      <c r="M36" s="27" t="n">
        <f aca="false">(1-ext_sh)*((M26*opx_h+M27*opx_b2+M28*opx_b3+M29*opx_vr)-($E$21*opx_h+$E$22*opx_b2+$E$23*opx_b3+$E$24*opx_vr))*1</f>
        <v>3.7910799693036</v>
      </c>
      <c r="N36" s="4" t="s">
        <v>761</v>
      </c>
    </row>
    <row r="38" customFormat="false" ht="17.15" hidden="false" customHeight="false" outlineLevel="0" collapsed="false">
      <c r="A38" s="5" t="s">
        <v>762</v>
      </c>
    </row>
    <row r="39" customFormat="false" ht="17.15" hidden="false" customHeight="false" outlineLevel="0" collapsed="false">
      <c r="A39" s="0" t="s">
        <v>763</v>
      </c>
      <c r="B39" s="0" t="s">
        <v>95</v>
      </c>
      <c r="F39" s="27" t="n">
        <f aca="false">F20*(1*cit_b3+0*cit_vr)</f>
        <v>13.1127412000452</v>
      </c>
      <c r="G39" s="27" t="n">
        <f aca="false">F39</f>
        <v>13.1127412000452</v>
      </c>
      <c r="H39" s="27" t="n">
        <f aca="false">H20*(am_27*cit_b3+(1-am_27)*cit_vr)</f>
        <v>56.8025635054486</v>
      </c>
      <c r="I39" s="27" t="n">
        <f aca="false">I20*(0*cit_b3+1*cit_vr)</f>
        <v>61.1541622107164</v>
      </c>
      <c r="J39" s="27" t="n">
        <f aca="false">J20*(0*cit_b3+1*cit_vr)</f>
        <v>47.3768241333432</v>
      </c>
      <c r="K39" s="27" t="n">
        <f aca="false">K20*(0*cit_b3+1*cit_vr)</f>
        <v>34.31013841797</v>
      </c>
      <c r="L39" s="27" t="n">
        <f aca="false">L20*(0*cit_b3+1*cit_vr)</f>
        <v>21.6601046360012</v>
      </c>
      <c r="M39" s="27" t="n">
        <f aca="false">M20*(0*cit_b3+1*cit_vr)</f>
        <v>9.14522191684279</v>
      </c>
    </row>
    <row r="40" customFormat="false" ht="17.15" hidden="false" customHeight="false" outlineLevel="0" collapsed="false">
      <c r="A40" s="0" t="s">
        <v>764</v>
      </c>
      <c r="B40" s="0" t="s">
        <v>95</v>
      </c>
      <c r="F40" s="27" t="n">
        <f aca="false">F20*selfb*cfac</f>
        <v>4.63825879995483</v>
      </c>
      <c r="G40" s="27" t="n">
        <f aca="false">F40</f>
        <v>4.63825879995483</v>
      </c>
      <c r="H40" s="27" t="n">
        <f aca="false">H20*selfb*cfac</f>
        <v>18.5530351998193</v>
      </c>
      <c r="I40" s="27" t="n">
        <f aca="false">I20*selfb*cfac</f>
        <v>18.5530351998193</v>
      </c>
      <c r="J40" s="27" t="n">
        <f aca="false">J20*selfb*cfac</f>
        <v>14.3732471188614</v>
      </c>
      <c r="K40" s="27" t="n">
        <f aca="false">K20*selfb*cfac</f>
        <v>10.4090577446865</v>
      </c>
      <c r="L40" s="27" t="n">
        <f aca="false">L20*selfb*cfac</f>
        <v>6.57127281637551</v>
      </c>
      <c r="M40" s="27" t="n">
        <f aca="false">M20*selfb*cfac</f>
        <v>2.77449020638551</v>
      </c>
    </row>
    <row r="41" customFormat="false" ht="17.15" hidden="false" customHeight="false" outlineLevel="0" collapsed="false">
      <c r="A41" s="4" t="s">
        <v>765</v>
      </c>
      <c r="B41" s="0" t="s">
        <v>227</v>
      </c>
      <c r="F41" s="6" t="n">
        <v>0</v>
      </c>
      <c r="G41" s="14" t="n">
        <f aca="false">F41</f>
        <v>0</v>
      </c>
      <c r="H41" s="6" t="n">
        <v>0</v>
      </c>
      <c r="I41" s="6" t="n">
        <v>0</v>
      </c>
      <c r="J41" s="6" t="n">
        <v>0</v>
      </c>
      <c r="K41" s="14" t="n">
        <f aca="false">gw_ye24</f>
        <v>0.15</v>
      </c>
      <c r="L41" s="14" t="n">
        <f aca="false">gw_ye25-gw_ye24</f>
        <v>0.65</v>
      </c>
      <c r="M41" s="14" t="n">
        <f aca="false">gw_0-gw_ye25+F20</f>
        <v>1.30675776549635</v>
      </c>
      <c r="N41" s="7" t="s">
        <v>766</v>
      </c>
    </row>
    <row r="42" customFormat="false" ht="17.15" hidden="false" customHeight="false" outlineLevel="0" collapsed="false">
      <c r="A42" s="0" t="s">
        <v>767</v>
      </c>
      <c r="B42" s="0" t="s">
        <v>95</v>
      </c>
      <c r="F42" s="27" t="n">
        <f aca="false">F41*cit_vr</f>
        <v>0</v>
      </c>
      <c r="G42" s="27" t="n">
        <f aca="false">F42</f>
        <v>0</v>
      </c>
      <c r="H42" s="27" t="n">
        <f aca="false">H41*cit_vr</f>
        <v>0</v>
      </c>
      <c r="I42" s="27" t="n">
        <f aca="false">I41*cit_vr</f>
        <v>0</v>
      </c>
      <c r="J42" s="27" t="n">
        <f aca="false">J41*cit_vr</f>
        <v>0</v>
      </c>
      <c r="K42" s="27" t="n">
        <f aca="false">K41*cit_vr</f>
        <v>5.6379528</v>
      </c>
      <c r="L42" s="27" t="n">
        <f aca="false">L41*cit_vr</f>
        <v>24.4311288</v>
      </c>
      <c r="M42" s="27" t="n">
        <f aca="false">M41*cit_vr</f>
        <v>49.1162573526791</v>
      </c>
    </row>
    <row r="43" customFormat="false" ht="17.15" hidden="false" customHeight="false" outlineLevel="0" collapsed="false">
      <c r="A43" s="5" t="s">
        <v>768</v>
      </c>
      <c r="B43" s="7" t="s">
        <v>95</v>
      </c>
      <c r="E43" s="27" t="n">
        <f aca="false">Q!H37+ppefin_9m</f>
        <v>43.916</v>
      </c>
      <c r="F43" s="27" t="n">
        <f aca="false">F39+F40+F42</f>
        <v>17.751</v>
      </c>
      <c r="G43" s="27" t="n">
        <f aca="false">E43+F43</f>
        <v>61.667</v>
      </c>
      <c r="H43" s="27" t="n">
        <f aca="false">H39+H40+H42</f>
        <v>75.3555987052679</v>
      </c>
      <c r="I43" s="27" t="n">
        <f aca="false">I39+I40+I42</f>
        <v>79.7071974105358</v>
      </c>
      <c r="J43" s="27" t="n">
        <f aca="false">J39+J40+J42</f>
        <v>61.7500712522046</v>
      </c>
      <c r="K43" s="27" t="n">
        <f aca="false">K39+K40+K42</f>
        <v>50.3571489626565</v>
      </c>
      <c r="L43" s="27" t="n">
        <f aca="false">L39+L40+L42</f>
        <v>52.6625062523767</v>
      </c>
      <c r="M43" s="27" t="n">
        <f aca="false">M39+M40+M42</f>
        <v>61.0359694759074</v>
      </c>
      <c r="N43" s="7" t="s">
        <v>769</v>
      </c>
    </row>
    <row r="44" customFormat="false" ht="17.15" hidden="false" customHeight="false" outlineLevel="0" collapsed="false">
      <c r="A44" s="4" t="s">
        <v>770</v>
      </c>
      <c r="B44" s="0" t="s">
        <v>95</v>
      </c>
      <c r="E44" s="27" t="n">
        <f aca="false">Q!H37</f>
        <v>39.995</v>
      </c>
      <c r="F44" s="27" t="n">
        <f aca="false">F43*(1-fin_sh)</f>
        <v>16.1658357</v>
      </c>
      <c r="G44" s="27" t="n">
        <f aca="false">E44+F44</f>
        <v>56.1608357</v>
      </c>
      <c r="H44" s="27" t="n">
        <f aca="false">H43*(1-fin_sh)</f>
        <v>68.6263437408875</v>
      </c>
      <c r="I44" s="27" t="n">
        <f aca="false">I43*(1-fin_sh)</f>
        <v>72.5893446817749</v>
      </c>
      <c r="J44" s="27" t="n">
        <f aca="false">J43*(1-fin_sh)</f>
        <v>56.2357898893827</v>
      </c>
      <c r="K44" s="27" t="n">
        <f aca="false">K43*(1-fin_sh)</f>
        <v>45.8602555602913</v>
      </c>
      <c r="L44" s="27" t="n">
        <f aca="false">L43*(1-fin_sh)</f>
        <v>47.9597444440394</v>
      </c>
      <c r="M44" s="27" t="n">
        <f aca="false">M43*(1-fin_sh)</f>
        <v>55.5854574017089</v>
      </c>
    </row>
    <row r="45" customFormat="false" ht="17.15" hidden="false" customHeight="false" outlineLevel="0" collapsed="false">
      <c r="A45" s="4" t="s">
        <v>771</v>
      </c>
      <c r="B45" s="0" t="s">
        <v>95</v>
      </c>
      <c r="E45" s="27" t="n">
        <f aca="false">ppefin_9m</f>
        <v>3.921</v>
      </c>
      <c r="F45" s="27" t="n">
        <f aca="false">F43*fin_sh</f>
        <v>1.5851643</v>
      </c>
      <c r="G45" s="27" t="n">
        <f aca="false">E45+F45</f>
        <v>5.5061643</v>
      </c>
      <c r="H45" s="27" t="n">
        <f aca="false">H43*fin_sh</f>
        <v>6.72925496438042</v>
      </c>
      <c r="I45" s="27" t="n">
        <f aca="false">I43*fin_sh</f>
        <v>7.11785272876084</v>
      </c>
      <c r="J45" s="27" t="n">
        <f aca="false">J43*fin_sh</f>
        <v>5.51428136282187</v>
      </c>
      <c r="K45" s="27" t="n">
        <f aca="false">K43*fin_sh</f>
        <v>4.49689340236523</v>
      </c>
      <c r="L45" s="27" t="n">
        <f aca="false">L43*fin_sh</f>
        <v>4.70276180833724</v>
      </c>
      <c r="M45" s="27" t="n">
        <f aca="false">M43*fin_sh</f>
        <v>5.45051207419853</v>
      </c>
    </row>
    <row r="46" customFormat="false" ht="17.15" hidden="false" customHeight="false" outlineLevel="0" collapsed="false">
      <c r="A46" s="4" t="s">
        <v>772</v>
      </c>
      <c r="B46" s="0" t="s">
        <v>726</v>
      </c>
      <c r="F46" s="17" t="n">
        <f aca="false">IF(F20&gt;0,(F39+F40)/F20,0)</f>
        <v>43.640224</v>
      </c>
      <c r="H46" s="17" t="n">
        <f aca="false">IF(H20&gt;0,(H39+H40)/H20,0)</f>
        <v>46.314788</v>
      </c>
      <c r="I46" s="17" t="n">
        <f aca="false">IF(I20&gt;0,(I39+I40)/I20,0)</f>
        <v>48.989352</v>
      </c>
      <c r="J46" s="17" t="n">
        <f aca="false">IF(J20&gt;0,(J39+J40)/J20,0)</f>
        <v>48.989352</v>
      </c>
      <c r="K46" s="17" t="n">
        <f aca="false">IF(K20&gt;0,(K39+K40)/K20,0)</f>
        <v>48.989352</v>
      </c>
      <c r="L46" s="17" t="n">
        <f aca="false">IF(L20&gt;0,(L39+L40)/L20,0)</f>
        <v>48.989352</v>
      </c>
      <c r="M46" s="17" t="n">
        <f aca="false">IF(M20&gt;0,(M39+M40)/M20,0)</f>
        <v>48.989352</v>
      </c>
    </row>
    <row r="48" customFormat="false" ht="17.15" hidden="false" customHeight="false" outlineLevel="0" collapsed="false">
      <c r="A48" s="5" t="s">
        <v>773</v>
      </c>
    </row>
    <row r="49" customFormat="false" ht="17.15" hidden="false" customHeight="false" outlineLevel="0" collapsed="false">
      <c r="A49" s="4" t="s">
        <v>774</v>
      </c>
      <c r="B49" s="0" t="s">
        <v>95</v>
      </c>
      <c r="F49" s="27" t="n">
        <f aca="false">cip_0*cip_si*cip_it</f>
        <v>16.1466</v>
      </c>
      <c r="N49" s="4" t="s">
        <v>775</v>
      </c>
    </row>
    <row r="50" customFormat="false" ht="17.15" hidden="false" customHeight="false" outlineLevel="0" collapsed="false">
      <c r="A50" s="4" t="s">
        <v>776</v>
      </c>
      <c r="B50" s="0" t="s">
        <v>95</v>
      </c>
      <c r="F50" s="27" t="n">
        <f aca="false">cip_0*cip_si*(1-cip_it)</f>
        <v>4.03665</v>
      </c>
    </row>
    <row r="51" customFormat="false" ht="17.15" hidden="false" customHeight="false" outlineLevel="0" collapsed="false">
      <c r="A51" s="0" t="s">
        <v>777</v>
      </c>
      <c r="B51" s="0" t="s">
        <v>95</v>
      </c>
      <c r="F51" s="27" t="n">
        <f aca="false">F39+F42</f>
        <v>13.1127412000452</v>
      </c>
      <c r="H51" s="27" t="n">
        <f aca="false">H39+H42</f>
        <v>56.8025635054486</v>
      </c>
      <c r="I51" s="27" t="n">
        <f aca="false">I39+I42</f>
        <v>61.1541622107164</v>
      </c>
      <c r="J51" s="27" t="n">
        <f aca="false">J39+J42</f>
        <v>47.3768241333432</v>
      </c>
      <c r="K51" s="27" t="n">
        <f aca="false">K39+K42</f>
        <v>39.94809121797</v>
      </c>
      <c r="L51" s="27" t="n">
        <f aca="false">L39+L42</f>
        <v>46.0912334360012</v>
      </c>
      <c r="M51" s="27" t="n">
        <f aca="false">M39+M42</f>
        <v>58.2614792695219</v>
      </c>
    </row>
    <row r="52" customFormat="false" ht="15" hidden="false" customHeight="false" outlineLevel="0" collapsed="false">
      <c r="A52" s="4" t="s">
        <v>778</v>
      </c>
      <c r="B52" s="0" t="s">
        <v>95</v>
      </c>
      <c r="F52" s="27" t="n">
        <f aca="false">F40</f>
        <v>4.63825879995483</v>
      </c>
      <c r="H52" s="27" t="n">
        <f aca="false">H40</f>
        <v>18.5530351998193</v>
      </c>
      <c r="I52" s="27" t="n">
        <f aca="false">I40</f>
        <v>18.5530351998193</v>
      </c>
      <c r="J52" s="27" t="n">
        <f aca="false">J40</f>
        <v>14.3732471188614</v>
      </c>
      <c r="K52" s="27" t="n">
        <f aca="false">K40</f>
        <v>10.4090577446865</v>
      </c>
      <c r="L52" s="27" t="n">
        <f aca="false">L40</f>
        <v>6.57127281637551</v>
      </c>
      <c r="M52" s="27" t="n">
        <f aca="false">M40</f>
        <v>2.77449020638551</v>
      </c>
    </row>
    <row r="53" customFormat="false" ht="17.15" hidden="false" customHeight="false" outlineLevel="0" collapsed="false">
      <c r="A53" s="4" t="s">
        <v>779</v>
      </c>
      <c r="B53" s="0" t="s">
        <v>95</v>
      </c>
      <c r="F53" s="27" t="n">
        <f aca="false">($F$49/life_it*IF((0)&lt;0,0,IF((0)=0,phi_0,IF((0)&lt;life_it,1,IF((0)=life_it,1-phi_0,0))))+$F$51/life_it*IF((0)&lt;0,0,IF((0)=0,phi_0,IF((0)&lt;life_it,1,IF((0)=life_it,1-phi_0,0)))))*0.25</f>
        <v>0.304784804167137</v>
      </c>
      <c r="G53" s="27" t="n">
        <f aca="false">F53</f>
        <v>0.304784804167137</v>
      </c>
      <c r="H53" s="27" t="n">
        <f aca="false">($F$49/life_it*IF((1)&lt;0,0,IF((1)=0,phi_0,IF((1)&lt;life_it,1,IF((1)=life_it,1-phi_0,0))))+$F$51/life_it*IF((1)&lt;0,0,IF((1)=0,phi_0,IF((1)&lt;life_it,1,IF((1)=life_it,1-phi_0,0))))+$H$51/life_it*IF((0)&lt;0,0,IF((0)=0,phi_0,IF((0)&lt;life_it,1,IF((0)=life_it,1-phi_0,0)))))</f>
        <v>7.24333034606789</v>
      </c>
      <c r="I53" s="27" t="n">
        <f aca="false">($F$49/life_it*IF((2)&lt;0,0,IF((2)=0,phi_0,IF((2)&lt;life_it,1,IF((2)=life_it,1-phi_0,0))))+$F$51/life_it*IF((2)&lt;0,0,IF((2)=0,phi_0,IF((2)&lt;life_it,1,IF((2)=life_it,1-phi_0,0))))+$H$51/life_it*IF((1)&lt;0,0,IF((1)=0,phi_0,IF((1)&lt;life_it,1,IF((1)=life_it,1-phi_0,0))))+$I$51/life_it*IF((0)&lt;0,0,IF((0)=0,phi_0,IF((0)&lt;life_it,1,IF((0)=life_it,1-phi_0,0)))))</f>
        <v>16.8917408763621</v>
      </c>
      <c r="J53" s="27" t="n">
        <f aca="false">($F$49/life_it*IF((3)&lt;0,0,IF((3)=0,phi_0,IF((3)&lt;life_it,1,IF((3)=life_it,1-phi_0,0))))+$F$51/life_it*IF((3)&lt;0,0,IF((3)=0,phi_0,IF((3)&lt;life_it,1,IF((3)=life_it,1-phi_0,0))))+$H$51/life_it*IF((2)&lt;0,0,IF((2)=0,phi_0,IF((2)&lt;life_it,1,IF((2)=life_it,1-phi_0,0))))+$I$51/life_it*IF((1)&lt;0,0,IF((1)=0,phi_0,IF((1)&lt;life_it,1,IF((1)=life_it,1-phi_0,0))))+$J$51/life_it*IF((0)&lt;0,0,IF((0)=0,phi_0,IF((0)&lt;life_it,1,IF((0)=life_it,1-phi_0,0)))))</f>
        <v>26.510045491591</v>
      </c>
      <c r="K53" s="27" t="n">
        <f aca="false">($F$49/life_it*IF((4)&lt;0,0,IF((4)=0,phi_0,IF((4)&lt;life_it,1,IF((4)=life_it,1-phi_0,0))))+$F$51/life_it*IF((4)&lt;0,0,IF((4)=0,phi_0,IF((4)&lt;life_it,1,IF((4)=life_it,1-phi_0,0))))+$H$51/life_it*IF((3)&lt;0,0,IF((3)=0,phi_0,IF((3)&lt;life_it,1,IF((3)=life_it,1-phi_0,0))))+$I$51/life_it*IF((2)&lt;0,0,IF((2)=0,phi_0,IF((2)&lt;life_it,1,IF((2)=life_it,1-phi_0,0))))+$J$51/life_it*IF((1)&lt;0,0,IF((1)=0,phi_0,IF((1)&lt;life_it,1,IF((1)=life_it,1-phi_0,0))))+$K$51/life_it*IF((0)&lt;0,0,IF((0)=0,phi_0,IF((0)&lt;life_it,1,IF((0)=life_it,1-phi_0,0)))))</f>
        <v>34.0966523090076</v>
      </c>
      <c r="L53" s="27" t="n">
        <f aca="false">($F$49/life_it*IF((5)&lt;0,0,IF((5)=0,phi_0,IF((5)&lt;life_it,1,IF((5)=life_it,1-phi_0,0))))+$F$51/life_it*IF((5)&lt;0,0,IF((5)=0,phi_0,IF((5)&lt;life_it,1,IF((5)=life_it,1-phi_0,0))))+$H$51/life_it*IF((4)&lt;0,0,IF((4)=0,phi_0,IF((4)&lt;life_it,1,IF((4)=life_it,1-phi_0,0))))+$I$51/life_it*IF((3)&lt;0,0,IF((3)=0,phi_0,IF((3)&lt;life_it,1,IF((3)=life_it,1-phi_0,0))))+$J$51/life_it*IF((2)&lt;0,0,IF((2)=0,phi_0,IF((2)&lt;life_it,1,IF((2)=life_it,1-phi_0,0))))+$K$51/life_it*IF((1)&lt;0,0,IF((1)=0,phi_0,IF((1)&lt;life_it,1,IF((1)=life_it,1-phi_0,0))))+$L$51/life_it*IF((0)&lt;0,0,IF((0)=0,phi_0,IF((0)&lt;life_it,1,IF((0)=life_it,1-phi_0,0)))))</f>
        <v>41.0106317710873</v>
      </c>
      <c r="M53" s="27" t="n">
        <f aca="false">($F$49/life_it*IF((6)&lt;0,0,IF((6)=0,phi_0,IF((6)&lt;life_it,1,IF((6)=life_it,1-phi_0,0))))+$F$51/life_it*IF((6)&lt;0,0,IF((6)=0,phi_0,IF((6)&lt;life_it,1,IF((6)=life_it,1-phi_0,0))))+$H$51/life_it*IF((5)&lt;0,0,IF((5)=0,phi_0,IF((5)&lt;life_it,1,IF((5)=life_it,1-phi_0,0))))+$I$51/life_it*IF((4)&lt;0,0,IF((4)=0,phi_0,IF((4)&lt;life_it,1,IF((4)=life_it,1-phi_0,0))))+$J$51/life_it*IF((3)&lt;0,0,IF((3)=0,phi_0,IF((3)&lt;life_it,1,IF((3)=life_it,1-phi_0,0))))+$K$51/life_it*IF((2)&lt;0,0,IF((2)=0,phi_0,IF((2)&lt;life_it,1,IF((2)=life_it,1-phi_0,0))))+$L$51/life_it*IF((1)&lt;0,0,IF((1)=0,phi_0,IF((1)&lt;life_it,1,IF((1)=life_it,1-phi_0,0))))+$M$51/life_it*IF((0)&lt;0,0,IF((0)=0,phi_0,IF((0)&lt;life_it,1,IF((0)=life_it,1-phi_0,0)))))</f>
        <v>47.980458370149</v>
      </c>
      <c r="N53" s="7" t="s">
        <v>780</v>
      </c>
    </row>
    <row r="54" customFormat="false" ht="17.15" hidden="false" customHeight="false" outlineLevel="0" collapsed="false">
      <c r="A54" s="4" t="s">
        <v>781</v>
      </c>
      <c r="B54" s="0" t="s">
        <v>95</v>
      </c>
      <c r="F54" s="27" t="n">
        <f aca="false">($F$50/life_fac*IF((0)&lt;0,0,IF((0)=0,phi_0,IF((0)&lt;life_fac,1,IF((0)=life_fac,1-phi_0,0))))+$F$52/life_fac*IF((0)&lt;0,0,IF((0)=0,phi_0,IF((0)&lt;life_fac,1,IF((0)=life_fac,1-phi_0,0)))))*0.25</f>
        <v>0.0271090899998588</v>
      </c>
      <c r="G54" s="27" t="n">
        <f aca="false">F54</f>
        <v>0.0271090899998588</v>
      </c>
      <c r="H54" s="27" t="n">
        <f aca="false">($F$50/life_fac*IF((1)&lt;0,0,IF((1)=0,phi_0,IF((1)&lt;life_fac,1,IF((1)=life_fac,1-phi_0,0))))+$F$52/life_fac*IF((1)&lt;0,0,IF((1)=0,phi_0,IF((1)&lt;life_fac,1,IF((1)=life_fac,1-phi_0,0))))+$H$52/life_fac*IF((0)&lt;0,0,IF((0)=0,phi_0,IF((0)&lt;life_fac,1,IF((0)=life_fac,1-phi_0,0)))))</f>
        <v>0.665658379995483</v>
      </c>
      <c r="I54" s="27" t="n">
        <f aca="false">($F$50/life_fac*IF((2)&lt;0,0,IF((2)=0,phi_0,IF((2)&lt;life_fac,1,IF((2)=life_fac,1-phi_0,0))))+$F$52/life_fac*IF((2)&lt;0,0,IF((2)=0,phi_0,IF((2)&lt;life_fac,1,IF((2)=life_fac,1-phi_0,0))))+$H$52/life_fac*IF((1)&lt;0,0,IF((1)=0,phi_0,IF((1)&lt;life_fac,1,IF((1)=life_fac,1-phi_0,0))))+$I$52/life_fac*IF((0)&lt;0,0,IF((0)=0,phi_0,IF((0)&lt;life_fac,1,IF((0)=life_fac,1-phi_0,0)))))</f>
        <v>1.59331013998645</v>
      </c>
      <c r="J54" s="27" t="n">
        <f aca="false">($F$50/life_fac*IF((3)&lt;0,0,IF((3)=0,phi_0,IF((3)&lt;life_fac,1,IF((3)=life_fac,1-phi_0,0))))+$F$52/life_fac*IF((3)&lt;0,0,IF((3)=0,phi_0,IF((3)&lt;life_fac,1,IF((3)=life_fac,1-phi_0,0))))+$H$52/life_fac*IF((2)&lt;0,0,IF((2)=0,phi_0,IF((2)&lt;life_fac,1,IF((2)=life_fac,1-phi_0,0))))+$I$52/life_fac*IF((1)&lt;0,0,IF((1)=0,phi_0,IF((1)&lt;life_fac,1,IF((1)=life_fac,1-phi_0,0))))+$J$52/life_fac*IF((0)&lt;0,0,IF((0)=0,phi_0,IF((0)&lt;life_fac,1,IF((0)=life_fac,1-phi_0,0)))))</f>
        <v>2.46871454896544</v>
      </c>
      <c r="K54" s="27" t="n">
        <f aca="false">($F$50/life_fac*IF((4)&lt;0,0,IF((4)=0,phi_0,IF((4)&lt;life_fac,1,IF((4)=life_fac,1-phi_0,0))))+$F$52/life_fac*IF((4)&lt;0,0,IF((4)=0,phi_0,IF((4)&lt;life_fac,1,IF((4)=life_fac,1-phi_0,0))))+$H$52/life_fac*IF((3)&lt;0,0,IF((3)=0,phi_0,IF((3)&lt;life_fac,1,IF((3)=life_fac,1-phi_0,0))))+$I$52/life_fac*IF((2)&lt;0,0,IF((2)=0,phi_0,IF((2)&lt;life_fac,1,IF((2)=life_fac,1-phi_0,0))))+$J$52/life_fac*IF((1)&lt;0,0,IF((1)=0,phi_0,IF((1)&lt;life_fac,1,IF((1)=life_fac,1-phi_0,0))))+$K$52/life_fac*IF((0)&lt;0,0,IF((0)=0,phi_0,IF((0)&lt;life_fac,1,IF((0)=life_fac,1-phi_0,0)))))</f>
        <v>3.13782453773133</v>
      </c>
      <c r="L54" s="27" t="n">
        <f aca="false">($F$50/life_fac*IF((5)&lt;0,0,IF((5)=0,phi_0,IF((5)&lt;life_fac,1,IF((5)=life_fac,1-phi_0,0))))+$F$52/life_fac*IF((5)&lt;0,0,IF((5)=0,phi_0,IF((5)&lt;life_fac,1,IF((5)=life_fac,1-phi_0,0))))+$H$52/life_fac*IF((4)&lt;0,0,IF((4)=0,phi_0,IF((4)&lt;life_fac,1,IF((4)=life_fac,1-phi_0,0))))+$I$52/life_fac*IF((3)&lt;0,0,IF((3)=0,phi_0,IF((3)&lt;life_fac,1,IF((3)=life_fac,1-phi_0,0))))+$J$52/life_fac*IF((2)&lt;0,0,IF((2)=0,phi_0,IF((2)&lt;life_fac,1,IF((2)=life_fac,1-phi_0,0))))+$K$52/life_fac*IF((1)&lt;0,0,IF((1)=0,phi_0,IF((1)&lt;life_fac,1,IF((1)=life_fac,1-phi_0,0))))+$L$52/life_fac*IF((0)&lt;0,0,IF((0)=0,phi_0,IF((0)&lt;life_fac,1,IF((0)=life_fac,1-phi_0,0)))))</f>
        <v>3.61030511336177</v>
      </c>
      <c r="M54" s="27" t="n">
        <f aca="false">($F$50/life_fac*IF((6)&lt;0,0,IF((6)=0,phi_0,IF((6)&lt;life_fac,1,IF((6)=life_fac,1-phi_0,0))))+$F$52/life_fac*IF((6)&lt;0,0,IF((6)=0,phi_0,IF((6)&lt;life_fac,1,IF((6)=life_fac,1-phi_0,0))))+$H$52/life_fac*IF((5)&lt;0,0,IF((5)=0,phi_0,IF((5)&lt;life_fac,1,IF((5)=life_fac,1-phi_0,0))))+$I$52/life_fac*IF((4)&lt;0,0,IF((4)=0,phi_0,IF((4)&lt;life_fac,1,IF((4)=life_fac,1-phi_0,0))))+$J$52/life_fac*IF((3)&lt;0,0,IF((3)=0,phi_0,IF((3)&lt;life_fac,1,IF((3)=life_fac,1-phi_0,0))))+$K$52/life_fac*IF((2)&lt;0,0,IF((2)=0,phi_0,IF((2)&lt;life_fac,1,IF((2)=life_fac,1-phi_0,0))))+$L$52/life_fac*IF((1)&lt;0,0,IF((1)=0,phi_0,IF((1)&lt;life_fac,1,IF((1)=life_fac,1-phi_0,0))))+$M$52/life_fac*IF((0)&lt;0,0,IF((0)=0,phi_0,IF((0)&lt;life_fac,1,IF((0)=life_fac,1-phi_0,0)))))</f>
        <v>3.89140897155567</v>
      </c>
    </row>
    <row r="55" customFormat="false" ht="17.15" hidden="false" customHeight="false" outlineLevel="0" collapsed="false">
      <c r="A55" s="2" t="s">
        <v>782</v>
      </c>
      <c r="B55" s="7" t="s">
        <v>95</v>
      </c>
      <c r="F55" s="27" t="n">
        <f aca="false">F53+F54</f>
        <v>0.331893894166996</v>
      </c>
      <c r="G55" s="27" t="n">
        <f aca="false">G53+G54</f>
        <v>0.331893894166996</v>
      </c>
      <c r="H55" s="27" t="n">
        <f aca="false">H53+H54</f>
        <v>7.90898872606337</v>
      </c>
      <c r="I55" s="27" t="n">
        <f aca="false">I53+I54</f>
        <v>18.4850510163486</v>
      </c>
      <c r="J55" s="27" t="n">
        <f aca="false">J53+J54</f>
        <v>28.9787600405564</v>
      </c>
      <c r="K55" s="27" t="n">
        <f aca="false">K53+K54</f>
        <v>37.234476846739</v>
      </c>
      <c r="L55" s="27" t="n">
        <f aca="false">L53+L54</f>
        <v>44.620936884449</v>
      </c>
      <c r="M55" s="27" t="n">
        <f aca="false">M53+M54</f>
        <v>51.8718673417046</v>
      </c>
    </row>
    <row r="56" customFormat="false" ht="17.15" hidden="false" customHeight="false" outlineLevel="0" collapsed="false">
      <c r="A56" s="4" t="s">
        <v>783</v>
      </c>
      <c r="B56" s="0" t="s">
        <v>95</v>
      </c>
      <c r="F56" s="27" t="n">
        <f aca="false">F55*ext_sh</f>
        <v>0.238963603800237</v>
      </c>
      <c r="G56" s="27" t="n">
        <f aca="false">G55*ext_sh</f>
        <v>0.238963603800237</v>
      </c>
      <c r="H56" s="27" t="n">
        <f aca="false">H55*ext_sh</f>
        <v>5.69447188276563</v>
      </c>
      <c r="I56" s="27" t="n">
        <f aca="false">I55*ext_sh</f>
        <v>13.309236731771</v>
      </c>
      <c r="J56" s="27" t="n">
        <f aca="false">J55*ext_sh</f>
        <v>20.8647072292006</v>
      </c>
      <c r="K56" s="27" t="n">
        <f aca="false">K55*ext_sh</f>
        <v>26.8088233296521</v>
      </c>
      <c r="L56" s="27" t="n">
        <f aca="false">L55*ext_sh</f>
        <v>32.1270745568033</v>
      </c>
      <c r="M56" s="27" t="n">
        <f aca="false">M55*ext_sh</f>
        <v>37.3477444860273</v>
      </c>
    </row>
    <row r="57" customFormat="false" ht="17.15" hidden="false" customHeight="false" outlineLevel="0" collapsed="false">
      <c r="A57" s="4" t="s">
        <v>784</v>
      </c>
      <c r="B57" s="0" t="s">
        <v>95</v>
      </c>
      <c r="F57" s="27" t="n">
        <f aca="false">F55*(1-ext_sh)</f>
        <v>0.0929302903667589</v>
      </c>
      <c r="G57" s="27" t="n">
        <f aca="false">G55*(1-ext_sh)</f>
        <v>0.0929302903667589</v>
      </c>
      <c r="H57" s="27" t="n">
        <f aca="false">H55*(1-ext_sh)</f>
        <v>2.21451684329774</v>
      </c>
      <c r="I57" s="27" t="n">
        <f aca="false">I55*(1-ext_sh)</f>
        <v>5.17581428457761</v>
      </c>
      <c r="J57" s="27" t="n">
        <f aca="false">J55*(1-ext_sh)</f>
        <v>8.1140528113558</v>
      </c>
      <c r="K57" s="27" t="n">
        <f aca="false">K55*(1-ext_sh)</f>
        <v>10.4256535170869</v>
      </c>
      <c r="L57" s="27" t="n">
        <f aca="false">L55*(1-ext_sh)</f>
        <v>12.4938623276457</v>
      </c>
      <c r="M57" s="27" t="n">
        <f aca="false">M55*(1-ext_sh)</f>
        <v>14.5241228556773</v>
      </c>
    </row>
    <row r="59" customFormat="false" ht="17.15" hidden="false" customHeight="false" outlineLevel="0" collapsed="false">
      <c r="A59" s="5" t="s">
        <v>785</v>
      </c>
    </row>
    <row r="60" customFormat="false" ht="17.15" hidden="false" customHeight="false" outlineLevel="0" collapsed="false">
      <c r="A60" s="4" t="s">
        <v>786</v>
      </c>
      <c r="B60" s="0" t="s">
        <v>227</v>
      </c>
      <c r="F60" s="14" t="n">
        <f aca="false">mid*F41</f>
        <v>0</v>
      </c>
      <c r="G60" s="14" t="n">
        <f aca="false">F60</f>
        <v>0</v>
      </c>
      <c r="H60" s="14" t="n">
        <f aca="false">F41+mid*H41</f>
        <v>0</v>
      </c>
      <c r="I60" s="14" t="n">
        <f aca="false">F41+H41+mid*I41</f>
        <v>0</v>
      </c>
      <c r="J60" s="14" t="n">
        <f aca="false">F41+H41+I41+mid*J41</f>
        <v>0</v>
      </c>
      <c r="K60" s="14" t="n">
        <f aca="false">F41+H41+I41+J41+mid*K41</f>
        <v>0.075</v>
      </c>
      <c r="L60" s="14" t="n">
        <f aca="false">F41+H41+I41+J41+K41+mid*L41</f>
        <v>0.475</v>
      </c>
      <c r="M60" s="14" t="n">
        <f aca="false">F41+H41+I41+J41+K41+L41+mid*M41</f>
        <v>1.45337888274817</v>
      </c>
    </row>
    <row r="61" customFormat="false" ht="17.15" hidden="false" customHeight="false" outlineLevel="0" collapsed="false">
      <c r="A61" s="4" t="s">
        <v>787</v>
      </c>
      <c r="B61" s="0" t="s">
        <v>710</v>
      </c>
      <c r="E61" s="21" t="n">
        <f aca="false">mix0_h*dpi_h+mix0_b2*dpi_b2+mix0_b3*dpi_b3</f>
        <v>4.5883835</v>
      </c>
    </row>
    <row r="62" customFormat="false" ht="17.15" hidden="false" customHeight="false" outlineLevel="0" collapsed="false">
      <c r="A62" s="0" t="s">
        <v>788</v>
      </c>
      <c r="B62" s="0" t="s">
        <v>95</v>
      </c>
      <c r="F62" s="27" t="n">
        <f aca="false">(da_si0-MIN(da_si0*it_sh_da,F60*$E$61))*0.25</f>
        <v>2.473</v>
      </c>
      <c r="G62" s="27" t="n">
        <f aca="false">F62</f>
        <v>2.473</v>
      </c>
      <c r="H62" s="27" t="n">
        <f aca="false">(da_si0-MIN(da_si0*it_sh_da,H60*$E$61))*1</f>
        <v>9.892</v>
      </c>
      <c r="I62" s="27" t="n">
        <f aca="false">(da_si0-MIN(da_si0*it_sh_da,I60*$E$61))*1</f>
        <v>9.892</v>
      </c>
      <c r="J62" s="27" t="n">
        <f aca="false">(da_si0-MIN(da_si0*it_sh_da,J60*$E$61))*1</f>
        <v>9.892</v>
      </c>
      <c r="K62" s="27" t="n">
        <f aca="false">(da_si0-MIN(da_si0*it_sh_da,K60*$E$61))*1</f>
        <v>9.5478712375</v>
      </c>
      <c r="L62" s="27" t="n">
        <f aca="false">(da_si0-MIN(da_si0*it_sh_da,L60*$E$61))*1</f>
        <v>7.7125178375</v>
      </c>
      <c r="M62" s="27" t="n">
        <f aca="false">(da_si0-MIN(da_si0*it_sh_da,M60*$E$61))*1</f>
        <v>3.22334031514985</v>
      </c>
      <c r="N62" s="7" t="s">
        <v>789</v>
      </c>
    </row>
    <row r="64" customFormat="false" ht="17.15" hidden="false" customHeight="false" outlineLevel="0" collapsed="false">
      <c r="A64" s="5" t="s">
        <v>790</v>
      </c>
    </row>
    <row r="65" customFormat="false" ht="17.15" hidden="false" customHeight="false" outlineLevel="0" collapsed="false">
      <c r="A65" s="4" t="s">
        <v>791</v>
      </c>
      <c r="B65" s="0" t="s">
        <v>95</v>
      </c>
      <c r="F65" s="27" t="n">
        <f aca="false">(1-ext_sh)*((F26*he_h+F27*he_b2+F28*he_b3+F29*he_vr)-($E$21*he_h+$E$22*he_b2+$E$23*he_b3+$E$24*he_vr))*0.25</f>
        <v>0.15498462747226</v>
      </c>
      <c r="G65" s="27" t="n">
        <f aca="false">F65</f>
        <v>0.15498462747226</v>
      </c>
      <c r="H65" s="27" t="n">
        <f aca="false">(1-ext_sh)*((H26*he_h+H27*he_b2+H28*he_b3+H29*he_vr)-($E$21*he_h+$E$22*he_b2+$E$23*he_b3+$E$24*he_vr))*1</f>
        <v>3.87213951458636</v>
      </c>
      <c r="I65" s="27" t="n">
        <f aca="false">(1-ext_sh)*((I26*he_h+I27*he_b2+I28*he_b3+I29*he_vr)-($E$21*he_h+$E$22*he_b2+$E$23*he_b3+$E$24*he_vr))*1</f>
        <v>9.28917295945503</v>
      </c>
      <c r="J65" s="27" t="n">
        <f aca="false">(1-ext_sh)*((J26*he_h+J27*he_b2+J28*he_b3+J29*he_vr)-($E$21*he_h+$E$22*he_b2+$E$23*he_b3+$E$24*he_vr))*1</f>
        <v>14.2313375975862</v>
      </c>
      <c r="K65" s="27" t="n">
        <f aca="false">(1-ext_sh)*((K26*he_h+K27*he_b2+K28*he_b3+K29*he_vr)-($E$21*he_h+$E$22*he_b2+$E$23*he_b3+$E$24*he_vr))*1</f>
        <v>17.9511086170591</v>
      </c>
      <c r="L65" s="27" t="n">
        <f aca="false">(1-ext_sh)*((L26*he_h+L27*he_b2+L28*he_b3+L29*he_vr)-($E$21*he_h+$E$22*he_b2+$E$23*he_b3+$E$24*he_vr))*1</f>
        <v>20.4998199604909</v>
      </c>
      <c r="M65" s="27" t="n">
        <f aca="false">(1-ext_sh)*((M26*he_h+M27*he_b2+M28*he_b3+M29*he_vr)-($E$21*he_h+$E$22*he_b2+$E$23*he_b3+$E$24*he_vr))*1</f>
        <v>21.9025990255673</v>
      </c>
      <c r="N65" s="4" t="s">
        <v>792</v>
      </c>
    </row>
    <row r="66" customFormat="false" ht="17.15" hidden="false" customHeight="false" outlineLevel="0" collapsed="false">
      <c r="A66" s="4" t="s">
        <v>793</v>
      </c>
      <c r="B66" s="0" t="s">
        <v>95</v>
      </c>
      <c r="F66" s="27" t="n">
        <f aca="false">F36+F57</f>
        <v>0.121156114090407</v>
      </c>
      <c r="G66" s="27" t="n">
        <f aca="false">G36+G57</f>
        <v>0.121156114090407</v>
      </c>
      <c r="H66" s="27" t="n">
        <f aca="false">H36+H57</f>
        <v>2.90456278284257</v>
      </c>
      <c r="I66" s="27" t="n">
        <f aca="false">I36+I57</f>
        <v>6.80696509381098</v>
      </c>
      <c r="J66" s="27" t="n">
        <f aca="false">J36+J57</f>
        <v>10.5915022756744</v>
      </c>
      <c r="K66" s="27" t="n">
        <f aca="false">K36+K57</f>
        <v>13.5400783639567</v>
      </c>
      <c r="L66" s="27" t="n">
        <f aca="false">L36+L57</f>
        <v>16.044729733613</v>
      </c>
      <c r="M66" s="27" t="n">
        <f aca="false">M36+M57</f>
        <v>18.3152028249809</v>
      </c>
    </row>
    <row r="67" customFormat="false" ht="17.15" hidden="false" customHeight="false" outlineLevel="0" collapsed="false">
      <c r="A67" s="4" t="s">
        <v>794</v>
      </c>
      <c r="B67" s="0" t="s">
        <v>89</v>
      </c>
      <c r="F67" s="17" t="n">
        <f aca="false">IF(F66&gt;0,F65/F66,0)</f>
        <v>1.27921424878822</v>
      </c>
      <c r="H67" s="17" t="n">
        <f aca="false">IF(H66&gt;0,H65/H66,0)</f>
        <v>1.33312302197746</v>
      </c>
      <c r="I67" s="17" t="n">
        <f aca="false">IF(I66&gt;0,I65/I66,0)</f>
        <v>1.364657058092</v>
      </c>
      <c r="J67" s="17" t="n">
        <f aca="false">IF(J66&gt;0,J65/J66,0)</f>
        <v>1.3436561903283</v>
      </c>
      <c r="K67" s="17" t="n">
        <f aca="false">IF(K66&gt;0,K65/K66,0)</f>
        <v>1.32577582895269</v>
      </c>
      <c r="L67" s="17" t="n">
        <f aca="false">IF(L66&gt;0,L65/L66,0)</f>
        <v>1.27766689129981</v>
      </c>
      <c r="M67" s="17" t="n">
        <f aca="false">IF(M66&gt;0,M65/M66,0)</f>
        <v>1.19586985931127</v>
      </c>
      <c r="N67" s="4" t="s">
        <v>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796</v>
      </c>
    </row>
    <row r="2" customFormat="false" ht="17.15" hidden="false" customHeight="false" outlineLevel="0" collapsed="false">
      <c r="A2" s="4" t="s">
        <v>797</v>
      </c>
    </row>
    <row r="4" customFormat="false" ht="17.15" hidden="false" customHeight="false" outlineLevel="0" collapsed="false">
      <c r="A4" s="28" t="s">
        <v>798</v>
      </c>
    </row>
    <row r="5" customFormat="false" ht="15" hidden="false" customHeight="false" outlineLevel="0" collapsed="false">
      <c r="A5" s="3" t="s">
        <v>43</v>
      </c>
      <c r="B5" s="3" t="s">
        <v>44</v>
      </c>
      <c r="C5" s="20" t="s">
        <v>592</v>
      </c>
      <c r="D5" s="20" t="s">
        <v>731</v>
      </c>
      <c r="E5" s="20" t="s">
        <v>732</v>
      </c>
      <c r="F5" s="20" t="s">
        <v>733</v>
      </c>
      <c r="G5" s="20" t="s">
        <v>734</v>
      </c>
      <c r="H5" s="20" t="s">
        <v>735</v>
      </c>
      <c r="I5" s="20" t="s">
        <v>736</v>
      </c>
      <c r="J5" s="20" t="s">
        <v>737</v>
      </c>
      <c r="K5" s="20" t="s">
        <v>738</v>
      </c>
      <c r="L5" s="20" t="s">
        <v>739</v>
      </c>
      <c r="M5" s="20" t="s">
        <v>740</v>
      </c>
      <c r="N5" s="3" t="s">
        <v>50</v>
      </c>
    </row>
    <row r="6" customFormat="false" ht="17.15" hidden="false" customHeight="false" outlineLevel="0" collapsed="false">
      <c r="A6" s="0" t="s">
        <v>799</v>
      </c>
      <c r="B6" s="0" t="s">
        <v>89</v>
      </c>
      <c r="F6" s="17" t="n">
        <f aca="false">k0</f>
        <v>1.86661251869776</v>
      </c>
      <c r="H6" s="17" t="n">
        <f aca="false">k0+(k30_A-k0)*MIN(1,(2027-2026)/conv_k)</f>
        <v>1.79995938902332</v>
      </c>
      <c r="I6" s="17" t="n">
        <f aca="false">k0+(k30_A-k0)*MIN(1,(2028-2026)/conv_k)</f>
        <v>1.73330625934888</v>
      </c>
      <c r="J6" s="17" t="n">
        <f aca="false">k0+(k30_A-k0)*MIN(1,(2029-2026)/conv_k)</f>
        <v>1.66665312967444</v>
      </c>
      <c r="K6" s="17" t="n">
        <f aca="false">k0+(k30_A-k0)*MIN(1,(2030-2026)/conv_k)</f>
        <v>1.6</v>
      </c>
      <c r="L6" s="17" t="n">
        <f aca="false">k0+(k30_A-k0)*MIN(1,(2031-2026)/conv_k)</f>
        <v>1.6</v>
      </c>
      <c r="M6" s="17" t="n">
        <f aca="false">k0+(k30_A-k0)*MIN(1,(2032-2026)/conv_k)</f>
        <v>1.6</v>
      </c>
    </row>
    <row r="7" customFormat="false" ht="17.15" hidden="false" customHeight="false" outlineLevel="0" collapsed="false">
      <c r="A7" s="4" t="s">
        <v>800</v>
      </c>
      <c r="B7" s="0" t="s">
        <v>710</v>
      </c>
      <c r="F7" s="17" t="n">
        <f aca="false">F6*Thesis!F33</f>
        <v>18.3563017206634</v>
      </c>
      <c r="H7" s="17" t="n">
        <f aca="false">H6*Thesis!H33</f>
        <v>18.6961705777875</v>
      </c>
      <c r="I7" s="17" t="n">
        <f aca="false">I6*Thesis!I33</f>
        <v>18.936414454371</v>
      </c>
      <c r="J7" s="17" t="n">
        <f aca="false">J6*Thesis!J33</f>
        <v>18.7305362510183</v>
      </c>
      <c r="K7" s="17" t="n">
        <f aca="false">K6*Thesis!K33</f>
        <v>18.2239330956745</v>
      </c>
      <c r="L7" s="17" t="n">
        <f aca="false">L6*Thesis!L33</f>
        <v>18.3511770607648</v>
      </c>
      <c r="M7" s="17" t="n">
        <f aca="false">M6*Thesis!M33</f>
        <v>18.4113900437032</v>
      </c>
    </row>
    <row r="8" customFormat="false" ht="17.15" hidden="false" customHeight="false" outlineLevel="0" collapsed="false">
      <c r="A8" s="0" t="s">
        <v>801</v>
      </c>
      <c r="B8" s="0" t="s">
        <v>95</v>
      </c>
      <c r="E8" s="14" t="n">
        <f aca="false">Thesis!C11</f>
        <v>6.63552</v>
      </c>
      <c r="F8" s="14" t="n">
        <f aca="false">Thesis!F31*F7*0.25</f>
        <v>6.28901947088364</v>
      </c>
      <c r="G8" s="14" t="n">
        <f aca="false">E8+F8</f>
        <v>12.9245394708836</v>
      </c>
      <c r="H8" s="14" t="n">
        <f aca="false">Thesis!H31*H7*1</f>
        <v>39.3105079331401</v>
      </c>
      <c r="I8" s="14" t="n">
        <f aca="false">Thesis!I31*I7*1</f>
        <v>61.9989407872122</v>
      </c>
      <c r="J8" s="14" t="n">
        <f aca="false">Thesis!J31*J7*1</f>
        <v>80.7953466601032</v>
      </c>
      <c r="K8" s="14" t="n">
        <f aca="false">Thesis!K31*K7*1</f>
        <v>92.8683635508116</v>
      </c>
      <c r="L8" s="14" t="n">
        <f aca="false">Thesis!L31*L7*1</f>
        <v>103.354490220931</v>
      </c>
      <c r="M8" s="14" t="n">
        <f aca="false">Thesis!M31*M7*1</f>
        <v>109.125924088674</v>
      </c>
      <c r="N8" s="4" t="s">
        <v>802</v>
      </c>
    </row>
    <row r="9" customFormat="false" ht="17.15" hidden="false" customHeight="false" outlineLevel="0" collapsed="false">
      <c r="A9" s="0" t="s">
        <v>803</v>
      </c>
      <c r="B9" s="0" t="s">
        <v>126</v>
      </c>
      <c r="H9" s="16" t="n">
        <f aca="false">g27_nr+(gl_nr-g27_nr)*MIN(1,(2027-2027)/(conv_n-1))</f>
        <v>0.5</v>
      </c>
      <c r="I9" s="16" t="n">
        <f aca="false">g27_nr+(gl_nr-g27_nr)*MIN(1,(2028-2027)/(conv_n-1))</f>
        <v>0.383333333333333</v>
      </c>
      <c r="J9" s="16" t="n">
        <f aca="false">g27_nr+(gl_nr-g27_nr)*MIN(1,(2029-2027)/(conv_n-1))</f>
        <v>0.266666666666667</v>
      </c>
      <c r="K9" s="16" t="n">
        <f aca="false">g27_nr+(gl_nr-g27_nr)*MIN(1,(2030-2027)/(conv_n-1))</f>
        <v>0.15</v>
      </c>
      <c r="L9" s="16" t="n">
        <f aca="false">g27_nr+(gl_nr-g27_nr)*MIN(1,(2031-2027)/(conv_n-1))</f>
        <v>0.15</v>
      </c>
      <c r="M9" s="16" t="n">
        <f aca="false">g27_nr+(gl_nr-g27_nr)*MIN(1,(2032-2027)/(conv_n-1))</f>
        <v>0.15</v>
      </c>
      <c r="N9" s="7" t="s">
        <v>804</v>
      </c>
    </row>
    <row r="10" customFormat="false" ht="17.15" hidden="false" customHeight="false" outlineLevel="0" collapsed="false">
      <c r="A10" s="0" t="s">
        <v>805</v>
      </c>
      <c r="B10" s="0" t="s">
        <v>95</v>
      </c>
      <c r="E10" s="14" t="n">
        <f aca="false">Q!H14-E8</f>
        <v>3.05548</v>
      </c>
      <c r="F10" s="14" t="n">
        <f aca="false">nr_q3+cur_pf</f>
        <v>2.50516</v>
      </c>
      <c r="G10" s="14" t="n">
        <f aca="false">E10+F10</f>
        <v>5.56064</v>
      </c>
      <c r="H10" s="14" t="n">
        <f aca="false">F10*4*(1+H9)^0.625</f>
        <v>12.9107804793285</v>
      </c>
      <c r="I10" s="14" t="n">
        <f aca="false">H10*(1+I9)</f>
        <v>17.8599129964044</v>
      </c>
      <c r="J10" s="14" t="n">
        <f aca="false">I10*(1+J9)</f>
        <v>22.6225564621123</v>
      </c>
      <c r="K10" s="14" t="n">
        <f aca="false">J10*(1+K9)</f>
        <v>26.0159399314291</v>
      </c>
      <c r="L10" s="14" t="n">
        <f aca="false">K10*(1+L9)</f>
        <v>29.9183309211435</v>
      </c>
      <c r="M10" s="14" t="n">
        <f aca="false">L10*(1+M9)</f>
        <v>34.406080559315</v>
      </c>
      <c r="N10" s="7" t="s">
        <v>806</v>
      </c>
    </row>
    <row r="11" customFormat="false" ht="15" hidden="false" customHeight="false" outlineLevel="0" collapsed="false">
      <c r="A11" s="5" t="s">
        <v>606</v>
      </c>
      <c r="B11" s="7" t="s">
        <v>95</v>
      </c>
      <c r="D11" s="14" t="n">
        <f aca="false">Q!G14</f>
        <v>0.955</v>
      </c>
      <c r="E11" s="14" t="n">
        <f aca="false">Q!H14</f>
        <v>9.691</v>
      </c>
      <c r="F11" s="14" t="n">
        <f aca="false">F8+F10</f>
        <v>8.79417947088364</v>
      </c>
      <c r="G11" s="14" t="n">
        <f aca="false">E11+F11</f>
        <v>18.4851794708836</v>
      </c>
      <c r="H11" s="14" t="n">
        <f aca="false">H8+H10</f>
        <v>52.2212884124686</v>
      </c>
      <c r="I11" s="14" t="n">
        <f aca="false">I8+I10</f>
        <v>79.8588537836166</v>
      </c>
      <c r="J11" s="14" t="n">
        <f aca="false">J8+J10</f>
        <v>103.417903122215</v>
      </c>
      <c r="K11" s="14" t="n">
        <f aca="false">K8+K10</f>
        <v>118.884303482241</v>
      </c>
      <c r="L11" s="14" t="n">
        <f aca="false">L8+L10</f>
        <v>133.272821142074</v>
      </c>
      <c r="M11" s="14" t="n">
        <f aca="false">M8+M10</f>
        <v>143.532004647989</v>
      </c>
    </row>
    <row r="12" customFormat="false" ht="17.15" hidden="false" customHeight="false" outlineLevel="0" collapsed="false">
      <c r="A12" s="0" t="s">
        <v>807</v>
      </c>
      <c r="B12" s="0" t="s">
        <v>126</v>
      </c>
      <c r="F12" s="16" t="n">
        <f aca="false">g0_ads</f>
        <v>-0.0566893424036281</v>
      </c>
      <c r="H12" s="16" t="n">
        <f aca="false">g0_ads+(gl_ads-g0_ads)*MIN(1,(2027-2026)/conv_n)</f>
        <v>-0.0350170068027211</v>
      </c>
      <c r="I12" s="16" t="n">
        <f aca="false">g0_ads+(gl_ads-g0_ads)*MIN(1,(2028-2026)/conv_n)</f>
        <v>-0.0133446712018141</v>
      </c>
      <c r="J12" s="16" t="n">
        <f aca="false">g0_ads+(gl_ads-g0_ads)*MIN(1,(2029-2026)/conv_n)</f>
        <v>0.00832766439909297</v>
      </c>
      <c r="K12" s="16" t="n">
        <f aca="false">g0_ads+(gl_ads-g0_ads)*MIN(1,(2030-2026)/conv_n)</f>
        <v>0.03</v>
      </c>
      <c r="L12" s="16" t="n">
        <f aca="false">g0_ads+(gl_ads-g0_ads)*MIN(1,(2031-2026)/conv_n)</f>
        <v>0.03</v>
      </c>
      <c r="M12" s="16" t="n">
        <f aca="false">g0_ads+(gl_ads-g0_ads)*MIN(1,(2032-2026)/conv_n)</f>
        <v>0.03</v>
      </c>
      <c r="N12" s="4" t="s">
        <v>808</v>
      </c>
    </row>
    <row r="13" customFormat="false" ht="15" hidden="false" customHeight="false" outlineLevel="0" collapsed="false">
      <c r="A13" s="5" t="s">
        <v>605</v>
      </c>
      <c r="B13" s="7" t="s">
        <v>95</v>
      </c>
      <c r="D13" s="14" t="n">
        <f aca="false">Q!G13</f>
        <v>1.323</v>
      </c>
      <c r="E13" s="14" t="n">
        <f aca="false">Q!H13</f>
        <v>1.248</v>
      </c>
      <c r="F13" s="14" t="n">
        <f aca="false">ads_q3*(1+F12)^0.25</f>
        <v>0.530207615057733</v>
      </c>
      <c r="G13" s="14" t="n">
        <f aca="false">E13+F13</f>
        <v>1.77820761505773</v>
      </c>
      <c r="H13" s="14" t="n">
        <f aca="false">G13*(1+H12)</f>
        <v>1.71594010690461</v>
      </c>
      <c r="I13" s="14" t="n">
        <f aca="false">H13*(1+I12)</f>
        <v>1.69304145037596</v>
      </c>
      <c r="J13" s="14" t="n">
        <f aca="false">I13*(1+J12)</f>
        <v>1.70714053138844</v>
      </c>
      <c r="K13" s="14" t="n">
        <f aca="false">J13*(1+K12)</f>
        <v>1.7583547473301</v>
      </c>
      <c r="L13" s="14" t="n">
        <f aca="false">K13*(1+L12)</f>
        <v>1.81110538975</v>
      </c>
      <c r="M13" s="14" t="n">
        <f aca="false">L13*(1+M12)</f>
        <v>1.8654385514425</v>
      </c>
    </row>
    <row r="14" customFormat="false" ht="15" hidden="false" customHeight="false" outlineLevel="0" collapsed="false">
      <c r="A14" s="29" t="s">
        <v>809</v>
      </c>
      <c r="B14" s="30" t="s">
        <v>95</v>
      </c>
      <c r="C14" s="31" t="n">
        <f aca="false">Q!I15</f>
        <v>3.201</v>
      </c>
      <c r="D14" s="31" t="n">
        <f aca="false">Q!G15</f>
        <v>2.278</v>
      </c>
      <c r="E14" s="31" t="n">
        <f aca="false">Q!H15</f>
        <v>10.939</v>
      </c>
      <c r="F14" s="31" t="n">
        <f aca="false">F13+F11</f>
        <v>9.32438708594137</v>
      </c>
      <c r="G14" s="31" t="n">
        <f aca="false">E14+F14</f>
        <v>20.2633870859414</v>
      </c>
      <c r="H14" s="31" t="n">
        <f aca="false">H13+H11</f>
        <v>53.9372285193732</v>
      </c>
      <c r="I14" s="31" t="n">
        <f aca="false">I13+I11</f>
        <v>81.5518952339926</v>
      </c>
      <c r="J14" s="31" t="n">
        <f aca="false">J13+J11</f>
        <v>105.125043653604</v>
      </c>
      <c r="K14" s="31" t="n">
        <f aca="false">K13+K11</f>
        <v>120.642658229571</v>
      </c>
      <c r="L14" s="31" t="n">
        <f aca="false">L13+L11</f>
        <v>135.083926531824</v>
      </c>
      <c r="M14" s="31" t="n">
        <f aca="false">M13+M11</f>
        <v>145.397443199432</v>
      </c>
      <c r="N14" s="30"/>
    </row>
    <row r="15" customFormat="false" ht="15" hidden="false" customHeight="false" outlineLevel="0" collapsed="false">
      <c r="A15" s="4" t="s">
        <v>810</v>
      </c>
      <c r="B15" s="4" t="s">
        <v>383</v>
      </c>
      <c r="E15" s="18" t="n">
        <f aca="false">Q!H57</f>
        <v>29</v>
      </c>
      <c r="F15" s="18" t="n">
        <f aca="false">nl_q4</f>
        <v>12</v>
      </c>
      <c r="G15" s="18" t="n">
        <f aca="false">E15+F15</f>
        <v>41</v>
      </c>
      <c r="H15" s="18" t="n">
        <f aca="false">nl_27</f>
        <v>48</v>
      </c>
      <c r="I15" s="18" t="n">
        <f aca="false">H15*(1+g_nl)</f>
        <v>50.4</v>
      </c>
      <c r="J15" s="18" t="n">
        <f aca="false">I15*(1+g_nl)</f>
        <v>52.92</v>
      </c>
      <c r="K15" s="18" t="n">
        <f aca="false">J15*(1+g_nl)</f>
        <v>55.566</v>
      </c>
      <c r="L15" s="18" t="n">
        <f aca="false">K15*(1+g_nl)</f>
        <v>58.3443</v>
      </c>
      <c r="M15" s="18" t="n">
        <f aca="false">L15*(1+g_nl)</f>
        <v>61.261515</v>
      </c>
    </row>
    <row r="16" customFormat="false" ht="17.15" hidden="false" customHeight="false" outlineLevel="0" collapsed="false">
      <c r="A16" s="4" t="s">
        <v>811</v>
      </c>
      <c r="B16" s="0" t="s">
        <v>684</v>
      </c>
      <c r="E16" s="26" t="n">
        <f aca="false">rpl0</f>
        <v>0.0726896551724138</v>
      </c>
      <c r="F16" s="26" t="n">
        <f aca="false">rpl0</f>
        <v>0.0726896551724138</v>
      </c>
      <c r="H16" s="26" t="n">
        <f aca="false">rpl0*(1+g_rpl)^(2027-2026)</f>
        <v>0.0748703448275862</v>
      </c>
      <c r="I16" s="26" t="n">
        <f aca="false">rpl0*(1+g_rpl)^(2028-2026)</f>
        <v>0.0771164551724138</v>
      </c>
      <c r="J16" s="26" t="n">
        <f aca="false">rpl0*(1+g_rpl)^(2029-2026)</f>
        <v>0.0794299488275862</v>
      </c>
      <c r="K16" s="26" t="n">
        <f aca="false">rpl0*(1+g_rpl)^(2030-2026)</f>
        <v>0.0818128472924138</v>
      </c>
      <c r="L16" s="26" t="n">
        <f aca="false">rpl0*(1+g_rpl)^(2031-2026)</f>
        <v>0.0842672327111862</v>
      </c>
      <c r="M16" s="26" t="n">
        <f aca="false">rpl0*(1+g_rpl)^(2032-2026)</f>
        <v>0.0867952496925218</v>
      </c>
    </row>
    <row r="17" customFormat="false" ht="15" hidden="false" customHeight="false" outlineLevel="0" collapsed="false">
      <c r="A17" s="5" t="s">
        <v>594</v>
      </c>
      <c r="B17" s="7" t="s">
        <v>95</v>
      </c>
      <c r="D17" s="14" t="n">
        <f aca="false">Q!G5</f>
        <v>2.056</v>
      </c>
      <c r="E17" s="14" t="n">
        <f aca="false">Q!H5</f>
        <v>2.108</v>
      </c>
      <c r="F17" s="14" t="n">
        <f aca="false">F15*F16</f>
        <v>0.872275862068966</v>
      </c>
      <c r="G17" s="14" t="n">
        <f aca="false">E17+F17</f>
        <v>2.98027586206897</v>
      </c>
      <c r="H17" s="14" t="n">
        <f aca="false">H15*H16</f>
        <v>3.59377655172414</v>
      </c>
      <c r="I17" s="14" t="n">
        <f aca="false">I15*I16</f>
        <v>3.88666934068966</v>
      </c>
      <c r="J17" s="14" t="n">
        <f aca="false">J15*J16</f>
        <v>4.20343289195586</v>
      </c>
      <c r="K17" s="14" t="n">
        <f aca="false">K15*K16</f>
        <v>4.54601267265027</v>
      </c>
      <c r="L17" s="14" t="n">
        <f aca="false">L15*L16</f>
        <v>4.91651270547126</v>
      </c>
      <c r="M17" s="14" t="n">
        <f aca="false">M15*M16</f>
        <v>5.31720849096717</v>
      </c>
    </row>
    <row r="18" customFormat="false" ht="17.15" hidden="false" customHeight="false" outlineLevel="0" collapsed="false">
      <c r="A18" s="0" t="s">
        <v>812</v>
      </c>
      <c r="B18" s="0" t="s">
        <v>126</v>
      </c>
      <c r="F18" s="16" t="n">
        <f aca="false">g0_ld</f>
        <v>0.0155610155610155</v>
      </c>
      <c r="H18" s="16" t="n">
        <f aca="false">g0_ld+(gl_ld-g0_ld)*MIN(1,(2027-2026)/conv_n)</f>
        <v>0.0316707616707616</v>
      </c>
      <c r="I18" s="16" t="n">
        <f aca="false">g0_ld+(gl_ld-g0_ld)*MIN(1,(2028-2026)/conv_n)</f>
        <v>0.0477805077805078</v>
      </c>
      <c r="J18" s="16" t="n">
        <f aca="false">g0_ld+(gl_ld-g0_ld)*MIN(1,(2029-2026)/conv_n)</f>
        <v>0.0638902538902539</v>
      </c>
      <c r="K18" s="16" t="n">
        <f aca="false">g0_ld+(gl_ld-g0_ld)*MIN(1,(2030-2026)/conv_n)</f>
        <v>0.08</v>
      </c>
      <c r="L18" s="16" t="n">
        <f aca="false">g0_ld+(gl_ld-g0_ld)*MIN(1,(2031-2026)/conv_n)</f>
        <v>0.08</v>
      </c>
      <c r="M18" s="16" t="n">
        <f aca="false">g0_ld+(gl_ld-g0_ld)*MIN(1,(2032-2026)/conv_n)</f>
        <v>0.08</v>
      </c>
    </row>
    <row r="19" customFormat="false" ht="17.15" hidden="false" customHeight="false" outlineLevel="0" collapsed="false">
      <c r="A19" s="5" t="s">
        <v>597</v>
      </c>
      <c r="B19" s="7" t="s">
        <v>95</v>
      </c>
      <c r="D19" s="14" t="n">
        <f aca="false">Q!G6</f>
        <v>1.221</v>
      </c>
      <c r="E19" s="14" t="n">
        <f aca="false">Q!H6</f>
        <v>1.24</v>
      </c>
      <c r="F19" s="14" t="n">
        <f aca="false">ld_9m/3*(1+F18)^0.25</f>
        <v>0.414932006086979</v>
      </c>
      <c r="G19" s="14" t="n">
        <f aca="false">E19+F19</f>
        <v>1.65493200608698</v>
      </c>
      <c r="H19" s="14" t="n">
        <f aca="false">G19*(1+H18)</f>
        <v>1.70734496323307</v>
      </c>
      <c r="I19" s="14" t="n">
        <f aca="false">H19*(1+I18)</f>
        <v>1.78892277253284</v>
      </c>
      <c r="J19" s="14" t="n">
        <f aca="false">I19*(1+J18)</f>
        <v>1.90321750266002</v>
      </c>
      <c r="K19" s="14" t="n">
        <f aca="false">J19*(1+K18)</f>
        <v>2.05547490287283</v>
      </c>
      <c r="L19" s="14" t="n">
        <f aca="false">K19*(1+L18)</f>
        <v>2.21991289510265</v>
      </c>
      <c r="M19" s="14" t="n">
        <f aca="false">L19*(1+M18)</f>
        <v>2.39750592671086</v>
      </c>
      <c r="N19" s="7" t="s">
        <v>813</v>
      </c>
    </row>
    <row r="20" customFormat="false" ht="15" hidden="false" customHeight="false" outlineLevel="0" collapsed="false">
      <c r="A20" s="29" t="s">
        <v>814</v>
      </c>
      <c r="B20" s="30" t="s">
        <v>95</v>
      </c>
      <c r="C20" s="31" t="n">
        <f aca="false">Q!I7</f>
        <v>4.086</v>
      </c>
      <c r="D20" s="31" t="n">
        <f aca="false">Q!G7</f>
        <v>3.277</v>
      </c>
      <c r="E20" s="31" t="n">
        <f aca="false">Q!H7</f>
        <v>3.348</v>
      </c>
      <c r="F20" s="31" t="n">
        <f aca="false">F17+F19</f>
        <v>1.28720786815594</v>
      </c>
      <c r="G20" s="31" t="n">
        <f aca="false">E20+F20</f>
        <v>4.63520786815594</v>
      </c>
      <c r="H20" s="31" t="n">
        <f aca="false">H17+H19</f>
        <v>5.30112151495721</v>
      </c>
      <c r="I20" s="31" t="n">
        <f aca="false">I17+I19</f>
        <v>5.6755921132225</v>
      </c>
      <c r="J20" s="31" t="n">
        <f aca="false">J17+J19</f>
        <v>6.10665039461589</v>
      </c>
      <c r="K20" s="31" t="n">
        <f aca="false">K17+K19</f>
        <v>6.60148757552309</v>
      </c>
      <c r="L20" s="31" t="n">
        <f aca="false">L17+L19</f>
        <v>7.13642560057392</v>
      </c>
      <c r="M20" s="31" t="n">
        <f aca="false">M17+M19</f>
        <v>7.71471441767804</v>
      </c>
      <c r="N20" s="30"/>
    </row>
    <row r="21" customFormat="false" ht="17.15" hidden="false" customHeight="false" outlineLevel="0" collapsed="false">
      <c r="A21" s="0" t="s">
        <v>815</v>
      </c>
      <c r="B21" s="4" t="s">
        <v>410</v>
      </c>
      <c r="E21" s="17" t="n">
        <f aca="false">subs_q3</f>
        <v>13.6</v>
      </c>
      <c r="F21" s="17" t="n">
        <f aca="false">E21+nadd_q4</f>
        <v>15.2</v>
      </c>
      <c r="H21" s="17" t="n">
        <f aca="false">F21+nadd_A</f>
        <v>22.2</v>
      </c>
      <c r="I21" s="17" t="n">
        <f aca="false">H21+nadd_A*(1-nadd_dec)^(2028-2027)</f>
        <v>28.5</v>
      </c>
      <c r="J21" s="17" t="n">
        <f aca="false">I21+nadd_A*(1-nadd_dec)^(2029-2027)</f>
        <v>34.17</v>
      </c>
      <c r="K21" s="17" t="n">
        <f aca="false">J21+nadd_A*(1-nadd_dec)^(2030-2027)</f>
        <v>39.273</v>
      </c>
      <c r="L21" s="17" t="n">
        <f aca="false">K21+nadd_A*(1-nadd_dec)^(2031-2027)</f>
        <v>43.8657</v>
      </c>
      <c r="M21" s="17" t="n">
        <f aca="false">L21+nadd_A*(1-nadd_dec)^(2032-2027)</f>
        <v>47.99913</v>
      </c>
    </row>
    <row r="22" customFormat="false" ht="15" hidden="false" customHeight="false" outlineLevel="0" collapsed="false">
      <c r="A22" s="4" t="s">
        <v>816</v>
      </c>
      <c r="B22" s="4" t="s">
        <v>410</v>
      </c>
      <c r="F22" s="17" t="n">
        <f aca="false">(E21+F21)/2</f>
        <v>14.4</v>
      </c>
      <c r="H22" s="17" t="n">
        <f aca="false">(F21+H21)/2</f>
        <v>18.7</v>
      </c>
      <c r="I22" s="17" t="n">
        <f aca="false">(H21+I21)/2</f>
        <v>25.35</v>
      </c>
      <c r="J22" s="17" t="n">
        <f aca="false">(I21+J21)/2</f>
        <v>31.335</v>
      </c>
      <c r="K22" s="17" t="n">
        <f aca="false">(J21+K21)/2</f>
        <v>36.7215</v>
      </c>
      <c r="L22" s="17" t="n">
        <f aca="false">(K21+L21)/2</f>
        <v>41.56935</v>
      </c>
      <c r="M22" s="17" t="n">
        <f aca="false">(L21+M21)/2</f>
        <v>45.932415</v>
      </c>
    </row>
    <row r="23" customFormat="false" ht="17.15" hidden="false" customHeight="false" outlineLevel="0" collapsed="false">
      <c r="A23" s="4" t="s">
        <v>817</v>
      </c>
      <c r="B23" s="0" t="s">
        <v>54</v>
      </c>
      <c r="F23" s="17" t="n">
        <f aca="false">arpu0*(1+g_arpu)^0.25</f>
        <v>68.6523818910955</v>
      </c>
      <c r="H23" s="17" t="n">
        <f aca="false">arpu0*(1+g_arpu)^(2027+0.5-2026.75)</f>
        <v>67.962390691723</v>
      </c>
      <c r="I23" s="17" t="n">
        <f aca="false">arpu0*(1+g_arpu)^(2028+0.5-2026.75)</f>
        <v>66.6031428778885</v>
      </c>
      <c r="J23" s="17" t="n">
        <f aca="false">arpu0*(1+g_arpu)^(2029+0.5-2026.75)</f>
        <v>65.2710800203308</v>
      </c>
      <c r="K23" s="17" t="n">
        <f aca="false">arpu0*(1+g_arpu)^(2030+0.5-2026.75)</f>
        <v>63.9656584199242</v>
      </c>
      <c r="L23" s="17" t="n">
        <f aca="false">arpu0*(1+g_arpu)^(2031+0.5-2026.75)</f>
        <v>62.6863452515257</v>
      </c>
      <c r="M23" s="17" t="n">
        <f aca="false">arpu0*(1+g_arpu)^(2032+0.5-2026.75)</f>
        <v>61.4326183464952</v>
      </c>
    </row>
    <row r="24" customFormat="false" ht="17.15" hidden="false" customHeight="false" outlineLevel="0" collapsed="false">
      <c r="A24" s="5" t="s">
        <v>601</v>
      </c>
      <c r="B24" s="7" t="s">
        <v>95</v>
      </c>
      <c r="D24" s="14" t="n">
        <f aca="false">Q!G9</f>
        <v>5.198</v>
      </c>
      <c r="E24" s="14" t="n">
        <f aca="false">Q!H9</f>
        <v>7.754</v>
      </c>
      <c r="F24" s="14" t="n">
        <f aca="false">F22*F23/1000*12*0.25*uplift</f>
        <v>3.49343615025178</v>
      </c>
      <c r="G24" s="14" t="n">
        <f aca="false">E24+F24</f>
        <v>11.2474361502518</v>
      </c>
      <c r="H24" s="14" t="n">
        <f aca="false">H22*H23/1000*12*1*uplift</f>
        <v>17.9640788914122</v>
      </c>
      <c r="I24" s="14" t="n">
        <f aca="false">I22*I23/1000*12*1*uplift</f>
        <v>23.8653268395377</v>
      </c>
      <c r="J24" s="14" t="n">
        <f aca="false">J22*J23/1000*12*1*uplift</f>
        <v>28.909807344638</v>
      </c>
      <c r="K24" s="14" t="n">
        <f aca="false">K22*K23/1000*12*1*uplift</f>
        <v>33.2018273686933</v>
      </c>
      <c r="L24" s="14" t="n">
        <f aca="false">L22*L23/1000*12*1*uplift</f>
        <v>36.8333214840955</v>
      </c>
      <c r="M24" s="14" t="n">
        <f aca="false">M22*M23/1000*12*1*uplift</f>
        <v>39.8853130989821</v>
      </c>
      <c r="N24" s="4" t="s">
        <v>818</v>
      </c>
    </row>
    <row r="25" customFormat="false" ht="17.15" hidden="false" customHeight="false" outlineLevel="0" collapsed="false">
      <c r="A25" s="0" t="s">
        <v>819</v>
      </c>
      <c r="B25" s="0" t="s">
        <v>126</v>
      </c>
      <c r="F25" s="16" t="n">
        <f aca="false">g0_eg+g0_eg_adj</f>
        <v>0.702803107058426</v>
      </c>
      <c r="H25" s="16" t="n">
        <f aca="false">g0_eg+g0_eg_adj+(gl_eg-g0_eg+g0_eg_adj)*MIN(1,(2027-2026)/conv_n)</f>
        <v>0.55210233029382</v>
      </c>
      <c r="I25" s="16" t="n">
        <f aca="false">g0_eg+g0_eg_adj+(gl_eg-g0_eg+g0_eg_adj)*MIN(1,(2028-2026)/conv_n)</f>
        <v>0.401401553529213</v>
      </c>
      <c r="J25" s="16" t="n">
        <f aca="false">g0_eg+g0_eg_adj+(gl_eg-g0_eg+g0_eg_adj)*MIN(1,(2029-2026)/conv_n)</f>
        <v>0.250700776764607</v>
      </c>
      <c r="K25" s="16" t="n">
        <f aca="false">g0_eg+g0_eg_adj+(gl_eg-g0_eg+g0_eg_adj)*MIN(1,(2030-2026)/conv_n)</f>
        <v>0.1</v>
      </c>
      <c r="L25" s="16" t="n">
        <f aca="false">g0_eg+g0_eg_adj+(gl_eg-g0_eg+g0_eg_adj)*MIN(1,(2031-2026)/conv_n)</f>
        <v>0.1</v>
      </c>
      <c r="M25" s="16" t="n">
        <f aca="false">g0_eg+g0_eg_adj+(gl_eg-g0_eg+g0_eg_adj)*MIN(1,(2032-2026)/conv_n)</f>
        <v>0.1</v>
      </c>
      <c r="N25" s="4" t="s">
        <v>820</v>
      </c>
    </row>
    <row r="26" customFormat="false" ht="15" hidden="false" customHeight="false" outlineLevel="0" collapsed="false">
      <c r="A26" s="5" t="s">
        <v>602</v>
      </c>
      <c r="B26" s="7" t="s">
        <v>95</v>
      </c>
      <c r="D26" s="14" t="n">
        <f aca="false">Q!G10</f>
        <v>2.961</v>
      </c>
      <c r="E26" s="14" t="n">
        <f aca="false">Q!H10</f>
        <v>5.042</v>
      </c>
      <c r="F26" s="14" t="n">
        <f aca="false">eg_q3*(1+F25)^0.25</f>
        <v>2.42973325841983</v>
      </c>
      <c r="G26" s="14" t="n">
        <f aca="false">E26+F26</f>
        <v>7.47173325841983</v>
      </c>
      <c r="H26" s="14" t="n">
        <f aca="false">G26*(1+H25)</f>
        <v>11.5968946017273</v>
      </c>
      <c r="I26" s="14" t="n">
        <f aca="false">H26*(1+I25)</f>
        <v>16.2519061109751</v>
      </c>
      <c r="J26" s="14" t="n">
        <f aca="false">I26*(1+J25)</f>
        <v>20.326271596902</v>
      </c>
      <c r="K26" s="14" t="n">
        <f aca="false">J26*(1+K25)</f>
        <v>22.3588987565922</v>
      </c>
      <c r="L26" s="14" t="n">
        <f aca="false">K26*(1+L25)</f>
        <v>24.5947886322515</v>
      </c>
      <c r="M26" s="14" t="n">
        <f aca="false">L26*(1+M25)</f>
        <v>27.0542674954766</v>
      </c>
    </row>
    <row r="27" customFormat="false" ht="15" hidden="false" customHeight="false" outlineLevel="0" collapsed="false">
      <c r="A27" s="29" t="s">
        <v>821</v>
      </c>
      <c r="B27" s="30" t="s">
        <v>95</v>
      </c>
      <c r="C27" s="31" t="n">
        <f aca="false">Q!I11</f>
        <v>11.387</v>
      </c>
      <c r="D27" s="31" t="n">
        <f aca="false">Q!G11</f>
        <v>8.159</v>
      </c>
      <c r="E27" s="31" t="n">
        <f aca="false">Q!H11</f>
        <v>12.796</v>
      </c>
      <c r="F27" s="31" t="n">
        <f aca="false">F24+F26</f>
        <v>5.92316940867161</v>
      </c>
      <c r="G27" s="31" t="n">
        <f aca="false">E27+F27</f>
        <v>18.7191694086716</v>
      </c>
      <c r="H27" s="31" t="n">
        <f aca="false">H24+H26</f>
        <v>29.5609734931395</v>
      </c>
      <c r="I27" s="31" t="n">
        <f aca="false">I24+I26</f>
        <v>40.1172329505128</v>
      </c>
      <c r="J27" s="31" t="n">
        <f aca="false">J24+J26</f>
        <v>49.2360789415401</v>
      </c>
      <c r="K27" s="31" t="n">
        <f aca="false">K24+K26</f>
        <v>55.5607261252855</v>
      </c>
      <c r="L27" s="31" t="n">
        <f aca="false">L24+L26</f>
        <v>61.428110116347</v>
      </c>
      <c r="M27" s="31" t="n">
        <f aca="false">M24+M26</f>
        <v>66.9395805944588</v>
      </c>
      <c r="N27" s="30"/>
    </row>
    <row r="28" customFormat="false" ht="15" hidden="false" customHeight="false" outlineLevel="0" collapsed="false">
      <c r="A28" s="2" t="s">
        <v>609</v>
      </c>
      <c r="B28" s="7" t="s">
        <v>95</v>
      </c>
      <c r="C28" s="14" t="n">
        <f aca="false">Q!I17</f>
        <v>18.674</v>
      </c>
      <c r="D28" s="14" t="n">
        <f aca="false">Q!G17</f>
        <v>13.714</v>
      </c>
      <c r="E28" s="14" t="n">
        <f aca="false">Q!H17</f>
        <v>27.083</v>
      </c>
      <c r="F28" s="14" t="n">
        <f aca="false">F20+F27+F14</f>
        <v>16.5347643627689</v>
      </c>
      <c r="G28" s="14" t="n">
        <f aca="false">E28+F28</f>
        <v>43.6177643627689</v>
      </c>
      <c r="H28" s="14" t="n">
        <f aca="false">H20+H27+H14</f>
        <v>88.7993235274699</v>
      </c>
      <c r="I28" s="14" t="n">
        <f aca="false">I20+I27+I14</f>
        <v>127.344720297728</v>
      </c>
      <c r="J28" s="14" t="n">
        <f aca="false">J20+J27+J14</f>
        <v>160.46777298976</v>
      </c>
      <c r="K28" s="14" t="n">
        <f aca="false">K20+K27+K14</f>
        <v>182.804871930379</v>
      </c>
      <c r="L28" s="14" t="n">
        <f aca="false">L20+L27+L14</f>
        <v>203.648462248745</v>
      </c>
      <c r="M28" s="14" t="n">
        <f aca="false">M20+M27+M14</f>
        <v>220.051738211568</v>
      </c>
    </row>
    <row r="29" customFormat="false" ht="17.15" hidden="false" customHeight="false" outlineLevel="0" collapsed="false">
      <c r="A29" s="4" t="s">
        <v>599</v>
      </c>
      <c r="B29" s="0" t="s">
        <v>95</v>
      </c>
      <c r="D29" s="21" t="n">
        <f aca="false">D17+D19-D20</f>
        <v>0</v>
      </c>
      <c r="E29" s="21" t="n">
        <f aca="false">E17+E19-E20</f>
        <v>0</v>
      </c>
      <c r="F29" s="21" t="n">
        <f aca="false">F17+F19-F20</f>
        <v>0</v>
      </c>
      <c r="G29" s="21" t="n">
        <f aca="false">G17+G19-G20</f>
        <v>0</v>
      </c>
      <c r="H29" s="21" t="n">
        <f aca="false">H17+H19-H20</f>
        <v>0</v>
      </c>
      <c r="I29" s="21" t="n">
        <f aca="false">I17+I19-I20</f>
        <v>0</v>
      </c>
      <c r="J29" s="21" t="n">
        <f aca="false">J17+J19-J20</f>
        <v>0</v>
      </c>
      <c r="K29" s="21" t="n">
        <f aca="false">K17+K19-K20</f>
        <v>0</v>
      </c>
      <c r="L29" s="21" t="n">
        <f aca="false">L17+L19-L20</f>
        <v>0</v>
      </c>
      <c r="M29" s="21" t="n">
        <f aca="false">M17+M19-M20</f>
        <v>0</v>
      </c>
    </row>
    <row r="30" customFormat="false" ht="17.15" hidden="false" customHeight="false" outlineLevel="0" collapsed="false">
      <c r="A30" s="4" t="s">
        <v>604</v>
      </c>
      <c r="B30" s="0" t="s">
        <v>95</v>
      </c>
      <c r="D30" s="21" t="n">
        <f aca="false">D24+D26-D27</f>
        <v>0</v>
      </c>
      <c r="E30" s="21" t="n">
        <f aca="false">E24+E26-E27</f>
        <v>0</v>
      </c>
      <c r="F30" s="21" t="n">
        <f aca="false">F24+F26-F27</f>
        <v>0</v>
      </c>
      <c r="G30" s="21" t="n">
        <f aca="false">G24+G26-G27</f>
        <v>0</v>
      </c>
      <c r="H30" s="21" t="n">
        <f aca="false">H24+H26-H27</f>
        <v>0</v>
      </c>
      <c r="I30" s="21" t="n">
        <f aca="false">I24+I26-I27</f>
        <v>0</v>
      </c>
      <c r="J30" s="21" t="n">
        <f aca="false">J24+J26-J27</f>
        <v>0</v>
      </c>
      <c r="K30" s="21" t="n">
        <f aca="false">K24+K26-K27</f>
        <v>0</v>
      </c>
      <c r="L30" s="21" t="n">
        <f aca="false">L24+L26-L27</f>
        <v>0</v>
      </c>
      <c r="M30" s="21" t="n">
        <f aca="false">M24+M26-M27</f>
        <v>0</v>
      </c>
    </row>
    <row r="31" customFormat="false" ht="17.15" hidden="false" customHeight="false" outlineLevel="0" collapsed="false">
      <c r="A31" s="4" t="s">
        <v>608</v>
      </c>
      <c r="B31" s="0" t="s">
        <v>95</v>
      </c>
      <c r="D31" s="21" t="n">
        <f aca="false">D13+D11-D14</f>
        <v>0</v>
      </c>
      <c r="E31" s="21" t="n">
        <f aca="false">E13+E11-E14</f>
        <v>0</v>
      </c>
      <c r="F31" s="21" t="n">
        <f aca="false">F13+F11-F14</f>
        <v>0</v>
      </c>
      <c r="G31" s="21" t="n">
        <f aca="false">G13+G11-G14</f>
        <v>0</v>
      </c>
      <c r="H31" s="21" t="n">
        <f aca="false">H13+H11-H14</f>
        <v>0</v>
      </c>
      <c r="I31" s="21" t="n">
        <f aca="false">I13+I11-I14</f>
        <v>0</v>
      </c>
      <c r="J31" s="21" t="n">
        <f aca="false">J13+J11-J14</f>
        <v>0</v>
      </c>
      <c r="K31" s="21" t="n">
        <f aca="false">K13+K11-K14</f>
        <v>0</v>
      </c>
      <c r="L31" s="21" t="n">
        <f aca="false">L13+L11-L14</f>
        <v>0</v>
      </c>
      <c r="M31" s="21" t="n">
        <f aca="false">M13+M11-M14</f>
        <v>0</v>
      </c>
    </row>
    <row r="32" customFormat="false" ht="17.15" hidden="false" customHeight="false" outlineLevel="0" collapsed="false">
      <c r="A32" s="4" t="s">
        <v>822</v>
      </c>
      <c r="B32" s="0" t="s">
        <v>95</v>
      </c>
      <c r="E32" s="21" t="n">
        <f aca="false">E8+E10-E11</f>
        <v>0</v>
      </c>
      <c r="F32" s="21" t="n">
        <f aca="false">F8+F10-F11</f>
        <v>0</v>
      </c>
      <c r="G32" s="21" t="n">
        <f aca="false">G8+G10-G11</f>
        <v>0</v>
      </c>
      <c r="H32" s="21" t="n">
        <f aca="false">H8+H10-H11</f>
        <v>0</v>
      </c>
      <c r="I32" s="21" t="n">
        <f aca="false">I8+I10-I11</f>
        <v>0</v>
      </c>
      <c r="J32" s="21" t="n">
        <f aca="false">J8+J10-J11</f>
        <v>0</v>
      </c>
      <c r="K32" s="21" t="n">
        <f aca="false">K8+K10-K11</f>
        <v>0</v>
      </c>
      <c r="L32" s="21" t="n">
        <f aca="false">L8+L10-L11</f>
        <v>0</v>
      </c>
      <c r="M32" s="21" t="n">
        <f aca="false">M8+M10-M11</f>
        <v>0</v>
      </c>
    </row>
    <row r="33" customFormat="false" ht="15" hidden="false" customHeight="false" outlineLevel="0" collapsed="false">
      <c r="A33" s="4" t="s">
        <v>610</v>
      </c>
      <c r="B33" s="0" t="s">
        <v>95</v>
      </c>
      <c r="C33" s="21" t="n">
        <f aca="false">C20+C27+C14-C28</f>
        <v>0</v>
      </c>
      <c r="D33" s="21" t="n">
        <f aca="false">D20+D27+D14-D28</f>
        <v>0</v>
      </c>
      <c r="E33" s="21" t="n">
        <f aca="false">E20+E27+E14-E28</f>
        <v>0</v>
      </c>
      <c r="F33" s="21" t="n">
        <f aca="false">F20+F27+F14-F28</f>
        <v>0</v>
      </c>
      <c r="G33" s="21" t="n">
        <f aca="false">G20+G27+G14-G28</f>
        <v>0</v>
      </c>
      <c r="H33" s="21" t="n">
        <f aca="false">H20+H27+H14-H28</f>
        <v>0</v>
      </c>
      <c r="I33" s="21" t="n">
        <f aca="false">I20+I27+I14-I28</f>
        <v>0</v>
      </c>
      <c r="J33" s="21" t="n">
        <f aca="false">J20+J27+J14-J28</f>
        <v>0</v>
      </c>
      <c r="K33" s="21" t="n">
        <f aca="false">K20+K27+K14-K28</f>
        <v>0</v>
      </c>
      <c r="L33" s="21" t="n">
        <f aca="false">L20+L27+L14-L28</f>
        <v>0</v>
      </c>
      <c r="M33" s="21" t="n">
        <f aca="false">M20+M27+M14-M28</f>
        <v>0</v>
      </c>
    </row>
    <row r="34" customFormat="false" ht="17.15" hidden="false" customHeight="false" outlineLevel="0" collapsed="false">
      <c r="A34" s="4" t="s">
        <v>823</v>
      </c>
      <c r="B34" s="0" t="s">
        <v>95</v>
      </c>
      <c r="C34" s="21" t="n">
        <f aca="false">C28-Q!I17</f>
        <v>0</v>
      </c>
      <c r="D34" s="21" t="n">
        <f aca="false">D28-Q!G17</f>
        <v>0</v>
      </c>
      <c r="E34" s="21" t="n">
        <f aca="false">E28-Q!H17</f>
        <v>0</v>
      </c>
    </row>
    <row r="35" customFormat="false" ht="17.15" hidden="false" customHeight="false" outlineLevel="0" collapsed="false">
      <c r="A35" s="0" t="s">
        <v>824</v>
      </c>
      <c r="B35" s="0" t="s">
        <v>89</v>
      </c>
      <c r="F35" s="17" t="n">
        <f aca="false">F6</f>
        <v>1.86661251869776</v>
      </c>
      <c r="H35" s="17" t="n">
        <f aca="false">H6</f>
        <v>1.79995938902332</v>
      </c>
      <c r="I35" s="17" t="n">
        <f aca="false">I6</f>
        <v>1.73330625934888</v>
      </c>
      <c r="J35" s="17" t="n">
        <f aca="false">J6</f>
        <v>1.66665312967444</v>
      </c>
      <c r="K35" s="17" t="n">
        <f aca="false">K6</f>
        <v>1.6</v>
      </c>
      <c r="L35" s="17" t="n">
        <f aca="false">L6</f>
        <v>1.6</v>
      </c>
      <c r="M35" s="17" t="n">
        <f aca="false">M6</f>
        <v>1.6</v>
      </c>
      <c r="N35" s="4" t="s">
        <v>825</v>
      </c>
    </row>
    <row r="36" customFormat="false" ht="17.15" hidden="false" customHeight="false" outlineLevel="0" collapsed="false">
      <c r="A36" s="0" t="s">
        <v>826</v>
      </c>
      <c r="B36" s="0" t="s">
        <v>126</v>
      </c>
      <c r="F36" s="16" t="n">
        <f aca="false">cx_sp0</f>
        <v>1.14456391875747</v>
      </c>
      <c r="H36" s="16" t="n">
        <f aca="false">cx_sp0+(cx_spl-cx_sp0)*MIN(1,(2027-2026)/conv_n)</f>
        <v>0.9334229390681</v>
      </c>
      <c r="I36" s="16" t="n">
        <f aca="false">cx_sp0+(cx_spl-cx_sp0)*MIN(1,(2028-2026)/conv_n)</f>
        <v>0.722281959378734</v>
      </c>
      <c r="J36" s="16" t="n">
        <f aca="false">cx_sp0+(cx_spl-cx_sp0)*MIN(1,(2029-2026)/conv_n)</f>
        <v>0.511140979689367</v>
      </c>
      <c r="K36" s="16" t="n">
        <f aca="false">cx_sp0+(cx_spl-cx_sp0)*MIN(1,(2030-2026)/conv_n)</f>
        <v>0.3</v>
      </c>
      <c r="L36" s="16" t="n">
        <f aca="false">cx_sp0+(cx_spl-cx_sp0)*MIN(1,(2031-2026)/conv_n)</f>
        <v>0.3</v>
      </c>
      <c r="M36" s="16" t="n">
        <f aca="false">cx_sp0+(cx_spl-cx_sp0)*MIN(1,(2032-2026)/conv_n)</f>
        <v>0.3</v>
      </c>
    </row>
    <row r="37" customFormat="false" ht="17.15" hidden="false" customHeight="false" outlineLevel="0" collapsed="false">
      <c r="A37" s="4" t="s">
        <v>827</v>
      </c>
      <c r="B37" s="0" t="s">
        <v>95</v>
      </c>
      <c r="F37" s="14" t="n">
        <f aca="false">F20*F36</f>
        <v>1.47329168183201</v>
      </c>
      <c r="G37" s="14" t="n">
        <f aca="false">F37</f>
        <v>1.47329168183201</v>
      </c>
      <c r="H37" s="14" t="n">
        <f aca="false">H20*H36</f>
        <v>4.9481884248485</v>
      </c>
      <c r="I37" s="14" t="n">
        <f aca="false">I20*I36</f>
        <v>4.09937779217283</v>
      </c>
      <c r="J37" s="14" t="n">
        <f aca="false">J20*J36</f>
        <v>3.12135926532442</v>
      </c>
      <c r="K37" s="14" t="n">
        <f aca="false">K20*K36</f>
        <v>1.98044627265693</v>
      </c>
      <c r="L37" s="14" t="n">
        <f aca="false">L20*L36</f>
        <v>2.14092768017218</v>
      </c>
      <c r="M37" s="14" t="n">
        <f aca="false">M20*M36</f>
        <v>2.31441432530341</v>
      </c>
    </row>
    <row r="38" customFormat="false" ht="17.15" hidden="false" customHeight="false" outlineLevel="0" collapsed="false">
      <c r="A38" s="4" t="s">
        <v>828</v>
      </c>
      <c r="B38" s="0" t="s">
        <v>95</v>
      </c>
      <c r="F38" s="14" t="n">
        <f aca="false">F27*cx_cn</f>
        <v>1.96358898339989</v>
      </c>
      <c r="G38" s="14" t="n">
        <f aca="false">F38</f>
        <v>1.96358898339989</v>
      </c>
      <c r="H38" s="14" t="n">
        <f aca="false">H27*cx_cn</f>
        <v>9.79975379477163</v>
      </c>
      <c r="I38" s="14" t="n">
        <f aca="false">I27*cx_cn</f>
        <v>13.2992577505529</v>
      </c>
      <c r="J38" s="14" t="n">
        <f aca="false">J27*cx_cn</f>
        <v>16.3222449882786</v>
      </c>
      <c r="K38" s="14" t="n">
        <f aca="false">K27*cx_cn</f>
        <v>18.4189278073977</v>
      </c>
      <c r="L38" s="14" t="n">
        <f aca="false">L27*cx_cn</f>
        <v>20.3640233755505</v>
      </c>
      <c r="M38" s="14" t="n">
        <f aca="false">M27*cx_cn</f>
        <v>22.1911301095416</v>
      </c>
    </row>
    <row r="39" customFormat="false" ht="17.15" hidden="false" customHeight="false" outlineLevel="0" collapsed="false">
      <c r="A39" s="4" t="s">
        <v>829</v>
      </c>
      <c r="B39" s="0" t="s">
        <v>95</v>
      </c>
      <c r="F39" s="14" t="n">
        <f aca="false">($F$37/life_sp*IF((0)&lt;0,0,IF((0)=0,phi_0,IF((0)&lt;life_sp,1,IF((0)=life_sp,1-phi_0,0)))))*0.25</f>
        <v>0.00920807301145008</v>
      </c>
      <c r="G39" s="14" t="n">
        <f aca="false">F39</f>
        <v>0.00920807301145008</v>
      </c>
      <c r="H39" s="14" t="n">
        <f aca="false">($F$37/life_sp*IF((1)&lt;0,0,IF((1)=0,phi_0,IF((1)&lt;life_sp,1,IF((1)=life_sp,1-phi_0,0))))+$H$37/life_sp*IF((0)&lt;0,0,IF((0)=0,phi_0,IF((0)&lt;life_sp,1,IF((0)=life_sp,1-phi_0,0)))))</f>
        <v>0.271033878804414</v>
      </c>
      <c r="I39" s="14" t="n">
        <f aca="false">($F$37/life_sp*IF((2)&lt;0,0,IF((2)=0,phi_0,IF((2)&lt;life_sp,1,IF((2)=life_sp,1-phi_0,0))))+$H$37/life_sp*IF((1)&lt;0,0,IF((1)=0,phi_0,IF((1)&lt;life_sp,1,IF((1)=life_sp,1-phi_0,0))))+$I$37/life_sp*IF((0)&lt;0,0,IF((0)=0,phi_0,IF((0)&lt;life_sp,1,IF((0)=life_sp,1-phi_0,0)))))</f>
        <v>0.744632455472372</v>
      </c>
      <c r="J39" s="14" t="n">
        <f aca="false">($F$37/life_sp*IF((3)&lt;0,0,IF((3)=0,phi_0,IF((3)&lt;life_sp,1,IF((3)=life_sp,1-phi_0,0))))+$H$37/life_sp*IF((2)&lt;0,0,IF((2)=0,phi_0,IF((2)&lt;life_sp,1,IF((2)=life_sp,1-phi_0,0))))+$I$37/life_sp*IF((1)&lt;0,0,IF((1)=0,phi_0,IF((1)&lt;life_sp,1,IF((1)=life_sp,1-phi_0,0))))+$J$37/life_sp*IF((0)&lt;0,0,IF((0)=0,phi_0,IF((0)&lt;life_sp,1,IF((0)=life_sp,1-phi_0,0)))))</f>
        <v>1.13011977151845</v>
      </c>
      <c r="K39" s="14" t="n">
        <f aca="false">($F$37/life_sp*IF((4)&lt;0,0,IF((4)=0,phi_0,IF((4)&lt;life_sp,1,IF((4)=life_sp,1-phi_0,0))))+$H$37/life_sp*IF((3)&lt;0,0,IF((3)=0,phi_0,IF((3)&lt;life_sp,1,IF((3)=life_sp,1-phi_0,0))))+$I$37/life_sp*IF((2)&lt;0,0,IF((2)=0,phi_0,IF((2)&lt;life_sp,1,IF((2)=life_sp,1-phi_0,0))))+$J$37/life_sp*IF((1)&lt;0,0,IF((1)=0,phi_0,IF((1)&lt;life_sp,1,IF((1)=life_sp,1-phi_0,0))))+$K$37/life_sp*IF((0)&lt;0,0,IF((0)=0,phi_0,IF((0)&lt;life_sp,1,IF((0)=life_sp,1-phi_0,0)))))</f>
        <v>1.4137328732342</v>
      </c>
      <c r="L39" s="14" t="n">
        <f aca="false">($F$37/life_sp*IF((5)&lt;0,0,IF((5)=0,phi_0,IF((5)&lt;life_sp,1,IF((5)=life_sp,1-phi_0,0))))+$H$37/life_sp*IF((4)&lt;0,0,IF((4)=0,phi_0,IF((4)&lt;life_sp,1,IF((4)=life_sp,1-phi_0,0))))+$I$37/life_sp*IF((3)&lt;0,0,IF((3)=0,phi_0,IF((3)&lt;life_sp,1,IF((3)=life_sp,1-phi_0,0))))+$J$37/life_sp*IF((2)&lt;0,0,IF((2)=0,phi_0,IF((2)&lt;life_sp,1,IF((2)=life_sp,1-phi_0,0))))+$K$37/life_sp*IF((1)&lt;0,0,IF((1)=0,phi_0,IF((1)&lt;life_sp,1,IF((1)=life_sp,1-phi_0,0))))+$L$37/life_sp*IF((0)&lt;0,0,IF((0)=0,phi_0,IF((0)&lt;life_sp,1,IF((0)=life_sp,1-phi_0,0)))))</f>
        <v>1.61578953568777</v>
      </c>
      <c r="M39" s="14" t="n">
        <f aca="false">($F$37/life_sp*IF((6)&lt;0,0,IF((6)=0,phi_0,IF((6)&lt;life_sp,1,IF((6)=life_sp,1-phi_0,0))))+$H$37/life_sp*IF((5)&lt;0,0,IF((5)=0,phi_0,IF((5)&lt;life_sp,1,IF((5)=life_sp,1-phi_0,0))))+$I$37/life_sp*IF((4)&lt;0,0,IF((4)=0,phi_0,IF((4)&lt;life_sp,1,IF((4)=life_sp,1-phi_0,0))))+$J$37/life_sp*IF((3)&lt;0,0,IF((3)=0,phi_0,IF((3)&lt;life_sp,1,IF((3)=life_sp,1-phi_0,0))))+$K$37/life_sp*IF((2)&lt;0,0,IF((2)=0,phi_0,IF((2)&lt;life_sp,1,IF((2)=life_sp,1-phi_0,0))))+$L$37/life_sp*IF((1)&lt;0,0,IF((1)=0,phi_0,IF((1)&lt;life_sp,1,IF((1)=life_sp,1-phi_0,0))))+$M$37/life_sp*IF((0)&lt;0,0,IF((0)=0,phi_0,IF((0)&lt;life_sp,1,IF((0)=life_sp,1-phi_0,0)))))</f>
        <v>1.83421946983327</v>
      </c>
    </row>
    <row r="40" customFormat="false" ht="17.15" hidden="false" customHeight="false" outlineLevel="0" collapsed="false">
      <c r="A40" s="4" t="s">
        <v>830</v>
      </c>
      <c r="B40" s="0" t="s">
        <v>95</v>
      </c>
      <c r="F40" s="14" t="n">
        <f aca="false">($F$38/life_cn*IF((0)&lt;0,0,IF((0)=0,phi_0,IF((0)&lt;life_cn,1,IF((0)=life_cn,1-phi_0,0)))))*0.25</f>
        <v>0.0204540519104155</v>
      </c>
      <c r="G40" s="14" t="n">
        <f aca="false">F40</f>
        <v>0.0204540519104155</v>
      </c>
      <c r="H40" s="14" t="n">
        <f aca="false">($F$38/life_cn*IF((1)&lt;0,0,IF((1)=0,phi_0,IF((1)&lt;life_cn,1,IF((1)=life_cn,1-phi_0,0))))+$H$38/life_cn*IF((0)&lt;0,0,IF((0)=0,phi_0,IF((0)&lt;life_cn,1,IF((0)=life_cn,1-phi_0,0)))))</f>
        <v>0.735587905348799</v>
      </c>
      <c r="I40" s="14" t="n">
        <f aca="false">($F$38/life_cn*IF((2)&lt;0,0,IF((2)=0,phi_0,IF((2)&lt;life_cn,1,IF((2)=life_cn,1-phi_0,0))))+$H$38/life_cn*IF((1)&lt;0,0,IF((1)=0,phi_0,IF((1)&lt;life_cn,1,IF((1)=life_cn,1-phi_0,0))))+$I$38/life_cn*IF((0)&lt;0,0,IF((0)=0,phi_0,IF((0)&lt;life_cn,1,IF((0)=life_cn,1-phi_0,0)))))</f>
        <v>2.51469286930162</v>
      </c>
      <c r="J40" s="14" t="n">
        <f aca="false">($F$38/life_cn*IF((3)&lt;0,0,IF((3)=0,phi_0,IF((3)&lt;life_cn,1,IF((3)=life_cn,1-phi_0,0))))+$H$38/life_cn*IF((2)&lt;0,0,IF((2)=0,phi_0,IF((2)&lt;life_cn,1,IF((2)=life_cn,1-phi_0,0))))+$I$38/life_cn*IF((1)&lt;0,0,IF((1)=0,phi_0,IF((1)&lt;life_cn,1,IF((1)=life_cn,1-phi_0,0))))+$J$38/life_cn*IF((0)&lt;0,0,IF((0)=0,phi_0,IF((0)&lt;life_cn,1,IF((0)=life_cn,1-phi_0,0)))))</f>
        <v>4.85719362929901</v>
      </c>
      <c r="K40" s="14" t="n">
        <f aca="false">($F$38/life_cn*IF((4)&lt;0,0,IF((4)=0,phi_0,IF((4)&lt;life_cn,1,IF((4)=life_cn,1-phi_0,0))))+$H$38/life_cn*IF((3)&lt;0,0,IF((3)=0,phi_0,IF((3)&lt;life_cn,1,IF((3)=life_cn,1-phi_0,0))))+$I$38/life_cn*IF((2)&lt;0,0,IF((2)=0,phi_0,IF((2)&lt;life_cn,1,IF((2)=life_cn,1-phi_0,0))))+$J$38/life_cn*IF((1)&lt;0,0,IF((1)=0,phi_0,IF((1)&lt;life_cn,1,IF((1)=life_cn,1-phi_0,0))))+$K$38/life_cn*IF((0)&lt;0,0,IF((0)=0,phi_0,IF((0)&lt;life_cn,1,IF((0)=life_cn,1-phi_0,0)))))</f>
        <v>7.66492957814208</v>
      </c>
      <c r="L40" s="14" t="n">
        <f aca="false">($F$38/life_cn*IF((5)&lt;0,0,IF((5)=0,phi_0,IF((5)&lt;life_cn,1,IF((5)=life_cn,1-phi_0,0))))+$H$38/life_cn*IF((4)&lt;0,0,IF((4)=0,phi_0,IF((4)&lt;life_cn,1,IF((4)=life_cn,1-phi_0,0))))+$I$38/life_cn*IF((3)&lt;0,0,IF((3)=0,phi_0,IF((3)&lt;life_cn,1,IF((3)=life_cn,1-phi_0,0))))+$J$38/life_cn*IF((2)&lt;0,0,IF((2)=0,phi_0,IF((2)&lt;life_cn,1,IF((2)=life_cn,1-phi_0,0))))+$K$38/life_cn*IF((1)&lt;0,0,IF((1)=0,phi_0,IF((1)&lt;life_cn,1,IF((1)=life_cn,1-phi_0,0))))+$L$38/life_cn*IF((0)&lt;0,0,IF((0)=0,phi_0,IF((0)&lt;life_cn,1,IF((0)=life_cn,1-phi_0,0)))))</f>
        <v>10.8157965280481</v>
      </c>
      <c r="M40" s="14" t="n">
        <f aca="false">($F$38/life_cn*IF((6)&lt;0,0,IF((6)=0,phi_0,IF((6)&lt;life_cn,1,IF((6)=life_cn,1-phi_0,0))))+$H$38/life_cn*IF((5)&lt;0,0,IF((5)=0,phi_0,IF((5)&lt;life_cn,1,IF((5)=life_cn,1-phi_0,0))))+$I$38/life_cn*IF((4)&lt;0,0,IF((4)=0,phi_0,IF((4)&lt;life_cn,1,IF((4)=life_cn,1-phi_0,0))))+$J$38/life_cn*IF((3)&lt;0,0,IF((3)=0,phi_0,IF((3)&lt;life_cn,1,IF((3)=life_cn,1-phi_0,0))))+$K$38/life_cn*IF((2)&lt;0,0,IF((2)=0,phi_0,IF((2)&lt;life_cn,1,IF((2)=life_cn,1-phi_0,0))))+$L$38/life_cn*IF((1)&lt;0,0,IF((1)=0,phi_0,IF((1)&lt;life_cn,1,IF((1)=life_cn,1-phi_0,0))))+$M$38/life_cn*IF((0)&lt;0,0,IF((0)=0,phi_0,IF((0)&lt;life_cn,1,IF((0)=life_cn,1-phi_0,0)))))</f>
        <v>14.2041136635811</v>
      </c>
    </row>
    <row r="42" customFormat="false" ht="17.15" hidden="false" customHeight="false" outlineLevel="0" collapsed="false">
      <c r="A42" s="28" t="s">
        <v>831</v>
      </c>
    </row>
    <row r="43" customFormat="false" ht="15" hidden="false" customHeight="false" outlineLevel="0" collapsed="false">
      <c r="A43" s="3" t="s">
        <v>43</v>
      </c>
      <c r="B43" s="3" t="s">
        <v>44</v>
      </c>
      <c r="C43" s="20" t="s">
        <v>592</v>
      </c>
      <c r="D43" s="20" t="s">
        <v>731</v>
      </c>
      <c r="E43" s="20" t="s">
        <v>732</v>
      </c>
      <c r="F43" s="20" t="s">
        <v>733</v>
      </c>
      <c r="G43" s="20" t="s">
        <v>734</v>
      </c>
      <c r="H43" s="20" t="s">
        <v>735</v>
      </c>
      <c r="I43" s="20" t="s">
        <v>736</v>
      </c>
      <c r="J43" s="20" t="s">
        <v>737</v>
      </c>
      <c r="K43" s="20" t="s">
        <v>738</v>
      </c>
      <c r="L43" s="20" t="s">
        <v>739</v>
      </c>
      <c r="M43" s="20" t="s">
        <v>740</v>
      </c>
      <c r="N43" s="3" t="s">
        <v>50</v>
      </c>
    </row>
    <row r="44" customFormat="false" ht="17.15" hidden="false" customHeight="false" outlineLevel="0" collapsed="false">
      <c r="A44" s="0" t="s">
        <v>799</v>
      </c>
      <c r="B44" s="0" t="s">
        <v>89</v>
      </c>
      <c r="F44" s="17" t="n">
        <f aca="false">k0</f>
        <v>1.86661251869776</v>
      </c>
      <c r="H44" s="17" t="n">
        <f aca="false">k0+(k30_B-k0)*MIN(1,(2027-2026)/conv_k)</f>
        <v>1.71245938902332</v>
      </c>
      <c r="I44" s="17" t="n">
        <f aca="false">k0+(k30_B-k0)*MIN(1,(2028-2026)/conv_k)</f>
        <v>1.55830625934888</v>
      </c>
      <c r="J44" s="17" t="n">
        <f aca="false">k0+(k30_B-k0)*MIN(1,(2029-2026)/conv_k)</f>
        <v>1.40415312967444</v>
      </c>
      <c r="K44" s="17" t="n">
        <f aca="false">k0+(k30_B-k0)*MIN(1,(2030-2026)/conv_k)</f>
        <v>1.25</v>
      </c>
      <c r="L44" s="17" t="n">
        <f aca="false">k0+(k30_B-k0)*MIN(1,(2031-2026)/conv_k)</f>
        <v>1.25</v>
      </c>
      <c r="M44" s="17" t="n">
        <f aca="false">k0+(k30_B-k0)*MIN(1,(2032-2026)/conv_k)</f>
        <v>1.25</v>
      </c>
    </row>
    <row r="45" customFormat="false" ht="17.15" hidden="false" customHeight="false" outlineLevel="0" collapsed="false">
      <c r="A45" s="4" t="s">
        <v>800</v>
      </c>
      <c r="B45" s="0" t="s">
        <v>710</v>
      </c>
      <c r="F45" s="17" t="n">
        <f aca="false">F44*Thesis!F33</f>
        <v>18.3563017206634</v>
      </c>
      <c r="H45" s="17" t="n">
        <f aca="false">H44*Thesis!H33</f>
        <v>17.7873084470457</v>
      </c>
      <c r="I45" s="17" t="n">
        <f aca="false">I44*Thesis!I33</f>
        <v>17.0245350553086</v>
      </c>
      <c r="J45" s="17" t="n">
        <f aca="false">J44*Thesis!J33</f>
        <v>15.7804528303291</v>
      </c>
      <c r="K45" s="17" t="n">
        <f aca="false">K44*Thesis!K33</f>
        <v>14.2374477309957</v>
      </c>
      <c r="L45" s="17" t="n">
        <f aca="false">L44*Thesis!L33</f>
        <v>14.3368570787225</v>
      </c>
      <c r="M45" s="17" t="n">
        <f aca="false">M44*Thesis!M33</f>
        <v>14.3838984716432</v>
      </c>
    </row>
    <row r="46" customFormat="false" ht="17.15" hidden="false" customHeight="false" outlineLevel="0" collapsed="false">
      <c r="A46" s="0" t="s">
        <v>801</v>
      </c>
      <c r="B46" s="0" t="s">
        <v>95</v>
      </c>
      <c r="E46" s="14" t="n">
        <f aca="false">Thesis!C11</f>
        <v>6.63552</v>
      </c>
      <c r="F46" s="14" t="n">
        <f aca="false">Thesis!F31*F45*0.25</f>
        <v>6.28901947088364</v>
      </c>
      <c r="G46" s="14" t="n">
        <f aca="false">E46+F46</f>
        <v>12.9245394708836</v>
      </c>
      <c r="H46" s="14" t="n">
        <f aca="false">Thesis!H31*H45*1</f>
        <v>37.3995373495115</v>
      </c>
      <c r="I46" s="14" t="n">
        <f aca="false">Thesis!I31*I45*1</f>
        <v>55.739334569764</v>
      </c>
      <c r="J46" s="14" t="n">
        <f aca="false">Thesis!J31*J45*1</f>
        <v>68.0699762031923</v>
      </c>
      <c r="K46" s="14" t="n">
        <f aca="false">Thesis!K31*K45*1</f>
        <v>72.5534090240716</v>
      </c>
      <c r="L46" s="14" t="n">
        <f aca="false">Thesis!L31*L45*1</f>
        <v>80.7456954851022</v>
      </c>
      <c r="M46" s="14" t="n">
        <f aca="false">Thesis!M31*M45*1</f>
        <v>85.2546281942766</v>
      </c>
      <c r="N46" s="4" t="s">
        <v>802</v>
      </c>
    </row>
    <row r="47" customFormat="false" ht="17.15" hidden="false" customHeight="false" outlineLevel="0" collapsed="false">
      <c r="A47" s="0" t="s">
        <v>803</v>
      </c>
      <c r="B47" s="0" t="s">
        <v>126</v>
      </c>
      <c r="H47" s="16" t="n">
        <f aca="false">g27_nr+(gl_nr-g27_nr)*MIN(1,(2027-2027)/(conv_n-1))</f>
        <v>0.5</v>
      </c>
      <c r="I47" s="16" t="n">
        <f aca="false">g27_nr+(gl_nr-g27_nr)*MIN(1,(2028-2027)/(conv_n-1))</f>
        <v>0.383333333333333</v>
      </c>
      <c r="J47" s="16" t="n">
        <f aca="false">g27_nr+(gl_nr-g27_nr)*MIN(1,(2029-2027)/(conv_n-1))</f>
        <v>0.266666666666667</v>
      </c>
      <c r="K47" s="16" t="n">
        <f aca="false">g27_nr+(gl_nr-g27_nr)*MIN(1,(2030-2027)/(conv_n-1))</f>
        <v>0.15</v>
      </c>
      <c r="L47" s="16" t="n">
        <f aca="false">g27_nr+(gl_nr-g27_nr)*MIN(1,(2031-2027)/(conv_n-1))</f>
        <v>0.15</v>
      </c>
      <c r="M47" s="16" t="n">
        <f aca="false">g27_nr+(gl_nr-g27_nr)*MIN(1,(2032-2027)/(conv_n-1))</f>
        <v>0.15</v>
      </c>
      <c r="N47" s="7" t="s">
        <v>804</v>
      </c>
    </row>
    <row r="48" customFormat="false" ht="17.15" hidden="false" customHeight="false" outlineLevel="0" collapsed="false">
      <c r="A48" s="0" t="s">
        <v>805</v>
      </c>
      <c r="B48" s="0" t="s">
        <v>95</v>
      </c>
      <c r="E48" s="14" t="n">
        <f aca="false">Q!H14-E46</f>
        <v>3.05548</v>
      </c>
      <c r="F48" s="14" t="n">
        <f aca="false">nr_q3+cur_pf</f>
        <v>2.50516</v>
      </c>
      <c r="G48" s="14" t="n">
        <f aca="false">E48+F48</f>
        <v>5.56064</v>
      </c>
      <c r="H48" s="14" t="n">
        <f aca="false">F48*4*(1+H47)^0.625</f>
        <v>12.9107804793285</v>
      </c>
      <c r="I48" s="14" t="n">
        <f aca="false">H48*(1+I47)</f>
        <v>17.8599129964044</v>
      </c>
      <c r="J48" s="14" t="n">
        <f aca="false">I48*(1+J47)</f>
        <v>22.6225564621123</v>
      </c>
      <c r="K48" s="14" t="n">
        <f aca="false">J48*(1+K47)</f>
        <v>26.0159399314291</v>
      </c>
      <c r="L48" s="14" t="n">
        <f aca="false">K48*(1+L47)</f>
        <v>29.9183309211435</v>
      </c>
      <c r="M48" s="14" t="n">
        <f aca="false">L48*(1+M47)</f>
        <v>34.406080559315</v>
      </c>
      <c r="N48" s="7" t="s">
        <v>806</v>
      </c>
    </row>
    <row r="49" customFormat="false" ht="15" hidden="false" customHeight="false" outlineLevel="0" collapsed="false">
      <c r="A49" s="5" t="s">
        <v>606</v>
      </c>
      <c r="B49" s="7" t="s">
        <v>95</v>
      </c>
      <c r="D49" s="14" t="n">
        <f aca="false">Q!G14</f>
        <v>0.955</v>
      </c>
      <c r="E49" s="14" t="n">
        <f aca="false">Q!H14</f>
        <v>9.691</v>
      </c>
      <c r="F49" s="14" t="n">
        <f aca="false">F46+F48</f>
        <v>8.79417947088364</v>
      </c>
      <c r="G49" s="14" t="n">
        <f aca="false">E49+F49</f>
        <v>18.4851794708836</v>
      </c>
      <c r="H49" s="14" t="n">
        <f aca="false">H46+H48</f>
        <v>50.31031782884</v>
      </c>
      <c r="I49" s="14" t="n">
        <f aca="false">I46+I48</f>
        <v>73.5992475661684</v>
      </c>
      <c r="J49" s="14" t="n">
        <f aca="false">J46+J48</f>
        <v>90.6925326653046</v>
      </c>
      <c r="K49" s="14" t="n">
        <f aca="false">K46+K48</f>
        <v>98.5693489555007</v>
      </c>
      <c r="L49" s="14" t="n">
        <f aca="false">L46+L48</f>
        <v>110.664026406246</v>
      </c>
      <c r="M49" s="14" t="n">
        <f aca="false">M46+M48</f>
        <v>119.660708753592</v>
      </c>
    </row>
    <row r="50" customFormat="false" ht="17.15" hidden="false" customHeight="false" outlineLevel="0" collapsed="false">
      <c r="A50" s="0" t="s">
        <v>807</v>
      </c>
      <c r="B50" s="0" t="s">
        <v>126</v>
      </c>
      <c r="F50" s="16" t="n">
        <f aca="false">g0_ads</f>
        <v>-0.0566893424036281</v>
      </c>
      <c r="H50" s="16" t="n">
        <f aca="false">g0_ads+(gl_ads-g0_ads)*MIN(1,(2027-2026)/conv_n)</f>
        <v>-0.0350170068027211</v>
      </c>
      <c r="I50" s="16" t="n">
        <f aca="false">g0_ads+(gl_ads-g0_ads)*MIN(1,(2028-2026)/conv_n)</f>
        <v>-0.0133446712018141</v>
      </c>
      <c r="J50" s="16" t="n">
        <f aca="false">g0_ads+(gl_ads-g0_ads)*MIN(1,(2029-2026)/conv_n)</f>
        <v>0.00832766439909297</v>
      </c>
      <c r="K50" s="16" t="n">
        <f aca="false">g0_ads+(gl_ads-g0_ads)*MIN(1,(2030-2026)/conv_n)</f>
        <v>0.03</v>
      </c>
      <c r="L50" s="16" t="n">
        <f aca="false">g0_ads+(gl_ads-g0_ads)*MIN(1,(2031-2026)/conv_n)</f>
        <v>0.03</v>
      </c>
      <c r="M50" s="16" t="n">
        <f aca="false">g0_ads+(gl_ads-g0_ads)*MIN(1,(2032-2026)/conv_n)</f>
        <v>0.03</v>
      </c>
      <c r="N50" s="4" t="s">
        <v>808</v>
      </c>
    </row>
    <row r="51" customFormat="false" ht="15" hidden="false" customHeight="false" outlineLevel="0" collapsed="false">
      <c r="A51" s="5" t="s">
        <v>605</v>
      </c>
      <c r="B51" s="7" t="s">
        <v>95</v>
      </c>
      <c r="D51" s="14" t="n">
        <f aca="false">Q!G13</f>
        <v>1.323</v>
      </c>
      <c r="E51" s="14" t="n">
        <f aca="false">Q!H13</f>
        <v>1.248</v>
      </c>
      <c r="F51" s="14" t="n">
        <f aca="false">ads_q3*(1+F50)^0.25</f>
        <v>0.530207615057733</v>
      </c>
      <c r="G51" s="14" t="n">
        <f aca="false">E51+F51</f>
        <v>1.77820761505773</v>
      </c>
      <c r="H51" s="14" t="n">
        <f aca="false">G51*(1+H50)</f>
        <v>1.71594010690461</v>
      </c>
      <c r="I51" s="14" t="n">
        <f aca="false">H51*(1+I50)</f>
        <v>1.69304145037596</v>
      </c>
      <c r="J51" s="14" t="n">
        <f aca="false">I51*(1+J50)</f>
        <v>1.70714053138844</v>
      </c>
      <c r="K51" s="14" t="n">
        <f aca="false">J51*(1+K50)</f>
        <v>1.7583547473301</v>
      </c>
      <c r="L51" s="14" t="n">
        <f aca="false">K51*(1+L50)</f>
        <v>1.81110538975</v>
      </c>
      <c r="M51" s="14" t="n">
        <f aca="false">L51*(1+M50)</f>
        <v>1.8654385514425</v>
      </c>
    </row>
    <row r="52" customFormat="false" ht="15" hidden="false" customHeight="false" outlineLevel="0" collapsed="false">
      <c r="A52" s="29" t="s">
        <v>809</v>
      </c>
      <c r="B52" s="30" t="s">
        <v>95</v>
      </c>
      <c r="C52" s="31" t="n">
        <f aca="false">Q!I15</f>
        <v>3.201</v>
      </c>
      <c r="D52" s="31" t="n">
        <f aca="false">Q!G15</f>
        <v>2.278</v>
      </c>
      <c r="E52" s="31" t="n">
        <f aca="false">Q!H15</f>
        <v>10.939</v>
      </c>
      <c r="F52" s="31" t="n">
        <f aca="false">F51+F49</f>
        <v>9.32438708594137</v>
      </c>
      <c r="G52" s="31" t="n">
        <f aca="false">E52+F52</f>
        <v>20.2633870859414</v>
      </c>
      <c r="H52" s="31" t="n">
        <f aca="false">H51+H49</f>
        <v>52.0262579357446</v>
      </c>
      <c r="I52" s="31" t="n">
        <f aca="false">I51+I49</f>
        <v>75.2922890165444</v>
      </c>
      <c r="J52" s="31" t="n">
        <f aca="false">J51+J49</f>
        <v>92.399673196693</v>
      </c>
      <c r="K52" s="31" t="n">
        <f aca="false">K51+K49</f>
        <v>100.327703702831</v>
      </c>
      <c r="L52" s="31" t="n">
        <f aca="false">L51+L49</f>
        <v>112.475131795996</v>
      </c>
      <c r="M52" s="31" t="n">
        <f aca="false">M51+M49</f>
        <v>121.526147305034</v>
      </c>
      <c r="N52" s="30"/>
    </row>
    <row r="53" customFormat="false" ht="15" hidden="false" customHeight="false" outlineLevel="0" collapsed="false">
      <c r="A53" s="4" t="s">
        <v>810</v>
      </c>
      <c r="B53" s="4" t="s">
        <v>383</v>
      </c>
      <c r="E53" s="18" t="n">
        <f aca="false">Q!H57</f>
        <v>29</v>
      </c>
      <c r="F53" s="18" t="n">
        <f aca="false">nl_q4</f>
        <v>12</v>
      </c>
      <c r="G53" s="18" t="n">
        <f aca="false">E53+F53</f>
        <v>41</v>
      </c>
      <c r="H53" s="18" t="n">
        <f aca="false">nl_27</f>
        <v>48</v>
      </c>
      <c r="I53" s="18" t="n">
        <f aca="false">H53*(1+g_nl)</f>
        <v>50.4</v>
      </c>
      <c r="J53" s="18" t="n">
        <f aca="false">I53*(1+g_nl)</f>
        <v>52.92</v>
      </c>
      <c r="K53" s="18" t="n">
        <f aca="false">J53*(1+g_nl)</f>
        <v>55.566</v>
      </c>
      <c r="L53" s="18" t="n">
        <f aca="false">K53*(1+g_nl)</f>
        <v>58.3443</v>
      </c>
      <c r="M53" s="18" t="n">
        <f aca="false">L53*(1+g_nl)</f>
        <v>61.261515</v>
      </c>
    </row>
    <row r="54" customFormat="false" ht="17.15" hidden="false" customHeight="false" outlineLevel="0" collapsed="false">
      <c r="A54" s="4" t="s">
        <v>811</v>
      </c>
      <c r="B54" s="0" t="s">
        <v>684</v>
      </c>
      <c r="E54" s="26" t="n">
        <f aca="false">rpl0</f>
        <v>0.0726896551724138</v>
      </c>
      <c r="F54" s="26" t="n">
        <f aca="false">rpl0</f>
        <v>0.0726896551724138</v>
      </c>
      <c r="H54" s="26" t="n">
        <f aca="false">rpl0*(1+g_rpl)^(2027-2026)</f>
        <v>0.0748703448275862</v>
      </c>
      <c r="I54" s="26" t="n">
        <f aca="false">rpl0*(1+g_rpl)^(2028-2026)</f>
        <v>0.0771164551724138</v>
      </c>
      <c r="J54" s="26" t="n">
        <f aca="false">rpl0*(1+g_rpl)^(2029-2026)</f>
        <v>0.0794299488275862</v>
      </c>
      <c r="K54" s="26" t="n">
        <f aca="false">rpl0*(1+g_rpl)^(2030-2026)</f>
        <v>0.0818128472924138</v>
      </c>
      <c r="L54" s="26" t="n">
        <f aca="false">rpl0*(1+g_rpl)^(2031-2026)</f>
        <v>0.0842672327111862</v>
      </c>
      <c r="M54" s="26" t="n">
        <f aca="false">rpl0*(1+g_rpl)^(2032-2026)</f>
        <v>0.0867952496925218</v>
      </c>
    </row>
    <row r="55" customFormat="false" ht="15" hidden="false" customHeight="false" outlineLevel="0" collapsed="false">
      <c r="A55" s="5" t="s">
        <v>594</v>
      </c>
      <c r="B55" s="7" t="s">
        <v>95</v>
      </c>
      <c r="D55" s="14" t="n">
        <f aca="false">Q!G5</f>
        <v>2.056</v>
      </c>
      <c r="E55" s="14" t="n">
        <f aca="false">Q!H5</f>
        <v>2.108</v>
      </c>
      <c r="F55" s="14" t="n">
        <f aca="false">F53*F54</f>
        <v>0.872275862068966</v>
      </c>
      <c r="G55" s="14" t="n">
        <f aca="false">E55+F55</f>
        <v>2.98027586206897</v>
      </c>
      <c r="H55" s="14" t="n">
        <f aca="false">H53*H54</f>
        <v>3.59377655172414</v>
      </c>
      <c r="I55" s="14" t="n">
        <f aca="false">I53*I54</f>
        <v>3.88666934068966</v>
      </c>
      <c r="J55" s="14" t="n">
        <f aca="false">J53*J54</f>
        <v>4.20343289195586</v>
      </c>
      <c r="K55" s="14" t="n">
        <f aca="false">K53*K54</f>
        <v>4.54601267265027</v>
      </c>
      <c r="L55" s="14" t="n">
        <f aca="false">L53*L54</f>
        <v>4.91651270547126</v>
      </c>
      <c r="M55" s="14" t="n">
        <f aca="false">M53*M54</f>
        <v>5.31720849096717</v>
      </c>
    </row>
    <row r="56" customFormat="false" ht="17.15" hidden="false" customHeight="false" outlineLevel="0" collapsed="false">
      <c r="A56" s="0" t="s">
        <v>812</v>
      </c>
      <c r="B56" s="0" t="s">
        <v>126</v>
      </c>
      <c r="F56" s="16" t="n">
        <f aca="false">g0_ld</f>
        <v>0.0155610155610155</v>
      </c>
      <c r="H56" s="16" t="n">
        <f aca="false">g0_ld+(gl_ld-g0_ld)*MIN(1,(2027-2026)/conv_n)</f>
        <v>0.0316707616707616</v>
      </c>
      <c r="I56" s="16" t="n">
        <f aca="false">g0_ld+(gl_ld-g0_ld)*MIN(1,(2028-2026)/conv_n)</f>
        <v>0.0477805077805078</v>
      </c>
      <c r="J56" s="16" t="n">
        <f aca="false">g0_ld+(gl_ld-g0_ld)*MIN(1,(2029-2026)/conv_n)</f>
        <v>0.0638902538902539</v>
      </c>
      <c r="K56" s="16" t="n">
        <f aca="false">g0_ld+(gl_ld-g0_ld)*MIN(1,(2030-2026)/conv_n)</f>
        <v>0.08</v>
      </c>
      <c r="L56" s="16" t="n">
        <f aca="false">g0_ld+(gl_ld-g0_ld)*MIN(1,(2031-2026)/conv_n)</f>
        <v>0.08</v>
      </c>
      <c r="M56" s="16" t="n">
        <f aca="false">g0_ld+(gl_ld-g0_ld)*MIN(1,(2032-2026)/conv_n)</f>
        <v>0.08</v>
      </c>
    </row>
    <row r="57" customFormat="false" ht="17.15" hidden="false" customHeight="false" outlineLevel="0" collapsed="false">
      <c r="A57" s="5" t="s">
        <v>597</v>
      </c>
      <c r="B57" s="7" t="s">
        <v>95</v>
      </c>
      <c r="D57" s="14" t="n">
        <f aca="false">Q!G6</f>
        <v>1.221</v>
      </c>
      <c r="E57" s="14" t="n">
        <f aca="false">Q!H6</f>
        <v>1.24</v>
      </c>
      <c r="F57" s="14" t="n">
        <f aca="false">ld_9m/3*(1+F56)^0.25</f>
        <v>0.414932006086979</v>
      </c>
      <c r="G57" s="14" t="n">
        <f aca="false">E57+F57</f>
        <v>1.65493200608698</v>
      </c>
      <c r="H57" s="14" t="n">
        <f aca="false">G57*(1+H56)</f>
        <v>1.70734496323307</v>
      </c>
      <c r="I57" s="14" t="n">
        <f aca="false">H57*(1+I56)</f>
        <v>1.78892277253284</v>
      </c>
      <c r="J57" s="14" t="n">
        <f aca="false">I57*(1+J56)</f>
        <v>1.90321750266002</v>
      </c>
      <c r="K57" s="14" t="n">
        <f aca="false">J57*(1+K56)</f>
        <v>2.05547490287283</v>
      </c>
      <c r="L57" s="14" t="n">
        <f aca="false">K57*(1+L56)</f>
        <v>2.21991289510265</v>
      </c>
      <c r="M57" s="14" t="n">
        <f aca="false">L57*(1+M56)</f>
        <v>2.39750592671086</v>
      </c>
      <c r="N57" s="7" t="s">
        <v>813</v>
      </c>
    </row>
    <row r="58" customFormat="false" ht="15" hidden="false" customHeight="false" outlineLevel="0" collapsed="false">
      <c r="A58" s="29" t="s">
        <v>814</v>
      </c>
      <c r="B58" s="30" t="s">
        <v>95</v>
      </c>
      <c r="C58" s="31" t="n">
        <f aca="false">Q!I7</f>
        <v>4.086</v>
      </c>
      <c r="D58" s="31" t="n">
        <f aca="false">Q!G7</f>
        <v>3.277</v>
      </c>
      <c r="E58" s="31" t="n">
        <f aca="false">Q!H7</f>
        <v>3.348</v>
      </c>
      <c r="F58" s="31" t="n">
        <f aca="false">F55+F57</f>
        <v>1.28720786815594</v>
      </c>
      <c r="G58" s="31" t="n">
        <f aca="false">E58+F58</f>
        <v>4.63520786815594</v>
      </c>
      <c r="H58" s="31" t="n">
        <f aca="false">H55+H57</f>
        <v>5.30112151495721</v>
      </c>
      <c r="I58" s="31" t="n">
        <f aca="false">I55+I57</f>
        <v>5.6755921132225</v>
      </c>
      <c r="J58" s="31" t="n">
        <f aca="false">J55+J57</f>
        <v>6.10665039461589</v>
      </c>
      <c r="K58" s="31" t="n">
        <f aca="false">K55+K57</f>
        <v>6.60148757552309</v>
      </c>
      <c r="L58" s="31" t="n">
        <f aca="false">L55+L57</f>
        <v>7.13642560057392</v>
      </c>
      <c r="M58" s="31" t="n">
        <f aca="false">M55+M57</f>
        <v>7.71471441767804</v>
      </c>
      <c r="N58" s="30"/>
    </row>
    <row r="59" customFormat="false" ht="17.15" hidden="false" customHeight="false" outlineLevel="0" collapsed="false">
      <c r="A59" s="0" t="s">
        <v>815</v>
      </c>
      <c r="B59" s="4" t="s">
        <v>410</v>
      </c>
      <c r="E59" s="17" t="n">
        <f aca="false">subs_q3</f>
        <v>13.6</v>
      </c>
      <c r="F59" s="17" t="n">
        <f aca="false">E59+nadd_q4</f>
        <v>15.2</v>
      </c>
      <c r="H59" s="17" t="n">
        <f aca="false">F59+nadd_B</f>
        <v>20.7</v>
      </c>
      <c r="I59" s="17" t="n">
        <f aca="false">H59+nadd_B*(1-nadd_dec)^(2028-2027)</f>
        <v>25.65</v>
      </c>
      <c r="J59" s="17" t="n">
        <f aca="false">I59+nadd_B*(1-nadd_dec)^(2029-2027)</f>
        <v>30.105</v>
      </c>
      <c r="K59" s="17" t="n">
        <f aca="false">J59+nadd_B*(1-nadd_dec)^(2030-2027)</f>
        <v>34.1145</v>
      </c>
      <c r="L59" s="17" t="n">
        <f aca="false">K59+nadd_B*(1-nadd_dec)^(2031-2027)</f>
        <v>37.72305</v>
      </c>
      <c r="M59" s="17" t="n">
        <f aca="false">L59+nadd_B*(1-nadd_dec)^(2032-2027)</f>
        <v>40.970745</v>
      </c>
    </row>
    <row r="60" customFormat="false" ht="15" hidden="false" customHeight="false" outlineLevel="0" collapsed="false">
      <c r="A60" s="4" t="s">
        <v>816</v>
      </c>
      <c r="B60" s="4" t="s">
        <v>410</v>
      </c>
      <c r="F60" s="17" t="n">
        <f aca="false">(E59+F59)/2</f>
        <v>14.4</v>
      </c>
      <c r="H60" s="17" t="n">
        <f aca="false">(F59+H59)/2</f>
        <v>17.95</v>
      </c>
      <c r="I60" s="17" t="n">
        <f aca="false">(H59+I59)/2</f>
        <v>23.175</v>
      </c>
      <c r="J60" s="17" t="n">
        <f aca="false">(I59+J59)/2</f>
        <v>27.8775</v>
      </c>
      <c r="K60" s="17" t="n">
        <f aca="false">(J59+K59)/2</f>
        <v>32.10975</v>
      </c>
      <c r="L60" s="17" t="n">
        <f aca="false">(K59+L59)/2</f>
        <v>35.918775</v>
      </c>
      <c r="M60" s="17" t="n">
        <f aca="false">(L59+M59)/2</f>
        <v>39.3468975</v>
      </c>
    </row>
    <row r="61" customFormat="false" ht="17.15" hidden="false" customHeight="false" outlineLevel="0" collapsed="false">
      <c r="A61" s="4" t="s">
        <v>817</v>
      </c>
      <c r="B61" s="0" t="s">
        <v>54</v>
      </c>
      <c r="F61" s="17" t="n">
        <f aca="false">arpu0*(1+g_arpu)^0.25</f>
        <v>68.6523818910955</v>
      </c>
      <c r="H61" s="17" t="n">
        <f aca="false">arpu0*(1+g_arpu)^(2027+0.5-2026.75)</f>
        <v>67.962390691723</v>
      </c>
      <c r="I61" s="17" t="n">
        <f aca="false">arpu0*(1+g_arpu)^(2028+0.5-2026.75)</f>
        <v>66.6031428778885</v>
      </c>
      <c r="J61" s="17" t="n">
        <f aca="false">arpu0*(1+g_arpu)^(2029+0.5-2026.75)</f>
        <v>65.2710800203308</v>
      </c>
      <c r="K61" s="17" t="n">
        <f aca="false">arpu0*(1+g_arpu)^(2030+0.5-2026.75)</f>
        <v>63.9656584199242</v>
      </c>
      <c r="L61" s="17" t="n">
        <f aca="false">arpu0*(1+g_arpu)^(2031+0.5-2026.75)</f>
        <v>62.6863452515257</v>
      </c>
      <c r="M61" s="17" t="n">
        <f aca="false">arpu0*(1+g_arpu)^(2032+0.5-2026.75)</f>
        <v>61.4326183464952</v>
      </c>
    </row>
    <row r="62" customFormat="false" ht="17.15" hidden="false" customHeight="false" outlineLevel="0" collapsed="false">
      <c r="A62" s="5" t="s">
        <v>601</v>
      </c>
      <c r="B62" s="7" t="s">
        <v>95</v>
      </c>
      <c r="D62" s="14" t="n">
        <f aca="false">Q!G9</f>
        <v>5.198</v>
      </c>
      <c r="E62" s="14" t="n">
        <f aca="false">Q!H9</f>
        <v>7.754</v>
      </c>
      <c r="F62" s="14" t="n">
        <f aca="false">F60*F61/1000*12*0.25*uplift</f>
        <v>3.49343615025178</v>
      </c>
      <c r="G62" s="14" t="n">
        <f aca="false">E62+F62</f>
        <v>11.2474361502518</v>
      </c>
      <c r="H62" s="14" t="n">
        <f aca="false">H60*H61/1000*12*1*uplift</f>
        <v>17.2435944438957</v>
      </c>
      <c r="I62" s="14" t="n">
        <f aca="false">I60*I61/1000*12*1*uplift</f>
        <v>21.8177100396957</v>
      </c>
      <c r="J62" s="14" t="n">
        <f aca="false">J60*J61/1000*12*1*uplift</f>
        <v>25.7199028003876</v>
      </c>
      <c r="K62" s="14" t="n">
        <f aca="false">K60*K61/1000*12*1*uplift</f>
        <v>29.0321031644104</v>
      </c>
      <c r="L62" s="14" t="n">
        <f aca="false">L60*L61/1000*12*1*uplift</f>
        <v>31.8265209075892</v>
      </c>
      <c r="M62" s="14" t="n">
        <f aca="false">M60*M61/1000*12*1*uplift</f>
        <v>34.1667932387412</v>
      </c>
      <c r="N62" s="4" t="s">
        <v>818</v>
      </c>
    </row>
    <row r="63" customFormat="false" ht="17.15" hidden="false" customHeight="false" outlineLevel="0" collapsed="false">
      <c r="A63" s="0" t="s">
        <v>819</v>
      </c>
      <c r="B63" s="0" t="s">
        <v>126</v>
      </c>
      <c r="F63" s="16" t="n">
        <f aca="false">g0_eg+g0_eg_adj</f>
        <v>0.702803107058426</v>
      </c>
      <c r="H63" s="16" t="n">
        <f aca="false">g0_eg+g0_eg_adj+(gl_eg-g0_eg+g0_eg_adj)*MIN(1,(2027-2026)/conv_n)</f>
        <v>0.55210233029382</v>
      </c>
      <c r="I63" s="16" t="n">
        <f aca="false">g0_eg+g0_eg_adj+(gl_eg-g0_eg+g0_eg_adj)*MIN(1,(2028-2026)/conv_n)</f>
        <v>0.401401553529213</v>
      </c>
      <c r="J63" s="16" t="n">
        <f aca="false">g0_eg+g0_eg_adj+(gl_eg-g0_eg+g0_eg_adj)*MIN(1,(2029-2026)/conv_n)</f>
        <v>0.250700776764607</v>
      </c>
      <c r="K63" s="16" t="n">
        <f aca="false">g0_eg+g0_eg_adj+(gl_eg-g0_eg+g0_eg_adj)*MIN(1,(2030-2026)/conv_n)</f>
        <v>0.1</v>
      </c>
      <c r="L63" s="16" t="n">
        <f aca="false">g0_eg+g0_eg_adj+(gl_eg-g0_eg+g0_eg_adj)*MIN(1,(2031-2026)/conv_n)</f>
        <v>0.1</v>
      </c>
      <c r="M63" s="16" t="n">
        <f aca="false">g0_eg+g0_eg_adj+(gl_eg-g0_eg+g0_eg_adj)*MIN(1,(2032-2026)/conv_n)</f>
        <v>0.1</v>
      </c>
      <c r="N63" s="4" t="s">
        <v>820</v>
      </c>
    </row>
    <row r="64" customFormat="false" ht="15" hidden="false" customHeight="false" outlineLevel="0" collapsed="false">
      <c r="A64" s="5" t="s">
        <v>602</v>
      </c>
      <c r="B64" s="7" t="s">
        <v>95</v>
      </c>
      <c r="D64" s="14" t="n">
        <f aca="false">Q!G10</f>
        <v>2.961</v>
      </c>
      <c r="E64" s="14" t="n">
        <f aca="false">Q!H10</f>
        <v>5.042</v>
      </c>
      <c r="F64" s="14" t="n">
        <f aca="false">eg_q3*(1+F63)^0.25</f>
        <v>2.42973325841983</v>
      </c>
      <c r="G64" s="14" t="n">
        <f aca="false">E64+F64</f>
        <v>7.47173325841983</v>
      </c>
      <c r="H64" s="14" t="n">
        <f aca="false">G64*(1+H63)</f>
        <v>11.5968946017273</v>
      </c>
      <c r="I64" s="14" t="n">
        <f aca="false">H64*(1+I63)</f>
        <v>16.2519061109751</v>
      </c>
      <c r="J64" s="14" t="n">
        <f aca="false">I64*(1+J63)</f>
        <v>20.326271596902</v>
      </c>
      <c r="K64" s="14" t="n">
        <f aca="false">J64*(1+K63)</f>
        <v>22.3588987565922</v>
      </c>
      <c r="L64" s="14" t="n">
        <f aca="false">K64*(1+L63)</f>
        <v>24.5947886322515</v>
      </c>
      <c r="M64" s="14" t="n">
        <f aca="false">L64*(1+M63)</f>
        <v>27.0542674954766</v>
      </c>
    </row>
    <row r="65" customFormat="false" ht="15" hidden="false" customHeight="false" outlineLevel="0" collapsed="false">
      <c r="A65" s="29" t="s">
        <v>821</v>
      </c>
      <c r="B65" s="30" t="s">
        <v>95</v>
      </c>
      <c r="C65" s="31" t="n">
        <f aca="false">Q!I11</f>
        <v>11.387</v>
      </c>
      <c r="D65" s="31" t="n">
        <f aca="false">Q!G11</f>
        <v>8.159</v>
      </c>
      <c r="E65" s="31" t="n">
        <f aca="false">Q!H11</f>
        <v>12.796</v>
      </c>
      <c r="F65" s="31" t="n">
        <f aca="false">F62+F64</f>
        <v>5.92316940867161</v>
      </c>
      <c r="G65" s="31" t="n">
        <f aca="false">E65+F65</f>
        <v>18.7191694086716</v>
      </c>
      <c r="H65" s="31" t="n">
        <f aca="false">H62+H64</f>
        <v>28.840489045623</v>
      </c>
      <c r="I65" s="31" t="n">
        <f aca="false">I62+I64</f>
        <v>38.0696161506708</v>
      </c>
      <c r="J65" s="31" t="n">
        <f aca="false">J62+J64</f>
        <v>46.0461743972897</v>
      </c>
      <c r="K65" s="31" t="n">
        <f aca="false">K62+K64</f>
        <v>51.3910019210027</v>
      </c>
      <c r="L65" s="31" t="n">
        <f aca="false">L62+L64</f>
        <v>56.4213095398407</v>
      </c>
      <c r="M65" s="31" t="n">
        <f aca="false">M62+M64</f>
        <v>61.2210607342179</v>
      </c>
      <c r="N65" s="30"/>
    </row>
    <row r="66" customFormat="false" ht="15" hidden="false" customHeight="false" outlineLevel="0" collapsed="false">
      <c r="A66" s="2" t="s">
        <v>609</v>
      </c>
      <c r="B66" s="7" t="s">
        <v>95</v>
      </c>
      <c r="C66" s="14" t="n">
        <f aca="false">Q!I17</f>
        <v>18.674</v>
      </c>
      <c r="D66" s="14" t="n">
        <f aca="false">Q!G17</f>
        <v>13.714</v>
      </c>
      <c r="E66" s="14" t="n">
        <f aca="false">Q!H17</f>
        <v>27.083</v>
      </c>
      <c r="F66" s="14" t="n">
        <f aca="false">F58+F65+F52</f>
        <v>16.5347643627689</v>
      </c>
      <c r="G66" s="14" t="n">
        <f aca="false">E66+F66</f>
        <v>43.6177643627689</v>
      </c>
      <c r="H66" s="14" t="n">
        <f aca="false">H58+H65+H52</f>
        <v>86.1678684963247</v>
      </c>
      <c r="I66" s="14" t="n">
        <f aca="false">I58+I65+I52</f>
        <v>119.037497280438</v>
      </c>
      <c r="J66" s="14" t="n">
        <f aca="false">J58+J65+J52</f>
        <v>144.552497988599</v>
      </c>
      <c r="K66" s="14" t="n">
        <f aca="false">K58+K65+K52</f>
        <v>158.320193199357</v>
      </c>
      <c r="L66" s="14" t="n">
        <f aca="false">L58+L65+L52</f>
        <v>176.03286693641</v>
      </c>
      <c r="M66" s="14" t="n">
        <f aca="false">M58+M65+M52</f>
        <v>190.46192245693</v>
      </c>
    </row>
    <row r="67" customFormat="false" ht="17.15" hidden="false" customHeight="false" outlineLevel="0" collapsed="false">
      <c r="A67" s="4" t="s">
        <v>599</v>
      </c>
      <c r="B67" s="0" t="s">
        <v>95</v>
      </c>
      <c r="D67" s="21" t="n">
        <f aca="false">D55+D57-D58</f>
        <v>0</v>
      </c>
      <c r="E67" s="21" t="n">
        <f aca="false">E55+E57-E58</f>
        <v>0</v>
      </c>
      <c r="F67" s="21" t="n">
        <f aca="false">F55+F57-F58</f>
        <v>0</v>
      </c>
      <c r="G67" s="21" t="n">
        <f aca="false">G55+G57-G58</f>
        <v>0</v>
      </c>
      <c r="H67" s="21" t="n">
        <f aca="false">H55+H57-H58</f>
        <v>0</v>
      </c>
      <c r="I67" s="21" t="n">
        <f aca="false">I55+I57-I58</f>
        <v>0</v>
      </c>
      <c r="J67" s="21" t="n">
        <f aca="false">J55+J57-J58</f>
        <v>0</v>
      </c>
      <c r="K67" s="21" t="n">
        <f aca="false">K55+K57-K58</f>
        <v>0</v>
      </c>
      <c r="L67" s="21" t="n">
        <f aca="false">L55+L57-L58</f>
        <v>0</v>
      </c>
      <c r="M67" s="21" t="n">
        <f aca="false">M55+M57-M58</f>
        <v>0</v>
      </c>
    </row>
    <row r="68" customFormat="false" ht="17.15" hidden="false" customHeight="false" outlineLevel="0" collapsed="false">
      <c r="A68" s="4" t="s">
        <v>604</v>
      </c>
      <c r="B68" s="0" t="s">
        <v>95</v>
      </c>
      <c r="D68" s="21" t="n">
        <f aca="false">D62+D64-D65</f>
        <v>0</v>
      </c>
      <c r="E68" s="21" t="n">
        <f aca="false">E62+E64-E65</f>
        <v>0</v>
      </c>
      <c r="F68" s="21" t="n">
        <f aca="false">F62+F64-F65</f>
        <v>0</v>
      </c>
      <c r="G68" s="21" t="n">
        <f aca="false">G62+G64-G65</f>
        <v>0</v>
      </c>
      <c r="H68" s="21" t="n">
        <f aca="false">H62+H64-H65</f>
        <v>0</v>
      </c>
      <c r="I68" s="21" t="n">
        <f aca="false">I62+I64-I65</f>
        <v>0</v>
      </c>
      <c r="J68" s="21" t="n">
        <f aca="false">J62+J64-J65</f>
        <v>0</v>
      </c>
      <c r="K68" s="21" t="n">
        <f aca="false">K62+K64-K65</f>
        <v>0</v>
      </c>
      <c r="L68" s="21" t="n">
        <f aca="false">L62+L64-L65</f>
        <v>0</v>
      </c>
      <c r="M68" s="21" t="n">
        <f aca="false">M62+M64-M65</f>
        <v>0</v>
      </c>
    </row>
    <row r="69" customFormat="false" ht="17.15" hidden="false" customHeight="false" outlineLevel="0" collapsed="false">
      <c r="A69" s="4" t="s">
        <v>608</v>
      </c>
      <c r="B69" s="0" t="s">
        <v>95</v>
      </c>
      <c r="D69" s="21" t="n">
        <f aca="false">D51+D49-D52</f>
        <v>0</v>
      </c>
      <c r="E69" s="21" t="n">
        <f aca="false">E51+E49-E52</f>
        <v>0</v>
      </c>
      <c r="F69" s="21" t="n">
        <f aca="false">F51+F49-F52</f>
        <v>0</v>
      </c>
      <c r="G69" s="21" t="n">
        <f aca="false">G51+G49-G52</f>
        <v>0</v>
      </c>
      <c r="H69" s="21" t="n">
        <f aca="false">H51+H49-H52</f>
        <v>0</v>
      </c>
      <c r="I69" s="21" t="n">
        <f aca="false">I51+I49-I52</f>
        <v>0</v>
      </c>
      <c r="J69" s="21" t="n">
        <f aca="false">J51+J49-J52</f>
        <v>0</v>
      </c>
      <c r="K69" s="21" t="n">
        <f aca="false">K51+K49-K52</f>
        <v>0</v>
      </c>
      <c r="L69" s="21" t="n">
        <f aca="false">L51+L49-L52</f>
        <v>0</v>
      </c>
      <c r="M69" s="21" t="n">
        <f aca="false">M51+M49-M52</f>
        <v>0</v>
      </c>
    </row>
    <row r="70" customFormat="false" ht="17.15" hidden="false" customHeight="false" outlineLevel="0" collapsed="false">
      <c r="A70" s="4" t="s">
        <v>822</v>
      </c>
      <c r="B70" s="0" t="s">
        <v>95</v>
      </c>
      <c r="E70" s="21" t="n">
        <f aca="false">E46+E48-E49</f>
        <v>0</v>
      </c>
      <c r="F70" s="21" t="n">
        <f aca="false">F46+F48-F49</f>
        <v>0</v>
      </c>
      <c r="G70" s="21" t="n">
        <f aca="false">G46+G48-G49</f>
        <v>0</v>
      </c>
      <c r="H70" s="21" t="n">
        <f aca="false">H46+H48-H49</f>
        <v>0</v>
      </c>
      <c r="I70" s="21" t="n">
        <f aca="false">I46+I48-I49</f>
        <v>0</v>
      </c>
      <c r="J70" s="21" t="n">
        <f aca="false">J46+J48-J49</f>
        <v>0</v>
      </c>
      <c r="K70" s="21" t="n">
        <f aca="false">K46+K48-K49</f>
        <v>0</v>
      </c>
      <c r="L70" s="21" t="n">
        <f aca="false">L46+L48-L49</f>
        <v>0</v>
      </c>
      <c r="M70" s="21" t="n">
        <f aca="false">M46+M48-M49</f>
        <v>0</v>
      </c>
    </row>
    <row r="71" customFormat="false" ht="15" hidden="false" customHeight="false" outlineLevel="0" collapsed="false">
      <c r="A71" s="4" t="s">
        <v>610</v>
      </c>
      <c r="B71" s="0" t="s">
        <v>95</v>
      </c>
      <c r="C71" s="21" t="n">
        <f aca="false">C58+C65+C52-C66</f>
        <v>0</v>
      </c>
      <c r="D71" s="21" t="n">
        <f aca="false">D58+D65+D52-D66</f>
        <v>0</v>
      </c>
      <c r="E71" s="21" t="n">
        <f aca="false">E58+E65+E52-E66</f>
        <v>0</v>
      </c>
      <c r="F71" s="21" t="n">
        <f aca="false">F58+F65+F52-F66</f>
        <v>0</v>
      </c>
      <c r="G71" s="21" t="n">
        <f aca="false">G58+G65+G52-G66</f>
        <v>0</v>
      </c>
      <c r="H71" s="21" t="n">
        <f aca="false">H58+H65+H52-H66</f>
        <v>0</v>
      </c>
      <c r="I71" s="21" t="n">
        <f aca="false">I58+I65+I52-I66</f>
        <v>0</v>
      </c>
      <c r="J71" s="21" t="n">
        <f aca="false">J58+J65+J52-J66</f>
        <v>0</v>
      </c>
      <c r="K71" s="21" t="n">
        <f aca="false">K58+K65+K52-K66</f>
        <v>0</v>
      </c>
      <c r="L71" s="21" t="n">
        <f aca="false">L58+L65+L52-L66</f>
        <v>0</v>
      </c>
      <c r="M71" s="21" t="n">
        <f aca="false">M58+M65+M52-M66</f>
        <v>0</v>
      </c>
    </row>
    <row r="72" customFormat="false" ht="17.15" hidden="false" customHeight="false" outlineLevel="0" collapsed="false">
      <c r="A72" s="4" t="s">
        <v>823</v>
      </c>
      <c r="B72" s="0" t="s">
        <v>95</v>
      </c>
      <c r="C72" s="21" t="n">
        <f aca="false">C66-Q!I17</f>
        <v>0</v>
      </c>
      <c r="D72" s="21" t="n">
        <f aca="false">D66-Q!G17</f>
        <v>0</v>
      </c>
      <c r="E72" s="21" t="n">
        <f aca="false">E66-Q!H17</f>
        <v>0</v>
      </c>
    </row>
    <row r="73" customFormat="false" ht="17.15" hidden="false" customHeight="false" outlineLevel="0" collapsed="false">
      <c r="A73" s="0" t="s">
        <v>824</v>
      </c>
      <c r="B73" s="0" t="s">
        <v>89</v>
      </c>
      <c r="F73" s="17" t="n">
        <f aca="false">F44</f>
        <v>1.86661251869776</v>
      </c>
      <c r="H73" s="17" t="n">
        <f aca="false">H44</f>
        <v>1.71245938902332</v>
      </c>
      <c r="I73" s="17" t="n">
        <f aca="false">I44</f>
        <v>1.55830625934888</v>
      </c>
      <c r="J73" s="17" t="n">
        <f aca="false">J44</f>
        <v>1.40415312967444</v>
      </c>
      <c r="K73" s="17" t="n">
        <f aca="false">K44</f>
        <v>1.25</v>
      </c>
      <c r="L73" s="17" t="n">
        <f aca="false">L44</f>
        <v>1.25</v>
      </c>
      <c r="M73" s="17" t="n">
        <f aca="false">M44</f>
        <v>1.25</v>
      </c>
      <c r="N73" s="4" t="s">
        <v>825</v>
      </c>
    </row>
    <row r="74" customFormat="false" ht="17.15" hidden="false" customHeight="false" outlineLevel="0" collapsed="false">
      <c r="A74" s="0" t="s">
        <v>826</v>
      </c>
      <c r="B74" s="0" t="s">
        <v>126</v>
      </c>
      <c r="F74" s="16" t="n">
        <f aca="false">cx_sp0</f>
        <v>1.14456391875747</v>
      </c>
      <c r="H74" s="16" t="n">
        <f aca="false">cx_sp0+(cx_spl-cx_sp0)*MIN(1,(2027-2026)/conv_n)</f>
        <v>0.9334229390681</v>
      </c>
      <c r="I74" s="16" t="n">
        <f aca="false">cx_sp0+(cx_spl-cx_sp0)*MIN(1,(2028-2026)/conv_n)</f>
        <v>0.722281959378734</v>
      </c>
      <c r="J74" s="16" t="n">
        <f aca="false">cx_sp0+(cx_spl-cx_sp0)*MIN(1,(2029-2026)/conv_n)</f>
        <v>0.511140979689367</v>
      </c>
      <c r="K74" s="16" t="n">
        <f aca="false">cx_sp0+(cx_spl-cx_sp0)*MIN(1,(2030-2026)/conv_n)</f>
        <v>0.3</v>
      </c>
      <c r="L74" s="16" t="n">
        <f aca="false">cx_sp0+(cx_spl-cx_sp0)*MIN(1,(2031-2026)/conv_n)</f>
        <v>0.3</v>
      </c>
      <c r="M74" s="16" t="n">
        <f aca="false">cx_sp0+(cx_spl-cx_sp0)*MIN(1,(2032-2026)/conv_n)</f>
        <v>0.3</v>
      </c>
    </row>
    <row r="75" customFormat="false" ht="17.15" hidden="false" customHeight="false" outlineLevel="0" collapsed="false">
      <c r="A75" s="4" t="s">
        <v>827</v>
      </c>
      <c r="B75" s="0" t="s">
        <v>95</v>
      </c>
      <c r="F75" s="14" t="n">
        <f aca="false">F58*F74</f>
        <v>1.47329168183201</v>
      </c>
      <c r="G75" s="14" t="n">
        <f aca="false">F75</f>
        <v>1.47329168183201</v>
      </c>
      <c r="H75" s="14" t="n">
        <f aca="false">H58*H74</f>
        <v>4.9481884248485</v>
      </c>
      <c r="I75" s="14" t="n">
        <f aca="false">I58*I74</f>
        <v>4.09937779217283</v>
      </c>
      <c r="J75" s="14" t="n">
        <f aca="false">J58*J74</f>
        <v>3.12135926532442</v>
      </c>
      <c r="K75" s="14" t="n">
        <f aca="false">K58*K74</f>
        <v>1.98044627265693</v>
      </c>
      <c r="L75" s="14" t="n">
        <f aca="false">L58*L74</f>
        <v>2.14092768017218</v>
      </c>
      <c r="M75" s="14" t="n">
        <f aca="false">M58*M74</f>
        <v>2.31441432530341</v>
      </c>
    </row>
    <row r="76" customFormat="false" ht="17.15" hidden="false" customHeight="false" outlineLevel="0" collapsed="false">
      <c r="A76" s="4" t="s">
        <v>828</v>
      </c>
      <c r="B76" s="0" t="s">
        <v>95</v>
      </c>
      <c r="F76" s="14" t="n">
        <f aca="false">F65*cx_cn</f>
        <v>1.96358898339989</v>
      </c>
      <c r="G76" s="14" t="n">
        <f aca="false">F76</f>
        <v>1.96358898339989</v>
      </c>
      <c r="H76" s="14" t="n">
        <f aca="false">H65*cx_cn</f>
        <v>9.56090610593409</v>
      </c>
      <c r="I76" s="14" t="n">
        <f aca="false">I65*cx_cn</f>
        <v>12.6204526188766</v>
      </c>
      <c r="J76" s="14" t="n">
        <f aca="false">J65*cx_cn</f>
        <v>15.264760221421</v>
      </c>
      <c r="K76" s="14" t="n">
        <f aca="false">K65*cx_cn</f>
        <v>17.0366231751245</v>
      </c>
      <c r="L76" s="14" t="n">
        <f aca="false">L65*cx_cn</f>
        <v>18.7042196833389</v>
      </c>
      <c r="M76" s="14" t="n">
        <f aca="false">M65*cx_cn</f>
        <v>20.2953844665952</v>
      </c>
    </row>
    <row r="77" customFormat="false" ht="17.15" hidden="false" customHeight="false" outlineLevel="0" collapsed="false">
      <c r="A77" s="4" t="s">
        <v>829</v>
      </c>
      <c r="B77" s="0" t="s">
        <v>95</v>
      </c>
      <c r="F77" s="14" t="n">
        <f aca="false">($F$75/life_sp*IF((0)&lt;0,0,IF((0)=0,phi_0,IF((0)&lt;life_sp,1,IF((0)=life_sp,1-phi_0,0)))))*0.25</f>
        <v>0.00920807301145008</v>
      </c>
      <c r="G77" s="14" t="n">
        <f aca="false">F77</f>
        <v>0.00920807301145008</v>
      </c>
      <c r="H77" s="14" t="n">
        <f aca="false">($F$75/life_sp*IF((1)&lt;0,0,IF((1)=0,phi_0,IF((1)&lt;life_sp,1,IF((1)=life_sp,1-phi_0,0))))+$H$75/life_sp*IF((0)&lt;0,0,IF((0)=0,phi_0,IF((0)&lt;life_sp,1,IF((0)=life_sp,1-phi_0,0)))))</f>
        <v>0.271033878804414</v>
      </c>
      <c r="I77" s="14" t="n">
        <f aca="false">($F$75/life_sp*IF((2)&lt;0,0,IF((2)=0,phi_0,IF((2)&lt;life_sp,1,IF((2)=life_sp,1-phi_0,0))))+$H$75/life_sp*IF((1)&lt;0,0,IF((1)=0,phi_0,IF((1)&lt;life_sp,1,IF((1)=life_sp,1-phi_0,0))))+$I$75/life_sp*IF((0)&lt;0,0,IF((0)=0,phi_0,IF((0)&lt;life_sp,1,IF((0)=life_sp,1-phi_0,0)))))</f>
        <v>0.744632455472372</v>
      </c>
      <c r="J77" s="14" t="n">
        <f aca="false">($F$75/life_sp*IF((3)&lt;0,0,IF((3)=0,phi_0,IF((3)&lt;life_sp,1,IF((3)=life_sp,1-phi_0,0))))+$H$75/life_sp*IF((2)&lt;0,0,IF((2)=0,phi_0,IF((2)&lt;life_sp,1,IF((2)=life_sp,1-phi_0,0))))+$I$75/life_sp*IF((1)&lt;0,0,IF((1)=0,phi_0,IF((1)&lt;life_sp,1,IF((1)=life_sp,1-phi_0,0))))+$J$75/life_sp*IF((0)&lt;0,0,IF((0)=0,phi_0,IF((0)&lt;life_sp,1,IF((0)=life_sp,1-phi_0,0)))))</f>
        <v>1.13011977151845</v>
      </c>
      <c r="K77" s="14" t="n">
        <f aca="false">($F$75/life_sp*IF((4)&lt;0,0,IF((4)=0,phi_0,IF((4)&lt;life_sp,1,IF((4)=life_sp,1-phi_0,0))))+$H$75/life_sp*IF((3)&lt;0,0,IF((3)=0,phi_0,IF((3)&lt;life_sp,1,IF((3)=life_sp,1-phi_0,0))))+$I$75/life_sp*IF((2)&lt;0,0,IF((2)=0,phi_0,IF((2)&lt;life_sp,1,IF((2)=life_sp,1-phi_0,0))))+$J$75/life_sp*IF((1)&lt;0,0,IF((1)=0,phi_0,IF((1)&lt;life_sp,1,IF((1)=life_sp,1-phi_0,0))))+$K$75/life_sp*IF((0)&lt;0,0,IF((0)=0,phi_0,IF((0)&lt;life_sp,1,IF((0)=life_sp,1-phi_0,0)))))</f>
        <v>1.4137328732342</v>
      </c>
      <c r="L77" s="14" t="n">
        <f aca="false">($F$75/life_sp*IF((5)&lt;0,0,IF((5)=0,phi_0,IF((5)&lt;life_sp,1,IF((5)=life_sp,1-phi_0,0))))+$H$75/life_sp*IF((4)&lt;0,0,IF((4)=0,phi_0,IF((4)&lt;life_sp,1,IF((4)=life_sp,1-phi_0,0))))+$I$75/life_sp*IF((3)&lt;0,0,IF((3)=0,phi_0,IF((3)&lt;life_sp,1,IF((3)=life_sp,1-phi_0,0))))+$J$75/life_sp*IF((2)&lt;0,0,IF((2)=0,phi_0,IF((2)&lt;life_sp,1,IF((2)=life_sp,1-phi_0,0))))+$K$75/life_sp*IF((1)&lt;0,0,IF((1)=0,phi_0,IF((1)&lt;life_sp,1,IF((1)=life_sp,1-phi_0,0))))+$L$75/life_sp*IF((0)&lt;0,0,IF((0)=0,phi_0,IF((0)&lt;life_sp,1,IF((0)=life_sp,1-phi_0,0)))))</f>
        <v>1.61578953568777</v>
      </c>
      <c r="M77" s="14" t="n">
        <f aca="false">($F$75/life_sp*IF((6)&lt;0,0,IF((6)=0,phi_0,IF((6)&lt;life_sp,1,IF((6)=life_sp,1-phi_0,0))))+$H$75/life_sp*IF((5)&lt;0,0,IF((5)=0,phi_0,IF((5)&lt;life_sp,1,IF((5)=life_sp,1-phi_0,0))))+$I$75/life_sp*IF((4)&lt;0,0,IF((4)=0,phi_0,IF((4)&lt;life_sp,1,IF((4)=life_sp,1-phi_0,0))))+$J$75/life_sp*IF((3)&lt;0,0,IF((3)=0,phi_0,IF((3)&lt;life_sp,1,IF((3)=life_sp,1-phi_0,0))))+$K$75/life_sp*IF((2)&lt;0,0,IF((2)=0,phi_0,IF((2)&lt;life_sp,1,IF((2)=life_sp,1-phi_0,0))))+$L$75/life_sp*IF((1)&lt;0,0,IF((1)=0,phi_0,IF((1)&lt;life_sp,1,IF((1)=life_sp,1-phi_0,0))))+$M$75/life_sp*IF((0)&lt;0,0,IF((0)=0,phi_0,IF((0)&lt;life_sp,1,IF((0)=life_sp,1-phi_0,0)))))</f>
        <v>1.83421946983327</v>
      </c>
    </row>
    <row r="78" customFormat="false" ht="17.15" hidden="false" customHeight="false" outlineLevel="0" collapsed="false">
      <c r="A78" s="4" t="s">
        <v>830</v>
      </c>
      <c r="B78" s="0" t="s">
        <v>95</v>
      </c>
      <c r="F78" s="14" t="n">
        <f aca="false">($F$76/life_cn*IF((0)&lt;0,0,IF((0)=0,phi_0,IF((0)&lt;life_cn,1,IF((0)=life_cn,1-phi_0,0)))))*0.25</f>
        <v>0.0204540519104155</v>
      </c>
      <c r="G78" s="14" t="n">
        <f aca="false">F78</f>
        <v>0.0204540519104155</v>
      </c>
      <c r="H78" s="14" t="n">
        <f aca="false">($F$76/life_cn*IF((1)&lt;0,0,IF((1)=0,phi_0,IF((1)&lt;life_cn,1,IF((1)=life_cn,1-phi_0,0))))+$H$76/life_cn*IF((0)&lt;0,0,IF((0)=0,phi_0,IF((0)&lt;life_cn,1,IF((0)=life_cn,1-phi_0,0)))))</f>
        <v>0.725635918313902</v>
      </c>
      <c r="I78" s="14" t="n">
        <f aca="false">($F$76/life_cn*IF((2)&lt;0,0,IF((2)=0,phi_0,IF((2)&lt;life_cn,1,IF((2)=life_cn,1-phi_0,0))))+$H$76/life_cn*IF((1)&lt;0,0,IF((1)=0,phi_0,IF((1)&lt;life_cn,1,IF((1)=life_cn,1-phi_0,0))))+$I$76/life_cn*IF((0)&lt;0,0,IF((0)=0,phi_0,IF((0)&lt;life_cn,1,IF((0)=life_cn,1-phi_0,0)))))</f>
        <v>2.44660137400886</v>
      </c>
      <c r="J78" s="14" t="n">
        <f aca="false">($F$76/life_cn*IF((3)&lt;0,0,IF((3)=0,phi_0,IF((3)&lt;life_cn,1,IF((3)=life_cn,1-phi_0,0))))+$H$76/life_cn*IF((2)&lt;0,0,IF((2)=0,phi_0,IF((2)&lt;life_cn,1,IF((2)=life_cn,1-phi_0,0))))+$I$76/life_cn*IF((1)&lt;0,0,IF((1)=0,phi_0,IF((1)&lt;life_cn,1,IF((1)=life_cn,1-phi_0,0))))+$J$76/life_cn*IF((0)&lt;0,0,IF((0)=0,phi_0,IF((0)&lt;life_cn,1,IF((0)=life_cn,1-phi_0,0)))))</f>
        <v>4.66018962726098</v>
      </c>
      <c r="K78" s="14" t="n">
        <f aca="false">($F$76/life_cn*IF((4)&lt;0,0,IF((4)=0,phi_0,IF((4)&lt;life_cn,1,IF((4)=life_cn,1-phi_0,0))))+$H$76/life_cn*IF((3)&lt;0,0,IF((3)=0,phi_0,IF((3)&lt;life_cn,1,IF((3)=life_cn,1-phi_0,0))))+$I$76/life_cn*IF((2)&lt;0,0,IF((2)=0,phi_0,IF((2)&lt;life_cn,1,IF((2)=life_cn,1-phi_0,0))))+$J$76/life_cn*IF((1)&lt;0,0,IF((1)=0,phi_0,IF((1)&lt;life_cn,1,IF((1)=life_cn,1-phi_0,0))))+$K$76/life_cn*IF((0)&lt;0,0,IF((0)=0,phi_0,IF((0)&lt;life_cn,1,IF((0)=life_cn,1-phi_0,0)))))</f>
        <v>7.27814395390212</v>
      </c>
      <c r="L78" s="14" t="n">
        <f aca="false">($F$76/life_cn*IF((5)&lt;0,0,IF((5)=0,phi_0,IF((5)&lt;life_cn,1,IF((5)=life_cn,1-phi_0,0))))+$H$76/life_cn*IF((4)&lt;0,0,IF((4)=0,phi_0,IF((4)&lt;life_cn,1,IF((4)=life_cn,1-phi_0,0))))+$I$76/life_cn*IF((3)&lt;0,0,IF((3)=0,phi_0,IF((3)&lt;life_cn,1,IF((3)=life_cn,1-phi_0,0))))+$J$76/life_cn*IF((2)&lt;0,0,IF((2)=0,phi_0,IF((2)&lt;life_cn,1,IF((2)=life_cn,1-phi_0,0))))+$K$76/life_cn*IF((1)&lt;0,0,IF((1)=0,phi_0,IF((1)&lt;life_cn,1,IF((1)=life_cn,1-phi_0,0))))+$L$76/life_cn*IF((0)&lt;0,0,IF((0)=0,phi_0,IF((0)&lt;life_cn,1,IF((0)=life_cn,1-phi_0,0)))))</f>
        <v>10.1870643375985</v>
      </c>
      <c r="M78" s="14" t="n">
        <f aca="false">($F$76/life_cn*IF((6)&lt;0,0,IF((6)=0,phi_0,IF((6)&lt;life_cn,1,IF((6)=life_cn,1-phi_0,0))))+$H$76/life_cn*IF((5)&lt;0,0,IF((5)=0,phi_0,IF((5)&lt;life_cn,1,IF((5)=life_cn,1-phi_0,0))))+$I$76/life_cn*IF((4)&lt;0,0,IF((4)=0,phi_0,IF((4)&lt;life_cn,1,IF((4)=life_cn,1-phi_0,0))))+$J$76/life_cn*IF((3)&lt;0,0,IF((3)=0,phi_0,IF((3)&lt;life_cn,1,IF((3)=life_cn,1-phi_0,0))))+$K$76/life_cn*IF((2)&lt;0,0,IF((2)=0,phi_0,IF((2)&lt;life_cn,1,IF((2)=life_cn,1-phi_0,0))))+$L$76/life_cn*IF((1)&lt;0,0,IF((1)=0,phi_0,IF((1)&lt;life_cn,1,IF((1)=life_cn,1-phi_0,0))))+$M$76/life_cn*IF((0)&lt;0,0,IF((0)=0,phi_0,IF((0)&lt;life_cn,1,IF((0)=life_cn,1-phi_0,0)))))</f>
        <v>13.2889166098156</v>
      </c>
    </row>
    <row r="80" customFormat="false" ht="17.15" hidden="false" customHeight="false" outlineLevel="0" collapsed="false">
      <c r="A80" s="28" t="s">
        <v>832</v>
      </c>
    </row>
    <row r="81" customFormat="false" ht="15" hidden="false" customHeight="false" outlineLevel="0" collapsed="false">
      <c r="A81" s="3" t="s">
        <v>43</v>
      </c>
      <c r="B81" s="3" t="s">
        <v>44</v>
      </c>
      <c r="C81" s="20" t="s">
        <v>592</v>
      </c>
      <c r="D81" s="20" t="s">
        <v>731</v>
      </c>
      <c r="E81" s="20" t="s">
        <v>732</v>
      </c>
      <c r="F81" s="20" t="s">
        <v>733</v>
      </c>
      <c r="G81" s="20" t="s">
        <v>734</v>
      </c>
      <c r="H81" s="20" t="s">
        <v>735</v>
      </c>
      <c r="I81" s="20" t="s">
        <v>736</v>
      </c>
      <c r="J81" s="20" t="s">
        <v>737</v>
      </c>
      <c r="K81" s="20" t="s">
        <v>738</v>
      </c>
      <c r="L81" s="20" t="s">
        <v>739</v>
      </c>
      <c r="M81" s="20" t="s">
        <v>740</v>
      </c>
      <c r="N81" s="3" t="s">
        <v>50</v>
      </c>
    </row>
    <row r="82" customFormat="false" ht="17.15" hidden="false" customHeight="false" outlineLevel="0" collapsed="false">
      <c r="A82" s="0" t="s">
        <v>799</v>
      </c>
      <c r="B82" s="0" t="s">
        <v>89</v>
      </c>
      <c r="F82" s="17" t="n">
        <f aca="false">k0</f>
        <v>1.86661251869776</v>
      </c>
      <c r="H82" s="17" t="n">
        <f aca="false">k0+(k30_C-k0)*MIN(1,(2027-2026)/conv_k)</f>
        <v>1.64995938902332</v>
      </c>
      <c r="I82" s="17" t="n">
        <f aca="false">k0+(k30_C-k0)*MIN(1,(2028-2026)/conv_k)</f>
        <v>1.43330625934888</v>
      </c>
      <c r="J82" s="17" t="n">
        <f aca="false">k0+(k30_C-k0)*MIN(1,(2029-2026)/conv_k)</f>
        <v>1.21665312967444</v>
      </c>
      <c r="K82" s="17" t="n">
        <f aca="false">k0+(k30_C-k0)*MIN(1,(2030-2026)/conv_k)</f>
        <v>1</v>
      </c>
      <c r="L82" s="17" t="n">
        <f aca="false">k0+(k30_C-k0)*MIN(1,(2031-2026)/conv_k)</f>
        <v>1</v>
      </c>
      <c r="M82" s="17" t="n">
        <f aca="false">k0+(k30_C-k0)*MIN(1,(2032-2026)/conv_k)</f>
        <v>1</v>
      </c>
    </row>
    <row r="83" customFormat="false" ht="17.15" hidden="false" customHeight="false" outlineLevel="0" collapsed="false">
      <c r="A83" s="4" t="s">
        <v>800</v>
      </c>
      <c r="B83" s="0" t="s">
        <v>710</v>
      </c>
      <c r="F83" s="17" t="n">
        <f aca="false">F82*Thesis!F33</f>
        <v>18.3563017206634</v>
      </c>
      <c r="H83" s="17" t="n">
        <f aca="false">H82*Thesis!H33</f>
        <v>17.1381212108016</v>
      </c>
      <c r="I83" s="17" t="n">
        <f aca="false">I82*Thesis!I33</f>
        <v>15.6589069131213</v>
      </c>
      <c r="J83" s="17" t="n">
        <f aca="false">J82*Thesis!J33</f>
        <v>13.6732503869797</v>
      </c>
      <c r="K83" s="17" t="n">
        <f aca="false">K82*Thesis!K33</f>
        <v>11.3899581847966</v>
      </c>
      <c r="L83" s="17" t="n">
        <f aca="false">L82*Thesis!L33</f>
        <v>11.469485662978</v>
      </c>
      <c r="M83" s="17" t="n">
        <f aca="false">M82*Thesis!M33</f>
        <v>11.5071187773145</v>
      </c>
    </row>
    <row r="84" customFormat="false" ht="17.15" hidden="false" customHeight="false" outlineLevel="0" collapsed="false">
      <c r="A84" s="0" t="s">
        <v>801</v>
      </c>
      <c r="B84" s="0" t="s">
        <v>95</v>
      </c>
      <c r="E84" s="14" t="n">
        <f aca="false">Thesis!C11</f>
        <v>6.63552</v>
      </c>
      <c r="F84" s="14" t="n">
        <f aca="false">Thesis!F31*F83*0.25</f>
        <v>6.28901947088364</v>
      </c>
      <c r="G84" s="14" t="n">
        <f aca="false">E84+F84</f>
        <v>12.9245394708836</v>
      </c>
      <c r="H84" s="14" t="n">
        <f aca="false">Thesis!H31*H83*1</f>
        <v>36.0345583612053</v>
      </c>
      <c r="I84" s="14" t="n">
        <f aca="false">Thesis!I31*I83*1</f>
        <v>51.2681872715867</v>
      </c>
      <c r="J84" s="14" t="n">
        <f aca="false">Thesis!J31*J83*1</f>
        <v>58.9804258768275</v>
      </c>
      <c r="K84" s="14" t="n">
        <f aca="false">Thesis!K31*K83*1</f>
        <v>58.0427272192573</v>
      </c>
      <c r="L84" s="14" t="n">
        <f aca="false">Thesis!L31*L83*1</f>
        <v>64.5965563880818</v>
      </c>
      <c r="M84" s="14" t="n">
        <f aca="false">Thesis!M31*M83*1</f>
        <v>68.2037025554213</v>
      </c>
      <c r="N84" s="4" t="s">
        <v>802</v>
      </c>
    </row>
    <row r="85" customFormat="false" ht="17.15" hidden="false" customHeight="false" outlineLevel="0" collapsed="false">
      <c r="A85" s="0" t="s">
        <v>803</v>
      </c>
      <c r="B85" s="0" t="s">
        <v>126</v>
      </c>
      <c r="H85" s="16" t="n">
        <f aca="false">g27_nr+(gl_nr-g27_nr)*MIN(1,(2027-2027)/(conv_n-1))</f>
        <v>0.5</v>
      </c>
      <c r="I85" s="16" t="n">
        <f aca="false">g27_nr+(gl_nr-g27_nr)*MIN(1,(2028-2027)/(conv_n-1))</f>
        <v>0.383333333333333</v>
      </c>
      <c r="J85" s="16" t="n">
        <f aca="false">g27_nr+(gl_nr-g27_nr)*MIN(1,(2029-2027)/(conv_n-1))</f>
        <v>0.266666666666667</v>
      </c>
      <c r="K85" s="16" t="n">
        <f aca="false">g27_nr+(gl_nr-g27_nr)*MIN(1,(2030-2027)/(conv_n-1))</f>
        <v>0.15</v>
      </c>
      <c r="L85" s="16" t="n">
        <f aca="false">g27_nr+(gl_nr-g27_nr)*MIN(1,(2031-2027)/(conv_n-1))</f>
        <v>0.15</v>
      </c>
      <c r="M85" s="16" t="n">
        <f aca="false">g27_nr+(gl_nr-g27_nr)*MIN(1,(2032-2027)/(conv_n-1))</f>
        <v>0.15</v>
      </c>
      <c r="N85" s="7" t="s">
        <v>804</v>
      </c>
    </row>
    <row r="86" customFormat="false" ht="17.15" hidden="false" customHeight="false" outlineLevel="0" collapsed="false">
      <c r="A86" s="0" t="s">
        <v>805</v>
      </c>
      <c r="B86" s="0" t="s">
        <v>95</v>
      </c>
      <c r="E86" s="14" t="n">
        <f aca="false">Q!H14-E84</f>
        <v>3.05548</v>
      </c>
      <c r="F86" s="14" t="n">
        <f aca="false">nr_q3+cur_pf</f>
        <v>2.50516</v>
      </c>
      <c r="G86" s="14" t="n">
        <f aca="false">E86+F86</f>
        <v>5.56064</v>
      </c>
      <c r="H86" s="14" t="n">
        <f aca="false">F86*4*(1+H85)^0.625</f>
        <v>12.9107804793285</v>
      </c>
      <c r="I86" s="14" t="n">
        <f aca="false">H86*(1+I85)</f>
        <v>17.8599129964044</v>
      </c>
      <c r="J86" s="14" t="n">
        <f aca="false">I86*(1+J85)</f>
        <v>22.6225564621123</v>
      </c>
      <c r="K86" s="14" t="n">
        <f aca="false">J86*(1+K85)</f>
        <v>26.0159399314291</v>
      </c>
      <c r="L86" s="14" t="n">
        <f aca="false">K86*(1+L85)</f>
        <v>29.9183309211435</v>
      </c>
      <c r="M86" s="14" t="n">
        <f aca="false">L86*(1+M85)</f>
        <v>34.406080559315</v>
      </c>
      <c r="N86" s="7" t="s">
        <v>806</v>
      </c>
    </row>
    <row r="87" customFormat="false" ht="15" hidden="false" customHeight="false" outlineLevel="0" collapsed="false">
      <c r="A87" s="5" t="s">
        <v>606</v>
      </c>
      <c r="B87" s="7" t="s">
        <v>95</v>
      </c>
      <c r="D87" s="14" t="n">
        <f aca="false">Q!G14</f>
        <v>0.955</v>
      </c>
      <c r="E87" s="14" t="n">
        <f aca="false">Q!H14</f>
        <v>9.691</v>
      </c>
      <c r="F87" s="14" t="n">
        <f aca="false">F84+F86</f>
        <v>8.79417947088364</v>
      </c>
      <c r="G87" s="14" t="n">
        <f aca="false">E87+F87</f>
        <v>18.4851794708836</v>
      </c>
      <c r="H87" s="14" t="n">
        <f aca="false">H84+H86</f>
        <v>48.9453388405338</v>
      </c>
      <c r="I87" s="14" t="n">
        <f aca="false">I84+I86</f>
        <v>69.1281002679911</v>
      </c>
      <c r="J87" s="14" t="n">
        <f aca="false">J84+J86</f>
        <v>81.6029823389397</v>
      </c>
      <c r="K87" s="14" t="n">
        <f aca="false">K84+K86</f>
        <v>84.0586671506864</v>
      </c>
      <c r="L87" s="14" t="n">
        <f aca="false">L84+L86</f>
        <v>94.5148873092252</v>
      </c>
      <c r="M87" s="14" t="n">
        <f aca="false">M84+M86</f>
        <v>102.609783114736</v>
      </c>
    </row>
    <row r="88" customFormat="false" ht="17.15" hidden="false" customHeight="false" outlineLevel="0" collapsed="false">
      <c r="A88" s="0" t="s">
        <v>807</v>
      </c>
      <c r="B88" s="0" t="s">
        <v>126</v>
      </c>
      <c r="F88" s="16" t="n">
        <f aca="false">g0_ads</f>
        <v>-0.0566893424036281</v>
      </c>
      <c r="H88" s="16" t="n">
        <f aca="false">g0_ads+(gl_ads-g0_ads)*MIN(1,(2027-2026)/conv_n)</f>
        <v>-0.0350170068027211</v>
      </c>
      <c r="I88" s="16" t="n">
        <f aca="false">g0_ads+(gl_ads-g0_ads)*MIN(1,(2028-2026)/conv_n)</f>
        <v>-0.0133446712018141</v>
      </c>
      <c r="J88" s="16" t="n">
        <f aca="false">g0_ads+(gl_ads-g0_ads)*MIN(1,(2029-2026)/conv_n)</f>
        <v>0.00832766439909297</v>
      </c>
      <c r="K88" s="16" t="n">
        <f aca="false">g0_ads+(gl_ads-g0_ads)*MIN(1,(2030-2026)/conv_n)</f>
        <v>0.03</v>
      </c>
      <c r="L88" s="16" t="n">
        <f aca="false">g0_ads+(gl_ads-g0_ads)*MIN(1,(2031-2026)/conv_n)</f>
        <v>0.03</v>
      </c>
      <c r="M88" s="16" t="n">
        <f aca="false">g0_ads+(gl_ads-g0_ads)*MIN(1,(2032-2026)/conv_n)</f>
        <v>0.03</v>
      </c>
      <c r="N88" s="4" t="s">
        <v>808</v>
      </c>
    </row>
    <row r="89" customFormat="false" ht="15" hidden="false" customHeight="false" outlineLevel="0" collapsed="false">
      <c r="A89" s="5" t="s">
        <v>605</v>
      </c>
      <c r="B89" s="7" t="s">
        <v>95</v>
      </c>
      <c r="D89" s="14" t="n">
        <f aca="false">Q!G13</f>
        <v>1.323</v>
      </c>
      <c r="E89" s="14" t="n">
        <f aca="false">Q!H13</f>
        <v>1.248</v>
      </c>
      <c r="F89" s="14" t="n">
        <f aca="false">ads_q3*(1+F88)^0.25</f>
        <v>0.530207615057733</v>
      </c>
      <c r="G89" s="14" t="n">
        <f aca="false">E89+F89</f>
        <v>1.77820761505773</v>
      </c>
      <c r="H89" s="14" t="n">
        <f aca="false">G89*(1+H88)</f>
        <v>1.71594010690461</v>
      </c>
      <c r="I89" s="14" t="n">
        <f aca="false">H89*(1+I88)</f>
        <v>1.69304145037596</v>
      </c>
      <c r="J89" s="14" t="n">
        <f aca="false">I89*(1+J88)</f>
        <v>1.70714053138844</v>
      </c>
      <c r="K89" s="14" t="n">
        <f aca="false">J89*(1+K88)</f>
        <v>1.7583547473301</v>
      </c>
      <c r="L89" s="14" t="n">
        <f aca="false">K89*(1+L88)</f>
        <v>1.81110538975</v>
      </c>
      <c r="M89" s="14" t="n">
        <f aca="false">L89*(1+M88)</f>
        <v>1.8654385514425</v>
      </c>
    </row>
    <row r="90" customFormat="false" ht="15" hidden="false" customHeight="false" outlineLevel="0" collapsed="false">
      <c r="A90" s="29" t="s">
        <v>809</v>
      </c>
      <c r="B90" s="30" t="s">
        <v>95</v>
      </c>
      <c r="C90" s="31" t="n">
        <f aca="false">Q!I15</f>
        <v>3.201</v>
      </c>
      <c r="D90" s="31" t="n">
        <f aca="false">Q!G15</f>
        <v>2.278</v>
      </c>
      <c r="E90" s="31" t="n">
        <f aca="false">Q!H15</f>
        <v>10.939</v>
      </c>
      <c r="F90" s="31" t="n">
        <f aca="false">F89+F87</f>
        <v>9.32438708594137</v>
      </c>
      <c r="G90" s="31" t="n">
        <f aca="false">E90+F90</f>
        <v>20.2633870859414</v>
      </c>
      <c r="H90" s="31" t="n">
        <f aca="false">H89+H87</f>
        <v>50.6612789474384</v>
      </c>
      <c r="I90" s="31" t="n">
        <f aca="false">I89+I87</f>
        <v>70.8211417183671</v>
      </c>
      <c r="J90" s="31" t="n">
        <f aca="false">J89+J87</f>
        <v>83.3101228703282</v>
      </c>
      <c r="K90" s="31" t="n">
        <f aca="false">K89+K87</f>
        <v>85.8170218980165</v>
      </c>
      <c r="L90" s="31" t="n">
        <f aca="false">L89+L87</f>
        <v>96.3259926989752</v>
      </c>
      <c r="M90" s="31" t="n">
        <f aca="false">M89+M87</f>
        <v>104.475221666179</v>
      </c>
      <c r="N90" s="30"/>
    </row>
    <row r="91" customFormat="false" ht="15" hidden="false" customHeight="false" outlineLevel="0" collapsed="false">
      <c r="A91" s="4" t="s">
        <v>810</v>
      </c>
      <c r="B91" s="4" t="s">
        <v>383</v>
      </c>
      <c r="E91" s="18" t="n">
        <f aca="false">Q!H57</f>
        <v>29</v>
      </c>
      <c r="F91" s="18" t="n">
        <f aca="false">nl_q4</f>
        <v>12</v>
      </c>
      <c r="G91" s="18" t="n">
        <f aca="false">E91+F91</f>
        <v>41</v>
      </c>
      <c r="H91" s="18" t="n">
        <f aca="false">nl_27</f>
        <v>48</v>
      </c>
      <c r="I91" s="18" t="n">
        <f aca="false">H91*(1+g_nl)</f>
        <v>50.4</v>
      </c>
      <c r="J91" s="18" t="n">
        <f aca="false">I91*(1+g_nl)</f>
        <v>52.92</v>
      </c>
      <c r="K91" s="18" t="n">
        <f aca="false">J91*(1+g_nl)</f>
        <v>55.566</v>
      </c>
      <c r="L91" s="18" t="n">
        <f aca="false">K91*(1+g_nl)</f>
        <v>58.3443</v>
      </c>
      <c r="M91" s="18" t="n">
        <f aca="false">L91*(1+g_nl)</f>
        <v>61.261515</v>
      </c>
    </row>
    <row r="92" customFormat="false" ht="17.15" hidden="false" customHeight="false" outlineLevel="0" collapsed="false">
      <c r="A92" s="4" t="s">
        <v>811</v>
      </c>
      <c r="B92" s="0" t="s">
        <v>684</v>
      </c>
      <c r="E92" s="26" t="n">
        <f aca="false">rpl0</f>
        <v>0.0726896551724138</v>
      </c>
      <c r="F92" s="26" t="n">
        <f aca="false">rpl0</f>
        <v>0.0726896551724138</v>
      </c>
      <c r="H92" s="26" t="n">
        <f aca="false">rpl0*(1+g_rpl)^(2027-2026)</f>
        <v>0.0748703448275862</v>
      </c>
      <c r="I92" s="26" t="n">
        <f aca="false">rpl0*(1+g_rpl)^(2028-2026)</f>
        <v>0.0771164551724138</v>
      </c>
      <c r="J92" s="26" t="n">
        <f aca="false">rpl0*(1+g_rpl)^(2029-2026)</f>
        <v>0.0794299488275862</v>
      </c>
      <c r="K92" s="26" t="n">
        <f aca="false">rpl0*(1+g_rpl)^(2030-2026)</f>
        <v>0.0818128472924138</v>
      </c>
      <c r="L92" s="26" t="n">
        <f aca="false">rpl0*(1+g_rpl)^(2031-2026)</f>
        <v>0.0842672327111862</v>
      </c>
      <c r="M92" s="26" t="n">
        <f aca="false">rpl0*(1+g_rpl)^(2032-2026)</f>
        <v>0.0867952496925218</v>
      </c>
    </row>
    <row r="93" customFormat="false" ht="15" hidden="false" customHeight="false" outlineLevel="0" collapsed="false">
      <c r="A93" s="5" t="s">
        <v>594</v>
      </c>
      <c r="B93" s="7" t="s">
        <v>95</v>
      </c>
      <c r="D93" s="14" t="n">
        <f aca="false">Q!G5</f>
        <v>2.056</v>
      </c>
      <c r="E93" s="14" t="n">
        <f aca="false">Q!H5</f>
        <v>2.108</v>
      </c>
      <c r="F93" s="14" t="n">
        <f aca="false">F91*F92</f>
        <v>0.872275862068966</v>
      </c>
      <c r="G93" s="14" t="n">
        <f aca="false">E93+F93</f>
        <v>2.98027586206897</v>
      </c>
      <c r="H93" s="14" t="n">
        <f aca="false">H91*H92</f>
        <v>3.59377655172414</v>
      </c>
      <c r="I93" s="14" t="n">
        <f aca="false">I91*I92</f>
        <v>3.88666934068966</v>
      </c>
      <c r="J93" s="14" t="n">
        <f aca="false">J91*J92</f>
        <v>4.20343289195586</v>
      </c>
      <c r="K93" s="14" t="n">
        <f aca="false">K91*K92</f>
        <v>4.54601267265027</v>
      </c>
      <c r="L93" s="14" t="n">
        <f aca="false">L91*L92</f>
        <v>4.91651270547126</v>
      </c>
      <c r="M93" s="14" t="n">
        <f aca="false">M91*M92</f>
        <v>5.31720849096717</v>
      </c>
    </row>
    <row r="94" customFormat="false" ht="17.15" hidden="false" customHeight="false" outlineLevel="0" collapsed="false">
      <c r="A94" s="0" t="s">
        <v>812</v>
      </c>
      <c r="B94" s="0" t="s">
        <v>126</v>
      </c>
      <c r="F94" s="16" t="n">
        <f aca="false">g0_ld</f>
        <v>0.0155610155610155</v>
      </c>
      <c r="H94" s="16" t="n">
        <f aca="false">g0_ld+(gl_ld-g0_ld)*MIN(1,(2027-2026)/conv_n)</f>
        <v>0.0316707616707616</v>
      </c>
      <c r="I94" s="16" t="n">
        <f aca="false">g0_ld+(gl_ld-g0_ld)*MIN(1,(2028-2026)/conv_n)</f>
        <v>0.0477805077805078</v>
      </c>
      <c r="J94" s="16" t="n">
        <f aca="false">g0_ld+(gl_ld-g0_ld)*MIN(1,(2029-2026)/conv_n)</f>
        <v>0.0638902538902539</v>
      </c>
      <c r="K94" s="16" t="n">
        <f aca="false">g0_ld+(gl_ld-g0_ld)*MIN(1,(2030-2026)/conv_n)</f>
        <v>0.08</v>
      </c>
      <c r="L94" s="16" t="n">
        <f aca="false">g0_ld+(gl_ld-g0_ld)*MIN(1,(2031-2026)/conv_n)</f>
        <v>0.08</v>
      </c>
      <c r="M94" s="16" t="n">
        <f aca="false">g0_ld+(gl_ld-g0_ld)*MIN(1,(2032-2026)/conv_n)</f>
        <v>0.08</v>
      </c>
    </row>
    <row r="95" customFormat="false" ht="17.15" hidden="false" customHeight="false" outlineLevel="0" collapsed="false">
      <c r="A95" s="5" t="s">
        <v>597</v>
      </c>
      <c r="B95" s="7" t="s">
        <v>95</v>
      </c>
      <c r="D95" s="14" t="n">
        <f aca="false">Q!G6</f>
        <v>1.221</v>
      </c>
      <c r="E95" s="14" t="n">
        <f aca="false">Q!H6</f>
        <v>1.24</v>
      </c>
      <c r="F95" s="14" t="n">
        <f aca="false">ld_9m/3*(1+F94)^0.25</f>
        <v>0.414932006086979</v>
      </c>
      <c r="G95" s="14" t="n">
        <f aca="false">E95+F95</f>
        <v>1.65493200608698</v>
      </c>
      <c r="H95" s="14" t="n">
        <f aca="false">G95*(1+H94)</f>
        <v>1.70734496323307</v>
      </c>
      <c r="I95" s="14" t="n">
        <f aca="false">H95*(1+I94)</f>
        <v>1.78892277253284</v>
      </c>
      <c r="J95" s="14" t="n">
        <f aca="false">I95*(1+J94)</f>
        <v>1.90321750266002</v>
      </c>
      <c r="K95" s="14" t="n">
        <f aca="false">J95*(1+K94)</f>
        <v>2.05547490287283</v>
      </c>
      <c r="L95" s="14" t="n">
        <f aca="false">K95*(1+L94)</f>
        <v>2.21991289510265</v>
      </c>
      <c r="M95" s="14" t="n">
        <f aca="false">L95*(1+M94)</f>
        <v>2.39750592671086</v>
      </c>
      <c r="N95" s="7" t="s">
        <v>813</v>
      </c>
    </row>
    <row r="96" customFormat="false" ht="15" hidden="false" customHeight="false" outlineLevel="0" collapsed="false">
      <c r="A96" s="29" t="s">
        <v>814</v>
      </c>
      <c r="B96" s="30" t="s">
        <v>95</v>
      </c>
      <c r="C96" s="31" t="n">
        <f aca="false">Q!I7</f>
        <v>4.086</v>
      </c>
      <c r="D96" s="31" t="n">
        <f aca="false">Q!G7</f>
        <v>3.277</v>
      </c>
      <c r="E96" s="31" t="n">
        <f aca="false">Q!H7</f>
        <v>3.348</v>
      </c>
      <c r="F96" s="31" t="n">
        <f aca="false">F93+F95</f>
        <v>1.28720786815594</v>
      </c>
      <c r="G96" s="31" t="n">
        <f aca="false">E96+F96</f>
        <v>4.63520786815594</v>
      </c>
      <c r="H96" s="31" t="n">
        <f aca="false">H93+H95</f>
        <v>5.30112151495721</v>
      </c>
      <c r="I96" s="31" t="n">
        <f aca="false">I93+I95</f>
        <v>5.6755921132225</v>
      </c>
      <c r="J96" s="31" t="n">
        <f aca="false">J93+J95</f>
        <v>6.10665039461589</v>
      </c>
      <c r="K96" s="31" t="n">
        <f aca="false">K93+K95</f>
        <v>6.60148757552309</v>
      </c>
      <c r="L96" s="31" t="n">
        <f aca="false">L93+L95</f>
        <v>7.13642560057392</v>
      </c>
      <c r="M96" s="31" t="n">
        <f aca="false">M93+M95</f>
        <v>7.71471441767804</v>
      </c>
      <c r="N96" s="30"/>
    </row>
    <row r="97" customFormat="false" ht="17.15" hidden="false" customHeight="false" outlineLevel="0" collapsed="false">
      <c r="A97" s="0" t="s">
        <v>815</v>
      </c>
      <c r="B97" s="4" t="s">
        <v>410</v>
      </c>
      <c r="E97" s="17" t="n">
        <f aca="false">subs_q3</f>
        <v>13.6</v>
      </c>
      <c r="F97" s="17" t="n">
        <f aca="false">E97+nadd_q4</f>
        <v>15.2</v>
      </c>
      <c r="H97" s="17" t="n">
        <f aca="false">F97+nadd_C</f>
        <v>19.2</v>
      </c>
      <c r="I97" s="17" t="n">
        <f aca="false">H97+nadd_C*(1-nadd_dec)^(2028-2027)</f>
        <v>22.8</v>
      </c>
      <c r="J97" s="17" t="n">
        <f aca="false">I97+nadd_C*(1-nadd_dec)^(2029-2027)</f>
        <v>26.04</v>
      </c>
      <c r="K97" s="17" t="n">
        <f aca="false">J97+nadd_C*(1-nadd_dec)^(2030-2027)</f>
        <v>28.956</v>
      </c>
      <c r="L97" s="17" t="n">
        <f aca="false">K97+nadd_C*(1-nadd_dec)^(2031-2027)</f>
        <v>31.5804</v>
      </c>
      <c r="M97" s="17" t="n">
        <f aca="false">L97+nadd_C*(1-nadd_dec)^(2032-2027)</f>
        <v>33.94236</v>
      </c>
    </row>
    <row r="98" customFormat="false" ht="15" hidden="false" customHeight="false" outlineLevel="0" collapsed="false">
      <c r="A98" s="4" t="s">
        <v>816</v>
      </c>
      <c r="B98" s="4" t="s">
        <v>410</v>
      </c>
      <c r="F98" s="17" t="n">
        <f aca="false">(E97+F97)/2</f>
        <v>14.4</v>
      </c>
      <c r="H98" s="17" t="n">
        <f aca="false">(F97+H97)/2</f>
        <v>17.2</v>
      </c>
      <c r="I98" s="17" t="n">
        <f aca="false">(H97+I97)/2</f>
        <v>21</v>
      </c>
      <c r="J98" s="17" t="n">
        <f aca="false">(I97+J97)/2</f>
        <v>24.42</v>
      </c>
      <c r="K98" s="17" t="n">
        <f aca="false">(J97+K97)/2</f>
        <v>27.498</v>
      </c>
      <c r="L98" s="17" t="n">
        <f aca="false">(K97+L97)/2</f>
        <v>30.2682</v>
      </c>
      <c r="M98" s="17" t="n">
        <f aca="false">(L97+M97)/2</f>
        <v>32.76138</v>
      </c>
    </row>
    <row r="99" customFormat="false" ht="17.15" hidden="false" customHeight="false" outlineLevel="0" collapsed="false">
      <c r="A99" s="4" t="s">
        <v>817</v>
      </c>
      <c r="B99" s="0" t="s">
        <v>54</v>
      </c>
      <c r="F99" s="17" t="n">
        <f aca="false">arpu0*(1+g_arpu)^0.25</f>
        <v>68.6523818910955</v>
      </c>
      <c r="H99" s="17" t="n">
        <f aca="false">arpu0*(1+g_arpu)^(2027+0.5-2026.75)</f>
        <v>67.962390691723</v>
      </c>
      <c r="I99" s="17" t="n">
        <f aca="false">arpu0*(1+g_arpu)^(2028+0.5-2026.75)</f>
        <v>66.6031428778885</v>
      </c>
      <c r="J99" s="17" t="n">
        <f aca="false">arpu0*(1+g_arpu)^(2029+0.5-2026.75)</f>
        <v>65.2710800203308</v>
      </c>
      <c r="K99" s="17" t="n">
        <f aca="false">arpu0*(1+g_arpu)^(2030+0.5-2026.75)</f>
        <v>63.9656584199242</v>
      </c>
      <c r="L99" s="17" t="n">
        <f aca="false">arpu0*(1+g_arpu)^(2031+0.5-2026.75)</f>
        <v>62.6863452515257</v>
      </c>
      <c r="M99" s="17" t="n">
        <f aca="false">arpu0*(1+g_arpu)^(2032+0.5-2026.75)</f>
        <v>61.4326183464952</v>
      </c>
    </row>
    <row r="100" customFormat="false" ht="17.15" hidden="false" customHeight="false" outlineLevel="0" collapsed="false">
      <c r="A100" s="5" t="s">
        <v>601</v>
      </c>
      <c r="B100" s="7" t="s">
        <v>95</v>
      </c>
      <c r="D100" s="14" t="n">
        <f aca="false">Q!G9</f>
        <v>5.198</v>
      </c>
      <c r="E100" s="14" t="n">
        <f aca="false">Q!H9</f>
        <v>7.754</v>
      </c>
      <c r="F100" s="14" t="n">
        <f aca="false">F98*F99/1000*12*0.25*uplift</f>
        <v>3.49343615025178</v>
      </c>
      <c r="G100" s="14" t="n">
        <f aca="false">E100+F100</f>
        <v>11.2474361502518</v>
      </c>
      <c r="H100" s="14" t="n">
        <f aca="false">H98*H99/1000*12*1*uplift</f>
        <v>16.5231099963792</v>
      </c>
      <c r="I100" s="14" t="n">
        <f aca="false">I98*I99/1000*12*1*uplift</f>
        <v>19.7700932398537</v>
      </c>
      <c r="J100" s="14" t="n">
        <f aca="false">J98*J99/1000*12*1*uplift</f>
        <v>22.5299982561373</v>
      </c>
      <c r="K100" s="14" t="n">
        <f aca="false">K98*K99/1000*12*1*uplift</f>
        <v>24.8623789601276</v>
      </c>
      <c r="L100" s="14" t="n">
        <f aca="false">L98*L99/1000*12*1*uplift</f>
        <v>26.8197203310829</v>
      </c>
      <c r="M100" s="14" t="n">
        <f aca="false">M98*M99/1000*12*1*uplift</f>
        <v>28.4482733785004</v>
      </c>
      <c r="N100" s="4" t="s">
        <v>818</v>
      </c>
    </row>
    <row r="101" customFormat="false" ht="17.15" hidden="false" customHeight="false" outlineLevel="0" collapsed="false">
      <c r="A101" s="0" t="s">
        <v>819</v>
      </c>
      <c r="B101" s="0" t="s">
        <v>126</v>
      </c>
      <c r="F101" s="16" t="n">
        <f aca="false">g0_eg+g0_eg_adj</f>
        <v>0.702803107058426</v>
      </c>
      <c r="H101" s="16" t="n">
        <f aca="false">g0_eg+g0_eg_adj+(gl_eg-g0_eg+g0_eg_adj)*MIN(1,(2027-2026)/conv_n)</f>
        <v>0.55210233029382</v>
      </c>
      <c r="I101" s="16" t="n">
        <f aca="false">g0_eg+g0_eg_adj+(gl_eg-g0_eg+g0_eg_adj)*MIN(1,(2028-2026)/conv_n)</f>
        <v>0.401401553529213</v>
      </c>
      <c r="J101" s="16" t="n">
        <f aca="false">g0_eg+g0_eg_adj+(gl_eg-g0_eg+g0_eg_adj)*MIN(1,(2029-2026)/conv_n)</f>
        <v>0.250700776764607</v>
      </c>
      <c r="K101" s="16" t="n">
        <f aca="false">g0_eg+g0_eg_adj+(gl_eg-g0_eg+g0_eg_adj)*MIN(1,(2030-2026)/conv_n)</f>
        <v>0.1</v>
      </c>
      <c r="L101" s="16" t="n">
        <f aca="false">g0_eg+g0_eg_adj+(gl_eg-g0_eg+g0_eg_adj)*MIN(1,(2031-2026)/conv_n)</f>
        <v>0.1</v>
      </c>
      <c r="M101" s="16" t="n">
        <f aca="false">g0_eg+g0_eg_adj+(gl_eg-g0_eg+g0_eg_adj)*MIN(1,(2032-2026)/conv_n)</f>
        <v>0.1</v>
      </c>
      <c r="N101" s="4" t="s">
        <v>820</v>
      </c>
    </row>
    <row r="102" customFormat="false" ht="15" hidden="false" customHeight="false" outlineLevel="0" collapsed="false">
      <c r="A102" s="5" t="s">
        <v>602</v>
      </c>
      <c r="B102" s="7" t="s">
        <v>95</v>
      </c>
      <c r="D102" s="14" t="n">
        <f aca="false">Q!G10</f>
        <v>2.961</v>
      </c>
      <c r="E102" s="14" t="n">
        <f aca="false">Q!H10</f>
        <v>5.042</v>
      </c>
      <c r="F102" s="14" t="n">
        <f aca="false">eg_q3*(1+F101)^0.25</f>
        <v>2.42973325841983</v>
      </c>
      <c r="G102" s="14" t="n">
        <f aca="false">E102+F102</f>
        <v>7.47173325841983</v>
      </c>
      <c r="H102" s="14" t="n">
        <f aca="false">G102*(1+H101)</f>
        <v>11.5968946017273</v>
      </c>
      <c r="I102" s="14" t="n">
        <f aca="false">H102*(1+I101)</f>
        <v>16.2519061109751</v>
      </c>
      <c r="J102" s="14" t="n">
        <f aca="false">I102*(1+J101)</f>
        <v>20.326271596902</v>
      </c>
      <c r="K102" s="14" t="n">
        <f aca="false">J102*(1+K101)</f>
        <v>22.3588987565922</v>
      </c>
      <c r="L102" s="14" t="n">
        <f aca="false">K102*(1+L101)</f>
        <v>24.5947886322515</v>
      </c>
      <c r="M102" s="14" t="n">
        <f aca="false">L102*(1+M101)</f>
        <v>27.0542674954766</v>
      </c>
    </row>
    <row r="103" customFormat="false" ht="15" hidden="false" customHeight="false" outlineLevel="0" collapsed="false">
      <c r="A103" s="29" t="s">
        <v>821</v>
      </c>
      <c r="B103" s="30" t="s">
        <v>95</v>
      </c>
      <c r="C103" s="31" t="n">
        <f aca="false">Q!I11</f>
        <v>11.387</v>
      </c>
      <c r="D103" s="31" t="n">
        <f aca="false">Q!G11</f>
        <v>8.159</v>
      </c>
      <c r="E103" s="31" t="n">
        <f aca="false">Q!H11</f>
        <v>12.796</v>
      </c>
      <c r="F103" s="31" t="n">
        <f aca="false">F100+F102</f>
        <v>5.92316940867161</v>
      </c>
      <c r="G103" s="31" t="n">
        <f aca="false">E103+F103</f>
        <v>18.7191694086716</v>
      </c>
      <c r="H103" s="31" t="n">
        <f aca="false">H100+H102</f>
        <v>28.1200045981064</v>
      </c>
      <c r="I103" s="31" t="n">
        <f aca="false">I100+I102</f>
        <v>36.0219993508288</v>
      </c>
      <c r="J103" s="31" t="n">
        <f aca="false">J100+J102</f>
        <v>42.8562698530393</v>
      </c>
      <c r="K103" s="31" t="n">
        <f aca="false">K100+K102</f>
        <v>47.2212777167199</v>
      </c>
      <c r="L103" s="31" t="n">
        <f aca="false">L100+L102</f>
        <v>51.4145089633343</v>
      </c>
      <c r="M103" s="31" t="n">
        <f aca="false">M100+M102</f>
        <v>55.502540873977</v>
      </c>
      <c r="N103" s="30"/>
    </row>
    <row r="104" customFormat="false" ht="15" hidden="false" customHeight="false" outlineLevel="0" collapsed="false">
      <c r="A104" s="2" t="s">
        <v>609</v>
      </c>
      <c r="B104" s="7" t="s">
        <v>95</v>
      </c>
      <c r="C104" s="14" t="n">
        <f aca="false">Q!I17</f>
        <v>18.674</v>
      </c>
      <c r="D104" s="14" t="n">
        <f aca="false">Q!G17</f>
        <v>13.714</v>
      </c>
      <c r="E104" s="14" t="n">
        <f aca="false">Q!H17</f>
        <v>27.083</v>
      </c>
      <c r="F104" s="14" t="n">
        <f aca="false">F96+F103+F90</f>
        <v>16.5347643627689</v>
      </c>
      <c r="G104" s="14" t="n">
        <f aca="false">E104+F104</f>
        <v>43.6177643627689</v>
      </c>
      <c r="H104" s="14" t="n">
        <f aca="false">H96+H103+H90</f>
        <v>84.082405060502</v>
      </c>
      <c r="I104" s="14" t="n">
        <f aca="false">I96+I103+I90</f>
        <v>112.518733182418</v>
      </c>
      <c r="J104" s="14" t="n">
        <f aca="false">J96+J103+J90</f>
        <v>132.273043117983</v>
      </c>
      <c r="K104" s="14" t="n">
        <f aca="false">K96+K103+K90</f>
        <v>139.639787190259</v>
      </c>
      <c r="L104" s="14" t="n">
        <f aca="false">L96+L103+L90</f>
        <v>154.876927262883</v>
      </c>
      <c r="M104" s="14" t="n">
        <f aca="false">M96+M103+M90</f>
        <v>167.692476957834</v>
      </c>
    </row>
    <row r="105" customFormat="false" ht="17.15" hidden="false" customHeight="false" outlineLevel="0" collapsed="false">
      <c r="A105" s="4" t="s">
        <v>599</v>
      </c>
      <c r="B105" s="0" t="s">
        <v>95</v>
      </c>
      <c r="D105" s="21" t="n">
        <f aca="false">D93+D95-D96</f>
        <v>0</v>
      </c>
      <c r="E105" s="21" t="n">
        <f aca="false">E93+E95-E96</f>
        <v>0</v>
      </c>
      <c r="F105" s="21" t="n">
        <f aca="false">F93+F95-F96</f>
        <v>0</v>
      </c>
      <c r="G105" s="21" t="n">
        <f aca="false">G93+G95-G96</f>
        <v>0</v>
      </c>
      <c r="H105" s="21" t="n">
        <f aca="false">H93+H95-H96</f>
        <v>0</v>
      </c>
      <c r="I105" s="21" t="n">
        <f aca="false">I93+I95-I96</f>
        <v>0</v>
      </c>
      <c r="J105" s="21" t="n">
        <f aca="false">J93+J95-J96</f>
        <v>0</v>
      </c>
      <c r="K105" s="21" t="n">
        <f aca="false">K93+K95-K96</f>
        <v>0</v>
      </c>
      <c r="L105" s="21" t="n">
        <f aca="false">L93+L95-L96</f>
        <v>0</v>
      </c>
      <c r="M105" s="21" t="n">
        <f aca="false">M93+M95-M96</f>
        <v>0</v>
      </c>
    </row>
    <row r="106" customFormat="false" ht="17.15" hidden="false" customHeight="false" outlineLevel="0" collapsed="false">
      <c r="A106" s="4" t="s">
        <v>604</v>
      </c>
      <c r="B106" s="0" t="s">
        <v>95</v>
      </c>
      <c r="D106" s="21" t="n">
        <f aca="false">D100+D102-D103</f>
        <v>0</v>
      </c>
      <c r="E106" s="21" t="n">
        <f aca="false">E100+E102-E103</f>
        <v>0</v>
      </c>
      <c r="F106" s="21" t="n">
        <f aca="false">F100+F102-F103</f>
        <v>0</v>
      </c>
      <c r="G106" s="21" t="n">
        <f aca="false">G100+G102-G103</f>
        <v>0</v>
      </c>
      <c r="H106" s="21" t="n">
        <f aca="false">H100+H102-H103</f>
        <v>0</v>
      </c>
      <c r="I106" s="21" t="n">
        <f aca="false">I100+I102-I103</f>
        <v>0</v>
      </c>
      <c r="J106" s="21" t="n">
        <f aca="false">J100+J102-J103</f>
        <v>0</v>
      </c>
      <c r="K106" s="21" t="n">
        <f aca="false">K100+K102-K103</f>
        <v>0</v>
      </c>
      <c r="L106" s="21" t="n">
        <f aca="false">L100+L102-L103</f>
        <v>0</v>
      </c>
      <c r="M106" s="21" t="n">
        <f aca="false">M100+M102-M103</f>
        <v>0</v>
      </c>
    </row>
    <row r="107" customFormat="false" ht="17.15" hidden="false" customHeight="false" outlineLevel="0" collapsed="false">
      <c r="A107" s="4" t="s">
        <v>608</v>
      </c>
      <c r="B107" s="0" t="s">
        <v>95</v>
      </c>
      <c r="D107" s="21" t="n">
        <f aca="false">D89+D87-D90</f>
        <v>0</v>
      </c>
      <c r="E107" s="21" t="n">
        <f aca="false">E89+E87-E90</f>
        <v>0</v>
      </c>
      <c r="F107" s="21" t="n">
        <f aca="false">F89+F87-F90</f>
        <v>0</v>
      </c>
      <c r="G107" s="21" t="n">
        <f aca="false">G89+G87-G90</f>
        <v>0</v>
      </c>
      <c r="H107" s="21" t="n">
        <f aca="false">H89+H87-H90</f>
        <v>0</v>
      </c>
      <c r="I107" s="21" t="n">
        <f aca="false">I89+I87-I90</f>
        <v>0</v>
      </c>
      <c r="J107" s="21" t="n">
        <f aca="false">J89+J87-J90</f>
        <v>0</v>
      </c>
      <c r="K107" s="21" t="n">
        <f aca="false">K89+K87-K90</f>
        <v>0</v>
      </c>
      <c r="L107" s="21" t="n">
        <f aca="false">L89+L87-L90</f>
        <v>0</v>
      </c>
      <c r="M107" s="21" t="n">
        <f aca="false">M89+M87-M90</f>
        <v>0</v>
      </c>
    </row>
    <row r="108" customFormat="false" ht="17.15" hidden="false" customHeight="false" outlineLevel="0" collapsed="false">
      <c r="A108" s="4" t="s">
        <v>822</v>
      </c>
      <c r="B108" s="0" t="s">
        <v>95</v>
      </c>
      <c r="E108" s="21" t="n">
        <f aca="false">E84+E86-E87</f>
        <v>0</v>
      </c>
      <c r="F108" s="21" t="n">
        <f aca="false">F84+F86-F87</f>
        <v>0</v>
      </c>
      <c r="G108" s="21" t="n">
        <f aca="false">G84+G86-G87</f>
        <v>0</v>
      </c>
      <c r="H108" s="21" t="n">
        <f aca="false">H84+H86-H87</f>
        <v>0</v>
      </c>
      <c r="I108" s="21" t="n">
        <f aca="false">I84+I86-I87</f>
        <v>0</v>
      </c>
      <c r="J108" s="21" t="n">
        <f aca="false">J84+J86-J87</f>
        <v>0</v>
      </c>
      <c r="K108" s="21" t="n">
        <f aca="false">K84+K86-K87</f>
        <v>0</v>
      </c>
      <c r="L108" s="21" t="n">
        <f aca="false">L84+L86-L87</f>
        <v>0</v>
      </c>
      <c r="M108" s="21" t="n">
        <f aca="false">M84+M86-M87</f>
        <v>0</v>
      </c>
    </row>
    <row r="109" customFormat="false" ht="15" hidden="false" customHeight="false" outlineLevel="0" collapsed="false">
      <c r="A109" s="4" t="s">
        <v>610</v>
      </c>
      <c r="B109" s="0" t="s">
        <v>95</v>
      </c>
      <c r="C109" s="21" t="n">
        <f aca="false">C96+C103+C90-C104</f>
        <v>0</v>
      </c>
      <c r="D109" s="21" t="n">
        <f aca="false">D96+D103+D90-D104</f>
        <v>0</v>
      </c>
      <c r="E109" s="21" t="n">
        <f aca="false">E96+E103+E90-E104</f>
        <v>0</v>
      </c>
      <c r="F109" s="21" t="n">
        <f aca="false">F96+F103+F90-F104</f>
        <v>0</v>
      </c>
      <c r="G109" s="21" t="n">
        <f aca="false">G96+G103+G90-G104</f>
        <v>0</v>
      </c>
      <c r="H109" s="21" t="n">
        <f aca="false">H96+H103+H90-H104</f>
        <v>0</v>
      </c>
      <c r="I109" s="21" t="n">
        <f aca="false">I96+I103+I90-I104</f>
        <v>0</v>
      </c>
      <c r="J109" s="21" t="n">
        <f aca="false">J96+J103+J90-J104</f>
        <v>0</v>
      </c>
      <c r="K109" s="21" t="n">
        <f aca="false">K96+K103+K90-K104</f>
        <v>0</v>
      </c>
      <c r="L109" s="21" t="n">
        <f aca="false">L96+L103+L90-L104</f>
        <v>0</v>
      </c>
      <c r="M109" s="21" t="n">
        <f aca="false">M96+M103+M90-M104</f>
        <v>0</v>
      </c>
    </row>
    <row r="110" customFormat="false" ht="17.15" hidden="false" customHeight="false" outlineLevel="0" collapsed="false">
      <c r="A110" s="4" t="s">
        <v>823</v>
      </c>
      <c r="B110" s="0" t="s">
        <v>95</v>
      </c>
      <c r="C110" s="21" t="n">
        <f aca="false">C104-Q!I17</f>
        <v>0</v>
      </c>
      <c r="D110" s="21" t="n">
        <f aca="false">D104-Q!G17</f>
        <v>0</v>
      </c>
      <c r="E110" s="21" t="n">
        <f aca="false">E104-Q!H17</f>
        <v>0</v>
      </c>
    </row>
    <row r="111" customFormat="false" ht="17.15" hidden="false" customHeight="false" outlineLevel="0" collapsed="false">
      <c r="A111" s="0" t="s">
        <v>824</v>
      </c>
      <c r="B111" s="0" t="s">
        <v>89</v>
      </c>
      <c r="F111" s="17" t="n">
        <f aca="false">F82</f>
        <v>1.86661251869776</v>
      </c>
      <c r="H111" s="17" t="n">
        <f aca="false">H82</f>
        <v>1.64995938902332</v>
      </c>
      <c r="I111" s="17" t="n">
        <f aca="false">I82</f>
        <v>1.43330625934888</v>
      </c>
      <c r="J111" s="17" t="n">
        <f aca="false">J82</f>
        <v>1.21665312967444</v>
      </c>
      <c r="K111" s="17" t="n">
        <f aca="false">K82</f>
        <v>1</v>
      </c>
      <c r="L111" s="17" t="n">
        <f aca="false">L82</f>
        <v>1</v>
      </c>
      <c r="M111" s="17" t="n">
        <f aca="false">M82</f>
        <v>1</v>
      </c>
      <c r="N111" s="4" t="s">
        <v>825</v>
      </c>
    </row>
    <row r="112" customFormat="false" ht="17.15" hidden="false" customHeight="false" outlineLevel="0" collapsed="false">
      <c r="A112" s="0" t="s">
        <v>826</v>
      </c>
      <c r="B112" s="0" t="s">
        <v>126</v>
      </c>
      <c r="F112" s="16" t="n">
        <f aca="false">cx_sp0</f>
        <v>1.14456391875747</v>
      </c>
      <c r="H112" s="16" t="n">
        <f aca="false">cx_sp0+(cx_spl-cx_sp0)*MIN(1,(2027-2026)/conv_n)</f>
        <v>0.9334229390681</v>
      </c>
      <c r="I112" s="16" t="n">
        <f aca="false">cx_sp0+(cx_spl-cx_sp0)*MIN(1,(2028-2026)/conv_n)</f>
        <v>0.722281959378734</v>
      </c>
      <c r="J112" s="16" t="n">
        <f aca="false">cx_sp0+(cx_spl-cx_sp0)*MIN(1,(2029-2026)/conv_n)</f>
        <v>0.511140979689367</v>
      </c>
      <c r="K112" s="16" t="n">
        <f aca="false">cx_sp0+(cx_spl-cx_sp0)*MIN(1,(2030-2026)/conv_n)</f>
        <v>0.3</v>
      </c>
      <c r="L112" s="16" t="n">
        <f aca="false">cx_sp0+(cx_spl-cx_sp0)*MIN(1,(2031-2026)/conv_n)</f>
        <v>0.3</v>
      </c>
      <c r="M112" s="16" t="n">
        <f aca="false">cx_sp0+(cx_spl-cx_sp0)*MIN(1,(2032-2026)/conv_n)</f>
        <v>0.3</v>
      </c>
    </row>
    <row r="113" customFormat="false" ht="17.15" hidden="false" customHeight="false" outlineLevel="0" collapsed="false">
      <c r="A113" s="4" t="s">
        <v>827</v>
      </c>
      <c r="B113" s="0" t="s">
        <v>95</v>
      </c>
      <c r="F113" s="14" t="n">
        <f aca="false">F96*F112</f>
        <v>1.47329168183201</v>
      </c>
      <c r="G113" s="14" t="n">
        <f aca="false">F113</f>
        <v>1.47329168183201</v>
      </c>
      <c r="H113" s="14" t="n">
        <f aca="false">H96*H112</f>
        <v>4.9481884248485</v>
      </c>
      <c r="I113" s="14" t="n">
        <f aca="false">I96*I112</f>
        <v>4.09937779217283</v>
      </c>
      <c r="J113" s="14" t="n">
        <f aca="false">J96*J112</f>
        <v>3.12135926532442</v>
      </c>
      <c r="K113" s="14" t="n">
        <f aca="false">K96*K112</f>
        <v>1.98044627265693</v>
      </c>
      <c r="L113" s="14" t="n">
        <f aca="false">L96*L112</f>
        <v>2.14092768017218</v>
      </c>
      <c r="M113" s="14" t="n">
        <f aca="false">M96*M112</f>
        <v>2.31441432530341</v>
      </c>
    </row>
    <row r="114" customFormat="false" ht="17.15" hidden="false" customHeight="false" outlineLevel="0" collapsed="false">
      <c r="A114" s="4" t="s">
        <v>828</v>
      </c>
      <c r="B114" s="0" t="s">
        <v>95</v>
      </c>
      <c r="F114" s="14" t="n">
        <f aca="false">F103*cx_cn</f>
        <v>1.96358898339989</v>
      </c>
      <c r="G114" s="14" t="n">
        <f aca="false">F114</f>
        <v>1.96358898339989</v>
      </c>
      <c r="H114" s="14" t="n">
        <f aca="false">H103*cx_cn</f>
        <v>9.32205841709655</v>
      </c>
      <c r="I114" s="14" t="n">
        <f aca="false">I103*cx_cn</f>
        <v>11.9416474872004</v>
      </c>
      <c r="J114" s="14" t="n">
        <f aca="false">J103*cx_cn</f>
        <v>14.2072754545634</v>
      </c>
      <c r="K114" s="14" t="n">
        <f aca="false">K103*cx_cn</f>
        <v>15.6543185428513</v>
      </c>
      <c r="L114" s="14" t="n">
        <f aca="false">L103*cx_cn</f>
        <v>17.0444159911272</v>
      </c>
      <c r="M114" s="14" t="n">
        <f aca="false">M103*cx_cn</f>
        <v>18.3996388236488</v>
      </c>
    </row>
    <row r="115" customFormat="false" ht="17.15" hidden="false" customHeight="false" outlineLevel="0" collapsed="false">
      <c r="A115" s="4" t="s">
        <v>829</v>
      </c>
      <c r="B115" s="0" t="s">
        <v>95</v>
      </c>
      <c r="F115" s="14" t="n">
        <f aca="false">($F$113/life_sp*IF((0)&lt;0,0,IF((0)=0,phi_0,IF((0)&lt;life_sp,1,IF((0)=life_sp,1-phi_0,0)))))*0.25</f>
        <v>0.00920807301145008</v>
      </c>
      <c r="G115" s="14" t="n">
        <f aca="false">F115</f>
        <v>0.00920807301145008</v>
      </c>
      <c r="H115" s="14" t="n">
        <f aca="false">($F$113/life_sp*IF((1)&lt;0,0,IF((1)=0,phi_0,IF((1)&lt;life_sp,1,IF((1)=life_sp,1-phi_0,0))))+$H$113/life_sp*IF((0)&lt;0,0,IF((0)=0,phi_0,IF((0)&lt;life_sp,1,IF((0)=life_sp,1-phi_0,0)))))</f>
        <v>0.271033878804414</v>
      </c>
      <c r="I115" s="14" t="n">
        <f aca="false">($F$113/life_sp*IF((2)&lt;0,0,IF((2)=0,phi_0,IF((2)&lt;life_sp,1,IF((2)=life_sp,1-phi_0,0))))+$H$113/life_sp*IF((1)&lt;0,0,IF((1)=0,phi_0,IF((1)&lt;life_sp,1,IF((1)=life_sp,1-phi_0,0))))+$I$113/life_sp*IF((0)&lt;0,0,IF((0)=0,phi_0,IF((0)&lt;life_sp,1,IF((0)=life_sp,1-phi_0,0)))))</f>
        <v>0.744632455472372</v>
      </c>
      <c r="J115" s="14" t="n">
        <f aca="false">($F$113/life_sp*IF((3)&lt;0,0,IF((3)=0,phi_0,IF((3)&lt;life_sp,1,IF((3)=life_sp,1-phi_0,0))))+$H$113/life_sp*IF((2)&lt;0,0,IF((2)=0,phi_0,IF((2)&lt;life_sp,1,IF((2)=life_sp,1-phi_0,0))))+$I$113/life_sp*IF((1)&lt;0,0,IF((1)=0,phi_0,IF((1)&lt;life_sp,1,IF((1)=life_sp,1-phi_0,0))))+$J$113/life_sp*IF((0)&lt;0,0,IF((0)=0,phi_0,IF((0)&lt;life_sp,1,IF((0)=life_sp,1-phi_0,0)))))</f>
        <v>1.13011977151845</v>
      </c>
      <c r="K115" s="14" t="n">
        <f aca="false">($F$113/life_sp*IF((4)&lt;0,0,IF((4)=0,phi_0,IF((4)&lt;life_sp,1,IF((4)=life_sp,1-phi_0,0))))+$H$113/life_sp*IF((3)&lt;0,0,IF((3)=0,phi_0,IF((3)&lt;life_sp,1,IF((3)=life_sp,1-phi_0,0))))+$I$113/life_sp*IF((2)&lt;0,0,IF((2)=0,phi_0,IF((2)&lt;life_sp,1,IF((2)=life_sp,1-phi_0,0))))+$J$113/life_sp*IF((1)&lt;0,0,IF((1)=0,phi_0,IF((1)&lt;life_sp,1,IF((1)=life_sp,1-phi_0,0))))+$K$113/life_sp*IF((0)&lt;0,0,IF((0)=0,phi_0,IF((0)&lt;life_sp,1,IF((0)=life_sp,1-phi_0,0)))))</f>
        <v>1.4137328732342</v>
      </c>
      <c r="L115" s="14" t="n">
        <f aca="false">($F$113/life_sp*IF((5)&lt;0,0,IF((5)=0,phi_0,IF((5)&lt;life_sp,1,IF((5)=life_sp,1-phi_0,0))))+$H$113/life_sp*IF((4)&lt;0,0,IF((4)=0,phi_0,IF((4)&lt;life_sp,1,IF((4)=life_sp,1-phi_0,0))))+$I$113/life_sp*IF((3)&lt;0,0,IF((3)=0,phi_0,IF((3)&lt;life_sp,1,IF((3)=life_sp,1-phi_0,0))))+$J$113/life_sp*IF((2)&lt;0,0,IF((2)=0,phi_0,IF((2)&lt;life_sp,1,IF((2)=life_sp,1-phi_0,0))))+$K$113/life_sp*IF((1)&lt;0,0,IF((1)=0,phi_0,IF((1)&lt;life_sp,1,IF((1)=life_sp,1-phi_0,0))))+$L$113/life_sp*IF((0)&lt;0,0,IF((0)=0,phi_0,IF((0)&lt;life_sp,1,IF((0)=life_sp,1-phi_0,0)))))</f>
        <v>1.61578953568777</v>
      </c>
      <c r="M115" s="14" t="n">
        <f aca="false">($F$113/life_sp*IF((6)&lt;0,0,IF((6)=0,phi_0,IF((6)&lt;life_sp,1,IF((6)=life_sp,1-phi_0,0))))+$H$113/life_sp*IF((5)&lt;0,0,IF((5)=0,phi_0,IF((5)&lt;life_sp,1,IF((5)=life_sp,1-phi_0,0))))+$I$113/life_sp*IF((4)&lt;0,0,IF((4)=0,phi_0,IF((4)&lt;life_sp,1,IF((4)=life_sp,1-phi_0,0))))+$J$113/life_sp*IF((3)&lt;0,0,IF((3)=0,phi_0,IF((3)&lt;life_sp,1,IF((3)=life_sp,1-phi_0,0))))+$K$113/life_sp*IF((2)&lt;0,0,IF((2)=0,phi_0,IF((2)&lt;life_sp,1,IF((2)=life_sp,1-phi_0,0))))+$L$113/life_sp*IF((1)&lt;0,0,IF((1)=0,phi_0,IF((1)&lt;life_sp,1,IF((1)=life_sp,1-phi_0,0))))+$M$113/life_sp*IF((0)&lt;0,0,IF((0)=0,phi_0,IF((0)&lt;life_sp,1,IF((0)=life_sp,1-phi_0,0)))))</f>
        <v>1.83421946983327</v>
      </c>
    </row>
    <row r="116" customFormat="false" ht="17.15" hidden="false" customHeight="false" outlineLevel="0" collapsed="false">
      <c r="A116" s="4" t="s">
        <v>830</v>
      </c>
      <c r="B116" s="0" t="s">
        <v>95</v>
      </c>
      <c r="F116" s="14" t="n">
        <f aca="false">($F$114/life_cn*IF((0)&lt;0,0,IF((0)=0,phi_0,IF((0)&lt;life_cn,1,IF((0)=life_cn,1-phi_0,0)))))*0.25</f>
        <v>0.0204540519104155</v>
      </c>
      <c r="G116" s="14" t="n">
        <f aca="false">F116</f>
        <v>0.0204540519104155</v>
      </c>
      <c r="H116" s="14" t="n">
        <f aca="false">($F$114/life_cn*IF((1)&lt;0,0,IF((1)=0,phi_0,IF((1)&lt;life_cn,1,IF((1)=life_cn,1-phi_0,0))))+$H$114/life_cn*IF((0)&lt;0,0,IF((0)=0,phi_0,IF((0)&lt;life_cn,1,IF((0)=life_cn,1-phi_0,0)))))</f>
        <v>0.715683931279004</v>
      </c>
      <c r="I116" s="14" t="n">
        <f aca="false">($F$114/life_cn*IF((2)&lt;0,0,IF((2)=0,phi_0,IF((2)&lt;life_cn,1,IF((2)=life_cn,1-phi_0,0))))+$H$114/life_cn*IF((1)&lt;0,0,IF((1)=0,phi_0,IF((1)&lt;life_cn,1,IF((1)=life_cn,1-phi_0,0))))+$I$114/life_cn*IF((0)&lt;0,0,IF((0)=0,phi_0,IF((0)&lt;life_cn,1,IF((0)=life_cn,1-phi_0,0)))))</f>
        <v>2.37850987871609</v>
      </c>
      <c r="J116" s="14" t="n">
        <f aca="false">($F$114/life_cn*IF((3)&lt;0,0,IF((3)=0,phi_0,IF((3)&lt;life_cn,1,IF((3)=life_cn,1-phi_0,0))))+$H$114/life_cn*IF((2)&lt;0,0,IF((2)=0,phi_0,IF((2)&lt;life_cn,1,IF((2)=life_cn,1-phi_0,0))))+$I$114/life_cn*IF((1)&lt;0,0,IF((1)=0,phi_0,IF((1)&lt;life_cn,1,IF((1)=life_cn,1-phi_0,0))))+$J$114/life_cn*IF((0)&lt;0,0,IF((0)=0,phi_0,IF((0)&lt;life_cn,1,IF((0)=life_cn,1-phi_0,0)))))</f>
        <v>4.46318562522294</v>
      </c>
      <c r="K116" s="14" t="n">
        <f aca="false">($F$114/life_cn*IF((4)&lt;0,0,IF((4)=0,phi_0,IF((4)&lt;life_cn,1,IF((4)=life_cn,1-phi_0,0))))+$H$114/life_cn*IF((3)&lt;0,0,IF((3)=0,phi_0,IF((3)&lt;life_cn,1,IF((3)=life_cn,1-phi_0,0))))+$I$114/life_cn*IF((2)&lt;0,0,IF((2)=0,phi_0,IF((2)&lt;life_cn,1,IF((2)=life_cn,1-phi_0,0))))+$J$114/life_cn*IF((1)&lt;0,0,IF((1)=0,phi_0,IF((1)&lt;life_cn,1,IF((1)=life_cn,1-phi_0,0))))+$K$114/life_cn*IF((0)&lt;0,0,IF((0)=0,phi_0,IF((0)&lt;life_cn,1,IF((0)=life_cn,1-phi_0,0)))))</f>
        <v>6.89135832966216</v>
      </c>
      <c r="L116" s="14" t="n">
        <f aca="false">($F$114/life_cn*IF((5)&lt;0,0,IF((5)=0,phi_0,IF((5)&lt;life_cn,1,IF((5)=life_cn,1-phi_0,0))))+$H$114/life_cn*IF((4)&lt;0,0,IF((4)=0,phi_0,IF((4)&lt;life_cn,1,IF((4)=life_cn,1-phi_0,0))))+$I$114/life_cn*IF((3)&lt;0,0,IF((3)=0,phi_0,IF((3)&lt;life_cn,1,IF((3)=life_cn,1-phi_0,0))))+$J$114/life_cn*IF((2)&lt;0,0,IF((2)=0,phi_0,IF((2)&lt;life_cn,1,IF((2)=life_cn,1-phi_0,0))))+$K$114/life_cn*IF((1)&lt;0,0,IF((1)=0,phi_0,IF((1)&lt;life_cn,1,IF((1)=life_cn,1-phi_0,0))))+$L$114/life_cn*IF((0)&lt;0,0,IF((0)=0,phi_0,IF((0)&lt;life_cn,1,IF((0)=life_cn,1-phi_0,0)))))</f>
        <v>9.55833214714888</v>
      </c>
      <c r="M116" s="14" t="n">
        <f aca="false">($F$114/life_cn*IF((6)&lt;0,0,IF((6)=0,phi_0,IF((6)&lt;life_cn,1,IF((6)=life_cn,1-phi_0,0))))+$H$114/life_cn*IF((5)&lt;0,0,IF((5)=0,phi_0,IF((5)&lt;life_cn,1,IF((5)=life_cn,1-phi_0,0))))+$I$114/life_cn*IF((4)&lt;0,0,IF((4)=0,phi_0,IF((4)&lt;life_cn,1,IF((4)=life_cn,1-phi_0,0))))+$J$114/life_cn*IF((3)&lt;0,0,IF((3)=0,phi_0,IF((3)&lt;life_cn,1,IF((3)=life_cn,1-phi_0,0))))+$K$114/life_cn*IF((2)&lt;0,0,IF((2)=0,phi_0,IF((2)&lt;life_cn,1,IF((2)=life_cn,1-phi_0,0))))+$L$114/life_cn*IF((1)&lt;0,0,IF((1)=0,phi_0,IF((1)&lt;life_cn,1,IF((1)=life_cn,1-phi_0,0))))+$M$114/life_cn*IF((0)&lt;0,0,IF((0)=0,phi_0,IF((0)&lt;life_cn,1,IF((0)=life_cn,1-phi_0,0)))))</f>
        <v>12.3737195560502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833</v>
      </c>
    </row>
    <row r="2" customFormat="false" ht="17.15" hidden="false" customHeight="false" outlineLevel="0" collapsed="false">
      <c r="A2" s="4" t="s">
        <v>834</v>
      </c>
    </row>
    <row r="4" customFormat="false" ht="17.15" hidden="false" customHeight="false" outlineLevel="0" collapsed="false">
      <c r="A4" s="2" t="s">
        <v>835</v>
      </c>
    </row>
    <row r="5" customFormat="false" ht="15" hidden="false" customHeight="false" outlineLevel="0" collapsed="false">
      <c r="A5" s="3" t="s">
        <v>43</v>
      </c>
      <c r="B5" s="3" t="s">
        <v>44</v>
      </c>
      <c r="C5" s="20" t="s">
        <v>592</v>
      </c>
      <c r="D5" s="20" t="s">
        <v>731</v>
      </c>
      <c r="E5" s="20" t="s">
        <v>732</v>
      </c>
      <c r="F5" s="20" t="s">
        <v>733</v>
      </c>
      <c r="G5" s="20" t="s">
        <v>734</v>
      </c>
      <c r="H5" s="20" t="s">
        <v>735</v>
      </c>
      <c r="I5" s="20" t="s">
        <v>736</v>
      </c>
      <c r="J5" s="20" t="s">
        <v>737</v>
      </c>
      <c r="K5" s="20" t="s">
        <v>738</v>
      </c>
      <c r="L5" s="20" t="s">
        <v>739</v>
      </c>
      <c r="M5" s="20" t="s">
        <v>740</v>
      </c>
      <c r="N5" s="3" t="s">
        <v>50</v>
      </c>
    </row>
    <row r="6" customFormat="false" ht="17.15" hidden="false" customHeight="false" outlineLevel="0" collapsed="false">
      <c r="A6" s="4" t="s">
        <v>599</v>
      </c>
      <c r="B6" s="0" t="s">
        <v>95</v>
      </c>
      <c r="D6" s="21" t="n">
        <f aca="false">MAX(ABS(D28),ABS(D90),ABS(D152))</f>
        <v>0</v>
      </c>
      <c r="E6" s="21" t="n">
        <f aca="false">MAX(ABS(E28),ABS(E90),ABS(E152))</f>
        <v>0</v>
      </c>
      <c r="F6" s="21" t="n">
        <f aca="false">MAX(ABS(F28),ABS(F90),ABS(F152))</f>
        <v>0</v>
      </c>
      <c r="G6" s="21" t="n">
        <f aca="false">MAX(ABS(G28),ABS(G90),ABS(G152))</f>
        <v>0</v>
      </c>
      <c r="H6" s="21" t="n">
        <f aca="false">MAX(ABS(H28),ABS(H90),ABS(H152))</f>
        <v>0</v>
      </c>
      <c r="I6" s="21" t="n">
        <f aca="false">MAX(ABS(I28),ABS(I90),ABS(I152))</f>
        <v>0</v>
      </c>
      <c r="J6" s="21" t="n">
        <f aca="false">MAX(ABS(J28),ABS(J90),ABS(J152))</f>
        <v>0</v>
      </c>
      <c r="K6" s="21" t="n">
        <f aca="false">MAX(ABS(K28),ABS(K90),ABS(K152))</f>
        <v>0</v>
      </c>
      <c r="L6" s="21" t="n">
        <f aca="false">MAX(ABS(L28),ABS(L90),ABS(L152))</f>
        <v>0</v>
      </c>
      <c r="M6" s="21" t="n">
        <f aca="false">MAX(ABS(M28),ABS(M90),ABS(M152))</f>
        <v>0</v>
      </c>
      <c r="N6" s="4" t="s">
        <v>836</v>
      </c>
    </row>
    <row r="7" customFormat="false" ht="17.15" hidden="false" customHeight="false" outlineLevel="0" collapsed="false">
      <c r="A7" s="4" t="s">
        <v>604</v>
      </c>
      <c r="B7" s="0" t="s">
        <v>95</v>
      </c>
      <c r="D7" s="21" t="n">
        <f aca="false">MAX(ABS(D29),ABS(D91),ABS(D153))</f>
        <v>0</v>
      </c>
      <c r="E7" s="21" t="n">
        <f aca="false">MAX(ABS(E29),ABS(E91),ABS(E153))</f>
        <v>0</v>
      </c>
      <c r="F7" s="21" t="n">
        <f aca="false">MAX(ABS(F29),ABS(F91),ABS(F153))</f>
        <v>0</v>
      </c>
      <c r="G7" s="21" t="n">
        <f aca="false">MAX(ABS(G29),ABS(G91),ABS(G153))</f>
        <v>0</v>
      </c>
      <c r="H7" s="21" t="n">
        <f aca="false">MAX(ABS(H29),ABS(H91),ABS(H153))</f>
        <v>0</v>
      </c>
      <c r="I7" s="21" t="n">
        <f aca="false">MAX(ABS(I29),ABS(I91),ABS(I153))</f>
        <v>0</v>
      </c>
      <c r="J7" s="21" t="n">
        <f aca="false">MAX(ABS(J29),ABS(J91),ABS(J153))</f>
        <v>0</v>
      </c>
      <c r="K7" s="21" t="n">
        <f aca="false">MAX(ABS(K29),ABS(K91),ABS(K153))</f>
        <v>0</v>
      </c>
      <c r="L7" s="21" t="n">
        <f aca="false">MAX(ABS(L29),ABS(L91),ABS(L153))</f>
        <v>0</v>
      </c>
      <c r="M7" s="21" t="n">
        <f aca="false">MAX(ABS(M29),ABS(M91),ABS(M153))</f>
        <v>0</v>
      </c>
      <c r="N7" s="4" t="s">
        <v>836</v>
      </c>
    </row>
    <row r="8" customFormat="false" ht="17.15" hidden="false" customHeight="false" outlineLevel="0" collapsed="false">
      <c r="A8" s="4" t="s">
        <v>608</v>
      </c>
      <c r="B8" s="0" t="s">
        <v>95</v>
      </c>
      <c r="D8" s="21" t="n">
        <f aca="false">MAX(ABS(D30),ABS(D92),ABS(D154))</f>
        <v>0</v>
      </c>
      <c r="E8" s="21" t="n">
        <f aca="false">MAX(ABS(E30),ABS(E92),ABS(E154))</f>
        <v>0</v>
      </c>
      <c r="F8" s="21" t="n">
        <f aca="false">MAX(ABS(F30),ABS(F92),ABS(F154))</f>
        <v>0</v>
      </c>
      <c r="G8" s="21" t="n">
        <f aca="false">MAX(ABS(G30),ABS(G92),ABS(G154))</f>
        <v>0</v>
      </c>
      <c r="H8" s="21" t="n">
        <f aca="false">MAX(ABS(H30),ABS(H92),ABS(H154))</f>
        <v>0</v>
      </c>
      <c r="I8" s="21" t="n">
        <f aca="false">MAX(ABS(I30),ABS(I92),ABS(I154))</f>
        <v>0</v>
      </c>
      <c r="J8" s="21" t="n">
        <f aca="false">MAX(ABS(J30),ABS(J92),ABS(J154))</f>
        <v>0</v>
      </c>
      <c r="K8" s="21" t="n">
        <f aca="false">MAX(ABS(K30),ABS(K92),ABS(K154))</f>
        <v>0</v>
      </c>
      <c r="L8" s="21" t="n">
        <f aca="false">MAX(ABS(L30),ABS(L92),ABS(L154))</f>
        <v>0</v>
      </c>
      <c r="M8" s="21" t="n">
        <f aca="false">MAX(ABS(M30),ABS(M92),ABS(M154))</f>
        <v>0</v>
      </c>
      <c r="N8" s="4" t="s">
        <v>836</v>
      </c>
    </row>
    <row r="9" customFormat="false" ht="17.15" hidden="false" customHeight="false" outlineLevel="0" collapsed="false">
      <c r="A9" s="4" t="s">
        <v>822</v>
      </c>
      <c r="B9" s="0" t="s">
        <v>95</v>
      </c>
      <c r="E9" s="21" t="n">
        <f aca="false">MAX(ABS(E31),ABS(E93),ABS(E155))</f>
        <v>0</v>
      </c>
      <c r="F9" s="21" t="n">
        <f aca="false">MAX(ABS(F31),ABS(F93),ABS(F155))</f>
        <v>0</v>
      </c>
      <c r="G9" s="21" t="n">
        <f aca="false">MAX(ABS(G31),ABS(G93),ABS(G155))</f>
        <v>0</v>
      </c>
      <c r="H9" s="21" t="n">
        <f aca="false">MAX(ABS(H31),ABS(H93),ABS(H155))</f>
        <v>0</v>
      </c>
      <c r="I9" s="21" t="n">
        <f aca="false">MAX(ABS(I31),ABS(I93),ABS(I155))</f>
        <v>0</v>
      </c>
      <c r="J9" s="21" t="n">
        <f aca="false">MAX(ABS(J31),ABS(J93),ABS(J155))</f>
        <v>0</v>
      </c>
      <c r="K9" s="21" t="n">
        <f aca="false">MAX(ABS(K31),ABS(K93),ABS(K155))</f>
        <v>0</v>
      </c>
      <c r="L9" s="21" t="n">
        <f aca="false">MAX(ABS(L31),ABS(L93),ABS(L155))</f>
        <v>0</v>
      </c>
      <c r="M9" s="21" t="n">
        <f aca="false">MAX(ABS(M31),ABS(M93),ABS(M155))</f>
        <v>0</v>
      </c>
      <c r="N9" s="4" t="s">
        <v>836</v>
      </c>
    </row>
    <row r="10" customFormat="false" ht="17.15" hidden="false" customHeight="false" outlineLevel="0" collapsed="false">
      <c r="A10" s="4" t="s">
        <v>610</v>
      </c>
      <c r="B10" s="0" t="s">
        <v>95</v>
      </c>
      <c r="C10" s="21" t="n">
        <f aca="false">MAX(ABS(C32),ABS(C94),ABS(C156))</f>
        <v>0</v>
      </c>
      <c r="D10" s="21" t="n">
        <f aca="false">MAX(ABS(D32),ABS(D94),ABS(D156))</f>
        <v>0</v>
      </c>
      <c r="E10" s="21" t="n">
        <f aca="false">MAX(ABS(E32),ABS(E94),ABS(E156))</f>
        <v>0</v>
      </c>
      <c r="F10" s="21" t="n">
        <f aca="false">MAX(ABS(F32),ABS(F94),ABS(F156))</f>
        <v>0</v>
      </c>
      <c r="G10" s="21" t="n">
        <f aca="false">MAX(ABS(G32),ABS(G94),ABS(G156))</f>
        <v>0</v>
      </c>
      <c r="H10" s="21" t="n">
        <f aca="false">MAX(ABS(H32),ABS(H94),ABS(H156))</f>
        <v>0</v>
      </c>
      <c r="I10" s="21" t="n">
        <f aca="false">MAX(ABS(I32),ABS(I94),ABS(I156))</f>
        <v>0</v>
      </c>
      <c r="J10" s="21" t="n">
        <f aca="false">MAX(ABS(J32),ABS(J94),ABS(J156))</f>
        <v>0</v>
      </c>
      <c r="K10" s="21" t="n">
        <f aca="false">MAX(ABS(K32),ABS(K94),ABS(K156))</f>
        <v>0</v>
      </c>
      <c r="L10" s="21" t="n">
        <f aca="false">MAX(ABS(L32),ABS(L94),ABS(L156))</f>
        <v>0</v>
      </c>
      <c r="M10" s="21" t="n">
        <f aca="false">MAX(ABS(M32),ABS(M94),ABS(M156))</f>
        <v>0</v>
      </c>
      <c r="N10" s="4" t="s">
        <v>836</v>
      </c>
    </row>
    <row r="11" customFormat="false" ht="17.15" hidden="false" customHeight="false" outlineLevel="0" collapsed="false">
      <c r="A11" s="4" t="s">
        <v>837</v>
      </c>
      <c r="B11" s="0" t="s">
        <v>95</v>
      </c>
      <c r="C11" s="21" t="n">
        <f aca="false">MAX(ABS(C55),ABS(C117),ABS(C179))</f>
        <v>0</v>
      </c>
      <c r="D11" s="21" t="n">
        <f aca="false">MAX(ABS(D55),ABS(D117),ABS(D179))</f>
        <v>0</v>
      </c>
      <c r="E11" s="21" t="n">
        <f aca="false">MAX(ABS(E55),ABS(E117),ABS(E179))</f>
        <v>0</v>
      </c>
      <c r="F11" s="21" t="n">
        <f aca="false">MAX(ABS(F55),ABS(F117),ABS(F179))</f>
        <v>0</v>
      </c>
      <c r="G11" s="21" t="n">
        <f aca="false">MAX(ABS(G55),ABS(G117),ABS(G179))</f>
        <v>0</v>
      </c>
      <c r="H11" s="21" t="n">
        <f aca="false">MAX(ABS(H55),ABS(H117),ABS(H179))</f>
        <v>0</v>
      </c>
      <c r="I11" s="21" t="n">
        <f aca="false">MAX(ABS(I55),ABS(I117),ABS(I179))</f>
        <v>0</v>
      </c>
      <c r="J11" s="21" t="n">
        <f aca="false">MAX(ABS(J55),ABS(J117),ABS(J179))</f>
        <v>0</v>
      </c>
      <c r="K11" s="21" t="n">
        <f aca="false">MAX(ABS(K55),ABS(K117),ABS(K179))</f>
        <v>0</v>
      </c>
      <c r="L11" s="21" t="n">
        <f aca="false">MAX(ABS(L55),ABS(L117),ABS(L179))</f>
        <v>0</v>
      </c>
      <c r="M11" s="21" t="n">
        <f aca="false">MAX(ABS(M55),ABS(M117),ABS(M179))</f>
        <v>0</v>
      </c>
      <c r="N11" s="4" t="s">
        <v>836</v>
      </c>
    </row>
    <row r="13" customFormat="false" ht="17.15" hidden="false" customHeight="false" outlineLevel="0" collapsed="false">
      <c r="A13" s="28" t="s">
        <v>798</v>
      </c>
    </row>
    <row r="14" customFormat="false" ht="15" hidden="false" customHeight="false" outlineLevel="0" collapsed="false">
      <c r="A14" s="3" t="s">
        <v>43</v>
      </c>
      <c r="B14" s="3" t="s">
        <v>44</v>
      </c>
      <c r="C14" s="20" t="s">
        <v>592</v>
      </c>
      <c r="D14" s="20" t="s">
        <v>731</v>
      </c>
      <c r="E14" s="20" t="s">
        <v>732</v>
      </c>
      <c r="F14" s="20" t="s">
        <v>733</v>
      </c>
      <c r="G14" s="20" t="s">
        <v>734</v>
      </c>
      <c r="H14" s="20" t="s">
        <v>735</v>
      </c>
      <c r="I14" s="20" t="s">
        <v>736</v>
      </c>
      <c r="J14" s="20" t="s">
        <v>737</v>
      </c>
      <c r="K14" s="20" t="s">
        <v>738</v>
      </c>
      <c r="L14" s="20" t="s">
        <v>739</v>
      </c>
      <c r="M14" s="20" t="s">
        <v>740</v>
      </c>
      <c r="N14" s="3" t="s">
        <v>50</v>
      </c>
    </row>
    <row r="15" customFormat="false" ht="15" hidden="false" customHeight="false" outlineLevel="0" collapsed="false">
      <c r="A15" s="0" t="s">
        <v>594</v>
      </c>
      <c r="B15" s="0" t="s">
        <v>95</v>
      </c>
      <c r="D15" s="14" t="n">
        <f aca="false">Seg!D17</f>
        <v>2.056</v>
      </c>
      <c r="E15" s="14" t="n">
        <f aca="false">Seg!E17</f>
        <v>2.108</v>
      </c>
      <c r="F15" s="14" t="n">
        <f aca="false">Seg!F17</f>
        <v>0.872275862068966</v>
      </c>
      <c r="G15" s="14" t="n">
        <f aca="false">Seg!G17</f>
        <v>2.98027586206897</v>
      </c>
      <c r="H15" s="14" t="n">
        <f aca="false">Seg!H17</f>
        <v>3.59377655172414</v>
      </c>
      <c r="I15" s="14" t="n">
        <f aca="false">Seg!I17</f>
        <v>3.88666934068966</v>
      </c>
      <c r="J15" s="14" t="n">
        <f aca="false">Seg!J17</f>
        <v>4.20343289195586</v>
      </c>
      <c r="K15" s="14" t="n">
        <f aca="false">Seg!K17</f>
        <v>4.54601267265027</v>
      </c>
      <c r="L15" s="14" t="n">
        <f aca="false">Seg!L17</f>
        <v>4.91651270547126</v>
      </c>
      <c r="M15" s="14" t="n">
        <f aca="false">Seg!M17</f>
        <v>5.31720849096717</v>
      </c>
    </row>
    <row r="16" customFormat="false" ht="15" hidden="false" customHeight="false" outlineLevel="0" collapsed="false">
      <c r="A16" s="0" t="s">
        <v>597</v>
      </c>
      <c r="B16" s="0" t="s">
        <v>95</v>
      </c>
      <c r="D16" s="14" t="n">
        <f aca="false">Seg!D19</f>
        <v>1.221</v>
      </c>
      <c r="E16" s="14" t="n">
        <f aca="false">Seg!E19</f>
        <v>1.24</v>
      </c>
      <c r="F16" s="14" t="n">
        <f aca="false">Seg!F19</f>
        <v>0.414932006086979</v>
      </c>
      <c r="G16" s="14" t="n">
        <f aca="false">Seg!G19</f>
        <v>1.65493200608698</v>
      </c>
      <c r="H16" s="14" t="n">
        <f aca="false">Seg!H19</f>
        <v>1.70734496323307</v>
      </c>
      <c r="I16" s="14" t="n">
        <f aca="false">Seg!I19</f>
        <v>1.78892277253284</v>
      </c>
      <c r="J16" s="14" t="n">
        <f aca="false">Seg!J19</f>
        <v>1.90321750266002</v>
      </c>
      <c r="K16" s="14" t="n">
        <f aca="false">Seg!K19</f>
        <v>2.05547490287283</v>
      </c>
      <c r="L16" s="14" t="n">
        <f aca="false">Seg!L19</f>
        <v>2.21991289510265</v>
      </c>
      <c r="M16" s="14" t="n">
        <f aca="false">Seg!M19</f>
        <v>2.39750592671086</v>
      </c>
    </row>
    <row r="17" customFormat="false" ht="15" hidden="false" customHeight="false" outlineLevel="0" collapsed="false">
      <c r="A17" s="29" t="s">
        <v>814</v>
      </c>
      <c r="B17" s="30" t="s">
        <v>95</v>
      </c>
      <c r="C17" s="31" t="n">
        <f aca="false">Seg!C20</f>
        <v>4.086</v>
      </c>
      <c r="D17" s="31" t="n">
        <f aca="false">Seg!D20</f>
        <v>3.277</v>
      </c>
      <c r="E17" s="31" t="n">
        <f aca="false">Seg!E20</f>
        <v>3.348</v>
      </c>
      <c r="F17" s="31" t="n">
        <f aca="false">Seg!F20</f>
        <v>1.28720786815594</v>
      </c>
      <c r="G17" s="31" t="n">
        <f aca="false">Seg!G20</f>
        <v>4.63520786815594</v>
      </c>
      <c r="H17" s="31" t="n">
        <f aca="false">Seg!H20</f>
        <v>5.30112151495721</v>
      </c>
      <c r="I17" s="31" t="n">
        <f aca="false">Seg!I20</f>
        <v>5.6755921132225</v>
      </c>
      <c r="J17" s="31" t="n">
        <f aca="false">Seg!J20</f>
        <v>6.10665039461589</v>
      </c>
      <c r="K17" s="31" t="n">
        <f aca="false">Seg!K20</f>
        <v>6.60148757552309</v>
      </c>
      <c r="L17" s="31" t="n">
        <f aca="false">Seg!L20</f>
        <v>7.13642560057392</v>
      </c>
      <c r="M17" s="31" t="n">
        <f aca="false">Seg!M20</f>
        <v>7.71471441767804</v>
      </c>
      <c r="N17" s="30"/>
    </row>
    <row r="18" customFormat="false" ht="15" hidden="false" customHeight="false" outlineLevel="0" collapsed="false">
      <c r="A18" s="0" t="s">
        <v>601</v>
      </c>
      <c r="B18" s="0" t="s">
        <v>95</v>
      </c>
      <c r="D18" s="14" t="n">
        <f aca="false">Seg!D24</f>
        <v>5.198</v>
      </c>
      <c r="E18" s="14" t="n">
        <f aca="false">Seg!E24</f>
        <v>7.754</v>
      </c>
      <c r="F18" s="14" t="n">
        <f aca="false">Seg!F24</f>
        <v>3.49343615025178</v>
      </c>
      <c r="G18" s="14" t="n">
        <f aca="false">Seg!G24</f>
        <v>11.2474361502518</v>
      </c>
      <c r="H18" s="14" t="n">
        <f aca="false">Seg!H24</f>
        <v>17.9640788914122</v>
      </c>
      <c r="I18" s="14" t="n">
        <f aca="false">Seg!I24</f>
        <v>23.8653268395377</v>
      </c>
      <c r="J18" s="14" t="n">
        <f aca="false">Seg!J24</f>
        <v>28.909807344638</v>
      </c>
      <c r="K18" s="14" t="n">
        <f aca="false">Seg!K24</f>
        <v>33.2018273686933</v>
      </c>
      <c r="L18" s="14" t="n">
        <f aca="false">Seg!L24</f>
        <v>36.8333214840955</v>
      </c>
      <c r="M18" s="14" t="n">
        <f aca="false">Seg!M24</f>
        <v>39.8853130989821</v>
      </c>
    </row>
    <row r="19" customFormat="false" ht="15" hidden="false" customHeight="false" outlineLevel="0" collapsed="false">
      <c r="A19" s="0" t="s">
        <v>602</v>
      </c>
      <c r="B19" s="0" t="s">
        <v>95</v>
      </c>
      <c r="D19" s="14" t="n">
        <f aca="false">Seg!D26</f>
        <v>2.961</v>
      </c>
      <c r="E19" s="14" t="n">
        <f aca="false">Seg!E26</f>
        <v>5.042</v>
      </c>
      <c r="F19" s="14" t="n">
        <f aca="false">Seg!F26</f>
        <v>2.42973325841983</v>
      </c>
      <c r="G19" s="14" t="n">
        <f aca="false">Seg!G26</f>
        <v>7.47173325841983</v>
      </c>
      <c r="H19" s="14" t="n">
        <f aca="false">Seg!H26</f>
        <v>11.5968946017273</v>
      </c>
      <c r="I19" s="14" t="n">
        <f aca="false">Seg!I26</f>
        <v>16.2519061109751</v>
      </c>
      <c r="J19" s="14" t="n">
        <f aca="false">Seg!J26</f>
        <v>20.326271596902</v>
      </c>
      <c r="K19" s="14" t="n">
        <f aca="false">Seg!K26</f>
        <v>22.3588987565922</v>
      </c>
      <c r="L19" s="14" t="n">
        <f aca="false">Seg!L26</f>
        <v>24.5947886322515</v>
      </c>
      <c r="M19" s="14" t="n">
        <f aca="false">Seg!M26</f>
        <v>27.0542674954766</v>
      </c>
    </row>
    <row r="20" customFormat="false" ht="15" hidden="false" customHeight="false" outlineLevel="0" collapsed="false">
      <c r="A20" s="29" t="s">
        <v>821</v>
      </c>
      <c r="B20" s="30" t="s">
        <v>95</v>
      </c>
      <c r="C20" s="31" t="n">
        <f aca="false">Seg!C27</f>
        <v>11.387</v>
      </c>
      <c r="D20" s="31" t="n">
        <f aca="false">Seg!D27</f>
        <v>8.159</v>
      </c>
      <c r="E20" s="31" t="n">
        <f aca="false">Seg!E27</f>
        <v>12.796</v>
      </c>
      <c r="F20" s="31" t="n">
        <f aca="false">Seg!F27</f>
        <v>5.92316940867161</v>
      </c>
      <c r="G20" s="31" t="n">
        <f aca="false">Seg!G27</f>
        <v>18.7191694086716</v>
      </c>
      <c r="H20" s="31" t="n">
        <f aca="false">Seg!H27</f>
        <v>29.5609734931395</v>
      </c>
      <c r="I20" s="31" t="n">
        <f aca="false">Seg!I27</f>
        <v>40.1172329505128</v>
      </c>
      <c r="J20" s="31" t="n">
        <f aca="false">Seg!J27</f>
        <v>49.2360789415401</v>
      </c>
      <c r="K20" s="31" t="n">
        <f aca="false">Seg!K27</f>
        <v>55.5607261252855</v>
      </c>
      <c r="L20" s="31" t="n">
        <f aca="false">Seg!L27</f>
        <v>61.428110116347</v>
      </c>
      <c r="M20" s="31" t="n">
        <f aca="false">Seg!M27</f>
        <v>66.9395805944588</v>
      </c>
      <c r="N20" s="30"/>
    </row>
    <row r="21" customFormat="false" ht="15" hidden="false" customHeight="false" outlineLevel="0" collapsed="false">
      <c r="A21" s="0" t="s">
        <v>605</v>
      </c>
      <c r="B21" s="0" t="s">
        <v>95</v>
      </c>
      <c r="D21" s="14" t="n">
        <f aca="false">Seg!D13</f>
        <v>1.323</v>
      </c>
      <c r="E21" s="14" t="n">
        <f aca="false">Seg!E13</f>
        <v>1.248</v>
      </c>
      <c r="F21" s="14" t="n">
        <f aca="false">Seg!F13</f>
        <v>0.530207615057733</v>
      </c>
      <c r="G21" s="14" t="n">
        <f aca="false">Seg!G13</f>
        <v>1.77820761505773</v>
      </c>
      <c r="H21" s="14" t="n">
        <f aca="false">Seg!H13</f>
        <v>1.71594010690461</v>
      </c>
      <c r="I21" s="14" t="n">
        <f aca="false">Seg!I13</f>
        <v>1.69304145037596</v>
      </c>
      <c r="J21" s="14" t="n">
        <f aca="false">Seg!J13</f>
        <v>1.70714053138844</v>
      </c>
      <c r="K21" s="14" t="n">
        <f aca="false">Seg!K13</f>
        <v>1.7583547473301</v>
      </c>
      <c r="L21" s="14" t="n">
        <f aca="false">Seg!L13</f>
        <v>1.81110538975</v>
      </c>
      <c r="M21" s="14" t="n">
        <f aca="false">Seg!M13</f>
        <v>1.8654385514425</v>
      </c>
    </row>
    <row r="22" customFormat="false" ht="17.15" hidden="false" customHeight="false" outlineLevel="0" collapsed="false">
      <c r="A22" s="0" t="s">
        <v>801</v>
      </c>
      <c r="B22" s="0" t="s">
        <v>95</v>
      </c>
      <c r="E22" s="14" t="n">
        <f aca="false">Seg!E8</f>
        <v>6.63552</v>
      </c>
      <c r="F22" s="14" t="n">
        <f aca="false">Seg!F8</f>
        <v>6.28901947088364</v>
      </c>
      <c r="G22" s="14" t="n">
        <f aca="false">Seg!G8</f>
        <v>12.9245394708836</v>
      </c>
      <c r="H22" s="14" t="n">
        <f aca="false">Seg!H8</f>
        <v>39.3105079331401</v>
      </c>
      <c r="I22" s="14" t="n">
        <f aca="false">Seg!I8</f>
        <v>61.9989407872122</v>
      </c>
      <c r="J22" s="14" t="n">
        <f aca="false">Seg!J8</f>
        <v>80.7953466601032</v>
      </c>
      <c r="K22" s="14" t="n">
        <f aca="false">Seg!K8</f>
        <v>92.8683635508116</v>
      </c>
      <c r="L22" s="14" t="n">
        <f aca="false">Seg!L8</f>
        <v>103.354490220931</v>
      </c>
      <c r="M22" s="14" t="n">
        <f aca="false">Seg!M8</f>
        <v>109.125924088674</v>
      </c>
    </row>
    <row r="23" customFormat="false" ht="17.15" hidden="false" customHeight="false" outlineLevel="0" collapsed="false">
      <c r="A23" s="0" t="s">
        <v>805</v>
      </c>
      <c r="B23" s="0" t="s">
        <v>95</v>
      </c>
      <c r="E23" s="14" t="n">
        <f aca="false">Seg!E10</f>
        <v>3.05548</v>
      </c>
      <c r="F23" s="14" t="n">
        <f aca="false">Seg!F10</f>
        <v>2.50516</v>
      </c>
      <c r="G23" s="14" t="n">
        <f aca="false">Seg!G10</f>
        <v>5.56064</v>
      </c>
      <c r="H23" s="14" t="n">
        <f aca="false">Seg!H10</f>
        <v>12.9107804793285</v>
      </c>
      <c r="I23" s="14" t="n">
        <f aca="false">Seg!I10</f>
        <v>17.8599129964044</v>
      </c>
      <c r="J23" s="14" t="n">
        <f aca="false">Seg!J10</f>
        <v>22.6225564621123</v>
      </c>
      <c r="K23" s="14" t="n">
        <f aca="false">Seg!K10</f>
        <v>26.0159399314291</v>
      </c>
      <c r="L23" s="14" t="n">
        <f aca="false">Seg!L10</f>
        <v>29.9183309211435</v>
      </c>
      <c r="M23" s="14" t="n">
        <f aca="false">Seg!M10</f>
        <v>34.406080559315</v>
      </c>
    </row>
    <row r="24" customFormat="false" ht="15" hidden="false" customHeight="false" outlineLevel="0" collapsed="false">
      <c r="A24" s="0" t="s">
        <v>606</v>
      </c>
      <c r="B24" s="0" t="s">
        <v>95</v>
      </c>
      <c r="D24" s="14" t="n">
        <f aca="false">Seg!D11</f>
        <v>0.955</v>
      </c>
      <c r="E24" s="14" t="n">
        <f aca="false">Seg!E11</f>
        <v>9.691</v>
      </c>
      <c r="F24" s="14" t="n">
        <f aca="false">Seg!F11</f>
        <v>8.79417947088364</v>
      </c>
      <c r="G24" s="14" t="n">
        <f aca="false">Seg!G11</f>
        <v>18.4851794708836</v>
      </c>
      <c r="H24" s="14" t="n">
        <f aca="false">Seg!H11</f>
        <v>52.2212884124686</v>
      </c>
      <c r="I24" s="14" t="n">
        <f aca="false">Seg!I11</f>
        <v>79.8588537836166</v>
      </c>
      <c r="J24" s="14" t="n">
        <f aca="false">Seg!J11</f>
        <v>103.417903122215</v>
      </c>
      <c r="K24" s="14" t="n">
        <f aca="false">Seg!K11</f>
        <v>118.884303482241</v>
      </c>
      <c r="L24" s="14" t="n">
        <f aca="false">Seg!L11</f>
        <v>133.272821142074</v>
      </c>
      <c r="M24" s="14" t="n">
        <f aca="false">Seg!M11</f>
        <v>143.532004647989</v>
      </c>
    </row>
    <row r="25" customFormat="false" ht="15" hidden="false" customHeight="false" outlineLevel="0" collapsed="false">
      <c r="A25" s="29" t="s">
        <v>809</v>
      </c>
      <c r="B25" s="30" t="s">
        <v>95</v>
      </c>
      <c r="C25" s="31" t="n">
        <f aca="false">Seg!C14</f>
        <v>3.201</v>
      </c>
      <c r="D25" s="31" t="n">
        <f aca="false">Seg!D14</f>
        <v>2.278</v>
      </c>
      <c r="E25" s="31" t="n">
        <f aca="false">Seg!E14</f>
        <v>10.939</v>
      </c>
      <c r="F25" s="31" t="n">
        <f aca="false">Seg!F14</f>
        <v>9.32438708594137</v>
      </c>
      <c r="G25" s="31" t="n">
        <f aca="false">Seg!G14</f>
        <v>20.2633870859414</v>
      </c>
      <c r="H25" s="31" t="n">
        <f aca="false">Seg!H14</f>
        <v>53.9372285193732</v>
      </c>
      <c r="I25" s="31" t="n">
        <f aca="false">Seg!I14</f>
        <v>81.5518952339926</v>
      </c>
      <c r="J25" s="31" t="n">
        <f aca="false">Seg!J14</f>
        <v>105.125043653604</v>
      </c>
      <c r="K25" s="31" t="n">
        <f aca="false">Seg!K14</f>
        <v>120.642658229571</v>
      </c>
      <c r="L25" s="31" t="n">
        <f aca="false">Seg!L14</f>
        <v>135.083926531824</v>
      </c>
      <c r="M25" s="31" t="n">
        <f aca="false">Seg!M14</f>
        <v>145.397443199432</v>
      </c>
      <c r="N25" s="30"/>
    </row>
    <row r="26" customFormat="false" ht="15" hidden="false" customHeight="false" outlineLevel="0" collapsed="false">
      <c r="A26" s="2" t="s">
        <v>609</v>
      </c>
      <c r="B26" s="7" t="s">
        <v>95</v>
      </c>
      <c r="C26" s="14" t="n">
        <f aca="false">Seg!C28</f>
        <v>18.674</v>
      </c>
      <c r="D26" s="14" t="n">
        <f aca="false">Seg!D28</f>
        <v>13.714</v>
      </c>
      <c r="E26" s="14" t="n">
        <f aca="false">Seg!E28</f>
        <v>27.083</v>
      </c>
      <c r="F26" s="14" t="n">
        <f aca="false">Seg!F28</f>
        <v>16.5347643627689</v>
      </c>
      <c r="G26" s="14" t="n">
        <f aca="false">Seg!G28</f>
        <v>43.6177643627689</v>
      </c>
      <c r="H26" s="14" t="n">
        <f aca="false">Seg!H28</f>
        <v>88.7993235274699</v>
      </c>
      <c r="I26" s="14" t="n">
        <f aca="false">Seg!I28</f>
        <v>127.344720297728</v>
      </c>
      <c r="J26" s="14" t="n">
        <f aca="false">Seg!J28</f>
        <v>160.46777298976</v>
      </c>
      <c r="K26" s="14" t="n">
        <f aca="false">Seg!K28</f>
        <v>182.804871930379</v>
      </c>
      <c r="L26" s="14" t="n">
        <f aca="false">Seg!L28</f>
        <v>203.648462248745</v>
      </c>
      <c r="M26" s="14" t="n">
        <f aca="false">Seg!M28</f>
        <v>220.051738211568</v>
      </c>
    </row>
    <row r="27" customFormat="false" ht="15" hidden="false" customHeight="false" outlineLevel="0" collapsed="false">
      <c r="A27" s="4" t="s">
        <v>838</v>
      </c>
      <c r="B27" s="0" t="s">
        <v>126</v>
      </c>
      <c r="E27" s="16" t="n">
        <f aca="false">E26/D26-1</f>
        <v>0.97484322590054</v>
      </c>
      <c r="G27" s="16" t="n">
        <f aca="false">G26/C26-1</f>
        <v>1.3357483325891</v>
      </c>
      <c r="H27" s="16" t="n">
        <f aca="false">H26/G26-1</f>
        <v>1.03585224563382</v>
      </c>
      <c r="I27" s="16" t="n">
        <f aca="false">I26/H26-1</f>
        <v>0.434073090188958</v>
      </c>
      <c r="J27" s="16" t="n">
        <f aca="false">J26/I26-1</f>
        <v>0.260105425765523</v>
      </c>
      <c r="K27" s="16" t="n">
        <f aca="false">K26/J26-1</f>
        <v>0.139199906152153</v>
      </c>
      <c r="L27" s="16" t="n">
        <f aca="false">L26/K26-1</f>
        <v>0.114020978206226</v>
      </c>
      <c r="M27" s="16" t="n">
        <f aca="false">M26/L26-1</f>
        <v>0.0805470160770845</v>
      </c>
    </row>
    <row r="28" customFormat="false" ht="17.15" hidden="false" customHeight="false" outlineLevel="0" collapsed="false">
      <c r="A28" s="4" t="s">
        <v>599</v>
      </c>
      <c r="B28" s="0" t="s">
        <v>95</v>
      </c>
      <c r="D28" s="21" t="n">
        <f aca="false">D15+D16-D17</f>
        <v>0</v>
      </c>
      <c r="E28" s="21" t="n">
        <f aca="false">E15+E16-E17</f>
        <v>0</v>
      </c>
      <c r="F28" s="21" t="n">
        <f aca="false">F15+F16-F17</f>
        <v>0</v>
      </c>
      <c r="G28" s="21" t="n">
        <f aca="false">G15+G16-G17</f>
        <v>0</v>
      </c>
      <c r="H28" s="21" t="n">
        <f aca="false">H15+H16-H17</f>
        <v>0</v>
      </c>
      <c r="I28" s="21" t="n">
        <f aca="false">I15+I16-I17</f>
        <v>0</v>
      </c>
      <c r="J28" s="21" t="n">
        <f aca="false">J15+J16-J17</f>
        <v>0</v>
      </c>
      <c r="K28" s="21" t="n">
        <f aca="false">K15+K16-K17</f>
        <v>0</v>
      </c>
      <c r="L28" s="21" t="n">
        <f aca="false">L15+L16-L17</f>
        <v>0</v>
      </c>
      <c r="M28" s="21" t="n">
        <f aca="false">M15+M16-M17</f>
        <v>0</v>
      </c>
    </row>
    <row r="29" customFormat="false" ht="17.15" hidden="false" customHeight="false" outlineLevel="0" collapsed="false">
      <c r="A29" s="4" t="s">
        <v>604</v>
      </c>
      <c r="B29" s="0" t="s">
        <v>95</v>
      </c>
      <c r="D29" s="21" t="n">
        <f aca="false">D18+D19-D20</f>
        <v>0</v>
      </c>
      <c r="E29" s="21" t="n">
        <f aca="false">E18+E19-E20</f>
        <v>0</v>
      </c>
      <c r="F29" s="21" t="n">
        <f aca="false">F18+F19-F20</f>
        <v>0</v>
      </c>
      <c r="G29" s="21" t="n">
        <f aca="false">G18+G19-G20</f>
        <v>0</v>
      </c>
      <c r="H29" s="21" t="n">
        <f aca="false">H18+H19-H20</f>
        <v>0</v>
      </c>
      <c r="I29" s="21" t="n">
        <f aca="false">I18+I19-I20</f>
        <v>0</v>
      </c>
      <c r="J29" s="21" t="n">
        <f aca="false">J18+J19-J20</f>
        <v>0</v>
      </c>
      <c r="K29" s="21" t="n">
        <f aca="false">K18+K19-K20</f>
        <v>0</v>
      </c>
      <c r="L29" s="21" t="n">
        <f aca="false">L18+L19-L20</f>
        <v>0</v>
      </c>
      <c r="M29" s="21" t="n">
        <f aca="false">M18+M19-M20</f>
        <v>0</v>
      </c>
    </row>
    <row r="30" customFormat="false" ht="17.15" hidden="false" customHeight="false" outlineLevel="0" collapsed="false">
      <c r="A30" s="4" t="s">
        <v>608</v>
      </c>
      <c r="B30" s="0" t="s">
        <v>95</v>
      </c>
      <c r="D30" s="21" t="n">
        <f aca="false">D21+D24-D25</f>
        <v>0</v>
      </c>
      <c r="E30" s="21" t="n">
        <f aca="false">E21+E24-E25</f>
        <v>0</v>
      </c>
      <c r="F30" s="21" t="n">
        <f aca="false">F21+F24-F25</f>
        <v>0</v>
      </c>
      <c r="G30" s="21" t="n">
        <f aca="false">G21+G24-G25</f>
        <v>0</v>
      </c>
      <c r="H30" s="21" t="n">
        <f aca="false">H21+H24-H25</f>
        <v>0</v>
      </c>
      <c r="I30" s="21" t="n">
        <f aca="false">I21+I24-I25</f>
        <v>0</v>
      </c>
      <c r="J30" s="21" t="n">
        <f aca="false">J21+J24-J25</f>
        <v>0</v>
      </c>
      <c r="K30" s="21" t="n">
        <f aca="false">K21+K24-K25</f>
        <v>0</v>
      </c>
      <c r="L30" s="21" t="n">
        <f aca="false">L21+L24-L25</f>
        <v>0</v>
      </c>
      <c r="M30" s="21" t="n">
        <f aca="false">M21+M24-M25</f>
        <v>0</v>
      </c>
    </row>
    <row r="31" customFormat="false" ht="17.15" hidden="false" customHeight="false" outlineLevel="0" collapsed="false">
      <c r="A31" s="4" t="s">
        <v>822</v>
      </c>
      <c r="B31" s="0" t="s">
        <v>95</v>
      </c>
      <c r="E31" s="21" t="n">
        <f aca="false">E22+E23-E24</f>
        <v>0</v>
      </c>
      <c r="F31" s="21" t="n">
        <f aca="false">F22+F23-F24</f>
        <v>0</v>
      </c>
      <c r="G31" s="21" t="n">
        <f aca="false">G22+G23-G24</f>
        <v>0</v>
      </c>
      <c r="H31" s="21" t="n">
        <f aca="false">H22+H23-H24</f>
        <v>0</v>
      </c>
      <c r="I31" s="21" t="n">
        <f aca="false">I22+I23-I24</f>
        <v>0</v>
      </c>
      <c r="J31" s="21" t="n">
        <f aca="false">J22+J23-J24</f>
        <v>0</v>
      </c>
      <c r="K31" s="21" t="n">
        <f aca="false">K22+K23-K24</f>
        <v>0</v>
      </c>
      <c r="L31" s="21" t="n">
        <f aca="false">L22+L23-L24</f>
        <v>0</v>
      </c>
      <c r="M31" s="21" t="n">
        <f aca="false">M22+M23-M24</f>
        <v>0</v>
      </c>
    </row>
    <row r="32" customFormat="false" ht="15" hidden="false" customHeight="false" outlineLevel="0" collapsed="false">
      <c r="A32" s="4" t="s">
        <v>610</v>
      </c>
      <c r="B32" s="0" t="s">
        <v>95</v>
      </c>
      <c r="C32" s="21" t="n">
        <f aca="false">C17+C20+C25-C26</f>
        <v>0</v>
      </c>
      <c r="D32" s="21" t="n">
        <f aca="false">D17+D20+D25-D26</f>
        <v>0</v>
      </c>
      <c r="E32" s="21" t="n">
        <f aca="false">E17+E20+E25-E26</f>
        <v>0</v>
      </c>
      <c r="F32" s="21" t="n">
        <f aca="false">F17+F20+F25-F26</f>
        <v>0</v>
      </c>
      <c r="G32" s="21" t="n">
        <f aca="false">G17+G20+G25-G26</f>
        <v>0</v>
      </c>
      <c r="H32" s="21" t="n">
        <f aca="false">H17+H20+H25-H26</f>
        <v>0</v>
      </c>
      <c r="I32" s="21" t="n">
        <f aca="false">I17+I20+I25-I26</f>
        <v>0</v>
      </c>
      <c r="J32" s="21" t="n">
        <f aca="false">J17+J20+J25-J26</f>
        <v>0</v>
      </c>
      <c r="K32" s="21" t="n">
        <f aca="false">K17+K20+K25-K26</f>
        <v>0</v>
      </c>
      <c r="L32" s="21" t="n">
        <f aca="false">L17+L20+L25-L26</f>
        <v>0</v>
      </c>
      <c r="M32" s="21" t="n">
        <f aca="false">M17+M20+M25-M26</f>
        <v>0</v>
      </c>
    </row>
    <row r="33" customFormat="false" ht="17.15" hidden="false" customHeight="false" outlineLevel="0" collapsed="false">
      <c r="A33" s="0" t="s">
        <v>839</v>
      </c>
      <c r="B33" s="0" t="s">
        <v>126</v>
      </c>
      <c r="F33" s="16" t="n">
        <f aca="false">m_sp0</f>
        <v>-0.0594384707287933</v>
      </c>
      <c r="H33" s="16" t="n">
        <f aca="false">m_sp0+(m_spl-m_sp0)*MIN(1,(2027-2026)/conv_n)</f>
        <v>0.00542114695340502</v>
      </c>
      <c r="I33" s="16" t="n">
        <f aca="false">m_sp0+(m_spl-m_sp0)*MIN(1,(2028-2026)/conv_n)</f>
        <v>0.0702807646356033</v>
      </c>
      <c r="J33" s="16" t="n">
        <f aca="false">m_sp0+(m_spl-m_sp0)*MIN(1,(2029-2026)/conv_n)</f>
        <v>0.135140382317802</v>
      </c>
      <c r="K33" s="16" t="n">
        <f aca="false">m_sp0+(m_spl-m_sp0)*MIN(1,(2030-2026)/conv_n)</f>
        <v>0.2</v>
      </c>
      <c r="L33" s="16" t="n">
        <f aca="false">m_sp0+(m_spl-m_sp0)*MIN(1,(2031-2026)/conv_n)</f>
        <v>0.2</v>
      </c>
      <c r="M33" s="16" t="n">
        <f aca="false">m_sp0+(m_spl-m_sp0)*MIN(1,(2032-2026)/conv_n)</f>
        <v>0.2</v>
      </c>
    </row>
    <row r="34" customFormat="false" ht="17.15" hidden="false" customHeight="false" outlineLevel="0" collapsed="false">
      <c r="A34" s="0" t="s">
        <v>840</v>
      </c>
      <c r="B34" s="0" t="s">
        <v>95</v>
      </c>
      <c r="C34" s="14" t="n">
        <f aca="false">Q!I28</f>
        <v>0.653</v>
      </c>
      <c r="D34" s="14" t="n">
        <f aca="false">Q!G28</f>
        <v>0.803</v>
      </c>
      <c r="E34" s="14" t="n">
        <f aca="false">Q!H28</f>
        <v>-0.199</v>
      </c>
      <c r="F34" s="14" t="n">
        <f aca="false">F17*F33</f>
        <v>-0.0765096671932595</v>
      </c>
      <c r="G34" s="14" t="n">
        <f aca="false">E34+F34</f>
        <v>-0.27550966719326</v>
      </c>
      <c r="H34" s="14" t="n">
        <f aca="false">H17*H33</f>
        <v>0.0287381587504401</v>
      </c>
      <c r="I34" s="14" t="n">
        <f aca="false">I17*I33</f>
        <v>0.398884953477077</v>
      </c>
      <c r="J34" s="14" t="n">
        <f aca="false">J17*J33</f>
        <v>0.825255069009545</v>
      </c>
      <c r="K34" s="14" t="n">
        <f aca="false">K17*K33</f>
        <v>1.32029751510462</v>
      </c>
      <c r="L34" s="14" t="n">
        <f aca="false">L17*L33</f>
        <v>1.42728512011478</v>
      </c>
      <c r="M34" s="14" t="n">
        <f aca="false">M17*M33</f>
        <v>1.54294288353561</v>
      </c>
    </row>
    <row r="35" customFormat="false" ht="17.15" hidden="false" customHeight="false" outlineLevel="0" collapsed="false">
      <c r="A35" s="0" t="s">
        <v>841</v>
      </c>
      <c r="B35" s="0" t="s">
        <v>95</v>
      </c>
      <c r="C35" s="14" t="n">
        <f aca="false">Q!I29</f>
        <v>7.168</v>
      </c>
      <c r="D35" s="14" t="n">
        <f aca="false">Q!G29</f>
        <v>5.123</v>
      </c>
      <c r="E35" s="14" t="n">
        <f aca="false">Q!H29</f>
        <v>8.183</v>
      </c>
      <c r="F35" s="14" t="n">
        <f aca="false">F20*m_cn</f>
        <v>3.78784739537041</v>
      </c>
      <c r="G35" s="14" t="n">
        <f aca="false">E35+F35</f>
        <v>11.9708473953704</v>
      </c>
      <c r="H35" s="14" t="n">
        <f aca="false">H20*m_cn</f>
        <v>18.9041455215974</v>
      </c>
      <c r="I35" s="14" t="n">
        <f aca="false">I20*m_cn</f>
        <v>25.6548387960336</v>
      </c>
      <c r="J35" s="14" t="n">
        <f aca="false">J20*m_cn</f>
        <v>31.4863108767289</v>
      </c>
      <c r="K35" s="14" t="n">
        <f aca="false">K20*m_cn</f>
        <v>35.5309019914982</v>
      </c>
      <c r="L35" s="14" t="n">
        <f aca="false">L20*m_cn</f>
        <v>39.2830747954101</v>
      </c>
      <c r="M35" s="14" t="n">
        <f aca="false">M20*m_cn</f>
        <v>42.8076420759969</v>
      </c>
    </row>
    <row r="36" customFormat="false" ht="17.15" hidden="false" customHeight="false" outlineLevel="0" collapsed="false">
      <c r="A36" s="0" t="s">
        <v>842</v>
      </c>
      <c r="B36" s="0" t="s">
        <v>95</v>
      </c>
      <c r="F36" s="14" t="n">
        <f aca="false">F22-Thesis!F35</f>
        <v>5.63960314356129</v>
      </c>
      <c r="G36" s="14" t="n">
        <f aca="false">F36</f>
        <v>5.63960314356129</v>
      </c>
      <c r="H36" s="14" t="n">
        <f aca="false">H22-Thesis!H35</f>
        <v>35.2287615376072</v>
      </c>
      <c r="I36" s="14" t="n">
        <f aca="false">I22-Thesis!I35</f>
        <v>55.4972104410516</v>
      </c>
      <c r="J36" s="14" t="n">
        <f aca="false">J22-Thesis!J35</f>
        <v>72.117419772295</v>
      </c>
      <c r="K36" s="14" t="n">
        <f aca="false">K22-Thesis!K35</f>
        <v>82.5524999650145</v>
      </c>
      <c r="L36" s="14" t="n">
        <f aca="false">L22-Thesis!L35</f>
        <v>91.9163457688833</v>
      </c>
      <c r="M36" s="14" t="n">
        <f aca="false">M22-Thesis!M35</f>
        <v>97.0700901880472</v>
      </c>
    </row>
    <row r="37" customFormat="false" ht="17.15" hidden="false" customHeight="false" outlineLevel="0" collapsed="false">
      <c r="A37" s="0" t="s">
        <v>843</v>
      </c>
      <c r="B37" s="0" t="s">
        <v>95</v>
      </c>
      <c r="F37" s="14" t="n">
        <f aca="false">(F23+F21)*m_so-Thesis!F36</f>
        <v>0.484624436347113</v>
      </c>
      <c r="G37" s="14" t="n">
        <f aca="false">F37</f>
        <v>0.484624436347113</v>
      </c>
      <c r="H37" s="14" t="n">
        <f aca="false">(H23+H21)*m_so-Thesis!H36</f>
        <v>1.78125849798681</v>
      </c>
      <c r="I37" s="14" t="n">
        <f aca="false">(I23+I21)*m_so-Thesis!I36</f>
        <v>1.67248125280677</v>
      </c>
      <c r="J37" s="14" t="n">
        <f aca="false">(J23+J21)*m_so-Thesis!J36</f>
        <v>1.63325243836426</v>
      </c>
      <c r="K37" s="14" t="n">
        <f aca="false">(K23+K21)*m_so-Thesis!K36</f>
        <v>1.57827009348017</v>
      </c>
      <c r="L37" s="14" t="n">
        <f aca="false">(L23+L21)*m_so-Thesis!L36</f>
        <v>1.81008116026793</v>
      </c>
      <c r="M37" s="14" t="n">
        <f aca="false">(M23+M21)*m_so-Thesis!M36</f>
        <v>2.33729074824448</v>
      </c>
    </row>
    <row r="38" customFormat="false" ht="17.15" hidden="false" customHeight="false" outlineLevel="0" collapsed="false">
      <c r="A38" s="0" t="s">
        <v>844</v>
      </c>
      <c r="B38" s="0" t="s">
        <v>95</v>
      </c>
      <c r="C38" s="14" t="n">
        <f aca="false">Q!I30</f>
        <v>-1.237</v>
      </c>
      <c r="D38" s="14" t="n">
        <f aca="false">Q!G30</f>
        <v>-0.813</v>
      </c>
      <c r="E38" s="14" t="n">
        <f aca="false">Q!H30</f>
        <v>5.49</v>
      </c>
      <c r="F38" s="14" t="n">
        <f aca="false">F36+F37</f>
        <v>6.1242275799084</v>
      </c>
      <c r="G38" s="14" t="n">
        <f aca="false">E38+F38</f>
        <v>11.6142275799084</v>
      </c>
      <c r="H38" s="14" t="n">
        <f aca="false">H36+H37</f>
        <v>37.0100200355941</v>
      </c>
      <c r="I38" s="14" t="n">
        <f aca="false">I36+I37</f>
        <v>57.1696916938584</v>
      </c>
      <c r="J38" s="14" t="n">
        <f aca="false">J36+J37</f>
        <v>73.7506722106592</v>
      </c>
      <c r="K38" s="14" t="n">
        <f aca="false">K36+K37</f>
        <v>84.1307700584947</v>
      </c>
      <c r="L38" s="14" t="n">
        <f aca="false">L36+L37</f>
        <v>93.7264269291512</v>
      </c>
      <c r="M38" s="14" t="n">
        <f aca="false">M36+M37</f>
        <v>99.4073809362917</v>
      </c>
    </row>
    <row r="39" customFormat="false" ht="17.15" hidden="false" customHeight="false" outlineLevel="0" collapsed="false">
      <c r="A39" s="4" t="s">
        <v>845</v>
      </c>
      <c r="B39" s="0" t="s">
        <v>95</v>
      </c>
      <c r="C39" s="14" t="n">
        <f aca="false">C34+C35+C38</f>
        <v>6.584</v>
      </c>
      <c r="D39" s="14" t="n">
        <f aca="false">D34+D35+D38</f>
        <v>5.113</v>
      </c>
      <c r="E39" s="14" t="n">
        <f aca="false">E34+E35+E38</f>
        <v>13.474</v>
      </c>
      <c r="F39" s="14" t="n">
        <f aca="false">F34+F35+F38</f>
        <v>9.83556530808555</v>
      </c>
      <c r="G39" s="14" t="n">
        <f aca="false">G34+G35+G38</f>
        <v>23.3095653080855</v>
      </c>
      <c r="H39" s="14" t="n">
        <f aca="false">H34+H35+H38</f>
        <v>55.9429037159419</v>
      </c>
      <c r="I39" s="14" t="n">
        <f aca="false">I34+I35+I38</f>
        <v>83.2234154433691</v>
      </c>
      <c r="J39" s="14" t="n">
        <f aca="false">J34+J35+J38</f>
        <v>106.062238156398</v>
      </c>
      <c r="K39" s="14" t="n">
        <f aca="false">K34+K35+K38</f>
        <v>120.981969565098</v>
      </c>
      <c r="L39" s="14" t="n">
        <f aca="false">L34+L35+L38</f>
        <v>134.436786844676</v>
      </c>
      <c r="M39" s="14" t="n">
        <f aca="false">M34+M35+M38</f>
        <v>143.757965895824</v>
      </c>
    </row>
    <row r="40" customFormat="false" ht="17.15" hidden="false" customHeight="false" outlineLevel="0" collapsed="false">
      <c r="A40" s="0" t="s">
        <v>846</v>
      </c>
      <c r="B40" s="0" t="s">
        <v>95</v>
      </c>
      <c r="D40" s="14" t="n">
        <f aca="false">Q!G42</f>
        <v>0.572</v>
      </c>
      <c r="E40" s="14" t="n">
        <f aca="false">Q!H42</f>
        <v>0.509</v>
      </c>
      <c r="F40" s="14" t="n">
        <f aca="false">da_sp0*0.25*MAX(0,1-(2026.875-t_val)/rem_sp)+Seg!F39</f>
        <v>0.18958307301145</v>
      </c>
      <c r="G40" s="14" t="n">
        <f aca="false">E40+F40</f>
        <v>0.69858307301145</v>
      </c>
      <c r="H40" s="14" t="n">
        <f aca="false">da_sp0*1*MAX(0,1-(2027.5-t_val)/rem_sp)+Seg!H39</f>
        <v>0.900033878804414</v>
      </c>
      <c r="I40" s="14" t="n">
        <f aca="false">da_sp0*1*MAX(0,1-(2028.5-t_val)/rem_sp)+Seg!I39</f>
        <v>1.22563245547237</v>
      </c>
      <c r="J40" s="14" t="n">
        <f aca="false">da_sp0*1*MAX(0,1-(2029.5-t_val)/rem_sp)+Seg!J39</f>
        <v>1.46311977151845</v>
      </c>
      <c r="K40" s="14" t="n">
        <f aca="false">da_sp0*1*MAX(0,1-(2030.5-t_val)/rem_sp)+Seg!K39</f>
        <v>1.5987328732342</v>
      </c>
      <c r="L40" s="14" t="n">
        <f aca="false">da_sp0*1*MAX(0,1-(2031.5-t_val)/rem_sp)+Seg!L39</f>
        <v>1.65278953568777</v>
      </c>
      <c r="M40" s="14" t="n">
        <f aca="false">da_sp0*1*MAX(0,1-(2032.5-t_val)/rem_sp)+Seg!M39</f>
        <v>1.83421946983327</v>
      </c>
    </row>
    <row r="41" customFormat="false" ht="17.15" hidden="false" customHeight="false" outlineLevel="0" collapsed="false">
      <c r="A41" s="0" t="s">
        <v>847</v>
      </c>
      <c r="B41" s="0" t="s">
        <v>95</v>
      </c>
      <c r="D41" s="14" t="n">
        <f aca="false">Q!G44</f>
        <v>1.706</v>
      </c>
      <c r="E41" s="14" t="n">
        <f aca="false">Q!H44</f>
        <v>2.574</v>
      </c>
      <c r="F41" s="14" t="n">
        <f aca="false">da_cn0*0.25*MAX(0,1-(2026.875-t_val)/rem_cn)+Seg!F40</f>
        <v>0.965370718577082</v>
      </c>
      <c r="G41" s="14" t="n">
        <f aca="false">E41+F41</f>
        <v>3.53937071857708</v>
      </c>
      <c r="H41" s="14" t="n">
        <f aca="false">da_cn0*1*MAX(0,1-(2027.5-t_val)/rem_cn)+Seg!H40</f>
        <v>3.6935879053488</v>
      </c>
      <c r="I41" s="14" t="n">
        <f aca="false">da_cn0*1*MAX(0,1-(2028.5-t_val)/rem_cn)+Seg!I40</f>
        <v>4.15802620263496</v>
      </c>
      <c r="J41" s="14" t="n">
        <f aca="false">da_cn0*1*MAX(0,1-(2029.5-t_val)/rem_cn)+Seg!J40</f>
        <v>5.18586029596568</v>
      </c>
      <c r="K41" s="14" t="n">
        <f aca="false">da_cn0*1*MAX(0,1-(2030.5-t_val)/rem_cn)+Seg!K40</f>
        <v>7.66492957814208</v>
      </c>
      <c r="L41" s="14" t="n">
        <f aca="false">da_cn0*1*MAX(0,1-(2031.5-t_val)/rem_cn)+Seg!L40</f>
        <v>10.8157965280481</v>
      </c>
      <c r="M41" s="14" t="n">
        <f aca="false">da_cn0*1*MAX(0,1-(2032.5-t_val)/rem_cn)+Seg!M40</f>
        <v>14.2041136635811</v>
      </c>
    </row>
    <row r="42" customFormat="false" ht="17.15" hidden="false" customHeight="false" outlineLevel="0" collapsed="false">
      <c r="A42" s="0" t="s">
        <v>848</v>
      </c>
      <c r="B42" s="0" t="s">
        <v>95</v>
      </c>
      <c r="D42" s="14" t="n">
        <f aca="false">Q!G46</f>
        <v>2.506</v>
      </c>
      <c r="E42" s="14" t="n">
        <f aca="false">Q!H46</f>
        <v>5.851</v>
      </c>
      <c r="F42" s="14" t="n">
        <f aca="false">Thesis!F62+Thesis!F55</f>
        <v>2.804893894167</v>
      </c>
      <c r="G42" s="14" t="n">
        <f aca="false">E42+F42</f>
        <v>8.655893894167</v>
      </c>
      <c r="H42" s="14" t="n">
        <f aca="false">Thesis!H62+Thesis!H55</f>
        <v>17.8009887260634</v>
      </c>
      <c r="I42" s="14" t="n">
        <f aca="false">Thesis!I62+Thesis!I55</f>
        <v>28.3770510163486</v>
      </c>
      <c r="J42" s="14" t="n">
        <f aca="false">Thesis!J62+Thesis!J55</f>
        <v>38.8707600405564</v>
      </c>
      <c r="K42" s="14" t="n">
        <f aca="false">Thesis!K62+Thesis!K55</f>
        <v>46.782348084239</v>
      </c>
      <c r="L42" s="14" t="n">
        <f aca="false">Thesis!L62+Thesis!L55</f>
        <v>52.333454721949</v>
      </c>
      <c r="M42" s="14" t="n">
        <f aca="false">Thesis!M62+Thesis!M55</f>
        <v>55.0952076568545</v>
      </c>
    </row>
    <row r="43" customFormat="false" ht="15" hidden="false" customHeight="false" outlineLevel="0" collapsed="false">
      <c r="A43" s="4" t="s">
        <v>849</v>
      </c>
      <c r="B43" s="0" t="s">
        <v>95</v>
      </c>
      <c r="D43" s="14" t="n">
        <f aca="false">D40+D41+D42</f>
        <v>4.784</v>
      </c>
      <c r="E43" s="14" t="n">
        <f aca="false">E40+E41+E42</f>
        <v>8.934</v>
      </c>
      <c r="F43" s="14" t="n">
        <f aca="false">F40+F41+F42</f>
        <v>3.95984768575553</v>
      </c>
      <c r="G43" s="14" t="n">
        <f aca="false">G40+G41+G42</f>
        <v>12.8938476857555</v>
      </c>
      <c r="H43" s="14" t="n">
        <f aca="false">H40+H41+H42</f>
        <v>22.3946105102166</v>
      </c>
      <c r="I43" s="14" t="n">
        <f aca="false">I40+I41+I42</f>
        <v>33.7607096744559</v>
      </c>
      <c r="J43" s="14" t="n">
        <f aca="false">J40+J41+J42</f>
        <v>45.5197401080406</v>
      </c>
      <c r="K43" s="14" t="n">
        <f aca="false">K40+K41+K42</f>
        <v>56.0460105356152</v>
      </c>
      <c r="L43" s="14" t="n">
        <f aca="false">L40+L41+L42</f>
        <v>64.8020407856849</v>
      </c>
      <c r="M43" s="14" t="n">
        <f aca="false">M40+M41+M42</f>
        <v>71.1335407902689</v>
      </c>
    </row>
    <row r="44" customFormat="false" ht="17.15" hidden="false" customHeight="false" outlineLevel="0" collapsed="false">
      <c r="A44" s="4" t="s">
        <v>850</v>
      </c>
      <c r="B44" s="0" t="s">
        <v>95</v>
      </c>
      <c r="F44" s="14" t="n">
        <f aca="false">Thesis!F55</f>
        <v>0.331893894166996</v>
      </c>
      <c r="G44" s="14" t="n">
        <f aca="false">F44</f>
        <v>0.331893894166996</v>
      </c>
      <c r="H44" s="14" t="n">
        <f aca="false">Thesis!H55</f>
        <v>7.90898872606337</v>
      </c>
      <c r="I44" s="14" t="n">
        <f aca="false">Thesis!I55</f>
        <v>18.4850510163486</v>
      </c>
      <c r="J44" s="14" t="n">
        <f aca="false">Thesis!J55</f>
        <v>28.9787600405564</v>
      </c>
      <c r="K44" s="14" t="n">
        <f aca="false">Thesis!K55</f>
        <v>37.234476846739</v>
      </c>
      <c r="L44" s="14" t="n">
        <f aca="false">Thesis!L55</f>
        <v>44.620936884449</v>
      </c>
      <c r="M44" s="14" t="n">
        <f aca="false">Thesis!M55</f>
        <v>51.8718673417046</v>
      </c>
    </row>
    <row r="45" customFormat="false" ht="17.15" hidden="false" customHeight="false" outlineLevel="0" collapsed="false">
      <c r="A45" s="0" t="s">
        <v>851</v>
      </c>
      <c r="B45" s="0" t="s">
        <v>95</v>
      </c>
      <c r="D45" s="14" t="n">
        <f aca="false">Q!G43</f>
        <v>0.383</v>
      </c>
      <c r="E45" s="14" t="n">
        <f aca="false">Q!H43</f>
        <v>0.503</v>
      </c>
      <c r="F45" s="14" t="n">
        <f aca="false">F17*sbcr_space</f>
        <v>0.130396269609459</v>
      </c>
      <c r="G45" s="14" t="n">
        <f aca="false">E45+F45</f>
        <v>0.633396269609459</v>
      </c>
      <c r="H45" s="14" t="n">
        <f aca="false">H17*sbcr_space</f>
        <v>0.537012309664596</v>
      </c>
      <c r="I45" s="14" t="n">
        <f aca="false">I17*sbcr_space</f>
        <v>0.574946795849931</v>
      </c>
      <c r="J45" s="14" t="n">
        <f aca="false">J17*sbcr_space</f>
        <v>0.618613707207835</v>
      </c>
      <c r="K45" s="14" t="n">
        <f aca="false">K17*sbcr_space</f>
        <v>0.668741525760404</v>
      </c>
      <c r="L45" s="14" t="n">
        <f aca="false">L17*sbcr_space</f>
        <v>0.722931625638218</v>
      </c>
      <c r="M45" s="14" t="n">
        <f aca="false">M17*sbcr_space</f>
        <v>0.781513231898341</v>
      </c>
    </row>
    <row r="46" customFormat="false" ht="17.15" hidden="false" customHeight="false" outlineLevel="0" collapsed="false">
      <c r="A46" s="0" t="s">
        <v>852</v>
      </c>
      <c r="B46" s="0" t="s">
        <v>95</v>
      </c>
      <c r="D46" s="14" t="n">
        <f aca="false">Q!G45</f>
        <v>0.27</v>
      </c>
      <c r="E46" s="14" t="n">
        <f aca="false">Q!H45</f>
        <v>0.398</v>
      </c>
      <c r="F46" s="14" t="n">
        <f aca="false">F20*sbcr_conn</f>
        <v>0.164783295286977</v>
      </c>
      <c r="G46" s="14" t="n">
        <f aca="false">E46+F46</f>
        <v>0.562783295286977</v>
      </c>
      <c r="H46" s="14" t="n">
        <f aca="false">H20*sbcr_conn</f>
        <v>0.822389887575908</v>
      </c>
      <c r="I46" s="14" t="n">
        <f aca="false">I20*sbcr_conn</f>
        <v>1.11606631302875</v>
      </c>
      <c r="J46" s="14" t="n">
        <f aca="false">J20*sbcr_conn</f>
        <v>1.36975372055352</v>
      </c>
      <c r="K46" s="14" t="n">
        <f aca="false">K20*sbcr_conn</f>
        <v>1.54570617650375</v>
      </c>
      <c r="L46" s="14" t="n">
        <f aca="false">L20*sbcr_conn</f>
        <v>1.70893751466971</v>
      </c>
      <c r="M46" s="14" t="n">
        <f aca="false">M20*sbcr_conn</f>
        <v>1.86226729550133</v>
      </c>
    </row>
    <row r="47" customFormat="false" ht="17.15" hidden="false" customHeight="false" outlineLevel="0" collapsed="false">
      <c r="A47" s="0" t="s">
        <v>853</v>
      </c>
      <c r="B47" s="0" t="s">
        <v>95</v>
      </c>
      <c r="D47" s="14" t="n">
        <f aca="false">Q!G47</f>
        <v>0.391</v>
      </c>
      <c r="E47" s="14" t="n">
        <f aca="false">Q!H47</f>
        <v>1.715</v>
      </c>
      <c r="F47" s="14" t="n">
        <f aca="false">F25*sbcr_si</f>
        <v>1.01260870338067</v>
      </c>
      <c r="G47" s="14" t="n">
        <f aca="false">E47+F47</f>
        <v>2.72760870338067</v>
      </c>
      <c r="H47" s="14" t="n">
        <f aca="false">H25*sbcr_si</f>
        <v>5.85746886433934</v>
      </c>
      <c r="I47" s="14" t="n">
        <f aca="false">I25*sbcr_si</f>
        <v>8.85636322580792</v>
      </c>
      <c r="J47" s="14" t="n">
        <f aca="false">J25*sbcr_si</f>
        <v>11.4163572539165</v>
      </c>
      <c r="K47" s="14" t="n">
        <f aca="false">K25*sbcr_si</f>
        <v>13.1015373553542</v>
      </c>
      <c r="L47" s="14" t="n">
        <f aca="false">L25*sbcr_si</f>
        <v>14.6698285294481</v>
      </c>
      <c r="M47" s="14" t="n">
        <f aca="false">M25*sbcr_si</f>
        <v>15.7898546120018</v>
      </c>
    </row>
    <row r="48" customFormat="false" ht="17.15" hidden="false" customHeight="false" outlineLevel="0" collapsed="false">
      <c r="A48" s="0" t="s">
        <v>854</v>
      </c>
      <c r="B48" s="0" t="s">
        <v>95</v>
      </c>
      <c r="D48" s="6" t="n">
        <v>0</v>
      </c>
      <c r="E48" s="14" t="n">
        <f aca="false">Q!H48+Q!H49+Q!H50+Q!H51</f>
        <v>1.219</v>
      </c>
      <c r="F48" s="14" t="n">
        <f aca="false">sbc_cur_left/sbc_cur_yrs*0.25</f>
        <v>2.09047169811321</v>
      </c>
      <c r="G48" s="14" t="n">
        <f aca="false">E48+F48</f>
        <v>3.30947169811321</v>
      </c>
      <c r="H48" s="14" t="n">
        <f aca="false">sbc_cur_left/sbc_cur_yrs</f>
        <v>8.36188679245283</v>
      </c>
      <c r="I48" s="14" t="n">
        <f aca="false">sbc_cur_left/sbc_cur_yrs</f>
        <v>8.36188679245283</v>
      </c>
      <c r="J48" s="14" t="n">
        <f aca="false">MAX(0,sbc_cur_left-2.25*sbc_cur_left/sbc_cur_yrs)</f>
        <v>3.34475471698113</v>
      </c>
      <c r="K48" s="6" t="n">
        <v>0</v>
      </c>
      <c r="L48" s="6" t="n">
        <v>0</v>
      </c>
      <c r="M48" s="6" t="n">
        <v>0</v>
      </c>
      <c r="N48" s="4" t="s">
        <v>855</v>
      </c>
    </row>
    <row r="49" customFormat="false" ht="15" hidden="false" customHeight="false" outlineLevel="0" collapsed="false">
      <c r="A49" s="4" t="s">
        <v>856</v>
      </c>
      <c r="B49" s="0" t="s">
        <v>95</v>
      </c>
      <c r="D49" s="14" t="n">
        <f aca="false">D45+D46+D47+D48</f>
        <v>1.044</v>
      </c>
      <c r="E49" s="14" t="n">
        <f aca="false">E45+E46+E47+E48</f>
        <v>3.835</v>
      </c>
      <c r="F49" s="14" t="n">
        <f aca="false">F45+F46+F47+F48</f>
        <v>3.39825996639031</v>
      </c>
      <c r="G49" s="14" t="n">
        <f aca="false">G45+G46+G47+G48</f>
        <v>7.23325996639031</v>
      </c>
      <c r="H49" s="14" t="n">
        <f aca="false">H45+H46+H47+H48</f>
        <v>15.5787578540327</v>
      </c>
      <c r="I49" s="14" t="n">
        <f aca="false">I45+I46+I47+I48</f>
        <v>18.9092631271394</v>
      </c>
      <c r="J49" s="14" t="n">
        <f aca="false">J45+J46+J47+J48</f>
        <v>16.749479398659</v>
      </c>
      <c r="K49" s="14" t="n">
        <f aca="false">K45+K46+K47+K48</f>
        <v>15.3159850576183</v>
      </c>
      <c r="L49" s="14" t="n">
        <f aca="false">L45+L46+L47+L48</f>
        <v>17.101697669756</v>
      </c>
      <c r="M49" s="14" t="n">
        <f aca="false">M45+M46+M47+M48</f>
        <v>18.4336351394014</v>
      </c>
    </row>
    <row r="50" customFormat="false" ht="17.15" hidden="false" customHeight="false" outlineLevel="0" collapsed="false">
      <c r="A50" s="5" t="s">
        <v>857</v>
      </c>
      <c r="B50" s="7" t="s">
        <v>95</v>
      </c>
      <c r="C50" s="14" t="n">
        <f aca="false">Q!I21</f>
        <v>-0.657</v>
      </c>
      <c r="D50" s="14" t="n">
        <f aca="false">Q!G21</f>
        <v>-0.181</v>
      </c>
      <c r="E50" s="14" t="n">
        <f aca="false">Q!H21</f>
        <v>-1.211</v>
      </c>
      <c r="F50" s="14" t="n">
        <f aca="false">F34-F40-F45</f>
        <v>-0.396489009814169</v>
      </c>
      <c r="G50" s="14" t="n">
        <f aca="false">E50+F50</f>
        <v>-1.60748900981417</v>
      </c>
      <c r="H50" s="14" t="n">
        <f aca="false">H34-H40-H45</f>
        <v>-1.40830802971857</v>
      </c>
      <c r="I50" s="14" t="n">
        <f aca="false">I34-I40-I45</f>
        <v>-1.40169429784523</v>
      </c>
      <c r="J50" s="14" t="n">
        <f aca="false">J34-J40-J45</f>
        <v>-1.25647840971673</v>
      </c>
      <c r="K50" s="14" t="n">
        <f aca="false">K34-K40-K45</f>
        <v>-0.947176883889986</v>
      </c>
      <c r="L50" s="14" t="n">
        <f aca="false">L34-L40-L45</f>
        <v>-0.948436041211209</v>
      </c>
      <c r="M50" s="14" t="n">
        <f aca="false">M34-M40-M45</f>
        <v>-1.07278981819601</v>
      </c>
    </row>
    <row r="51" customFormat="false" ht="17.15" hidden="false" customHeight="false" outlineLevel="0" collapsed="false">
      <c r="A51" s="5" t="s">
        <v>858</v>
      </c>
      <c r="B51" s="7" t="s">
        <v>95</v>
      </c>
      <c r="C51" s="14" t="n">
        <f aca="false">Q!I22</f>
        <v>4.423</v>
      </c>
      <c r="D51" s="14" t="n">
        <f aca="false">Q!G22</f>
        <v>3.147</v>
      </c>
      <c r="E51" s="14" t="n">
        <f aca="false">Q!H22</f>
        <v>5.211</v>
      </c>
      <c r="F51" s="14" t="n">
        <f aca="false">F35-F41-F46</f>
        <v>2.65769338150635</v>
      </c>
      <c r="G51" s="14" t="n">
        <f aca="false">E51+F51</f>
        <v>7.86869338150635</v>
      </c>
      <c r="H51" s="14" t="n">
        <f aca="false">H35-H41-H46</f>
        <v>14.3881677286727</v>
      </c>
      <c r="I51" s="14" t="n">
        <f aca="false">I35-I41-I46</f>
        <v>20.3807462803699</v>
      </c>
      <c r="J51" s="14" t="n">
        <f aca="false">J35-J41-J46</f>
        <v>24.9306968602097</v>
      </c>
      <c r="K51" s="14" t="n">
        <f aca="false">K35-K41-K46</f>
        <v>26.3202662368524</v>
      </c>
      <c r="L51" s="14" t="n">
        <f aca="false">L35-L41-L46</f>
        <v>26.7583407526923</v>
      </c>
      <c r="M51" s="14" t="n">
        <f aca="false">M35-M41-M46</f>
        <v>26.7412611169144</v>
      </c>
    </row>
    <row r="52" customFormat="false" ht="17.15" hidden="false" customHeight="false" outlineLevel="0" collapsed="false">
      <c r="A52" s="5" t="s">
        <v>859</v>
      </c>
      <c r="B52" s="7" t="s">
        <v>95</v>
      </c>
      <c r="C52" s="14" t="n">
        <f aca="false">Q!I23</f>
        <v>-6.355</v>
      </c>
      <c r="D52" s="14" t="n">
        <f aca="false">Q!G23</f>
        <v>-4.182</v>
      </c>
      <c r="E52" s="14" t="n">
        <f aca="false">Q!H23</f>
        <v>-3.295</v>
      </c>
      <c r="F52" s="14" t="n">
        <f aca="false">F38-F42-F47-F48</f>
        <v>0.216253284247524</v>
      </c>
      <c r="G52" s="14" t="n">
        <f aca="false">E52+F52</f>
        <v>-3.07874671575248</v>
      </c>
      <c r="H52" s="14" t="n">
        <f aca="false">H38-H42-H47-H48</f>
        <v>4.98967565273852</v>
      </c>
      <c r="I52" s="14" t="n">
        <f aca="false">I38-I42-I47-I48</f>
        <v>11.5743906592491</v>
      </c>
      <c r="J52" s="14" t="n">
        <f aca="false">J38-J42-J47-J48</f>
        <v>20.1188001992051</v>
      </c>
      <c r="K52" s="14" t="n">
        <f aca="false">K38-K42-K47-K48</f>
        <v>24.2468846189015</v>
      </c>
      <c r="L52" s="14" t="n">
        <f aca="false">L38-L42-L47-L48</f>
        <v>26.723143677754</v>
      </c>
      <c r="M52" s="14" t="n">
        <f aca="false">M38-M42-M47-M48</f>
        <v>28.5223186674355</v>
      </c>
    </row>
    <row r="53" customFormat="false" ht="15" hidden="false" customHeight="false" outlineLevel="0" collapsed="false">
      <c r="A53" s="4" t="s">
        <v>860</v>
      </c>
      <c r="B53" s="0" t="s">
        <v>95</v>
      </c>
      <c r="C53" s="14" t="n">
        <f aca="false">C50+C51+C52</f>
        <v>-2.589</v>
      </c>
      <c r="D53" s="14" t="n">
        <f aca="false">D50+D51+D52</f>
        <v>-1.216</v>
      </c>
      <c r="E53" s="14" t="n">
        <f aca="false">E50+E51+E52</f>
        <v>0.705</v>
      </c>
      <c r="F53" s="14" t="n">
        <f aca="false">F50+F51+F52</f>
        <v>2.47745765593971</v>
      </c>
      <c r="G53" s="14" t="n">
        <f aca="false">G50+G51+G52</f>
        <v>3.18245765593971</v>
      </c>
      <c r="H53" s="14" t="n">
        <f aca="false">H50+H51+H52</f>
        <v>17.9695353516927</v>
      </c>
      <c r="I53" s="14" t="n">
        <f aca="false">I50+I51+I52</f>
        <v>30.5534426417737</v>
      </c>
      <c r="J53" s="14" t="n">
        <f aca="false">J50+J51+J52</f>
        <v>43.7930186496981</v>
      </c>
      <c r="K53" s="14" t="n">
        <f aca="false">K50+K51+K52</f>
        <v>49.619973971864</v>
      </c>
      <c r="L53" s="14" t="n">
        <f aca="false">L50+L51+L52</f>
        <v>52.5330483892351</v>
      </c>
      <c r="M53" s="14" t="n">
        <f aca="false">M50+M51+M52</f>
        <v>54.1907899661539</v>
      </c>
    </row>
    <row r="54" customFormat="false" ht="17.15" hidden="false" customHeight="false" outlineLevel="0" collapsed="false">
      <c r="A54" s="28" t="s">
        <v>861</v>
      </c>
      <c r="B54" s="30" t="s">
        <v>95</v>
      </c>
      <c r="C54" s="31" t="n">
        <f aca="false">Q!I24</f>
        <v>-2.589</v>
      </c>
      <c r="D54" s="31" t="n">
        <f aca="false">Q!G24</f>
        <v>-1.216</v>
      </c>
      <c r="E54" s="31" t="n">
        <f aca="false">Q!H24</f>
        <v>0.705</v>
      </c>
      <c r="F54" s="31" t="n">
        <f aca="false">F39-F43-F49</f>
        <v>2.47745765593971</v>
      </c>
      <c r="G54" s="31" t="n">
        <f aca="false">E54+F54</f>
        <v>3.18245765593971</v>
      </c>
      <c r="H54" s="31" t="n">
        <f aca="false">H39-H43-H49</f>
        <v>17.9695353516927</v>
      </c>
      <c r="I54" s="31" t="n">
        <f aca="false">I39-I43-I49</f>
        <v>30.5534426417737</v>
      </c>
      <c r="J54" s="31" t="n">
        <f aca="false">J39-J43-J49</f>
        <v>43.7930186496981</v>
      </c>
      <c r="K54" s="31" t="n">
        <f aca="false">K39-K43-K49</f>
        <v>49.619973971864</v>
      </c>
      <c r="L54" s="31" t="n">
        <f aca="false">L39-L43-L49</f>
        <v>52.5330483892351</v>
      </c>
      <c r="M54" s="31" t="n">
        <f aca="false">M39-M43-M49</f>
        <v>54.1907899661539</v>
      </c>
      <c r="N54" s="32" t="s">
        <v>862</v>
      </c>
    </row>
    <row r="55" customFormat="false" ht="15" hidden="false" customHeight="false" outlineLevel="0" collapsed="false">
      <c r="A55" s="4" t="s">
        <v>837</v>
      </c>
      <c r="B55" s="0" t="s">
        <v>95</v>
      </c>
      <c r="C55" s="21" t="n">
        <f aca="false">C53-C54</f>
        <v>0</v>
      </c>
      <c r="D55" s="21" t="n">
        <f aca="false">D53-D54</f>
        <v>0</v>
      </c>
      <c r="E55" s="21" t="n">
        <f aca="false">E53-E54</f>
        <v>0</v>
      </c>
      <c r="F55" s="21" t="n">
        <f aca="false">F53-F54</f>
        <v>0</v>
      </c>
      <c r="G55" s="21" t="n">
        <f aca="false">G53-G54</f>
        <v>0</v>
      </c>
      <c r="H55" s="21" t="n">
        <f aca="false">H53-H54</f>
        <v>0</v>
      </c>
      <c r="I55" s="21" t="n">
        <f aca="false">I53-I54</f>
        <v>0</v>
      </c>
      <c r="J55" s="21" t="n">
        <f aca="false">J53-J54</f>
        <v>0</v>
      </c>
      <c r="K55" s="21" t="n">
        <f aca="false">K53-K54</f>
        <v>0</v>
      </c>
      <c r="L55" s="21" t="n">
        <f aca="false">L53-L54</f>
        <v>0</v>
      </c>
      <c r="M55" s="21" t="n">
        <f aca="false">M53-M54</f>
        <v>0</v>
      </c>
    </row>
    <row r="56" customFormat="false" ht="17.15" hidden="false" customHeight="false" outlineLevel="0" collapsed="false">
      <c r="A56" s="4" t="s">
        <v>863</v>
      </c>
      <c r="B56" s="0" t="s">
        <v>95</v>
      </c>
      <c r="F56" s="14" t="n">
        <f aca="false">Thesis!F65</f>
        <v>0.15498462747226</v>
      </c>
      <c r="G56" s="14" t="n">
        <f aca="false">F56</f>
        <v>0.15498462747226</v>
      </c>
      <c r="H56" s="14" t="n">
        <f aca="false">Thesis!H65</f>
        <v>3.87213951458636</v>
      </c>
      <c r="I56" s="14" t="n">
        <f aca="false">Thesis!I65</f>
        <v>9.28917295945503</v>
      </c>
      <c r="J56" s="14" t="n">
        <f aca="false">Thesis!J65</f>
        <v>14.2313375975862</v>
      </c>
      <c r="K56" s="14" t="n">
        <f aca="false">Thesis!K65</f>
        <v>17.9511086170591</v>
      </c>
      <c r="L56" s="14" t="n">
        <f aca="false">Thesis!L65</f>
        <v>20.4998199604909</v>
      </c>
      <c r="M56" s="14" t="n">
        <f aca="false">Thesis!M65</f>
        <v>21.9025990255673</v>
      </c>
    </row>
    <row r="57" customFormat="false" ht="17.15" hidden="false" customHeight="false" outlineLevel="0" collapsed="false">
      <c r="A57" s="2" t="s">
        <v>864</v>
      </c>
      <c r="B57" s="7" t="s">
        <v>95</v>
      </c>
      <c r="C57" s="14" t="n">
        <f aca="false">C54</f>
        <v>-2.589</v>
      </c>
      <c r="D57" s="14" t="n">
        <f aca="false">D54</f>
        <v>-1.216</v>
      </c>
      <c r="E57" s="14" t="n">
        <f aca="false">E54</f>
        <v>0.705</v>
      </c>
      <c r="F57" s="14" t="n">
        <f aca="false">F54+(internal_ai_reading=2)*F56</f>
        <v>2.63244228341197</v>
      </c>
      <c r="G57" s="14" t="n">
        <f aca="false">G54+(internal_ai_reading=2)*G56</f>
        <v>3.33744228341197</v>
      </c>
      <c r="H57" s="14" t="n">
        <f aca="false">H54+(internal_ai_reading=2)*H56</f>
        <v>21.841674866279</v>
      </c>
      <c r="I57" s="14" t="n">
        <f aca="false">I54+(internal_ai_reading=2)*I56</f>
        <v>39.8426156012288</v>
      </c>
      <c r="J57" s="14" t="n">
        <f aca="false">J54+(internal_ai_reading=2)*J56</f>
        <v>58.0243562472842</v>
      </c>
      <c r="K57" s="14" t="n">
        <f aca="false">K54+(internal_ai_reading=2)*K56</f>
        <v>67.5710825889231</v>
      </c>
      <c r="L57" s="14" t="n">
        <f aca="false">L54+(internal_ai_reading=2)*L56</f>
        <v>73.0328683497259</v>
      </c>
      <c r="M57" s="14" t="n">
        <f aca="false">M54+(internal_ai_reading=2)*M56</f>
        <v>76.0933889917212</v>
      </c>
    </row>
    <row r="58" customFormat="false" ht="15" hidden="false" customHeight="false" outlineLevel="0" collapsed="false">
      <c r="A58" s="4" t="s">
        <v>865</v>
      </c>
      <c r="B58" s="0" t="s">
        <v>126</v>
      </c>
      <c r="C58" s="16" t="n">
        <f aca="false">C54/C26</f>
        <v>-0.138641962086323</v>
      </c>
      <c r="D58" s="16" t="n">
        <f aca="false">D54/D26</f>
        <v>-0.0886685139273735</v>
      </c>
      <c r="E58" s="16" t="n">
        <f aca="false">E54/E26</f>
        <v>0.0260310896134106</v>
      </c>
      <c r="F58" s="16" t="n">
        <f aca="false">F54/F26</f>
        <v>0.149833260491946</v>
      </c>
      <c r="G58" s="16" t="n">
        <f aca="false">G54/G26</f>
        <v>0.0729624202990141</v>
      </c>
      <c r="H58" s="16" t="n">
        <f aca="false">H54/H26</f>
        <v>0.202361173912927</v>
      </c>
      <c r="I58" s="16" t="n">
        <f aca="false">I54/I26</f>
        <v>0.239927046605001</v>
      </c>
      <c r="J58" s="16" t="n">
        <f aca="false">J54/J26</f>
        <v>0.272908496414995</v>
      </c>
      <c r="K58" s="16" t="n">
        <f aca="false">K54/K26</f>
        <v>0.271436824674791</v>
      </c>
      <c r="L58" s="16" t="n">
        <f aca="false">L54/L26</f>
        <v>0.257959465095636</v>
      </c>
      <c r="M58" s="16" t="n">
        <f aca="false">M54/M26</f>
        <v>0.246263857793535</v>
      </c>
    </row>
    <row r="59" customFormat="false" ht="17.15" hidden="false" customHeight="false" outlineLevel="0" collapsed="false">
      <c r="A59" s="0" t="s">
        <v>866</v>
      </c>
      <c r="B59" s="0" t="s">
        <v>126</v>
      </c>
      <c r="C59" s="16" t="n">
        <f aca="false">C52/C25</f>
        <v>-1.98531708840987</v>
      </c>
      <c r="D59" s="16" t="n">
        <f aca="false">D52/D25</f>
        <v>-1.83582089552239</v>
      </c>
      <c r="E59" s="16" t="n">
        <f aca="false">E52/E25</f>
        <v>-0.301215833257153</v>
      </c>
      <c r="F59" s="16" t="n">
        <f aca="false">F52/F25</f>
        <v>0.0231922251033073</v>
      </c>
      <c r="G59" s="16" t="n">
        <f aca="false">G52/G25</f>
        <v>-0.15193643109589</v>
      </c>
      <c r="H59" s="16" t="n">
        <f aca="false">H52/H25</f>
        <v>0.0925089365862824</v>
      </c>
      <c r="I59" s="16" t="n">
        <f aca="false">I52/I25</f>
        <v>0.141926691293185</v>
      </c>
      <c r="J59" s="16" t="n">
        <f aca="false">J52/J25</f>
        <v>0.191379708392781</v>
      </c>
      <c r="K59" s="16" t="n">
        <f aca="false">K52/K25</f>
        <v>0.200981020931768</v>
      </c>
      <c r="L59" s="16" t="n">
        <f aca="false">L52/L25</f>
        <v>0.197826228211232</v>
      </c>
      <c r="M59" s="16" t="n">
        <f aca="false">M52/M25</f>
        <v>0.19616795206167</v>
      </c>
    </row>
    <row r="60" customFormat="false" ht="17.15" hidden="false" customHeight="false" outlineLevel="0" collapsed="false">
      <c r="A60" s="4" t="s">
        <v>867</v>
      </c>
      <c r="B60" s="0" t="s">
        <v>126</v>
      </c>
      <c r="C60" s="16" t="n">
        <f aca="false">C39/C26</f>
        <v>0.352575773803149</v>
      </c>
      <c r="D60" s="16" t="n">
        <f aca="false">D39/D26</f>
        <v>0.372830683972583</v>
      </c>
      <c r="E60" s="16" t="n">
        <f aca="false">E39/E26</f>
        <v>0.497507661632759</v>
      </c>
      <c r="F60" s="16" t="n">
        <f aca="false">F39/F26</f>
        <v>0.594841576952384</v>
      </c>
      <c r="G60" s="16" t="n">
        <f aca="false">G39/G26</f>
        <v>0.534405319681676</v>
      </c>
      <c r="H60" s="16" t="n">
        <f aca="false">H39/H26</f>
        <v>0.629992453699673</v>
      </c>
      <c r="I60" s="16" t="n">
        <f aca="false">I39/I26</f>
        <v>0.653528589554364</v>
      </c>
      <c r="J60" s="16" t="n">
        <f aca="false">J39/J26</f>
        <v>0.660956628114767</v>
      </c>
      <c r="K60" s="16" t="n">
        <f aca="false">K39/K26</f>
        <v>0.661809328644004</v>
      </c>
      <c r="L60" s="16" t="n">
        <f aca="false">L39/L26</f>
        <v>0.660141428814076</v>
      </c>
      <c r="M60" s="16" t="n">
        <f aca="false">M39/M26</f>
        <v>0.653291662516241</v>
      </c>
    </row>
    <row r="61" customFormat="false" ht="17.15" hidden="false" customHeight="false" outlineLevel="0" collapsed="false">
      <c r="A61" s="4" t="s">
        <v>868</v>
      </c>
      <c r="B61" s="0" t="s">
        <v>95</v>
      </c>
      <c r="F61" s="27" t="n">
        <f aca="false">r_cash*CF!F34*0.25</f>
        <v>0.826666</v>
      </c>
      <c r="G61" s="27" t="n">
        <f aca="false">F61</f>
        <v>0.826666</v>
      </c>
      <c r="H61" s="27" t="n">
        <f aca="false">r_cash*CF!H34*1</f>
        <v>2.91623292013578</v>
      </c>
      <c r="I61" s="27" t="n">
        <f aca="false">r_cash*CF!I34*1</f>
        <v>1.4367961477586</v>
      </c>
      <c r="J61" s="27" t="n">
        <f aca="false">r_cash*CF!J34*1</f>
        <v>1.104</v>
      </c>
      <c r="K61" s="27" t="n">
        <f aca="false">r_cash*CF!K34*1</f>
        <v>1.84647970919815</v>
      </c>
      <c r="L61" s="27" t="n">
        <f aca="false">r_cash*CF!L34*1</f>
        <v>3.46244094217272</v>
      </c>
      <c r="M61" s="27" t="n">
        <f aca="false">r_cash*CF!M34*1</f>
        <v>5.40302177556254</v>
      </c>
    </row>
    <row r="62" customFormat="false" ht="17.15" hidden="false" customHeight="false" outlineLevel="0" collapsed="false">
      <c r="A62" s="4" t="s">
        <v>869</v>
      </c>
      <c r="B62" s="0" t="s">
        <v>95</v>
      </c>
      <c r="F62" s="27" t="n">
        <f aca="false">r_debt*CF!F40*0.25</f>
        <v>0.6746065</v>
      </c>
      <c r="G62" s="27" t="n">
        <f aca="false">F62</f>
        <v>0.6746065</v>
      </c>
      <c r="H62" s="27" t="n">
        <f aca="false">r_debt*CF!H40*1</f>
        <v>2.7758276653</v>
      </c>
      <c r="I62" s="27" t="n">
        <f aca="false">r_debt*CF!I40*1</f>
        <v>3.08142976777101</v>
      </c>
      <c r="J62" s="27" t="n">
        <f aca="false">r_debt*CF!J40*1</f>
        <v>3.72564567787222</v>
      </c>
      <c r="K62" s="27" t="n">
        <f aca="false">r_debt*CF!K40*1</f>
        <v>3.87419765463257</v>
      </c>
      <c r="L62" s="27" t="n">
        <f aca="false">r_debt*CF!L40*1</f>
        <v>3.9380900862005</v>
      </c>
      <c r="M62" s="27" t="n">
        <f aca="false">r_debt*CF!M40*1</f>
        <v>3.91698617459245</v>
      </c>
    </row>
    <row r="63" customFormat="false" ht="17.15" hidden="false" customHeight="false" outlineLevel="0" collapsed="false">
      <c r="A63" s="4" t="s">
        <v>870</v>
      </c>
      <c r="B63" s="0" t="s">
        <v>95</v>
      </c>
      <c r="D63" s="14" t="n">
        <f aca="false">Q!G69</f>
        <v>0.342</v>
      </c>
      <c r="E63" s="14" t="n">
        <f aca="false">Q!H69</f>
        <v>-0.937</v>
      </c>
      <c r="F63" s="6" t="n">
        <v>0</v>
      </c>
      <c r="G63" s="14" t="n">
        <f aca="false">E63+F63</f>
        <v>-0.937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7" t="s">
        <v>871</v>
      </c>
    </row>
    <row r="64" customFormat="false" ht="15" hidden="false" customHeight="false" outlineLevel="0" collapsed="false">
      <c r="A64" s="4" t="s">
        <v>657</v>
      </c>
      <c r="B64" s="0" t="s">
        <v>95</v>
      </c>
      <c r="D64" s="14" t="n">
        <f aca="false">D54+Q!G67+Q!G68+D63</f>
        <v>-1.876</v>
      </c>
      <c r="E64" s="14" t="n">
        <f aca="false">E54+Q!H67+Q!H68+E63</f>
        <v>-0.774</v>
      </c>
      <c r="F64" s="14" t="n">
        <f aca="false">F54+F61-F62+F63</f>
        <v>2.62951715593971</v>
      </c>
      <c r="G64" s="14" t="n">
        <f aca="false">E64+F64</f>
        <v>1.85551715593971</v>
      </c>
      <c r="H64" s="14" t="n">
        <f aca="false">H54+H61-H62+H63</f>
        <v>18.1099406065284</v>
      </c>
      <c r="I64" s="14" t="n">
        <f aca="false">I54+I61-I62+I63</f>
        <v>28.9088090217613</v>
      </c>
      <c r="J64" s="14" t="n">
        <f aca="false">J54+J61-J62+J63</f>
        <v>41.1713729718258</v>
      </c>
      <c r="K64" s="14" t="n">
        <f aca="false">K54+K61-K62+K63</f>
        <v>47.5922560264295</v>
      </c>
      <c r="L64" s="14" t="n">
        <f aca="false">L54+L61-L62+L63</f>
        <v>52.0573992452073</v>
      </c>
      <c r="M64" s="14" t="n">
        <f aca="false">M54+M61-M62+M63</f>
        <v>55.676825567124</v>
      </c>
    </row>
    <row r="65" customFormat="false" ht="15" hidden="false" customHeight="false" outlineLevel="0" collapsed="false">
      <c r="A65" s="4" t="s">
        <v>872</v>
      </c>
      <c r="B65" s="0" t="s">
        <v>95</v>
      </c>
      <c r="D65" s="14" t="n">
        <f aca="false">Q!G72</f>
        <v>0.714</v>
      </c>
      <c r="E65" s="14" t="n">
        <f aca="false">Q!H72</f>
        <v>-0.361</v>
      </c>
      <c r="F65" s="14" t="n">
        <f aca="false">F64*tax</f>
        <v>0.315542058712765</v>
      </c>
      <c r="G65" s="14" t="n">
        <f aca="false">E65+F65</f>
        <v>-0.0454579412872352</v>
      </c>
      <c r="H65" s="14" t="n">
        <f aca="false">H64*tax</f>
        <v>2.17319287278341</v>
      </c>
      <c r="I65" s="14" t="n">
        <f aca="false">I64*tax</f>
        <v>3.46905708261136</v>
      </c>
      <c r="J65" s="14" t="n">
        <f aca="false">J64*tax</f>
        <v>4.9405647566191</v>
      </c>
      <c r="K65" s="14" t="n">
        <f aca="false">K64*tax</f>
        <v>5.71107072317154</v>
      </c>
      <c r="L65" s="14" t="n">
        <f aca="false">L64*tax</f>
        <v>6.24688790942488</v>
      </c>
      <c r="M65" s="14" t="n">
        <f aca="false">M64*tax</f>
        <v>6.68121906805488</v>
      </c>
    </row>
    <row r="66" customFormat="false" ht="15" hidden="false" customHeight="false" outlineLevel="0" collapsed="false">
      <c r="A66" s="2" t="s">
        <v>873</v>
      </c>
      <c r="B66" s="7" t="s">
        <v>95</v>
      </c>
      <c r="D66" s="14" t="n">
        <f aca="false">D64-D65</f>
        <v>-2.59</v>
      </c>
      <c r="E66" s="14" t="n">
        <f aca="false">E64-E65</f>
        <v>-0.413</v>
      </c>
      <c r="F66" s="14" t="n">
        <f aca="false">F64-F65</f>
        <v>2.31397509722694</v>
      </c>
      <c r="G66" s="14" t="n">
        <f aca="false">G64-G65</f>
        <v>1.90097509722694</v>
      </c>
      <c r="H66" s="14" t="n">
        <f aca="false">H64-H65</f>
        <v>15.936747733745</v>
      </c>
      <c r="I66" s="14" t="n">
        <f aca="false">I64-I65</f>
        <v>25.43975193915</v>
      </c>
      <c r="J66" s="14" t="n">
        <f aca="false">J64-J65</f>
        <v>36.2308082152067</v>
      </c>
      <c r="K66" s="14" t="n">
        <f aca="false">K64-K65</f>
        <v>41.881185303258</v>
      </c>
      <c r="L66" s="14" t="n">
        <f aca="false">L64-L65</f>
        <v>45.8105113357824</v>
      </c>
      <c r="M66" s="14" t="n">
        <f aca="false">M64-M65</f>
        <v>48.9956064990691</v>
      </c>
    </row>
    <row r="67" customFormat="false" ht="17.15" hidden="false" customHeight="false" outlineLevel="0" collapsed="false">
      <c r="A67" s="4" t="s">
        <v>874</v>
      </c>
      <c r="B67" s="0" t="s">
        <v>95</v>
      </c>
      <c r="D67" s="21" t="n">
        <f aca="false">D66-Q!G73</f>
        <v>0</v>
      </c>
      <c r="E67" s="21" t="n">
        <f aca="false">E66-Q!H73</f>
        <v>0</v>
      </c>
    </row>
    <row r="68" customFormat="false" ht="15" hidden="false" customHeight="false" outlineLevel="0" collapsed="false">
      <c r="A68" s="4" t="s">
        <v>875</v>
      </c>
      <c r="B68" s="0" t="s">
        <v>95</v>
      </c>
      <c r="E68" s="14" t="n">
        <f aca="false">deemed_1H</f>
        <v>0.671</v>
      </c>
      <c r="F68" s="6" t="n">
        <v>0</v>
      </c>
      <c r="G68" s="14" t="n">
        <f aca="false">E68+F68</f>
        <v>0.671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</row>
    <row r="69" customFormat="false" ht="15" hidden="false" customHeight="false" outlineLevel="0" collapsed="false">
      <c r="A69" s="4" t="s">
        <v>876</v>
      </c>
      <c r="B69" s="0" t="s">
        <v>95</v>
      </c>
      <c r="E69" s="14" t="n">
        <f aca="false">E66-E68</f>
        <v>-1.084</v>
      </c>
      <c r="F69" s="14" t="n">
        <f aca="false">F66-F68</f>
        <v>2.31397509722694</v>
      </c>
      <c r="G69" s="14" t="n">
        <f aca="false">G66-G68</f>
        <v>1.22997509722694</v>
      </c>
      <c r="H69" s="14" t="n">
        <f aca="false">H66-H68</f>
        <v>15.936747733745</v>
      </c>
      <c r="I69" s="14" t="n">
        <f aca="false">I66-I68</f>
        <v>25.43975193915</v>
      </c>
      <c r="J69" s="14" t="n">
        <f aca="false">J66-J68</f>
        <v>36.2308082152067</v>
      </c>
      <c r="K69" s="14" t="n">
        <f aca="false">K66-K68</f>
        <v>41.881185303258</v>
      </c>
      <c r="L69" s="14" t="n">
        <f aca="false">L66-L68</f>
        <v>45.8105113357824</v>
      </c>
      <c r="M69" s="14" t="n">
        <f aca="false">M66-M68</f>
        <v>48.9956064990691</v>
      </c>
    </row>
    <row r="70" customFormat="false" ht="17.15" hidden="false" customHeight="false" outlineLevel="0" collapsed="false">
      <c r="A70" s="4" t="s">
        <v>877</v>
      </c>
      <c r="B70" s="4" t="s">
        <v>65</v>
      </c>
      <c r="E70" s="21" t="n">
        <f aca="false">sh_out</f>
        <v>13.581064</v>
      </c>
      <c r="F70" s="21" t="n">
        <f aca="false">E70*(1+dil*0.25)</f>
        <v>13.61501666</v>
      </c>
      <c r="H70" s="21" t="n">
        <f aca="false">F70*(1+dil*1)</f>
        <v>13.7511668266</v>
      </c>
      <c r="I70" s="21" t="n">
        <f aca="false">H70*(1+dil*1)</f>
        <v>13.888678494866</v>
      </c>
      <c r="J70" s="21" t="n">
        <f aca="false">I70*(1+dil*1)</f>
        <v>14.0275652798147</v>
      </c>
      <c r="K70" s="21" t="n">
        <f aca="false">J70*(1+dil*1)</f>
        <v>14.1678409326128</v>
      </c>
      <c r="L70" s="21" t="n">
        <f aca="false">K70*(1+dil*1)</f>
        <v>14.3095193419389</v>
      </c>
      <c r="M70" s="21" t="n">
        <f aca="false">L70*(1+dil*1)</f>
        <v>14.4526145353583</v>
      </c>
      <c r="N70" s="7" t="s">
        <v>878</v>
      </c>
    </row>
    <row r="71" customFormat="false" ht="17.15" hidden="false" customHeight="false" outlineLevel="0" collapsed="false">
      <c r="A71" s="4" t="s">
        <v>879</v>
      </c>
      <c r="B71" s="4" t="s">
        <v>65</v>
      </c>
      <c r="E71" s="21" t="n">
        <f aca="false">sh_dil_1H</f>
        <v>7.274</v>
      </c>
      <c r="F71" s="21" t="n">
        <f aca="false">(E70+F70)/2</f>
        <v>13.59804033</v>
      </c>
      <c r="G71" s="21" t="n">
        <f aca="false">0.75*E71+0.25*F71</f>
        <v>8.8550100825</v>
      </c>
      <c r="H71" s="21" t="n">
        <f aca="false">(F70+H70)/2</f>
        <v>13.6830917433</v>
      </c>
      <c r="I71" s="21" t="n">
        <f aca="false">(H70+I70)/2</f>
        <v>13.819922660733</v>
      </c>
      <c r="J71" s="21" t="n">
        <f aca="false">(I70+J70)/2</f>
        <v>13.9581218873403</v>
      </c>
      <c r="K71" s="21" t="n">
        <f aca="false">(J70+K70)/2</f>
        <v>14.0977031062137</v>
      </c>
      <c r="L71" s="21" t="n">
        <f aca="false">(K70+L70)/2</f>
        <v>14.2386801372759</v>
      </c>
      <c r="M71" s="21" t="n">
        <f aca="false">(L70+M70)/2</f>
        <v>14.3810669386486</v>
      </c>
      <c r="N71" s="7" t="s">
        <v>880</v>
      </c>
    </row>
    <row r="72" customFormat="false" ht="17.15" hidden="false" customHeight="false" outlineLevel="0" collapsed="false">
      <c r="A72" s="5" t="s">
        <v>881</v>
      </c>
      <c r="B72" s="7" t="s">
        <v>54</v>
      </c>
      <c r="E72" s="17" t="n">
        <f aca="false">E69/E71</f>
        <v>-0.149023920813858</v>
      </c>
      <c r="F72" s="17" t="n">
        <f aca="false">F69/F71</f>
        <v>0.170169748071849</v>
      </c>
      <c r="G72" s="17" t="n">
        <f aca="false">G69/G71</f>
        <v>0.138901603246926</v>
      </c>
      <c r="H72" s="17" t="n">
        <f aca="false">H69/H71</f>
        <v>1.16470371117321</v>
      </c>
      <c r="I72" s="17" t="n">
        <f aca="false">I69/I71</f>
        <v>1.84080277174291</v>
      </c>
      <c r="J72" s="17" t="n">
        <f aca="false">J69/J71</f>
        <v>2.5956793118469</v>
      </c>
      <c r="K72" s="17" t="n">
        <f aca="false">K69/K71</f>
        <v>2.97078077100364</v>
      </c>
      <c r="L72" s="17" t="n">
        <f aca="false">L69/L71</f>
        <v>3.21732849492515</v>
      </c>
      <c r="M72" s="17" t="n">
        <f aca="false">M69/M71</f>
        <v>3.40695212031835</v>
      </c>
    </row>
    <row r="73" customFormat="false" ht="17.15" hidden="false" customHeight="false" outlineLevel="0" collapsed="false">
      <c r="A73" s="0" t="s">
        <v>882</v>
      </c>
      <c r="B73" s="0" t="s">
        <v>54</v>
      </c>
      <c r="F73" s="17" t="n">
        <f aca="false">(F69+(internal_ai_reading=2)*F56*(1-tax))/F71</f>
        <v>0.180199610380368</v>
      </c>
      <c r="G73" s="17" t="n">
        <f aca="false">(G69+(internal_ai_reading=2)*G56*(1-tax))/G71</f>
        <v>0.154303784713114</v>
      </c>
      <c r="H73" s="17" t="n">
        <f aca="false">(H69+(internal_ai_reading=2)*H56*(1-tax))/H71</f>
        <v>1.41373242754533</v>
      </c>
      <c r="I73" s="17" t="n">
        <f aca="false">(I69+(internal_ai_reading=2)*I56*(1-tax))/I71</f>
        <v>2.43230189984924</v>
      </c>
      <c r="J73" s="17" t="n">
        <f aca="false">(J69+(internal_ai_reading=2)*J56*(1-tax))/J71</f>
        <v>3.4929043960636</v>
      </c>
      <c r="K73" s="17" t="n">
        <f aca="false">(K69+(internal_ai_reading=2)*K56*(1-tax))/K71</f>
        <v>4.09131618475123</v>
      </c>
      <c r="L73" s="17" t="n">
        <f aca="false">(L69+(internal_ai_reading=2)*L56*(1-tax))/L71</f>
        <v>4.48428873220198</v>
      </c>
      <c r="M73" s="17" t="n">
        <f aca="false">(M69+(internal_ai_reading=2)*M56*(1-tax))/M71</f>
        <v>4.74720644391796</v>
      </c>
    </row>
    <row r="75" customFormat="false" ht="17.15" hidden="false" customHeight="false" outlineLevel="0" collapsed="false">
      <c r="A75" s="28" t="s">
        <v>831</v>
      </c>
    </row>
    <row r="76" customFormat="false" ht="15" hidden="false" customHeight="false" outlineLevel="0" collapsed="false">
      <c r="A76" s="3" t="s">
        <v>43</v>
      </c>
      <c r="B76" s="3" t="s">
        <v>44</v>
      </c>
      <c r="C76" s="20" t="s">
        <v>592</v>
      </c>
      <c r="D76" s="20" t="s">
        <v>731</v>
      </c>
      <c r="E76" s="20" t="s">
        <v>732</v>
      </c>
      <c r="F76" s="20" t="s">
        <v>733</v>
      </c>
      <c r="G76" s="20" t="s">
        <v>734</v>
      </c>
      <c r="H76" s="20" t="s">
        <v>735</v>
      </c>
      <c r="I76" s="20" t="s">
        <v>736</v>
      </c>
      <c r="J76" s="20" t="s">
        <v>737</v>
      </c>
      <c r="K76" s="20" t="s">
        <v>738</v>
      </c>
      <c r="L76" s="20" t="s">
        <v>739</v>
      </c>
      <c r="M76" s="20" t="s">
        <v>740</v>
      </c>
      <c r="N76" s="3" t="s">
        <v>50</v>
      </c>
    </row>
    <row r="77" customFormat="false" ht="15" hidden="false" customHeight="false" outlineLevel="0" collapsed="false">
      <c r="A77" s="0" t="s">
        <v>594</v>
      </c>
      <c r="B77" s="0" t="s">
        <v>95</v>
      </c>
      <c r="D77" s="14" t="n">
        <f aca="false">Seg!D55</f>
        <v>2.056</v>
      </c>
      <c r="E77" s="14" t="n">
        <f aca="false">Seg!E55</f>
        <v>2.108</v>
      </c>
      <c r="F77" s="14" t="n">
        <f aca="false">Seg!F55</f>
        <v>0.872275862068966</v>
      </c>
      <c r="G77" s="14" t="n">
        <f aca="false">Seg!G55</f>
        <v>2.98027586206897</v>
      </c>
      <c r="H77" s="14" t="n">
        <f aca="false">Seg!H55</f>
        <v>3.59377655172414</v>
      </c>
      <c r="I77" s="14" t="n">
        <f aca="false">Seg!I55</f>
        <v>3.88666934068966</v>
      </c>
      <c r="J77" s="14" t="n">
        <f aca="false">Seg!J55</f>
        <v>4.20343289195586</v>
      </c>
      <c r="K77" s="14" t="n">
        <f aca="false">Seg!K55</f>
        <v>4.54601267265027</v>
      </c>
      <c r="L77" s="14" t="n">
        <f aca="false">Seg!L55</f>
        <v>4.91651270547126</v>
      </c>
      <c r="M77" s="14" t="n">
        <f aca="false">Seg!M55</f>
        <v>5.31720849096717</v>
      </c>
    </row>
    <row r="78" customFormat="false" ht="15" hidden="false" customHeight="false" outlineLevel="0" collapsed="false">
      <c r="A78" s="0" t="s">
        <v>597</v>
      </c>
      <c r="B78" s="0" t="s">
        <v>95</v>
      </c>
      <c r="D78" s="14" t="n">
        <f aca="false">Seg!D57</f>
        <v>1.221</v>
      </c>
      <c r="E78" s="14" t="n">
        <f aca="false">Seg!E57</f>
        <v>1.24</v>
      </c>
      <c r="F78" s="14" t="n">
        <f aca="false">Seg!F57</f>
        <v>0.414932006086979</v>
      </c>
      <c r="G78" s="14" t="n">
        <f aca="false">Seg!G57</f>
        <v>1.65493200608698</v>
      </c>
      <c r="H78" s="14" t="n">
        <f aca="false">Seg!H57</f>
        <v>1.70734496323307</v>
      </c>
      <c r="I78" s="14" t="n">
        <f aca="false">Seg!I57</f>
        <v>1.78892277253284</v>
      </c>
      <c r="J78" s="14" t="n">
        <f aca="false">Seg!J57</f>
        <v>1.90321750266002</v>
      </c>
      <c r="K78" s="14" t="n">
        <f aca="false">Seg!K57</f>
        <v>2.05547490287283</v>
      </c>
      <c r="L78" s="14" t="n">
        <f aca="false">Seg!L57</f>
        <v>2.21991289510265</v>
      </c>
      <c r="M78" s="14" t="n">
        <f aca="false">Seg!M57</f>
        <v>2.39750592671086</v>
      </c>
    </row>
    <row r="79" customFormat="false" ht="15" hidden="false" customHeight="false" outlineLevel="0" collapsed="false">
      <c r="A79" s="29" t="s">
        <v>814</v>
      </c>
      <c r="B79" s="30" t="s">
        <v>95</v>
      </c>
      <c r="C79" s="31" t="n">
        <f aca="false">Seg!C58</f>
        <v>4.086</v>
      </c>
      <c r="D79" s="31" t="n">
        <f aca="false">Seg!D58</f>
        <v>3.277</v>
      </c>
      <c r="E79" s="31" t="n">
        <f aca="false">Seg!E58</f>
        <v>3.348</v>
      </c>
      <c r="F79" s="31" t="n">
        <f aca="false">Seg!F58</f>
        <v>1.28720786815594</v>
      </c>
      <c r="G79" s="31" t="n">
        <f aca="false">Seg!G58</f>
        <v>4.63520786815594</v>
      </c>
      <c r="H79" s="31" t="n">
        <f aca="false">Seg!H58</f>
        <v>5.30112151495721</v>
      </c>
      <c r="I79" s="31" t="n">
        <f aca="false">Seg!I58</f>
        <v>5.6755921132225</v>
      </c>
      <c r="J79" s="31" t="n">
        <f aca="false">Seg!J58</f>
        <v>6.10665039461589</v>
      </c>
      <c r="K79" s="31" t="n">
        <f aca="false">Seg!K58</f>
        <v>6.60148757552309</v>
      </c>
      <c r="L79" s="31" t="n">
        <f aca="false">Seg!L58</f>
        <v>7.13642560057392</v>
      </c>
      <c r="M79" s="31" t="n">
        <f aca="false">Seg!M58</f>
        <v>7.71471441767804</v>
      </c>
      <c r="N79" s="30"/>
    </row>
    <row r="80" customFormat="false" ht="15" hidden="false" customHeight="false" outlineLevel="0" collapsed="false">
      <c r="A80" s="0" t="s">
        <v>601</v>
      </c>
      <c r="B80" s="0" t="s">
        <v>95</v>
      </c>
      <c r="D80" s="14" t="n">
        <f aca="false">Seg!D62</f>
        <v>5.198</v>
      </c>
      <c r="E80" s="14" t="n">
        <f aca="false">Seg!E62</f>
        <v>7.754</v>
      </c>
      <c r="F80" s="14" t="n">
        <f aca="false">Seg!F62</f>
        <v>3.49343615025178</v>
      </c>
      <c r="G80" s="14" t="n">
        <f aca="false">Seg!G62</f>
        <v>11.2474361502518</v>
      </c>
      <c r="H80" s="14" t="n">
        <f aca="false">Seg!H62</f>
        <v>17.2435944438957</v>
      </c>
      <c r="I80" s="14" t="n">
        <f aca="false">Seg!I62</f>
        <v>21.8177100396957</v>
      </c>
      <c r="J80" s="14" t="n">
        <f aca="false">Seg!J62</f>
        <v>25.7199028003876</v>
      </c>
      <c r="K80" s="14" t="n">
        <f aca="false">Seg!K62</f>
        <v>29.0321031644104</v>
      </c>
      <c r="L80" s="14" t="n">
        <f aca="false">Seg!L62</f>
        <v>31.8265209075892</v>
      </c>
      <c r="M80" s="14" t="n">
        <f aca="false">Seg!M62</f>
        <v>34.1667932387412</v>
      </c>
    </row>
    <row r="81" customFormat="false" ht="15" hidden="false" customHeight="false" outlineLevel="0" collapsed="false">
      <c r="A81" s="0" t="s">
        <v>602</v>
      </c>
      <c r="B81" s="0" t="s">
        <v>95</v>
      </c>
      <c r="D81" s="14" t="n">
        <f aca="false">Seg!D64</f>
        <v>2.961</v>
      </c>
      <c r="E81" s="14" t="n">
        <f aca="false">Seg!E64</f>
        <v>5.042</v>
      </c>
      <c r="F81" s="14" t="n">
        <f aca="false">Seg!F64</f>
        <v>2.42973325841983</v>
      </c>
      <c r="G81" s="14" t="n">
        <f aca="false">Seg!G64</f>
        <v>7.47173325841983</v>
      </c>
      <c r="H81" s="14" t="n">
        <f aca="false">Seg!H64</f>
        <v>11.5968946017273</v>
      </c>
      <c r="I81" s="14" t="n">
        <f aca="false">Seg!I64</f>
        <v>16.2519061109751</v>
      </c>
      <c r="J81" s="14" t="n">
        <f aca="false">Seg!J64</f>
        <v>20.326271596902</v>
      </c>
      <c r="K81" s="14" t="n">
        <f aca="false">Seg!K64</f>
        <v>22.3588987565922</v>
      </c>
      <c r="L81" s="14" t="n">
        <f aca="false">Seg!L64</f>
        <v>24.5947886322515</v>
      </c>
      <c r="M81" s="14" t="n">
        <f aca="false">Seg!M64</f>
        <v>27.0542674954766</v>
      </c>
    </row>
    <row r="82" customFormat="false" ht="15" hidden="false" customHeight="false" outlineLevel="0" collapsed="false">
      <c r="A82" s="29" t="s">
        <v>821</v>
      </c>
      <c r="B82" s="30" t="s">
        <v>95</v>
      </c>
      <c r="C82" s="31" t="n">
        <f aca="false">Seg!C65</f>
        <v>11.387</v>
      </c>
      <c r="D82" s="31" t="n">
        <f aca="false">Seg!D65</f>
        <v>8.159</v>
      </c>
      <c r="E82" s="31" t="n">
        <f aca="false">Seg!E65</f>
        <v>12.796</v>
      </c>
      <c r="F82" s="31" t="n">
        <f aca="false">Seg!F65</f>
        <v>5.92316940867161</v>
      </c>
      <c r="G82" s="31" t="n">
        <f aca="false">Seg!G65</f>
        <v>18.7191694086716</v>
      </c>
      <c r="H82" s="31" t="n">
        <f aca="false">Seg!H65</f>
        <v>28.840489045623</v>
      </c>
      <c r="I82" s="31" t="n">
        <f aca="false">Seg!I65</f>
        <v>38.0696161506708</v>
      </c>
      <c r="J82" s="31" t="n">
        <f aca="false">Seg!J65</f>
        <v>46.0461743972897</v>
      </c>
      <c r="K82" s="31" t="n">
        <f aca="false">Seg!K65</f>
        <v>51.3910019210027</v>
      </c>
      <c r="L82" s="31" t="n">
        <f aca="false">Seg!L65</f>
        <v>56.4213095398407</v>
      </c>
      <c r="M82" s="31" t="n">
        <f aca="false">Seg!M65</f>
        <v>61.2210607342179</v>
      </c>
      <c r="N82" s="30"/>
    </row>
    <row r="83" customFormat="false" ht="15" hidden="false" customHeight="false" outlineLevel="0" collapsed="false">
      <c r="A83" s="0" t="s">
        <v>605</v>
      </c>
      <c r="B83" s="0" t="s">
        <v>95</v>
      </c>
      <c r="D83" s="14" t="n">
        <f aca="false">Seg!D51</f>
        <v>1.323</v>
      </c>
      <c r="E83" s="14" t="n">
        <f aca="false">Seg!E51</f>
        <v>1.248</v>
      </c>
      <c r="F83" s="14" t="n">
        <f aca="false">Seg!F51</f>
        <v>0.530207615057733</v>
      </c>
      <c r="G83" s="14" t="n">
        <f aca="false">Seg!G51</f>
        <v>1.77820761505773</v>
      </c>
      <c r="H83" s="14" t="n">
        <f aca="false">Seg!H51</f>
        <v>1.71594010690461</v>
      </c>
      <c r="I83" s="14" t="n">
        <f aca="false">Seg!I51</f>
        <v>1.69304145037596</v>
      </c>
      <c r="J83" s="14" t="n">
        <f aca="false">Seg!J51</f>
        <v>1.70714053138844</v>
      </c>
      <c r="K83" s="14" t="n">
        <f aca="false">Seg!K51</f>
        <v>1.7583547473301</v>
      </c>
      <c r="L83" s="14" t="n">
        <f aca="false">Seg!L51</f>
        <v>1.81110538975</v>
      </c>
      <c r="M83" s="14" t="n">
        <f aca="false">Seg!M51</f>
        <v>1.8654385514425</v>
      </c>
    </row>
    <row r="84" customFormat="false" ht="17.15" hidden="false" customHeight="false" outlineLevel="0" collapsed="false">
      <c r="A84" s="0" t="s">
        <v>801</v>
      </c>
      <c r="B84" s="0" t="s">
        <v>95</v>
      </c>
      <c r="E84" s="14" t="n">
        <f aca="false">Seg!E46</f>
        <v>6.63552</v>
      </c>
      <c r="F84" s="14" t="n">
        <f aca="false">Seg!F46</f>
        <v>6.28901947088364</v>
      </c>
      <c r="G84" s="14" t="n">
        <f aca="false">Seg!G46</f>
        <v>12.9245394708836</v>
      </c>
      <c r="H84" s="14" t="n">
        <f aca="false">Seg!H46</f>
        <v>37.3995373495115</v>
      </c>
      <c r="I84" s="14" t="n">
        <f aca="false">Seg!I46</f>
        <v>55.739334569764</v>
      </c>
      <c r="J84" s="14" t="n">
        <f aca="false">Seg!J46</f>
        <v>68.0699762031923</v>
      </c>
      <c r="K84" s="14" t="n">
        <f aca="false">Seg!K46</f>
        <v>72.5534090240716</v>
      </c>
      <c r="L84" s="14" t="n">
        <f aca="false">Seg!L46</f>
        <v>80.7456954851022</v>
      </c>
      <c r="M84" s="14" t="n">
        <f aca="false">Seg!M46</f>
        <v>85.2546281942766</v>
      </c>
    </row>
    <row r="85" customFormat="false" ht="17.15" hidden="false" customHeight="false" outlineLevel="0" collapsed="false">
      <c r="A85" s="0" t="s">
        <v>805</v>
      </c>
      <c r="B85" s="0" t="s">
        <v>95</v>
      </c>
      <c r="E85" s="14" t="n">
        <f aca="false">Seg!E48</f>
        <v>3.05548</v>
      </c>
      <c r="F85" s="14" t="n">
        <f aca="false">Seg!F48</f>
        <v>2.50516</v>
      </c>
      <c r="G85" s="14" t="n">
        <f aca="false">Seg!G48</f>
        <v>5.56064</v>
      </c>
      <c r="H85" s="14" t="n">
        <f aca="false">Seg!H48</f>
        <v>12.9107804793285</v>
      </c>
      <c r="I85" s="14" t="n">
        <f aca="false">Seg!I48</f>
        <v>17.8599129964044</v>
      </c>
      <c r="J85" s="14" t="n">
        <f aca="false">Seg!J48</f>
        <v>22.6225564621123</v>
      </c>
      <c r="K85" s="14" t="n">
        <f aca="false">Seg!K48</f>
        <v>26.0159399314291</v>
      </c>
      <c r="L85" s="14" t="n">
        <f aca="false">Seg!L48</f>
        <v>29.9183309211435</v>
      </c>
      <c r="M85" s="14" t="n">
        <f aca="false">Seg!M48</f>
        <v>34.406080559315</v>
      </c>
    </row>
    <row r="86" customFormat="false" ht="15" hidden="false" customHeight="false" outlineLevel="0" collapsed="false">
      <c r="A86" s="0" t="s">
        <v>606</v>
      </c>
      <c r="B86" s="0" t="s">
        <v>95</v>
      </c>
      <c r="D86" s="14" t="n">
        <f aca="false">Seg!D49</f>
        <v>0.955</v>
      </c>
      <c r="E86" s="14" t="n">
        <f aca="false">Seg!E49</f>
        <v>9.691</v>
      </c>
      <c r="F86" s="14" t="n">
        <f aca="false">Seg!F49</f>
        <v>8.79417947088364</v>
      </c>
      <c r="G86" s="14" t="n">
        <f aca="false">Seg!G49</f>
        <v>18.4851794708836</v>
      </c>
      <c r="H86" s="14" t="n">
        <f aca="false">Seg!H49</f>
        <v>50.31031782884</v>
      </c>
      <c r="I86" s="14" t="n">
        <f aca="false">Seg!I49</f>
        <v>73.5992475661684</v>
      </c>
      <c r="J86" s="14" t="n">
        <f aca="false">Seg!J49</f>
        <v>90.6925326653046</v>
      </c>
      <c r="K86" s="14" t="n">
        <f aca="false">Seg!K49</f>
        <v>98.5693489555007</v>
      </c>
      <c r="L86" s="14" t="n">
        <f aca="false">Seg!L49</f>
        <v>110.664026406246</v>
      </c>
      <c r="M86" s="14" t="n">
        <f aca="false">Seg!M49</f>
        <v>119.660708753592</v>
      </c>
    </row>
    <row r="87" customFormat="false" ht="15" hidden="false" customHeight="false" outlineLevel="0" collapsed="false">
      <c r="A87" s="29" t="s">
        <v>809</v>
      </c>
      <c r="B87" s="30" t="s">
        <v>95</v>
      </c>
      <c r="C87" s="31" t="n">
        <f aca="false">Seg!C52</f>
        <v>3.201</v>
      </c>
      <c r="D87" s="31" t="n">
        <f aca="false">Seg!D52</f>
        <v>2.278</v>
      </c>
      <c r="E87" s="31" t="n">
        <f aca="false">Seg!E52</f>
        <v>10.939</v>
      </c>
      <c r="F87" s="31" t="n">
        <f aca="false">Seg!F52</f>
        <v>9.32438708594137</v>
      </c>
      <c r="G87" s="31" t="n">
        <f aca="false">Seg!G52</f>
        <v>20.2633870859414</v>
      </c>
      <c r="H87" s="31" t="n">
        <f aca="false">Seg!H52</f>
        <v>52.0262579357446</v>
      </c>
      <c r="I87" s="31" t="n">
        <f aca="false">Seg!I52</f>
        <v>75.2922890165444</v>
      </c>
      <c r="J87" s="31" t="n">
        <f aca="false">Seg!J52</f>
        <v>92.399673196693</v>
      </c>
      <c r="K87" s="31" t="n">
        <f aca="false">Seg!K52</f>
        <v>100.327703702831</v>
      </c>
      <c r="L87" s="31" t="n">
        <f aca="false">Seg!L52</f>
        <v>112.475131795996</v>
      </c>
      <c r="M87" s="31" t="n">
        <f aca="false">Seg!M52</f>
        <v>121.526147305034</v>
      </c>
      <c r="N87" s="30"/>
    </row>
    <row r="88" customFormat="false" ht="15" hidden="false" customHeight="false" outlineLevel="0" collapsed="false">
      <c r="A88" s="2" t="s">
        <v>609</v>
      </c>
      <c r="B88" s="7" t="s">
        <v>95</v>
      </c>
      <c r="C88" s="14" t="n">
        <f aca="false">Seg!C66</f>
        <v>18.674</v>
      </c>
      <c r="D88" s="14" t="n">
        <f aca="false">Seg!D66</f>
        <v>13.714</v>
      </c>
      <c r="E88" s="14" t="n">
        <f aca="false">Seg!E66</f>
        <v>27.083</v>
      </c>
      <c r="F88" s="14" t="n">
        <f aca="false">Seg!F66</f>
        <v>16.5347643627689</v>
      </c>
      <c r="G88" s="14" t="n">
        <f aca="false">Seg!G66</f>
        <v>43.6177643627689</v>
      </c>
      <c r="H88" s="14" t="n">
        <f aca="false">Seg!H66</f>
        <v>86.1678684963247</v>
      </c>
      <c r="I88" s="14" t="n">
        <f aca="false">Seg!I66</f>
        <v>119.037497280438</v>
      </c>
      <c r="J88" s="14" t="n">
        <f aca="false">Seg!J66</f>
        <v>144.552497988599</v>
      </c>
      <c r="K88" s="14" t="n">
        <f aca="false">Seg!K66</f>
        <v>158.320193199357</v>
      </c>
      <c r="L88" s="14" t="n">
        <f aca="false">Seg!L66</f>
        <v>176.03286693641</v>
      </c>
      <c r="M88" s="14" t="n">
        <f aca="false">Seg!M66</f>
        <v>190.46192245693</v>
      </c>
    </row>
    <row r="89" customFormat="false" ht="15" hidden="false" customHeight="false" outlineLevel="0" collapsed="false">
      <c r="A89" s="4" t="s">
        <v>838</v>
      </c>
      <c r="B89" s="0" t="s">
        <v>126</v>
      </c>
      <c r="E89" s="16" t="n">
        <f aca="false">E88/D88-1</f>
        <v>0.97484322590054</v>
      </c>
      <c r="G89" s="16" t="n">
        <f aca="false">G88/C88-1</f>
        <v>1.3357483325891</v>
      </c>
      <c r="H89" s="16" t="n">
        <f aca="false">H88/G88-1</f>
        <v>0.975522353224402</v>
      </c>
      <c r="I89" s="16" t="n">
        <f aca="false">I88/H88-1</f>
        <v>0.381460390719946</v>
      </c>
      <c r="J89" s="16" t="n">
        <f aca="false">J88/I88-1</f>
        <v>0.21434423010466</v>
      </c>
      <c r="K89" s="16" t="n">
        <f aca="false">K88/J88-1</f>
        <v>0.0952435648109233</v>
      </c>
      <c r="L89" s="16" t="n">
        <f aca="false">L88/K88-1</f>
        <v>0.111878803196949</v>
      </c>
      <c r="M89" s="16" t="n">
        <f aca="false">M88/L88-1</f>
        <v>0.0819679629812089</v>
      </c>
    </row>
    <row r="90" customFormat="false" ht="17.15" hidden="false" customHeight="false" outlineLevel="0" collapsed="false">
      <c r="A90" s="4" t="s">
        <v>599</v>
      </c>
      <c r="B90" s="0" t="s">
        <v>95</v>
      </c>
      <c r="D90" s="21" t="n">
        <f aca="false">D77+D78-D79</f>
        <v>0</v>
      </c>
      <c r="E90" s="21" t="n">
        <f aca="false">E77+E78-E79</f>
        <v>0</v>
      </c>
      <c r="F90" s="21" t="n">
        <f aca="false">F77+F78-F79</f>
        <v>0</v>
      </c>
      <c r="G90" s="21" t="n">
        <f aca="false">G77+G78-G79</f>
        <v>0</v>
      </c>
      <c r="H90" s="21" t="n">
        <f aca="false">H77+H78-H79</f>
        <v>0</v>
      </c>
      <c r="I90" s="21" t="n">
        <f aca="false">I77+I78-I79</f>
        <v>0</v>
      </c>
      <c r="J90" s="21" t="n">
        <f aca="false">J77+J78-J79</f>
        <v>0</v>
      </c>
      <c r="K90" s="21" t="n">
        <f aca="false">K77+K78-K79</f>
        <v>0</v>
      </c>
      <c r="L90" s="21" t="n">
        <f aca="false">L77+L78-L79</f>
        <v>0</v>
      </c>
      <c r="M90" s="21" t="n">
        <f aca="false">M77+M78-M79</f>
        <v>0</v>
      </c>
    </row>
    <row r="91" customFormat="false" ht="17.15" hidden="false" customHeight="false" outlineLevel="0" collapsed="false">
      <c r="A91" s="4" t="s">
        <v>604</v>
      </c>
      <c r="B91" s="0" t="s">
        <v>95</v>
      </c>
      <c r="D91" s="21" t="n">
        <f aca="false">D80+D81-D82</f>
        <v>0</v>
      </c>
      <c r="E91" s="21" t="n">
        <f aca="false">E80+E81-E82</f>
        <v>0</v>
      </c>
      <c r="F91" s="21" t="n">
        <f aca="false">F80+F81-F82</f>
        <v>0</v>
      </c>
      <c r="G91" s="21" t="n">
        <f aca="false">G80+G81-G82</f>
        <v>0</v>
      </c>
      <c r="H91" s="21" t="n">
        <f aca="false">H80+H81-H82</f>
        <v>0</v>
      </c>
      <c r="I91" s="21" t="n">
        <f aca="false">I80+I81-I82</f>
        <v>0</v>
      </c>
      <c r="J91" s="21" t="n">
        <f aca="false">J80+J81-J82</f>
        <v>0</v>
      </c>
      <c r="K91" s="21" t="n">
        <f aca="false">K80+K81-K82</f>
        <v>0</v>
      </c>
      <c r="L91" s="21" t="n">
        <f aca="false">L80+L81-L82</f>
        <v>0</v>
      </c>
      <c r="M91" s="21" t="n">
        <f aca="false">M80+M81-M82</f>
        <v>0</v>
      </c>
    </row>
    <row r="92" customFormat="false" ht="17.15" hidden="false" customHeight="false" outlineLevel="0" collapsed="false">
      <c r="A92" s="4" t="s">
        <v>608</v>
      </c>
      <c r="B92" s="0" t="s">
        <v>95</v>
      </c>
      <c r="D92" s="21" t="n">
        <f aca="false">D83+D86-D87</f>
        <v>0</v>
      </c>
      <c r="E92" s="21" t="n">
        <f aca="false">E83+E86-E87</f>
        <v>0</v>
      </c>
      <c r="F92" s="21" t="n">
        <f aca="false">F83+F86-F87</f>
        <v>0</v>
      </c>
      <c r="G92" s="21" t="n">
        <f aca="false">G83+G86-G87</f>
        <v>0</v>
      </c>
      <c r="H92" s="21" t="n">
        <f aca="false">H83+H86-H87</f>
        <v>0</v>
      </c>
      <c r="I92" s="21" t="n">
        <f aca="false">I83+I86-I87</f>
        <v>0</v>
      </c>
      <c r="J92" s="21" t="n">
        <f aca="false">J83+J86-J87</f>
        <v>0</v>
      </c>
      <c r="K92" s="21" t="n">
        <f aca="false">K83+K86-K87</f>
        <v>0</v>
      </c>
      <c r="L92" s="21" t="n">
        <f aca="false">L83+L86-L87</f>
        <v>0</v>
      </c>
      <c r="M92" s="21" t="n">
        <f aca="false">M83+M86-M87</f>
        <v>0</v>
      </c>
    </row>
    <row r="93" customFormat="false" ht="17.15" hidden="false" customHeight="false" outlineLevel="0" collapsed="false">
      <c r="A93" s="4" t="s">
        <v>822</v>
      </c>
      <c r="B93" s="0" t="s">
        <v>95</v>
      </c>
      <c r="E93" s="21" t="n">
        <f aca="false">E84+E85-E86</f>
        <v>0</v>
      </c>
      <c r="F93" s="21" t="n">
        <f aca="false">F84+F85-F86</f>
        <v>0</v>
      </c>
      <c r="G93" s="21" t="n">
        <f aca="false">G84+G85-G86</f>
        <v>0</v>
      </c>
      <c r="H93" s="21" t="n">
        <f aca="false">H84+H85-H86</f>
        <v>0</v>
      </c>
      <c r="I93" s="21" t="n">
        <f aca="false">I84+I85-I86</f>
        <v>0</v>
      </c>
      <c r="J93" s="21" t="n">
        <f aca="false">J84+J85-J86</f>
        <v>0</v>
      </c>
      <c r="K93" s="21" t="n">
        <f aca="false">K84+K85-K86</f>
        <v>0</v>
      </c>
      <c r="L93" s="21" t="n">
        <f aca="false">L84+L85-L86</f>
        <v>0</v>
      </c>
      <c r="M93" s="21" t="n">
        <f aca="false">M84+M85-M86</f>
        <v>0</v>
      </c>
    </row>
    <row r="94" customFormat="false" ht="15" hidden="false" customHeight="false" outlineLevel="0" collapsed="false">
      <c r="A94" s="4" t="s">
        <v>610</v>
      </c>
      <c r="B94" s="0" t="s">
        <v>95</v>
      </c>
      <c r="C94" s="21" t="n">
        <f aca="false">C79+C82+C87-C88</f>
        <v>0</v>
      </c>
      <c r="D94" s="21" t="n">
        <f aca="false">D79+D82+D87-D88</f>
        <v>0</v>
      </c>
      <c r="E94" s="21" t="n">
        <f aca="false">E79+E82+E87-E88</f>
        <v>0</v>
      </c>
      <c r="F94" s="21" t="n">
        <f aca="false">F79+F82+F87-F88</f>
        <v>0</v>
      </c>
      <c r="G94" s="21" t="n">
        <f aca="false">G79+G82+G87-G88</f>
        <v>0</v>
      </c>
      <c r="H94" s="21" t="n">
        <f aca="false">H79+H82+H87-H88</f>
        <v>0</v>
      </c>
      <c r="I94" s="21" t="n">
        <f aca="false">I79+I82+I87-I88</f>
        <v>0</v>
      </c>
      <c r="J94" s="21" t="n">
        <f aca="false">J79+J82+J87-J88</f>
        <v>0</v>
      </c>
      <c r="K94" s="21" t="n">
        <f aca="false">K79+K82+K87-K88</f>
        <v>0</v>
      </c>
      <c r="L94" s="21" t="n">
        <f aca="false">L79+L82+L87-L88</f>
        <v>0</v>
      </c>
      <c r="M94" s="21" t="n">
        <f aca="false">M79+M82+M87-M88</f>
        <v>0</v>
      </c>
    </row>
    <row r="95" customFormat="false" ht="17.15" hidden="false" customHeight="false" outlineLevel="0" collapsed="false">
      <c r="A95" s="0" t="s">
        <v>839</v>
      </c>
      <c r="B95" s="0" t="s">
        <v>126</v>
      </c>
      <c r="F95" s="16" t="n">
        <f aca="false">m_sp0</f>
        <v>-0.0594384707287933</v>
      </c>
      <c r="H95" s="16" t="n">
        <f aca="false">m_sp0+(m_spl-m_sp0)*MIN(1,(2027-2026)/conv_n)</f>
        <v>0.00542114695340502</v>
      </c>
      <c r="I95" s="16" t="n">
        <f aca="false">m_sp0+(m_spl-m_sp0)*MIN(1,(2028-2026)/conv_n)</f>
        <v>0.0702807646356033</v>
      </c>
      <c r="J95" s="16" t="n">
        <f aca="false">m_sp0+(m_spl-m_sp0)*MIN(1,(2029-2026)/conv_n)</f>
        <v>0.135140382317802</v>
      </c>
      <c r="K95" s="16" t="n">
        <f aca="false">m_sp0+(m_spl-m_sp0)*MIN(1,(2030-2026)/conv_n)</f>
        <v>0.2</v>
      </c>
      <c r="L95" s="16" t="n">
        <f aca="false">m_sp0+(m_spl-m_sp0)*MIN(1,(2031-2026)/conv_n)</f>
        <v>0.2</v>
      </c>
      <c r="M95" s="16" t="n">
        <f aca="false">m_sp0+(m_spl-m_sp0)*MIN(1,(2032-2026)/conv_n)</f>
        <v>0.2</v>
      </c>
    </row>
    <row r="96" customFormat="false" ht="17.15" hidden="false" customHeight="false" outlineLevel="0" collapsed="false">
      <c r="A96" s="0" t="s">
        <v>840</v>
      </c>
      <c r="B96" s="0" t="s">
        <v>95</v>
      </c>
      <c r="C96" s="14" t="n">
        <f aca="false">Q!I28</f>
        <v>0.653</v>
      </c>
      <c r="D96" s="14" t="n">
        <f aca="false">Q!G28</f>
        <v>0.803</v>
      </c>
      <c r="E96" s="14" t="n">
        <f aca="false">Q!H28</f>
        <v>-0.199</v>
      </c>
      <c r="F96" s="14" t="n">
        <f aca="false">F79*F95</f>
        <v>-0.0765096671932595</v>
      </c>
      <c r="G96" s="14" t="n">
        <f aca="false">E96+F96</f>
        <v>-0.27550966719326</v>
      </c>
      <c r="H96" s="14" t="n">
        <f aca="false">H79*H95</f>
        <v>0.0287381587504401</v>
      </c>
      <c r="I96" s="14" t="n">
        <f aca="false">I79*I95</f>
        <v>0.398884953477077</v>
      </c>
      <c r="J96" s="14" t="n">
        <f aca="false">J79*J95</f>
        <v>0.825255069009545</v>
      </c>
      <c r="K96" s="14" t="n">
        <f aca="false">K79*K95</f>
        <v>1.32029751510462</v>
      </c>
      <c r="L96" s="14" t="n">
        <f aca="false">L79*L95</f>
        <v>1.42728512011478</v>
      </c>
      <c r="M96" s="14" t="n">
        <f aca="false">M79*M95</f>
        <v>1.54294288353561</v>
      </c>
    </row>
    <row r="97" customFormat="false" ht="17.15" hidden="false" customHeight="false" outlineLevel="0" collapsed="false">
      <c r="A97" s="0" t="s">
        <v>841</v>
      </c>
      <c r="B97" s="0" t="s">
        <v>95</v>
      </c>
      <c r="C97" s="14" t="n">
        <f aca="false">Q!I29</f>
        <v>7.168</v>
      </c>
      <c r="D97" s="14" t="n">
        <f aca="false">Q!G29</f>
        <v>5.123</v>
      </c>
      <c r="E97" s="14" t="n">
        <f aca="false">Q!H29</f>
        <v>8.183</v>
      </c>
      <c r="F97" s="14" t="n">
        <f aca="false">F82*m_cn</f>
        <v>3.78784739537041</v>
      </c>
      <c r="G97" s="14" t="n">
        <f aca="false">E97+F97</f>
        <v>11.9708473953704</v>
      </c>
      <c r="H97" s="14" t="n">
        <f aca="false">H82*m_cn</f>
        <v>18.4433980822392</v>
      </c>
      <c r="I97" s="14" t="n">
        <f aca="false">I82*m_cn</f>
        <v>24.3453945733775</v>
      </c>
      <c r="J97" s="14" t="n">
        <f aca="false">J82*m_cn</f>
        <v>29.4463773908269</v>
      </c>
      <c r="K97" s="14" t="n">
        <f aca="false">K82*m_cn</f>
        <v>32.8643770490438</v>
      </c>
      <c r="L97" s="14" t="n">
        <f aca="false">L82*m_cn</f>
        <v>36.0812422604342</v>
      </c>
      <c r="M97" s="14" t="n">
        <f aca="false">M82*m_cn</f>
        <v>39.1506673951317</v>
      </c>
    </row>
    <row r="98" customFormat="false" ht="17.15" hidden="false" customHeight="false" outlineLevel="0" collapsed="false">
      <c r="A98" s="0" t="s">
        <v>842</v>
      </c>
      <c r="B98" s="0" t="s">
        <v>95</v>
      </c>
      <c r="F98" s="14" t="n">
        <f aca="false">F84-Thesis!F35</f>
        <v>5.63960314356129</v>
      </c>
      <c r="G98" s="14" t="n">
        <f aca="false">F98</f>
        <v>5.63960314356129</v>
      </c>
      <c r="H98" s="14" t="n">
        <f aca="false">H84-Thesis!H35</f>
        <v>33.3177909539786</v>
      </c>
      <c r="I98" s="14" t="n">
        <f aca="false">I84-Thesis!I35</f>
        <v>49.2376042236034</v>
      </c>
      <c r="J98" s="14" t="n">
        <f aca="false">J84-Thesis!J35</f>
        <v>59.3920493153841</v>
      </c>
      <c r="K98" s="14" t="n">
        <f aca="false">K84-Thesis!K35</f>
        <v>62.2375454382745</v>
      </c>
      <c r="L98" s="14" t="n">
        <f aca="false">L84-Thesis!L35</f>
        <v>69.3075510330546</v>
      </c>
      <c r="M98" s="14" t="n">
        <f aca="false">M84-Thesis!M35</f>
        <v>73.1987942936498</v>
      </c>
    </row>
    <row r="99" customFormat="false" ht="17.15" hidden="false" customHeight="false" outlineLevel="0" collapsed="false">
      <c r="A99" s="0" t="s">
        <v>843</v>
      </c>
      <c r="B99" s="0" t="s">
        <v>95</v>
      </c>
      <c r="F99" s="14" t="n">
        <f aca="false">(F85+F83)*m_so-Thesis!F36</f>
        <v>0.484624436347113</v>
      </c>
      <c r="G99" s="14" t="n">
        <f aca="false">F99</f>
        <v>0.484624436347113</v>
      </c>
      <c r="H99" s="14" t="n">
        <f aca="false">(H85+H83)*m_so-Thesis!H36</f>
        <v>1.78125849798681</v>
      </c>
      <c r="I99" s="14" t="n">
        <f aca="false">(I85+I83)*m_so-Thesis!I36</f>
        <v>1.67248125280677</v>
      </c>
      <c r="J99" s="14" t="n">
        <f aca="false">(J85+J83)*m_so-Thesis!J36</f>
        <v>1.63325243836426</v>
      </c>
      <c r="K99" s="14" t="n">
        <f aca="false">(K85+K83)*m_so-Thesis!K36</f>
        <v>1.57827009348017</v>
      </c>
      <c r="L99" s="14" t="n">
        <f aca="false">(L85+L83)*m_so-Thesis!L36</f>
        <v>1.81008116026793</v>
      </c>
      <c r="M99" s="14" t="n">
        <f aca="false">(M85+M83)*m_so-Thesis!M36</f>
        <v>2.33729074824448</v>
      </c>
    </row>
    <row r="100" customFormat="false" ht="17.15" hidden="false" customHeight="false" outlineLevel="0" collapsed="false">
      <c r="A100" s="0" t="s">
        <v>844</v>
      </c>
      <c r="B100" s="0" t="s">
        <v>95</v>
      </c>
      <c r="C100" s="14" t="n">
        <f aca="false">Q!I30</f>
        <v>-1.237</v>
      </c>
      <c r="D100" s="14" t="n">
        <f aca="false">Q!G30</f>
        <v>-0.813</v>
      </c>
      <c r="E100" s="14" t="n">
        <f aca="false">Q!H30</f>
        <v>5.49</v>
      </c>
      <c r="F100" s="14" t="n">
        <f aca="false">F98+F99</f>
        <v>6.1242275799084</v>
      </c>
      <c r="G100" s="14" t="n">
        <f aca="false">E100+F100</f>
        <v>11.6142275799084</v>
      </c>
      <c r="H100" s="14" t="n">
        <f aca="false">H98+H99</f>
        <v>35.0990494519654</v>
      </c>
      <c r="I100" s="14" t="n">
        <f aca="false">I98+I99</f>
        <v>50.9100854764102</v>
      </c>
      <c r="J100" s="14" t="n">
        <f aca="false">J98+J99</f>
        <v>61.0253017537484</v>
      </c>
      <c r="K100" s="14" t="n">
        <f aca="false">K98+K99</f>
        <v>63.8158155317546</v>
      </c>
      <c r="L100" s="14" t="n">
        <f aca="false">L98+L99</f>
        <v>71.1176321933226</v>
      </c>
      <c r="M100" s="14" t="n">
        <f aca="false">M98+M99</f>
        <v>75.5360850418942</v>
      </c>
    </row>
    <row r="101" customFormat="false" ht="17.15" hidden="false" customHeight="false" outlineLevel="0" collapsed="false">
      <c r="A101" s="4" t="s">
        <v>845</v>
      </c>
      <c r="B101" s="0" t="s">
        <v>95</v>
      </c>
      <c r="C101" s="14" t="n">
        <f aca="false">C96+C97+C100</f>
        <v>6.584</v>
      </c>
      <c r="D101" s="14" t="n">
        <f aca="false">D96+D97+D100</f>
        <v>5.113</v>
      </c>
      <c r="E101" s="14" t="n">
        <f aca="false">E96+E97+E100</f>
        <v>13.474</v>
      </c>
      <c r="F101" s="14" t="n">
        <f aca="false">F96+F97+F100</f>
        <v>9.83556530808555</v>
      </c>
      <c r="G101" s="14" t="n">
        <f aca="false">G96+G97+G100</f>
        <v>23.3095653080855</v>
      </c>
      <c r="H101" s="14" t="n">
        <f aca="false">H96+H97+H100</f>
        <v>53.571185692955</v>
      </c>
      <c r="I101" s="14" t="n">
        <f aca="false">I96+I97+I100</f>
        <v>75.6543650032648</v>
      </c>
      <c r="J101" s="14" t="n">
        <f aca="false">J96+J97+J100</f>
        <v>91.2969342135849</v>
      </c>
      <c r="K101" s="14" t="n">
        <f aca="false">K96+K97+K100</f>
        <v>98.0004900959031</v>
      </c>
      <c r="L101" s="14" t="n">
        <f aca="false">L96+L97+L100</f>
        <v>108.626159573872</v>
      </c>
      <c r="M101" s="14" t="n">
        <f aca="false">M96+M97+M100</f>
        <v>116.229695320562</v>
      </c>
    </row>
    <row r="102" customFormat="false" ht="17.15" hidden="false" customHeight="false" outlineLevel="0" collapsed="false">
      <c r="A102" s="0" t="s">
        <v>846</v>
      </c>
      <c r="B102" s="0" t="s">
        <v>95</v>
      </c>
      <c r="D102" s="14" t="n">
        <f aca="false">Q!G42</f>
        <v>0.572</v>
      </c>
      <c r="E102" s="14" t="n">
        <f aca="false">Q!H42</f>
        <v>0.509</v>
      </c>
      <c r="F102" s="14" t="n">
        <f aca="false">da_sp0*0.25*MAX(0,1-(2026.875-t_val)/rem_sp)+Seg!F77</f>
        <v>0.18958307301145</v>
      </c>
      <c r="G102" s="14" t="n">
        <f aca="false">E102+F102</f>
        <v>0.69858307301145</v>
      </c>
      <c r="H102" s="14" t="n">
        <f aca="false">da_sp0*1*MAX(0,1-(2027.5-t_val)/rem_sp)+Seg!H77</f>
        <v>0.900033878804414</v>
      </c>
      <c r="I102" s="14" t="n">
        <f aca="false">da_sp0*1*MAX(0,1-(2028.5-t_val)/rem_sp)+Seg!I77</f>
        <v>1.22563245547237</v>
      </c>
      <c r="J102" s="14" t="n">
        <f aca="false">da_sp0*1*MAX(0,1-(2029.5-t_val)/rem_sp)+Seg!J77</f>
        <v>1.46311977151845</v>
      </c>
      <c r="K102" s="14" t="n">
        <f aca="false">da_sp0*1*MAX(0,1-(2030.5-t_val)/rem_sp)+Seg!K77</f>
        <v>1.5987328732342</v>
      </c>
      <c r="L102" s="14" t="n">
        <f aca="false">da_sp0*1*MAX(0,1-(2031.5-t_val)/rem_sp)+Seg!L77</f>
        <v>1.65278953568777</v>
      </c>
      <c r="M102" s="14" t="n">
        <f aca="false">da_sp0*1*MAX(0,1-(2032.5-t_val)/rem_sp)+Seg!M77</f>
        <v>1.83421946983327</v>
      </c>
    </row>
    <row r="103" customFormat="false" ht="17.15" hidden="false" customHeight="false" outlineLevel="0" collapsed="false">
      <c r="A103" s="0" t="s">
        <v>847</v>
      </c>
      <c r="B103" s="0" t="s">
        <v>95</v>
      </c>
      <c r="D103" s="14" t="n">
        <f aca="false">Q!G44</f>
        <v>1.706</v>
      </c>
      <c r="E103" s="14" t="n">
        <f aca="false">Q!H44</f>
        <v>2.574</v>
      </c>
      <c r="F103" s="14" t="n">
        <f aca="false">da_cn0*0.25*MAX(0,1-(2026.875-t_val)/rem_cn)+Seg!F78</f>
        <v>0.965370718577082</v>
      </c>
      <c r="G103" s="14" t="n">
        <f aca="false">E103+F103</f>
        <v>3.53937071857708</v>
      </c>
      <c r="H103" s="14" t="n">
        <f aca="false">da_cn0*1*MAX(0,1-(2027.5-t_val)/rem_cn)+Seg!H78</f>
        <v>3.6836359183139</v>
      </c>
      <c r="I103" s="14" t="n">
        <f aca="false">da_cn0*1*MAX(0,1-(2028.5-t_val)/rem_cn)+Seg!I78</f>
        <v>4.08993470734219</v>
      </c>
      <c r="J103" s="14" t="n">
        <f aca="false">da_cn0*1*MAX(0,1-(2029.5-t_val)/rem_cn)+Seg!J78</f>
        <v>4.98885629392764</v>
      </c>
      <c r="K103" s="14" t="n">
        <f aca="false">da_cn0*1*MAX(0,1-(2030.5-t_val)/rem_cn)+Seg!K78</f>
        <v>7.27814395390212</v>
      </c>
      <c r="L103" s="14" t="n">
        <f aca="false">da_cn0*1*MAX(0,1-(2031.5-t_val)/rem_cn)+Seg!L78</f>
        <v>10.1870643375985</v>
      </c>
      <c r="M103" s="14" t="n">
        <f aca="false">da_cn0*1*MAX(0,1-(2032.5-t_val)/rem_cn)+Seg!M78</f>
        <v>13.2889166098156</v>
      </c>
    </row>
    <row r="104" customFormat="false" ht="17.15" hidden="false" customHeight="false" outlineLevel="0" collapsed="false">
      <c r="A104" s="0" t="s">
        <v>848</v>
      </c>
      <c r="B104" s="0" t="s">
        <v>95</v>
      </c>
      <c r="D104" s="14" t="n">
        <f aca="false">Q!G46</f>
        <v>2.506</v>
      </c>
      <c r="E104" s="14" t="n">
        <f aca="false">Q!H46</f>
        <v>5.851</v>
      </c>
      <c r="F104" s="14" t="n">
        <f aca="false">Thesis!F62+Thesis!F55</f>
        <v>2.804893894167</v>
      </c>
      <c r="G104" s="14" t="n">
        <f aca="false">E104+F104</f>
        <v>8.655893894167</v>
      </c>
      <c r="H104" s="14" t="n">
        <f aca="false">Thesis!H62+Thesis!H55</f>
        <v>17.8009887260634</v>
      </c>
      <c r="I104" s="14" t="n">
        <f aca="false">Thesis!I62+Thesis!I55</f>
        <v>28.3770510163486</v>
      </c>
      <c r="J104" s="14" t="n">
        <f aca="false">Thesis!J62+Thesis!J55</f>
        <v>38.8707600405564</v>
      </c>
      <c r="K104" s="14" t="n">
        <f aca="false">Thesis!K62+Thesis!K55</f>
        <v>46.782348084239</v>
      </c>
      <c r="L104" s="14" t="n">
        <f aca="false">Thesis!L62+Thesis!L55</f>
        <v>52.333454721949</v>
      </c>
      <c r="M104" s="14" t="n">
        <f aca="false">Thesis!M62+Thesis!M55</f>
        <v>55.0952076568545</v>
      </c>
    </row>
    <row r="105" customFormat="false" ht="15" hidden="false" customHeight="false" outlineLevel="0" collapsed="false">
      <c r="A105" s="4" t="s">
        <v>849</v>
      </c>
      <c r="B105" s="0" t="s">
        <v>95</v>
      </c>
      <c r="D105" s="14" t="n">
        <f aca="false">D102+D103+D104</f>
        <v>4.784</v>
      </c>
      <c r="E105" s="14" t="n">
        <f aca="false">E102+E103+E104</f>
        <v>8.934</v>
      </c>
      <c r="F105" s="14" t="n">
        <f aca="false">F102+F103+F104</f>
        <v>3.95984768575553</v>
      </c>
      <c r="G105" s="14" t="n">
        <f aca="false">G102+G103+G104</f>
        <v>12.8938476857555</v>
      </c>
      <c r="H105" s="14" t="n">
        <f aca="false">H102+H103+H104</f>
        <v>22.3846585231817</v>
      </c>
      <c r="I105" s="14" t="n">
        <f aca="false">I102+I103+I104</f>
        <v>33.6926181791632</v>
      </c>
      <c r="J105" s="14" t="n">
        <f aca="false">J102+J103+J104</f>
        <v>45.3227361060025</v>
      </c>
      <c r="K105" s="14" t="n">
        <f aca="false">K102+K103+K104</f>
        <v>55.6592249113753</v>
      </c>
      <c r="L105" s="14" t="n">
        <f aca="false">L102+L103+L104</f>
        <v>64.1733085952353</v>
      </c>
      <c r="M105" s="14" t="n">
        <f aca="false">M102+M103+M104</f>
        <v>70.2183437365034</v>
      </c>
    </row>
    <row r="106" customFormat="false" ht="17.15" hidden="false" customHeight="false" outlineLevel="0" collapsed="false">
      <c r="A106" s="4" t="s">
        <v>850</v>
      </c>
      <c r="B106" s="0" t="s">
        <v>95</v>
      </c>
      <c r="F106" s="14" t="n">
        <f aca="false">Thesis!F55</f>
        <v>0.331893894166996</v>
      </c>
      <c r="G106" s="14" t="n">
        <f aca="false">F106</f>
        <v>0.331893894166996</v>
      </c>
      <c r="H106" s="14" t="n">
        <f aca="false">Thesis!H55</f>
        <v>7.90898872606337</v>
      </c>
      <c r="I106" s="14" t="n">
        <f aca="false">Thesis!I55</f>
        <v>18.4850510163486</v>
      </c>
      <c r="J106" s="14" t="n">
        <f aca="false">Thesis!J55</f>
        <v>28.9787600405564</v>
      </c>
      <c r="K106" s="14" t="n">
        <f aca="false">Thesis!K55</f>
        <v>37.234476846739</v>
      </c>
      <c r="L106" s="14" t="n">
        <f aca="false">Thesis!L55</f>
        <v>44.620936884449</v>
      </c>
      <c r="M106" s="14" t="n">
        <f aca="false">Thesis!M55</f>
        <v>51.8718673417046</v>
      </c>
    </row>
    <row r="107" customFormat="false" ht="17.15" hidden="false" customHeight="false" outlineLevel="0" collapsed="false">
      <c r="A107" s="0" t="s">
        <v>851</v>
      </c>
      <c r="B107" s="0" t="s">
        <v>95</v>
      </c>
      <c r="D107" s="14" t="n">
        <f aca="false">Q!G43</f>
        <v>0.383</v>
      </c>
      <c r="E107" s="14" t="n">
        <f aca="false">Q!H43</f>
        <v>0.503</v>
      </c>
      <c r="F107" s="14" t="n">
        <f aca="false">F79*sbcr_space</f>
        <v>0.130396269609459</v>
      </c>
      <c r="G107" s="14" t="n">
        <f aca="false">E107+F107</f>
        <v>0.633396269609459</v>
      </c>
      <c r="H107" s="14" t="n">
        <f aca="false">H79*sbcr_space</f>
        <v>0.537012309664596</v>
      </c>
      <c r="I107" s="14" t="n">
        <f aca="false">I79*sbcr_space</f>
        <v>0.574946795849931</v>
      </c>
      <c r="J107" s="14" t="n">
        <f aca="false">J79*sbcr_space</f>
        <v>0.618613707207835</v>
      </c>
      <c r="K107" s="14" t="n">
        <f aca="false">K79*sbcr_space</f>
        <v>0.668741525760404</v>
      </c>
      <c r="L107" s="14" t="n">
        <f aca="false">L79*sbcr_space</f>
        <v>0.722931625638218</v>
      </c>
      <c r="M107" s="14" t="n">
        <f aca="false">M79*sbcr_space</f>
        <v>0.781513231898341</v>
      </c>
    </row>
    <row r="108" customFormat="false" ht="17.15" hidden="false" customHeight="false" outlineLevel="0" collapsed="false">
      <c r="A108" s="0" t="s">
        <v>852</v>
      </c>
      <c r="B108" s="0" t="s">
        <v>95</v>
      </c>
      <c r="D108" s="14" t="n">
        <f aca="false">Q!G45</f>
        <v>0.27</v>
      </c>
      <c r="E108" s="14" t="n">
        <f aca="false">Q!H45</f>
        <v>0.398</v>
      </c>
      <c r="F108" s="14" t="n">
        <f aca="false">F82*sbcr_conn</f>
        <v>0.164783295286977</v>
      </c>
      <c r="G108" s="14" t="n">
        <f aca="false">E108+F108</f>
        <v>0.562783295286977</v>
      </c>
      <c r="H108" s="14" t="n">
        <f aca="false">H82*sbcr_conn</f>
        <v>0.802345922382041</v>
      </c>
      <c r="I108" s="14" t="n">
        <f aca="false">I82*sbcr_conn</f>
        <v>1.05910136394778</v>
      </c>
      <c r="J108" s="14" t="n">
        <f aca="false">J82*sbcr_conn</f>
        <v>1.28101018711972</v>
      </c>
      <c r="K108" s="14" t="n">
        <f aca="false">K82*sbcr_conn</f>
        <v>1.42970394063765</v>
      </c>
      <c r="L108" s="14" t="n">
        <f aca="false">L82*sbcr_conn</f>
        <v>1.56964771204587</v>
      </c>
      <c r="M108" s="14" t="n">
        <f aca="false">M82*sbcr_conn</f>
        <v>1.70317737560896</v>
      </c>
    </row>
    <row r="109" customFormat="false" ht="17.15" hidden="false" customHeight="false" outlineLevel="0" collapsed="false">
      <c r="A109" s="0" t="s">
        <v>853</v>
      </c>
      <c r="B109" s="0" t="s">
        <v>95</v>
      </c>
      <c r="D109" s="14" t="n">
        <f aca="false">Q!G47</f>
        <v>0.391</v>
      </c>
      <c r="E109" s="14" t="n">
        <f aca="false">Q!H47</f>
        <v>1.715</v>
      </c>
      <c r="F109" s="14" t="n">
        <f aca="false">F87*sbcr_si</f>
        <v>1.01260870338067</v>
      </c>
      <c r="G109" s="14" t="n">
        <f aca="false">E109+F109</f>
        <v>2.72760870338067</v>
      </c>
      <c r="H109" s="14" t="n">
        <f aca="false">H87*sbcr_si</f>
        <v>5.64994150333946</v>
      </c>
      <c r="I109" s="14" t="n">
        <f aca="false">I87*sbcr_si</f>
        <v>8.1765832384369</v>
      </c>
      <c r="J109" s="14" t="n">
        <f aca="false">J87*sbcr_si</f>
        <v>10.034408954297</v>
      </c>
      <c r="K109" s="14" t="n">
        <f aca="false">K87*sbcr_si</f>
        <v>10.895376288363</v>
      </c>
      <c r="L109" s="14" t="n">
        <f aca="false">L87*sbcr_si</f>
        <v>12.2145612704382</v>
      </c>
      <c r="M109" s="14" t="n">
        <f aca="false">M87*sbcr_si</f>
        <v>13.1974823991313</v>
      </c>
    </row>
    <row r="110" customFormat="false" ht="17.15" hidden="false" customHeight="false" outlineLevel="0" collapsed="false">
      <c r="A110" s="0" t="s">
        <v>854</v>
      </c>
      <c r="B110" s="0" t="s">
        <v>95</v>
      </c>
      <c r="D110" s="6" t="n">
        <v>0</v>
      </c>
      <c r="E110" s="14" t="n">
        <f aca="false">Q!H48+Q!H49+Q!H50+Q!H51</f>
        <v>1.219</v>
      </c>
      <c r="F110" s="14" t="n">
        <f aca="false">sbc_cur_left/sbc_cur_yrs*0.25</f>
        <v>2.09047169811321</v>
      </c>
      <c r="G110" s="14" t="n">
        <f aca="false">E110+F110</f>
        <v>3.30947169811321</v>
      </c>
      <c r="H110" s="14" t="n">
        <f aca="false">sbc_cur_left/sbc_cur_yrs</f>
        <v>8.36188679245283</v>
      </c>
      <c r="I110" s="14" t="n">
        <f aca="false">sbc_cur_left/sbc_cur_yrs</f>
        <v>8.36188679245283</v>
      </c>
      <c r="J110" s="14" t="n">
        <f aca="false">MAX(0,sbc_cur_left-2.25*sbc_cur_left/sbc_cur_yrs)</f>
        <v>3.34475471698113</v>
      </c>
      <c r="K110" s="6" t="n">
        <v>0</v>
      </c>
      <c r="L110" s="6" t="n">
        <v>0</v>
      </c>
      <c r="M110" s="6" t="n">
        <v>0</v>
      </c>
      <c r="N110" s="4" t="s">
        <v>855</v>
      </c>
    </row>
    <row r="111" customFormat="false" ht="15" hidden="false" customHeight="false" outlineLevel="0" collapsed="false">
      <c r="A111" s="4" t="s">
        <v>856</v>
      </c>
      <c r="B111" s="0" t="s">
        <v>95</v>
      </c>
      <c r="D111" s="14" t="n">
        <f aca="false">D107+D108+D109+D110</f>
        <v>1.044</v>
      </c>
      <c r="E111" s="14" t="n">
        <f aca="false">E107+E108+E109+E110</f>
        <v>3.835</v>
      </c>
      <c r="F111" s="14" t="n">
        <f aca="false">F107+F108+F109+F110</f>
        <v>3.39825996639031</v>
      </c>
      <c r="G111" s="14" t="n">
        <f aca="false">G107+G108+G109+G110</f>
        <v>7.23325996639031</v>
      </c>
      <c r="H111" s="14" t="n">
        <f aca="false">H107+H108+H109+H110</f>
        <v>15.3511865278389</v>
      </c>
      <c r="I111" s="14" t="n">
        <f aca="false">I107+I108+I109+I110</f>
        <v>18.1725181906874</v>
      </c>
      <c r="J111" s="14" t="n">
        <f aca="false">J107+J108+J109+J110</f>
        <v>15.2787875656056</v>
      </c>
      <c r="K111" s="14" t="n">
        <f aca="false">K107+K108+K109+K110</f>
        <v>12.993821754761</v>
      </c>
      <c r="L111" s="14" t="n">
        <f aca="false">L107+L108+L109+L110</f>
        <v>14.5071406081222</v>
      </c>
      <c r="M111" s="14" t="n">
        <f aca="false">M107+M108+M109+M110</f>
        <v>15.6821730066386</v>
      </c>
    </row>
    <row r="112" customFormat="false" ht="17.15" hidden="false" customHeight="false" outlineLevel="0" collapsed="false">
      <c r="A112" s="5" t="s">
        <v>857</v>
      </c>
      <c r="B112" s="7" t="s">
        <v>95</v>
      </c>
      <c r="C112" s="14" t="n">
        <f aca="false">Q!I21</f>
        <v>-0.657</v>
      </c>
      <c r="D112" s="14" t="n">
        <f aca="false">Q!G21</f>
        <v>-0.181</v>
      </c>
      <c r="E112" s="14" t="n">
        <f aca="false">Q!H21</f>
        <v>-1.211</v>
      </c>
      <c r="F112" s="14" t="n">
        <f aca="false">F96-F102-F107</f>
        <v>-0.396489009814169</v>
      </c>
      <c r="G112" s="14" t="n">
        <f aca="false">E112+F112</f>
        <v>-1.60748900981417</v>
      </c>
      <c r="H112" s="14" t="n">
        <f aca="false">H96-H102-H107</f>
        <v>-1.40830802971857</v>
      </c>
      <c r="I112" s="14" t="n">
        <f aca="false">I96-I102-I107</f>
        <v>-1.40169429784523</v>
      </c>
      <c r="J112" s="14" t="n">
        <f aca="false">J96-J102-J107</f>
        <v>-1.25647840971673</v>
      </c>
      <c r="K112" s="14" t="n">
        <f aca="false">K96-K102-K107</f>
        <v>-0.947176883889986</v>
      </c>
      <c r="L112" s="14" t="n">
        <f aca="false">L96-L102-L107</f>
        <v>-0.948436041211209</v>
      </c>
      <c r="M112" s="14" t="n">
        <f aca="false">M96-M102-M107</f>
        <v>-1.07278981819601</v>
      </c>
    </row>
    <row r="113" customFormat="false" ht="17.15" hidden="false" customHeight="false" outlineLevel="0" collapsed="false">
      <c r="A113" s="5" t="s">
        <v>858</v>
      </c>
      <c r="B113" s="7" t="s">
        <v>95</v>
      </c>
      <c r="C113" s="14" t="n">
        <f aca="false">Q!I22</f>
        <v>4.423</v>
      </c>
      <c r="D113" s="14" t="n">
        <f aca="false">Q!G22</f>
        <v>3.147</v>
      </c>
      <c r="E113" s="14" t="n">
        <f aca="false">Q!H22</f>
        <v>5.211</v>
      </c>
      <c r="F113" s="14" t="n">
        <f aca="false">F97-F103-F108</f>
        <v>2.65769338150635</v>
      </c>
      <c r="G113" s="14" t="n">
        <f aca="false">E113+F113</f>
        <v>7.86869338150635</v>
      </c>
      <c r="H113" s="14" t="n">
        <f aca="false">H97-H103-H108</f>
        <v>13.9574162415432</v>
      </c>
      <c r="I113" s="14" t="n">
        <f aca="false">I97-I103-I108</f>
        <v>19.1963585020876</v>
      </c>
      <c r="J113" s="14" t="n">
        <f aca="false">J97-J103-J108</f>
        <v>23.1765109097796</v>
      </c>
      <c r="K113" s="14" t="n">
        <f aca="false">K97-K103-K108</f>
        <v>24.1565291545041</v>
      </c>
      <c r="L113" s="14" t="n">
        <f aca="false">L97-L103-L108</f>
        <v>24.3245302107899</v>
      </c>
      <c r="M113" s="14" t="n">
        <f aca="false">M97-M103-M108</f>
        <v>24.1585734097071</v>
      </c>
    </row>
    <row r="114" customFormat="false" ht="17.15" hidden="false" customHeight="false" outlineLevel="0" collapsed="false">
      <c r="A114" s="5" t="s">
        <v>859</v>
      </c>
      <c r="B114" s="7" t="s">
        <v>95</v>
      </c>
      <c r="C114" s="14" t="n">
        <f aca="false">Q!I23</f>
        <v>-6.355</v>
      </c>
      <c r="D114" s="14" t="n">
        <f aca="false">Q!G23</f>
        <v>-4.182</v>
      </c>
      <c r="E114" s="14" t="n">
        <f aca="false">Q!H23</f>
        <v>-3.295</v>
      </c>
      <c r="F114" s="14" t="n">
        <f aca="false">F100-F104-F109-F110</f>
        <v>0.216253284247524</v>
      </c>
      <c r="G114" s="14" t="n">
        <f aca="false">E114+F114</f>
        <v>-3.07874671575248</v>
      </c>
      <c r="H114" s="14" t="n">
        <f aca="false">H100-H104-H109-H110</f>
        <v>3.28623243010975</v>
      </c>
      <c r="I114" s="14" t="n">
        <f aca="false">I100-I104-I109-I110</f>
        <v>5.9945644291719</v>
      </c>
      <c r="J114" s="14" t="n">
        <f aca="false">J100-J104-J109-J110</f>
        <v>8.77537804191387</v>
      </c>
      <c r="K114" s="14" t="n">
        <f aca="false">K100-K104-K109-K110</f>
        <v>6.13809115915269</v>
      </c>
      <c r="L114" s="14" t="n">
        <f aca="false">L100-L104-L109-L110</f>
        <v>6.56961620093536</v>
      </c>
      <c r="M114" s="14" t="n">
        <f aca="false">M100-M104-M109-M110</f>
        <v>7.24339498590842</v>
      </c>
    </row>
    <row r="115" customFormat="false" ht="15" hidden="false" customHeight="false" outlineLevel="0" collapsed="false">
      <c r="A115" s="4" t="s">
        <v>860</v>
      </c>
      <c r="B115" s="0" t="s">
        <v>95</v>
      </c>
      <c r="C115" s="14" t="n">
        <f aca="false">C112+C113+C114</f>
        <v>-2.589</v>
      </c>
      <c r="D115" s="14" t="n">
        <f aca="false">D112+D113+D114</f>
        <v>-1.216</v>
      </c>
      <c r="E115" s="14" t="n">
        <f aca="false">E112+E113+E114</f>
        <v>0.705</v>
      </c>
      <c r="F115" s="14" t="n">
        <f aca="false">F112+F113+F114</f>
        <v>2.47745765593971</v>
      </c>
      <c r="G115" s="14" t="n">
        <f aca="false">G112+G113+G114</f>
        <v>3.18245765593971</v>
      </c>
      <c r="H115" s="14" t="n">
        <f aca="false">H112+H113+H114</f>
        <v>15.8353406419344</v>
      </c>
      <c r="I115" s="14" t="n">
        <f aca="false">I112+I113+I114</f>
        <v>23.7892286334143</v>
      </c>
      <c r="J115" s="14" t="n">
        <f aca="false">J112+J113+J114</f>
        <v>30.6954105419767</v>
      </c>
      <c r="K115" s="14" t="n">
        <f aca="false">K112+K113+K114</f>
        <v>29.3474434297668</v>
      </c>
      <c r="L115" s="14" t="n">
        <f aca="false">L112+L113+L114</f>
        <v>29.945710370514</v>
      </c>
      <c r="M115" s="14" t="n">
        <f aca="false">M112+M113+M114</f>
        <v>30.3291785774195</v>
      </c>
    </row>
    <row r="116" customFormat="false" ht="17.15" hidden="false" customHeight="false" outlineLevel="0" collapsed="false">
      <c r="A116" s="28" t="s">
        <v>861</v>
      </c>
      <c r="B116" s="30" t="s">
        <v>95</v>
      </c>
      <c r="C116" s="31" t="n">
        <f aca="false">Q!I24</f>
        <v>-2.589</v>
      </c>
      <c r="D116" s="31" t="n">
        <f aca="false">Q!G24</f>
        <v>-1.216</v>
      </c>
      <c r="E116" s="31" t="n">
        <f aca="false">Q!H24</f>
        <v>0.705</v>
      </c>
      <c r="F116" s="31" t="n">
        <f aca="false">F101-F105-F111</f>
        <v>2.47745765593971</v>
      </c>
      <c r="G116" s="31" t="n">
        <f aca="false">E116+F116</f>
        <v>3.18245765593971</v>
      </c>
      <c r="H116" s="31" t="n">
        <f aca="false">H101-H105-H111</f>
        <v>15.8353406419344</v>
      </c>
      <c r="I116" s="31" t="n">
        <f aca="false">I101-I105-I111</f>
        <v>23.7892286334142</v>
      </c>
      <c r="J116" s="31" t="n">
        <f aca="false">J101-J105-J111</f>
        <v>30.6954105419767</v>
      </c>
      <c r="K116" s="31" t="n">
        <f aca="false">K101-K105-K111</f>
        <v>29.3474434297668</v>
      </c>
      <c r="L116" s="31" t="n">
        <f aca="false">L101-L105-L111</f>
        <v>29.945710370514</v>
      </c>
      <c r="M116" s="31" t="n">
        <f aca="false">M101-M105-M111</f>
        <v>30.3291785774195</v>
      </c>
      <c r="N116" s="32" t="s">
        <v>862</v>
      </c>
    </row>
    <row r="117" customFormat="false" ht="15" hidden="false" customHeight="false" outlineLevel="0" collapsed="false">
      <c r="A117" s="4" t="s">
        <v>837</v>
      </c>
      <c r="B117" s="0" t="s">
        <v>95</v>
      </c>
      <c r="C117" s="21" t="n">
        <f aca="false">C115-C116</f>
        <v>0</v>
      </c>
      <c r="D117" s="21" t="n">
        <f aca="false">D115-D116</f>
        <v>0</v>
      </c>
      <c r="E117" s="21" t="n">
        <f aca="false">E115-E116</f>
        <v>0</v>
      </c>
      <c r="F117" s="21" t="n">
        <f aca="false">F115-F116</f>
        <v>0</v>
      </c>
      <c r="G117" s="21" t="n">
        <f aca="false">G115-G116</f>
        <v>0</v>
      </c>
      <c r="H117" s="21" t="n">
        <f aca="false">H115-H116</f>
        <v>0</v>
      </c>
      <c r="I117" s="21" t="n">
        <f aca="false">I115-I116</f>
        <v>0</v>
      </c>
      <c r="J117" s="21" t="n">
        <f aca="false">J115-J116</f>
        <v>0</v>
      </c>
      <c r="K117" s="21" t="n">
        <f aca="false">K115-K116</f>
        <v>0</v>
      </c>
      <c r="L117" s="21" t="n">
        <f aca="false">L115-L116</f>
        <v>0</v>
      </c>
      <c r="M117" s="21" t="n">
        <f aca="false">M115-M116</f>
        <v>0</v>
      </c>
    </row>
    <row r="118" customFormat="false" ht="17.15" hidden="false" customHeight="false" outlineLevel="0" collapsed="false">
      <c r="A118" s="4" t="s">
        <v>863</v>
      </c>
      <c r="B118" s="0" t="s">
        <v>95</v>
      </c>
      <c r="F118" s="14" t="n">
        <f aca="false">Thesis!F65</f>
        <v>0.15498462747226</v>
      </c>
      <c r="G118" s="14" t="n">
        <f aca="false">F118</f>
        <v>0.15498462747226</v>
      </c>
      <c r="H118" s="14" t="n">
        <f aca="false">Thesis!H65</f>
        <v>3.87213951458636</v>
      </c>
      <c r="I118" s="14" t="n">
        <f aca="false">Thesis!I65</f>
        <v>9.28917295945503</v>
      </c>
      <c r="J118" s="14" t="n">
        <f aca="false">Thesis!J65</f>
        <v>14.2313375975862</v>
      </c>
      <c r="K118" s="14" t="n">
        <f aca="false">Thesis!K65</f>
        <v>17.9511086170591</v>
      </c>
      <c r="L118" s="14" t="n">
        <f aca="false">Thesis!L65</f>
        <v>20.4998199604909</v>
      </c>
      <c r="M118" s="14" t="n">
        <f aca="false">Thesis!M65</f>
        <v>21.9025990255673</v>
      </c>
    </row>
    <row r="119" customFormat="false" ht="17.15" hidden="false" customHeight="false" outlineLevel="0" collapsed="false">
      <c r="A119" s="2" t="s">
        <v>864</v>
      </c>
      <c r="B119" s="7" t="s">
        <v>95</v>
      </c>
      <c r="C119" s="14" t="n">
        <f aca="false">C116</f>
        <v>-2.589</v>
      </c>
      <c r="D119" s="14" t="n">
        <f aca="false">D116</f>
        <v>-1.216</v>
      </c>
      <c r="E119" s="14" t="n">
        <f aca="false">E116</f>
        <v>0.705</v>
      </c>
      <c r="F119" s="14" t="n">
        <f aca="false">F116+(internal_ai_reading=2)*F118</f>
        <v>2.63244228341197</v>
      </c>
      <c r="G119" s="14" t="n">
        <f aca="false">G116+(internal_ai_reading=2)*G118</f>
        <v>3.33744228341197</v>
      </c>
      <c r="H119" s="14" t="n">
        <f aca="false">H116+(internal_ai_reading=2)*H118</f>
        <v>19.7074801565208</v>
      </c>
      <c r="I119" s="14" t="n">
        <f aca="false">I116+(internal_ai_reading=2)*I118</f>
        <v>33.0784015928693</v>
      </c>
      <c r="J119" s="14" t="n">
        <f aca="false">J116+(internal_ai_reading=2)*J118</f>
        <v>44.9267481395629</v>
      </c>
      <c r="K119" s="14" t="n">
        <f aca="false">K116+(internal_ai_reading=2)*K118</f>
        <v>47.2985520468259</v>
      </c>
      <c r="L119" s="14" t="n">
        <f aca="false">L116+(internal_ai_reading=2)*L118</f>
        <v>50.4455303310049</v>
      </c>
      <c r="M119" s="14" t="n">
        <f aca="false">M116+(internal_ai_reading=2)*M118</f>
        <v>52.2317776029868</v>
      </c>
    </row>
    <row r="120" customFormat="false" ht="15" hidden="false" customHeight="false" outlineLevel="0" collapsed="false">
      <c r="A120" s="4" t="s">
        <v>865</v>
      </c>
      <c r="B120" s="0" t="s">
        <v>126</v>
      </c>
      <c r="C120" s="16" t="n">
        <f aca="false">C116/C88</f>
        <v>-0.138641962086323</v>
      </c>
      <c r="D120" s="16" t="n">
        <f aca="false">D116/D88</f>
        <v>-0.0886685139273735</v>
      </c>
      <c r="E120" s="16" t="n">
        <f aca="false">E116/E88</f>
        <v>0.0260310896134106</v>
      </c>
      <c r="F120" s="16" t="n">
        <f aca="false">F116/F88</f>
        <v>0.149833260491946</v>
      </c>
      <c r="G120" s="16" t="n">
        <f aca="false">G116/G88</f>
        <v>0.0729624202990141</v>
      </c>
      <c r="H120" s="16" t="n">
        <f aca="false">H116/H88</f>
        <v>0.18377315022722</v>
      </c>
      <c r="I120" s="16" t="n">
        <f aca="false">I116/I88</f>
        <v>0.199846512039561</v>
      </c>
      <c r="J120" s="16" t="n">
        <f aca="false">J116/J88</f>
        <v>0.212347838806617</v>
      </c>
      <c r="K120" s="16" t="n">
        <f aca="false">K116/K88</f>
        <v>0.185367658014493</v>
      </c>
      <c r="L120" s="16" t="n">
        <f aca="false">L116/L88</f>
        <v>0.170114313830562</v>
      </c>
      <c r="M120" s="16" t="n">
        <f aca="false">M116/M88</f>
        <v>0.159240115746905</v>
      </c>
    </row>
    <row r="121" customFormat="false" ht="17.15" hidden="false" customHeight="false" outlineLevel="0" collapsed="false">
      <c r="A121" s="0" t="s">
        <v>866</v>
      </c>
      <c r="B121" s="0" t="s">
        <v>126</v>
      </c>
      <c r="C121" s="16" t="n">
        <f aca="false">C114/C87</f>
        <v>-1.98531708840987</v>
      </c>
      <c r="D121" s="16" t="n">
        <f aca="false">D114/D87</f>
        <v>-1.83582089552239</v>
      </c>
      <c r="E121" s="16" t="n">
        <f aca="false">E114/E87</f>
        <v>-0.301215833257153</v>
      </c>
      <c r="F121" s="16" t="n">
        <f aca="false">F114/F87</f>
        <v>0.0231922251033073</v>
      </c>
      <c r="G121" s="16" t="n">
        <f aca="false">G114/G87</f>
        <v>-0.15193643109589</v>
      </c>
      <c r="H121" s="16" t="n">
        <f aca="false">H114/H87</f>
        <v>0.0631648817442999</v>
      </c>
      <c r="I121" s="16" t="n">
        <f aca="false">I114/I87</f>
        <v>0.07961724244902</v>
      </c>
      <c r="J121" s="16" t="n">
        <f aca="false">J114/J87</f>
        <v>0.094971959730134</v>
      </c>
      <c r="K121" s="16" t="n">
        <f aca="false">K114/K87</f>
        <v>0.0611804210862199</v>
      </c>
      <c r="L121" s="16" t="n">
        <f aca="false">L114/L87</f>
        <v>0.0584094999137334</v>
      </c>
      <c r="M121" s="16" t="n">
        <f aca="false">M114/M87</f>
        <v>0.0596035926962063</v>
      </c>
    </row>
    <row r="122" customFormat="false" ht="17.15" hidden="false" customHeight="false" outlineLevel="0" collapsed="false">
      <c r="A122" s="4" t="s">
        <v>867</v>
      </c>
      <c r="B122" s="0" t="s">
        <v>126</v>
      </c>
      <c r="C122" s="16" t="n">
        <f aca="false">C101/C88</f>
        <v>0.352575773803149</v>
      </c>
      <c r="D122" s="16" t="n">
        <f aca="false">D101/D88</f>
        <v>0.372830683972583</v>
      </c>
      <c r="E122" s="16" t="n">
        <f aca="false">E101/E88</f>
        <v>0.497507661632759</v>
      </c>
      <c r="F122" s="16" t="n">
        <f aca="false">F101/F88</f>
        <v>0.594841576952384</v>
      </c>
      <c r="G122" s="16" t="n">
        <f aca="false">G101/G88</f>
        <v>0.534405319681676</v>
      </c>
      <c r="H122" s="16" t="n">
        <f aca="false">H101/H88</f>
        <v>0.621707216713153</v>
      </c>
      <c r="I122" s="16" t="n">
        <f aca="false">I101/I88</f>
        <v>0.635550702355851</v>
      </c>
      <c r="J122" s="16" t="n">
        <f aca="false">J101/J88</f>
        <v>0.63158323435397</v>
      </c>
      <c r="K122" s="16" t="n">
        <f aca="false">K101/K88</f>
        <v>0.619001834923869</v>
      </c>
      <c r="L122" s="16" t="n">
        <f aca="false">L101/L88</f>
        <v>0.617078852741241</v>
      </c>
      <c r="M122" s="16" t="n">
        <f aca="false">M101/M88</f>
        <v>0.610251612612201</v>
      </c>
    </row>
    <row r="123" customFormat="false" ht="17.15" hidden="false" customHeight="false" outlineLevel="0" collapsed="false">
      <c r="A123" s="4" t="s">
        <v>868</v>
      </c>
      <c r="B123" s="0" t="s">
        <v>95</v>
      </c>
      <c r="F123" s="27" t="n">
        <f aca="false">r_cash*CF!F65*0.25</f>
        <v>0.826666</v>
      </c>
      <c r="G123" s="27" t="n">
        <f aca="false">F123</f>
        <v>0.826666</v>
      </c>
      <c r="H123" s="27" t="n">
        <f aca="false">r_cash*CF!H65*1</f>
        <v>2.91623292013578</v>
      </c>
      <c r="I123" s="27" t="n">
        <f aca="false">r_cash*CF!I65*1</f>
        <v>1.3650196720361</v>
      </c>
      <c r="J123" s="27" t="n">
        <f aca="false">r_cash*CF!J65*1</f>
        <v>1.104</v>
      </c>
      <c r="K123" s="27" t="n">
        <f aca="false">r_cash*CF!K65*1</f>
        <v>1.37306027103071</v>
      </c>
      <c r="L123" s="27" t="n">
        <f aca="false">r_cash*CF!L65*1</f>
        <v>2.24056284305981</v>
      </c>
      <c r="M123" s="27" t="n">
        <f aca="false">r_cash*CF!M65*1</f>
        <v>3.33037226350921</v>
      </c>
    </row>
    <row r="124" customFormat="false" ht="17.15" hidden="false" customHeight="false" outlineLevel="0" collapsed="false">
      <c r="A124" s="4" t="s">
        <v>869</v>
      </c>
      <c r="B124" s="0" t="s">
        <v>95</v>
      </c>
      <c r="F124" s="27" t="n">
        <f aca="false">r_debt*CF!F71*0.25</f>
        <v>0.6746065</v>
      </c>
      <c r="G124" s="27" t="n">
        <f aca="false">F124</f>
        <v>0.6746065</v>
      </c>
      <c r="H124" s="27" t="n">
        <f aca="false">r_debt*CF!H71*1</f>
        <v>2.7758276653</v>
      </c>
      <c r="I124" s="27" t="n">
        <f aca="false">r_debt*CF!I71*1</f>
        <v>3.08142976777101</v>
      </c>
      <c r="J124" s="27" t="n">
        <f aca="false">r_debt*CF!J71*1</f>
        <v>4.31147179977836</v>
      </c>
      <c r="K124" s="27" t="n">
        <f aca="false">r_debt*CF!K71*1</f>
        <v>4.46002377653871</v>
      </c>
      <c r="L124" s="27" t="n">
        <f aca="false">r_debt*CF!L71*1</f>
        <v>4.52391620810664</v>
      </c>
      <c r="M124" s="27" t="n">
        <f aca="false">r_debt*CF!M71*1</f>
        <v>4.50281229649859</v>
      </c>
    </row>
    <row r="125" customFormat="false" ht="17.15" hidden="false" customHeight="false" outlineLevel="0" collapsed="false">
      <c r="A125" s="4" t="s">
        <v>870</v>
      </c>
      <c r="B125" s="0" t="s">
        <v>95</v>
      </c>
      <c r="D125" s="14" t="n">
        <f aca="false">Q!G69</f>
        <v>0.342</v>
      </c>
      <c r="E125" s="14" t="n">
        <f aca="false">Q!H69</f>
        <v>-0.937</v>
      </c>
      <c r="F125" s="6" t="n">
        <v>0</v>
      </c>
      <c r="G125" s="14" t="n">
        <f aca="false">E125+F125</f>
        <v>-0.937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7" t="s">
        <v>871</v>
      </c>
    </row>
    <row r="126" customFormat="false" ht="15" hidden="false" customHeight="false" outlineLevel="0" collapsed="false">
      <c r="A126" s="4" t="s">
        <v>657</v>
      </c>
      <c r="B126" s="0" t="s">
        <v>95</v>
      </c>
      <c r="D126" s="14" t="n">
        <f aca="false">D116+Q!G67+Q!G68+D125</f>
        <v>-1.876</v>
      </c>
      <c r="E126" s="14" t="n">
        <f aca="false">E116+Q!H67+Q!H68+E125</f>
        <v>-0.774</v>
      </c>
      <c r="F126" s="14" t="n">
        <f aca="false">F116+F123-F124+F125</f>
        <v>2.62951715593971</v>
      </c>
      <c r="G126" s="14" t="n">
        <f aca="false">E126+F126</f>
        <v>1.85551715593971</v>
      </c>
      <c r="H126" s="14" t="n">
        <f aca="false">H116+H123-H124+H125</f>
        <v>15.9757458967702</v>
      </c>
      <c r="I126" s="14" t="n">
        <f aca="false">I116+I123-I124+I125</f>
        <v>22.0728185376793</v>
      </c>
      <c r="J126" s="14" t="n">
        <f aca="false">J116+J123-J124+J125</f>
        <v>27.4879387421984</v>
      </c>
      <c r="K126" s="14" t="n">
        <f aca="false">K116+K123-K124+K125</f>
        <v>26.2604799242588</v>
      </c>
      <c r="L126" s="14" t="n">
        <f aca="false">L116+L123-L124+L125</f>
        <v>27.6623570054672</v>
      </c>
      <c r="M126" s="14" t="n">
        <f aca="false">M116+M123-M124+M125</f>
        <v>29.1567385444301</v>
      </c>
    </row>
    <row r="127" customFormat="false" ht="15" hidden="false" customHeight="false" outlineLevel="0" collapsed="false">
      <c r="A127" s="4" t="s">
        <v>872</v>
      </c>
      <c r="B127" s="0" t="s">
        <v>95</v>
      </c>
      <c r="D127" s="14" t="n">
        <f aca="false">Q!G72</f>
        <v>0.714</v>
      </c>
      <c r="E127" s="14" t="n">
        <f aca="false">Q!H72</f>
        <v>-0.361</v>
      </c>
      <c r="F127" s="14" t="n">
        <f aca="false">F126*tax</f>
        <v>0.315542058712765</v>
      </c>
      <c r="G127" s="14" t="n">
        <f aca="false">E127+F127</f>
        <v>-0.0454579412872352</v>
      </c>
      <c r="H127" s="14" t="n">
        <f aca="false">H126*tax</f>
        <v>1.91708950761242</v>
      </c>
      <c r="I127" s="14" t="n">
        <f aca="false">I126*tax</f>
        <v>2.64873822452152</v>
      </c>
      <c r="J127" s="14" t="n">
        <f aca="false">J126*tax</f>
        <v>3.2985526490638</v>
      </c>
      <c r="K127" s="14" t="n">
        <f aca="false">K126*tax</f>
        <v>3.15125759091105</v>
      </c>
      <c r="L127" s="14" t="n">
        <f aca="false">L126*tax</f>
        <v>3.31948284065606</v>
      </c>
      <c r="M127" s="14" t="n">
        <f aca="false">M126*tax</f>
        <v>3.49880862533162</v>
      </c>
    </row>
    <row r="128" customFormat="false" ht="15" hidden="false" customHeight="false" outlineLevel="0" collapsed="false">
      <c r="A128" s="2" t="s">
        <v>873</v>
      </c>
      <c r="B128" s="7" t="s">
        <v>95</v>
      </c>
      <c r="D128" s="14" t="n">
        <f aca="false">D126-D127</f>
        <v>-2.59</v>
      </c>
      <c r="E128" s="14" t="n">
        <f aca="false">E126-E127</f>
        <v>-0.413</v>
      </c>
      <c r="F128" s="14" t="n">
        <f aca="false">F126-F127</f>
        <v>2.31397509722694</v>
      </c>
      <c r="G128" s="14" t="n">
        <f aca="false">G126-G127</f>
        <v>1.90097509722694</v>
      </c>
      <c r="H128" s="14" t="n">
        <f aca="false">H126-H127</f>
        <v>14.0586563891578</v>
      </c>
      <c r="I128" s="14" t="n">
        <f aca="false">I126-I127</f>
        <v>19.4240803131578</v>
      </c>
      <c r="J128" s="14" t="n">
        <f aca="false">J126-J127</f>
        <v>24.1893860931346</v>
      </c>
      <c r="K128" s="14" t="n">
        <f aca="false">K126-K127</f>
        <v>23.1092223333477</v>
      </c>
      <c r="L128" s="14" t="n">
        <f aca="false">L126-L127</f>
        <v>24.3428741648111</v>
      </c>
      <c r="M128" s="14" t="n">
        <f aca="false">M126-M127</f>
        <v>25.6579299190985</v>
      </c>
    </row>
    <row r="129" customFormat="false" ht="17.15" hidden="false" customHeight="false" outlineLevel="0" collapsed="false">
      <c r="A129" s="4" t="s">
        <v>874</v>
      </c>
      <c r="B129" s="0" t="s">
        <v>95</v>
      </c>
      <c r="D129" s="21" t="n">
        <f aca="false">D128-Q!G73</f>
        <v>0</v>
      </c>
      <c r="E129" s="21" t="n">
        <f aca="false">E128-Q!H73</f>
        <v>0</v>
      </c>
    </row>
    <row r="130" customFormat="false" ht="15" hidden="false" customHeight="false" outlineLevel="0" collapsed="false">
      <c r="A130" s="4" t="s">
        <v>875</v>
      </c>
      <c r="B130" s="0" t="s">
        <v>95</v>
      </c>
      <c r="E130" s="14" t="n">
        <f aca="false">deemed_1H</f>
        <v>0.671</v>
      </c>
      <c r="F130" s="6" t="n">
        <v>0</v>
      </c>
      <c r="G130" s="14" t="n">
        <f aca="false">E130+F130</f>
        <v>0.671</v>
      </c>
      <c r="H130" s="6" t="n">
        <v>0</v>
      </c>
      <c r="I130" s="6" t="n">
        <v>0</v>
      </c>
      <c r="J130" s="6" t="n">
        <v>0</v>
      </c>
      <c r="K130" s="6" t="n">
        <v>0</v>
      </c>
      <c r="L130" s="6" t="n">
        <v>0</v>
      </c>
      <c r="M130" s="6" t="n">
        <v>0</v>
      </c>
    </row>
    <row r="131" customFormat="false" ht="15" hidden="false" customHeight="false" outlineLevel="0" collapsed="false">
      <c r="A131" s="4" t="s">
        <v>876</v>
      </c>
      <c r="B131" s="0" t="s">
        <v>95</v>
      </c>
      <c r="E131" s="14" t="n">
        <f aca="false">E128-E130</f>
        <v>-1.084</v>
      </c>
      <c r="F131" s="14" t="n">
        <f aca="false">F128-F130</f>
        <v>2.31397509722694</v>
      </c>
      <c r="G131" s="14" t="n">
        <f aca="false">G128-G130</f>
        <v>1.22997509722694</v>
      </c>
      <c r="H131" s="14" t="n">
        <f aca="false">H128-H130</f>
        <v>14.0586563891578</v>
      </c>
      <c r="I131" s="14" t="n">
        <f aca="false">I128-I130</f>
        <v>19.4240803131578</v>
      </c>
      <c r="J131" s="14" t="n">
        <f aca="false">J128-J130</f>
        <v>24.1893860931346</v>
      </c>
      <c r="K131" s="14" t="n">
        <f aca="false">K128-K130</f>
        <v>23.1092223333477</v>
      </c>
      <c r="L131" s="14" t="n">
        <f aca="false">L128-L130</f>
        <v>24.3428741648111</v>
      </c>
      <c r="M131" s="14" t="n">
        <f aca="false">M128-M130</f>
        <v>25.6579299190985</v>
      </c>
    </row>
    <row r="132" customFormat="false" ht="17.15" hidden="false" customHeight="false" outlineLevel="0" collapsed="false">
      <c r="A132" s="4" t="s">
        <v>877</v>
      </c>
      <c r="B132" s="4" t="s">
        <v>65</v>
      </c>
      <c r="E132" s="21" t="n">
        <f aca="false">sh_out</f>
        <v>13.581064</v>
      </c>
      <c r="F132" s="21" t="n">
        <f aca="false">E132*(1+dil*0.25)</f>
        <v>13.61501666</v>
      </c>
      <c r="H132" s="21" t="n">
        <f aca="false">F132*(1+dil*1)</f>
        <v>13.7511668266</v>
      </c>
      <c r="I132" s="21" t="n">
        <f aca="false">H132*(1+dil*1)</f>
        <v>13.888678494866</v>
      </c>
      <c r="J132" s="21" t="n">
        <f aca="false">I132*(1+dil*1)</f>
        <v>14.0275652798147</v>
      </c>
      <c r="K132" s="21" t="n">
        <f aca="false">J132*(1+dil*1)</f>
        <v>14.1678409326128</v>
      </c>
      <c r="L132" s="21" t="n">
        <f aca="false">K132*(1+dil*1)</f>
        <v>14.3095193419389</v>
      </c>
      <c r="M132" s="21" t="n">
        <f aca="false">L132*(1+dil*1)</f>
        <v>14.4526145353583</v>
      </c>
      <c r="N132" s="7" t="s">
        <v>878</v>
      </c>
    </row>
    <row r="133" customFormat="false" ht="17.15" hidden="false" customHeight="false" outlineLevel="0" collapsed="false">
      <c r="A133" s="4" t="s">
        <v>879</v>
      </c>
      <c r="B133" s="4" t="s">
        <v>65</v>
      </c>
      <c r="E133" s="21" t="n">
        <f aca="false">sh_dil_1H</f>
        <v>7.274</v>
      </c>
      <c r="F133" s="21" t="n">
        <f aca="false">(E132+F132)/2</f>
        <v>13.59804033</v>
      </c>
      <c r="G133" s="21" t="n">
        <f aca="false">0.75*E133+0.25*F133</f>
        <v>8.8550100825</v>
      </c>
      <c r="H133" s="21" t="n">
        <f aca="false">(F132+H132)/2</f>
        <v>13.6830917433</v>
      </c>
      <c r="I133" s="21" t="n">
        <f aca="false">(H132+I132)/2</f>
        <v>13.819922660733</v>
      </c>
      <c r="J133" s="21" t="n">
        <f aca="false">(I132+J132)/2</f>
        <v>13.9581218873403</v>
      </c>
      <c r="K133" s="21" t="n">
        <f aca="false">(J132+K132)/2</f>
        <v>14.0977031062137</v>
      </c>
      <c r="L133" s="21" t="n">
        <f aca="false">(K132+L132)/2</f>
        <v>14.2386801372759</v>
      </c>
      <c r="M133" s="21" t="n">
        <f aca="false">(L132+M132)/2</f>
        <v>14.3810669386486</v>
      </c>
      <c r="N133" s="7" t="s">
        <v>880</v>
      </c>
    </row>
    <row r="134" customFormat="false" ht="17.15" hidden="false" customHeight="false" outlineLevel="0" collapsed="false">
      <c r="A134" s="5" t="s">
        <v>881</v>
      </c>
      <c r="B134" s="7" t="s">
        <v>54</v>
      </c>
      <c r="E134" s="17" t="n">
        <f aca="false">E131/E133</f>
        <v>-0.149023920813858</v>
      </c>
      <c r="F134" s="17" t="n">
        <f aca="false">F131/F133</f>
        <v>0.170169748071849</v>
      </c>
      <c r="G134" s="17" t="n">
        <f aca="false">G131/G133</f>
        <v>0.138901603246926</v>
      </c>
      <c r="H134" s="17" t="n">
        <f aca="false">H131/H133</f>
        <v>1.02744735275503</v>
      </c>
      <c r="I134" s="17" t="n">
        <f aca="false">I131/I133</f>
        <v>1.40551295329229</v>
      </c>
      <c r="J134" s="17" t="n">
        <f aca="false">J131/J133</f>
        <v>1.73299719606788</v>
      </c>
      <c r="K134" s="17" t="n">
        <f aca="false">K131/K133</f>
        <v>1.63921896774532</v>
      </c>
      <c r="L134" s="17" t="n">
        <f aca="false">L131/L133</f>
        <v>1.70962996079132</v>
      </c>
      <c r="M134" s="17" t="n">
        <f aca="false">M131/M133</f>
        <v>1.78414647734819</v>
      </c>
    </row>
    <row r="135" customFormat="false" ht="17.15" hidden="false" customHeight="false" outlineLevel="0" collapsed="false">
      <c r="A135" s="0" t="s">
        <v>882</v>
      </c>
      <c r="B135" s="0" t="s">
        <v>54</v>
      </c>
      <c r="F135" s="17" t="n">
        <f aca="false">(F131+(internal_ai_reading=2)*F118*(1-tax))/F133</f>
        <v>0.180199610380368</v>
      </c>
      <c r="G135" s="17" t="n">
        <f aca="false">(G131+(internal_ai_reading=2)*G118*(1-tax))/G133</f>
        <v>0.154303784713114</v>
      </c>
      <c r="H135" s="17" t="n">
        <f aca="false">(H131+(internal_ai_reading=2)*H118*(1-tax))/H133</f>
        <v>1.27647606912715</v>
      </c>
      <c r="I135" s="17" t="n">
        <f aca="false">(I131+(internal_ai_reading=2)*I118*(1-tax))/I133</f>
        <v>1.99701208139861</v>
      </c>
      <c r="J135" s="17" t="n">
        <f aca="false">(J131+(internal_ai_reading=2)*J118*(1-tax))/J133</f>
        <v>2.63022228028458</v>
      </c>
      <c r="K135" s="17" t="n">
        <f aca="false">(K131+(internal_ai_reading=2)*K118*(1-tax))/K133</f>
        <v>2.75975438149292</v>
      </c>
      <c r="L135" s="17" t="n">
        <f aca="false">(L131+(internal_ai_reading=2)*L118*(1-tax))/L133</f>
        <v>2.97659019806815</v>
      </c>
      <c r="M135" s="17" t="n">
        <f aca="false">(M131+(internal_ai_reading=2)*M118*(1-tax))/M133</f>
        <v>3.1244008009478</v>
      </c>
    </row>
    <row r="137" customFormat="false" ht="17.15" hidden="false" customHeight="false" outlineLevel="0" collapsed="false">
      <c r="A137" s="28" t="s">
        <v>832</v>
      </c>
    </row>
    <row r="138" customFormat="false" ht="15" hidden="false" customHeight="false" outlineLevel="0" collapsed="false">
      <c r="A138" s="3" t="s">
        <v>43</v>
      </c>
      <c r="B138" s="3" t="s">
        <v>44</v>
      </c>
      <c r="C138" s="20" t="s">
        <v>592</v>
      </c>
      <c r="D138" s="20" t="s">
        <v>731</v>
      </c>
      <c r="E138" s="20" t="s">
        <v>732</v>
      </c>
      <c r="F138" s="20" t="s">
        <v>733</v>
      </c>
      <c r="G138" s="20" t="s">
        <v>734</v>
      </c>
      <c r="H138" s="20" t="s">
        <v>735</v>
      </c>
      <c r="I138" s="20" t="s">
        <v>736</v>
      </c>
      <c r="J138" s="20" t="s">
        <v>737</v>
      </c>
      <c r="K138" s="20" t="s">
        <v>738</v>
      </c>
      <c r="L138" s="20" t="s">
        <v>739</v>
      </c>
      <c r="M138" s="20" t="s">
        <v>740</v>
      </c>
      <c r="N138" s="3" t="s">
        <v>50</v>
      </c>
    </row>
    <row r="139" customFormat="false" ht="15" hidden="false" customHeight="false" outlineLevel="0" collapsed="false">
      <c r="A139" s="0" t="s">
        <v>594</v>
      </c>
      <c r="B139" s="0" t="s">
        <v>95</v>
      </c>
      <c r="D139" s="14" t="n">
        <f aca="false">Seg!D93</f>
        <v>2.056</v>
      </c>
      <c r="E139" s="14" t="n">
        <f aca="false">Seg!E93</f>
        <v>2.108</v>
      </c>
      <c r="F139" s="14" t="n">
        <f aca="false">Seg!F93</f>
        <v>0.872275862068966</v>
      </c>
      <c r="G139" s="14" t="n">
        <f aca="false">Seg!G93</f>
        <v>2.98027586206897</v>
      </c>
      <c r="H139" s="14" t="n">
        <f aca="false">Seg!H93</f>
        <v>3.59377655172414</v>
      </c>
      <c r="I139" s="14" t="n">
        <f aca="false">Seg!I93</f>
        <v>3.88666934068966</v>
      </c>
      <c r="J139" s="14" t="n">
        <f aca="false">Seg!J93</f>
        <v>4.20343289195586</v>
      </c>
      <c r="K139" s="14" t="n">
        <f aca="false">Seg!K93</f>
        <v>4.54601267265027</v>
      </c>
      <c r="L139" s="14" t="n">
        <f aca="false">Seg!L93</f>
        <v>4.91651270547126</v>
      </c>
      <c r="M139" s="14" t="n">
        <f aca="false">Seg!M93</f>
        <v>5.31720849096717</v>
      </c>
    </row>
    <row r="140" customFormat="false" ht="15" hidden="false" customHeight="false" outlineLevel="0" collapsed="false">
      <c r="A140" s="0" t="s">
        <v>597</v>
      </c>
      <c r="B140" s="0" t="s">
        <v>95</v>
      </c>
      <c r="D140" s="14" t="n">
        <f aca="false">Seg!D95</f>
        <v>1.221</v>
      </c>
      <c r="E140" s="14" t="n">
        <f aca="false">Seg!E95</f>
        <v>1.24</v>
      </c>
      <c r="F140" s="14" t="n">
        <f aca="false">Seg!F95</f>
        <v>0.414932006086979</v>
      </c>
      <c r="G140" s="14" t="n">
        <f aca="false">Seg!G95</f>
        <v>1.65493200608698</v>
      </c>
      <c r="H140" s="14" t="n">
        <f aca="false">Seg!H95</f>
        <v>1.70734496323307</v>
      </c>
      <c r="I140" s="14" t="n">
        <f aca="false">Seg!I95</f>
        <v>1.78892277253284</v>
      </c>
      <c r="J140" s="14" t="n">
        <f aca="false">Seg!J95</f>
        <v>1.90321750266002</v>
      </c>
      <c r="K140" s="14" t="n">
        <f aca="false">Seg!K95</f>
        <v>2.05547490287283</v>
      </c>
      <c r="L140" s="14" t="n">
        <f aca="false">Seg!L95</f>
        <v>2.21991289510265</v>
      </c>
      <c r="M140" s="14" t="n">
        <f aca="false">Seg!M95</f>
        <v>2.39750592671086</v>
      </c>
    </row>
    <row r="141" customFormat="false" ht="15" hidden="false" customHeight="false" outlineLevel="0" collapsed="false">
      <c r="A141" s="29" t="s">
        <v>814</v>
      </c>
      <c r="B141" s="30" t="s">
        <v>95</v>
      </c>
      <c r="C141" s="31" t="n">
        <f aca="false">Seg!C96</f>
        <v>4.086</v>
      </c>
      <c r="D141" s="31" t="n">
        <f aca="false">Seg!D96</f>
        <v>3.277</v>
      </c>
      <c r="E141" s="31" t="n">
        <f aca="false">Seg!E96</f>
        <v>3.348</v>
      </c>
      <c r="F141" s="31" t="n">
        <f aca="false">Seg!F96</f>
        <v>1.28720786815594</v>
      </c>
      <c r="G141" s="31" t="n">
        <f aca="false">Seg!G96</f>
        <v>4.63520786815594</v>
      </c>
      <c r="H141" s="31" t="n">
        <f aca="false">Seg!H96</f>
        <v>5.30112151495721</v>
      </c>
      <c r="I141" s="31" t="n">
        <f aca="false">Seg!I96</f>
        <v>5.6755921132225</v>
      </c>
      <c r="J141" s="31" t="n">
        <f aca="false">Seg!J96</f>
        <v>6.10665039461589</v>
      </c>
      <c r="K141" s="31" t="n">
        <f aca="false">Seg!K96</f>
        <v>6.60148757552309</v>
      </c>
      <c r="L141" s="31" t="n">
        <f aca="false">Seg!L96</f>
        <v>7.13642560057392</v>
      </c>
      <c r="M141" s="31" t="n">
        <f aca="false">Seg!M96</f>
        <v>7.71471441767804</v>
      </c>
      <c r="N141" s="30"/>
    </row>
    <row r="142" customFormat="false" ht="15" hidden="false" customHeight="false" outlineLevel="0" collapsed="false">
      <c r="A142" s="0" t="s">
        <v>601</v>
      </c>
      <c r="B142" s="0" t="s">
        <v>95</v>
      </c>
      <c r="D142" s="14" t="n">
        <f aca="false">Seg!D100</f>
        <v>5.198</v>
      </c>
      <c r="E142" s="14" t="n">
        <f aca="false">Seg!E100</f>
        <v>7.754</v>
      </c>
      <c r="F142" s="14" t="n">
        <f aca="false">Seg!F100</f>
        <v>3.49343615025178</v>
      </c>
      <c r="G142" s="14" t="n">
        <f aca="false">Seg!G100</f>
        <v>11.2474361502518</v>
      </c>
      <c r="H142" s="14" t="n">
        <f aca="false">Seg!H100</f>
        <v>16.5231099963792</v>
      </c>
      <c r="I142" s="14" t="n">
        <f aca="false">Seg!I100</f>
        <v>19.7700932398537</v>
      </c>
      <c r="J142" s="14" t="n">
        <f aca="false">Seg!J100</f>
        <v>22.5299982561373</v>
      </c>
      <c r="K142" s="14" t="n">
        <f aca="false">Seg!K100</f>
        <v>24.8623789601276</v>
      </c>
      <c r="L142" s="14" t="n">
        <f aca="false">Seg!L100</f>
        <v>26.8197203310829</v>
      </c>
      <c r="M142" s="14" t="n">
        <f aca="false">Seg!M100</f>
        <v>28.4482733785004</v>
      </c>
    </row>
    <row r="143" customFormat="false" ht="15" hidden="false" customHeight="false" outlineLevel="0" collapsed="false">
      <c r="A143" s="0" t="s">
        <v>602</v>
      </c>
      <c r="B143" s="0" t="s">
        <v>95</v>
      </c>
      <c r="D143" s="14" t="n">
        <f aca="false">Seg!D102</f>
        <v>2.961</v>
      </c>
      <c r="E143" s="14" t="n">
        <f aca="false">Seg!E102</f>
        <v>5.042</v>
      </c>
      <c r="F143" s="14" t="n">
        <f aca="false">Seg!F102</f>
        <v>2.42973325841983</v>
      </c>
      <c r="G143" s="14" t="n">
        <f aca="false">Seg!G102</f>
        <v>7.47173325841983</v>
      </c>
      <c r="H143" s="14" t="n">
        <f aca="false">Seg!H102</f>
        <v>11.5968946017273</v>
      </c>
      <c r="I143" s="14" t="n">
        <f aca="false">Seg!I102</f>
        <v>16.2519061109751</v>
      </c>
      <c r="J143" s="14" t="n">
        <f aca="false">Seg!J102</f>
        <v>20.326271596902</v>
      </c>
      <c r="K143" s="14" t="n">
        <f aca="false">Seg!K102</f>
        <v>22.3588987565922</v>
      </c>
      <c r="L143" s="14" t="n">
        <f aca="false">Seg!L102</f>
        <v>24.5947886322515</v>
      </c>
      <c r="M143" s="14" t="n">
        <f aca="false">Seg!M102</f>
        <v>27.0542674954766</v>
      </c>
    </row>
    <row r="144" customFormat="false" ht="15" hidden="false" customHeight="false" outlineLevel="0" collapsed="false">
      <c r="A144" s="29" t="s">
        <v>821</v>
      </c>
      <c r="B144" s="30" t="s">
        <v>95</v>
      </c>
      <c r="C144" s="31" t="n">
        <f aca="false">Seg!C103</f>
        <v>11.387</v>
      </c>
      <c r="D144" s="31" t="n">
        <f aca="false">Seg!D103</f>
        <v>8.159</v>
      </c>
      <c r="E144" s="31" t="n">
        <f aca="false">Seg!E103</f>
        <v>12.796</v>
      </c>
      <c r="F144" s="31" t="n">
        <f aca="false">Seg!F103</f>
        <v>5.92316940867161</v>
      </c>
      <c r="G144" s="31" t="n">
        <f aca="false">Seg!G103</f>
        <v>18.7191694086716</v>
      </c>
      <c r="H144" s="31" t="n">
        <f aca="false">Seg!H103</f>
        <v>28.1200045981064</v>
      </c>
      <c r="I144" s="31" t="n">
        <f aca="false">Seg!I103</f>
        <v>36.0219993508288</v>
      </c>
      <c r="J144" s="31" t="n">
        <f aca="false">Seg!J103</f>
        <v>42.8562698530393</v>
      </c>
      <c r="K144" s="31" t="n">
        <f aca="false">Seg!K103</f>
        <v>47.2212777167199</v>
      </c>
      <c r="L144" s="31" t="n">
        <f aca="false">Seg!L103</f>
        <v>51.4145089633343</v>
      </c>
      <c r="M144" s="31" t="n">
        <f aca="false">Seg!M103</f>
        <v>55.502540873977</v>
      </c>
      <c r="N144" s="30"/>
    </row>
    <row r="145" customFormat="false" ht="15" hidden="false" customHeight="false" outlineLevel="0" collapsed="false">
      <c r="A145" s="0" t="s">
        <v>605</v>
      </c>
      <c r="B145" s="0" t="s">
        <v>95</v>
      </c>
      <c r="D145" s="14" t="n">
        <f aca="false">Seg!D89</f>
        <v>1.323</v>
      </c>
      <c r="E145" s="14" t="n">
        <f aca="false">Seg!E89</f>
        <v>1.248</v>
      </c>
      <c r="F145" s="14" t="n">
        <f aca="false">Seg!F89</f>
        <v>0.530207615057733</v>
      </c>
      <c r="G145" s="14" t="n">
        <f aca="false">Seg!G89</f>
        <v>1.77820761505773</v>
      </c>
      <c r="H145" s="14" t="n">
        <f aca="false">Seg!H89</f>
        <v>1.71594010690461</v>
      </c>
      <c r="I145" s="14" t="n">
        <f aca="false">Seg!I89</f>
        <v>1.69304145037596</v>
      </c>
      <c r="J145" s="14" t="n">
        <f aca="false">Seg!J89</f>
        <v>1.70714053138844</v>
      </c>
      <c r="K145" s="14" t="n">
        <f aca="false">Seg!K89</f>
        <v>1.7583547473301</v>
      </c>
      <c r="L145" s="14" t="n">
        <f aca="false">Seg!L89</f>
        <v>1.81110538975</v>
      </c>
      <c r="M145" s="14" t="n">
        <f aca="false">Seg!M89</f>
        <v>1.8654385514425</v>
      </c>
    </row>
    <row r="146" customFormat="false" ht="17.15" hidden="false" customHeight="false" outlineLevel="0" collapsed="false">
      <c r="A146" s="0" t="s">
        <v>801</v>
      </c>
      <c r="B146" s="0" t="s">
        <v>95</v>
      </c>
      <c r="E146" s="14" t="n">
        <f aca="false">Seg!E84</f>
        <v>6.63552</v>
      </c>
      <c r="F146" s="14" t="n">
        <f aca="false">Seg!F84</f>
        <v>6.28901947088364</v>
      </c>
      <c r="G146" s="14" t="n">
        <f aca="false">Seg!G84</f>
        <v>12.9245394708836</v>
      </c>
      <c r="H146" s="14" t="n">
        <f aca="false">Seg!H84</f>
        <v>36.0345583612053</v>
      </c>
      <c r="I146" s="14" t="n">
        <f aca="false">Seg!I84</f>
        <v>51.2681872715867</v>
      </c>
      <c r="J146" s="14" t="n">
        <f aca="false">Seg!J84</f>
        <v>58.9804258768275</v>
      </c>
      <c r="K146" s="14" t="n">
        <f aca="false">Seg!K84</f>
        <v>58.0427272192573</v>
      </c>
      <c r="L146" s="14" t="n">
        <f aca="false">Seg!L84</f>
        <v>64.5965563880818</v>
      </c>
      <c r="M146" s="14" t="n">
        <f aca="false">Seg!M84</f>
        <v>68.2037025554213</v>
      </c>
    </row>
    <row r="147" customFormat="false" ht="17.15" hidden="false" customHeight="false" outlineLevel="0" collapsed="false">
      <c r="A147" s="0" t="s">
        <v>805</v>
      </c>
      <c r="B147" s="0" t="s">
        <v>95</v>
      </c>
      <c r="E147" s="14" t="n">
        <f aca="false">Seg!E86</f>
        <v>3.05548</v>
      </c>
      <c r="F147" s="14" t="n">
        <f aca="false">Seg!F86</f>
        <v>2.50516</v>
      </c>
      <c r="G147" s="14" t="n">
        <f aca="false">Seg!G86</f>
        <v>5.56064</v>
      </c>
      <c r="H147" s="14" t="n">
        <f aca="false">Seg!H86</f>
        <v>12.9107804793285</v>
      </c>
      <c r="I147" s="14" t="n">
        <f aca="false">Seg!I86</f>
        <v>17.8599129964044</v>
      </c>
      <c r="J147" s="14" t="n">
        <f aca="false">Seg!J86</f>
        <v>22.6225564621123</v>
      </c>
      <c r="K147" s="14" t="n">
        <f aca="false">Seg!K86</f>
        <v>26.0159399314291</v>
      </c>
      <c r="L147" s="14" t="n">
        <f aca="false">Seg!L86</f>
        <v>29.9183309211435</v>
      </c>
      <c r="M147" s="14" t="n">
        <f aca="false">Seg!M86</f>
        <v>34.406080559315</v>
      </c>
    </row>
    <row r="148" customFormat="false" ht="15" hidden="false" customHeight="false" outlineLevel="0" collapsed="false">
      <c r="A148" s="0" t="s">
        <v>606</v>
      </c>
      <c r="B148" s="0" t="s">
        <v>95</v>
      </c>
      <c r="D148" s="14" t="n">
        <f aca="false">Seg!D87</f>
        <v>0.955</v>
      </c>
      <c r="E148" s="14" t="n">
        <f aca="false">Seg!E87</f>
        <v>9.691</v>
      </c>
      <c r="F148" s="14" t="n">
        <f aca="false">Seg!F87</f>
        <v>8.79417947088364</v>
      </c>
      <c r="G148" s="14" t="n">
        <f aca="false">Seg!G87</f>
        <v>18.4851794708836</v>
      </c>
      <c r="H148" s="14" t="n">
        <f aca="false">Seg!H87</f>
        <v>48.9453388405338</v>
      </c>
      <c r="I148" s="14" t="n">
        <f aca="false">Seg!I87</f>
        <v>69.1281002679911</v>
      </c>
      <c r="J148" s="14" t="n">
        <f aca="false">Seg!J87</f>
        <v>81.6029823389397</v>
      </c>
      <c r="K148" s="14" t="n">
        <f aca="false">Seg!K87</f>
        <v>84.0586671506864</v>
      </c>
      <c r="L148" s="14" t="n">
        <f aca="false">Seg!L87</f>
        <v>94.5148873092252</v>
      </c>
      <c r="M148" s="14" t="n">
        <f aca="false">Seg!M87</f>
        <v>102.609783114736</v>
      </c>
    </row>
    <row r="149" customFormat="false" ht="15" hidden="false" customHeight="false" outlineLevel="0" collapsed="false">
      <c r="A149" s="29" t="s">
        <v>809</v>
      </c>
      <c r="B149" s="30" t="s">
        <v>95</v>
      </c>
      <c r="C149" s="31" t="n">
        <f aca="false">Seg!C90</f>
        <v>3.201</v>
      </c>
      <c r="D149" s="31" t="n">
        <f aca="false">Seg!D90</f>
        <v>2.278</v>
      </c>
      <c r="E149" s="31" t="n">
        <f aca="false">Seg!E90</f>
        <v>10.939</v>
      </c>
      <c r="F149" s="31" t="n">
        <f aca="false">Seg!F90</f>
        <v>9.32438708594137</v>
      </c>
      <c r="G149" s="31" t="n">
        <f aca="false">Seg!G90</f>
        <v>20.2633870859414</v>
      </c>
      <c r="H149" s="31" t="n">
        <f aca="false">Seg!H90</f>
        <v>50.6612789474384</v>
      </c>
      <c r="I149" s="31" t="n">
        <f aca="false">Seg!I90</f>
        <v>70.8211417183671</v>
      </c>
      <c r="J149" s="31" t="n">
        <f aca="false">Seg!J90</f>
        <v>83.3101228703282</v>
      </c>
      <c r="K149" s="31" t="n">
        <f aca="false">Seg!K90</f>
        <v>85.8170218980165</v>
      </c>
      <c r="L149" s="31" t="n">
        <f aca="false">Seg!L90</f>
        <v>96.3259926989752</v>
      </c>
      <c r="M149" s="31" t="n">
        <f aca="false">Seg!M90</f>
        <v>104.475221666179</v>
      </c>
      <c r="N149" s="30"/>
    </row>
    <row r="150" customFormat="false" ht="15" hidden="false" customHeight="false" outlineLevel="0" collapsed="false">
      <c r="A150" s="2" t="s">
        <v>609</v>
      </c>
      <c r="B150" s="7" t="s">
        <v>95</v>
      </c>
      <c r="C150" s="14" t="n">
        <f aca="false">Seg!C104</f>
        <v>18.674</v>
      </c>
      <c r="D150" s="14" t="n">
        <f aca="false">Seg!D104</f>
        <v>13.714</v>
      </c>
      <c r="E150" s="14" t="n">
        <f aca="false">Seg!E104</f>
        <v>27.083</v>
      </c>
      <c r="F150" s="14" t="n">
        <f aca="false">Seg!F104</f>
        <v>16.5347643627689</v>
      </c>
      <c r="G150" s="14" t="n">
        <f aca="false">Seg!G104</f>
        <v>43.6177643627689</v>
      </c>
      <c r="H150" s="14" t="n">
        <f aca="false">Seg!H104</f>
        <v>84.082405060502</v>
      </c>
      <c r="I150" s="14" t="n">
        <f aca="false">Seg!I104</f>
        <v>112.518733182418</v>
      </c>
      <c r="J150" s="14" t="n">
        <f aca="false">Seg!J104</f>
        <v>132.273043117983</v>
      </c>
      <c r="K150" s="14" t="n">
        <f aca="false">Seg!K104</f>
        <v>139.639787190259</v>
      </c>
      <c r="L150" s="14" t="n">
        <f aca="false">Seg!L104</f>
        <v>154.876927262883</v>
      </c>
      <c r="M150" s="14" t="n">
        <f aca="false">Seg!M104</f>
        <v>167.692476957834</v>
      </c>
    </row>
    <row r="151" customFormat="false" ht="15" hidden="false" customHeight="false" outlineLevel="0" collapsed="false">
      <c r="A151" s="4" t="s">
        <v>838</v>
      </c>
      <c r="B151" s="0" t="s">
        <v>126</v>
      </c>
      <c r="E151" s="16" t="n">
        <f aca="false">E150/D150-1</f>
        <v>0.97484322590054</v>
      </c>
      <c r="G151" s="16" t="n">
        <f aca="false">G150/C150-1</f>
        <v>1.3357483325891</v>
      </c>
      <c r="H151" s="16" t="n">
        <f aca="false">H150/G150-1</f>
        <v>0.927710103644669</v>
      </c>
      <c r="I151" s="16" t="n">
        <f aca="false">I150/H150-1</f>
        <v>0.338195941249003</v>
      </c>
      <c r="J151" s="16" t="n">
        <f aca="false">J150/I150-1</f>
        <v>0.175564631567072</v>
      </c>
      <c r="K151" s="16" t="n">
        <f aca="false">K150/J150-1</f>
        <v>0.0556934648105523</v>
      </c>
      <c r="L151" s="16" t="n">
        <f aca="false">L150/K150-1</f>
        <v>0.109117468446607</v>
      </c>
      <c r="M151" s="16" t="n">
        <f aca="false">M150/L150-1</f>
        <v>0.0827466680895443</v>
      </c>
    </row>
    <row r="152" customFormat="false" ht="17.15" hidden="false" customHeight="false" outlineLevel="0" collapsed="false">
      <c r="A152" s="4" t="s">
        <v>599</v>
      </c>
      <c r="B152" s="0" t="s">
        <v>95</v>
      </c>
      <c r="D152" s="21" t="n">
        <f aca="false">D139+D140-D141</f>
        <v>0</v>
      </c>
      <c r="E152" s="21" t="n">
        <f aca="false">E139+E140-E141</f>
        <v>0</v>
      </c>
      <c r="F152" s="21" t="n">
        <f aca="false">F139+F140-F141</f>
        <v>0</v>
      </c>
      <c r="G152" s="21" t="n">
        <f aca="false">G139+G140-G141</f>
        <v>0</v>
      </c>
      <c r="H152" s="21" t="n">
        <f aca="false">H139+H140-H141</f>
        <v>0</v>
      </c>
      <c r="I152" s="21" t="n">
        <f aca="false">I139+I140-I141</f>
        <v>0</v>
      </c>
      <c r="J152" s="21" t="n">
        <f aca="false">J139+J140-J141</f>
        <v>0</v>
      </c>
      <c r="K152" s="21" t="n">
        <f aca="false">K139+K140-K141</f>
        <v>0</v>
      </c>
      <c r="L152" s="21" t="n">
        <f aca="false">L139+L140-L141</f>
        <v>0</v>
      </c>
      <c r="M152" s="21" t="n">
        <f aca="false">M139+M140-M141</f>
        <v>0</v>
      </c>
    </row>
    <row r="153" customFormat="false" ht="17.15" hidden="false" customHeight="false" outlineLevel="0" collapsed="false">
      <c r="A153" s="4" t="s">
        <v>604</v>
      </c>
      <c r="B153" s="0" t="s">
        <v>95</v>
      </c>
      <c r="D153" s="21" t="n">
        <f aca="false">D142+D143-D144</f>
        <v>0</v>
      </c>
      <c r="E153" s="21" t="n">
        <f aca="false">E142+E143-E144</f>
        <v>0</v>
      </c>
      <c r="F153" s="21" t="n">
        <f aca="false">F142+F143-F144</f>
        <v>0</v>
      </c>
      <c r="G153" s="21" t="n">
        <f aca="false">G142+G143-G144</f>
        <v>0</v>
      </c>
      <c r="H153" s="21" t="n">
        <f aca="false">H142+H143-H144</f>
        <v>0</v>
      </c>
      <c r="I153" s="21" t="n">
        <f aca="false">I142+I143-I144</f>
        <v>0</v>
      </c>
      <c r="J153" s="21" t="n">
        <f aca="false">J142+J143-J144</f>
        <v>0</v>
      </c>
      <c r="K153" s="21" t="n">
        <f aca="false">K142+K143-K144</f>
        <v>0</v>
      </c>
      <c r="L153" s="21" t="n">
        <f aca="false">L142+L143-L144</f>
        <v>0</v>
      </c>
      <c r="M153" s="21" t="n">
        <f aca="false">M142+M143-M144</f>
        <v>0</v>
      </c>
    </row>
    <row r="154" customFormat="false" ht="17.15" hidden="false" customHeight="false" outlineLevel="0" collapsed="false">
      <c r="A154" s="4" t="s">
        <v>608</v>
      </c>
      <c r="B154" s="0" t="s">
        <v>95</v>
      </c>
      <c r="D154" s="21" t="n">
        <f aca="false">D145+D148-D149</f>
        <v>0</v>
      </c>
      <c r="E154" s="21" t="n">
        <f aca="false">E145+E148-E149</f>
        <v>0</v>
      </c>
      <c r="F154" s="21" t="n">
        <f aca="false">F145+F148-F149</f>
        <v>0</v>
      </c>
      <c r="G154" s="21" t="n">
        <f aca="false">G145+G148-G149</f>
        <v>0</v>
      </c>
      <c r="H154" s="21" t="n">
        <f aca="false">H145+H148-H149</f>
        <v>0</v>
      </c>
      <c r="I154" s="21" t="n">
        <f aca="false">I145+I148-I149</f>
        <v>0</v>
      </c>
      <c r="J154" s="21" t="n">
        <f aca="false">J145+J148-J149</f>
        <v>0</v>
      </c>
      <c r="K154" s="21" t="n">
        <f aca="false">K145+K148-K149</f>
        <v>0</v>
      </c>
      <c r="L154" s="21" t="n">
        <f aca="false">L145+L148-L149</f>
        <v>0</v>
      </c>
      <c r="M154" s="21" t="n">
        <f aca="false">M145+M148-M149</f>
        <v>0</v>
      </c>
    </row>
    <row r="155" customFormat="false" ht="17.15" hidden="false" customHeight="false" outlineLevel="0" collapsed="false">
      <c r="A155" s="4" t="s">
        <v>822</v>
      </c>
      <c r="B155" s="0" t="s">
        <v>95</v>
      </c>
      <c r="E155" s="21" t="n">
        <f aca="false">E146+E147-E148</f>
        <v>0</v>
      </c>
      <c r="F155" s="21" t="n">
        <f aca="false">F146+F147-F148</f>
        <v>0</v>
      </c>
      <c r="G155" s="21" t="n">
        <f aca="false">G146+G147-G148</f>
        <v>0</v>
      </c>
      <c r="H155" s="21" t="n">
        <f aca="false">H146+H147-H148</f>
        <v>0</v>
      </c>
      <c r="I155" s="21" t="n">
        <f aca="false">I146+I147-I148</f>
        <v>0</v>
      </c>
      <c r="J155" s="21" t="n">
        <f aca="false">J146+J147-J148</f>
        <v>0</v>
      </c>
      <c r="K155" s="21" t="n">
        <f aca="false">K146+K147-K148</f>
        <v>0</v>
      </c>
      <c r="L155" s="21" t="n">
        <f aca="false">L146+L147-L148</f>
        <v>0</v>
      </c>
      <c r="M155" s="21" t="n">
        <f aca="false">M146+M147-M148</f>
        <v>0</v>
      </c>
    </row>
    <row r="156" customFormat="false" ht="15" hidden="false" customHeight="false" outlineLevel="0" collapsed="false">
      <c r="A156" s="4" t="s">
        <v>610</v>
      </c>
      <c r="B156" s="0" t="s">
        <v>95</v>
      </c>
      <c r="C156" s="21" t="n">
        <f aca="false">C141+C144+C149-C150</f>
        <v>0</v>
      </c>
      <c r="D156" s="21" t="n">
        <f aca="false">D141+D144+D149-D150</f>
        <v>0</v>
      </c>
      <c r="E156" s="21" t="n">
        <f aca="false">E141+E144+E149-E150</f>
        <v>0</v>
      </c>
      <c r="F156" s="21" t="n">
        <f aca="false">F141+F144+F149-F150</f>
        <v>0</v>
      </c>
      <c r="G156" s="21" t="n">
        <f aca="false">G141+G144+G149-G150</f>
        <v>0</v>
      </c>
      <c r="H156" s="21" t="n">
        <f aca="false">H141+H144+H149-H150</f>
        <v>0</v>
      </c>
      <c r="I156" s="21" t="n">
        <f aca="false">I141+I144+I149-I150</f>
        <v>0</v>
      </c>
      <c r="J156" s="21" t="n">
        <f aca="false">J141+J144+J149-J150</f>
        <v>0</v>
      </c>
      <c r="K156" s="21" t="n">
        <f aca="false">K141+K144+K149-K150</f>
        <v>0</v>
      </c>
      <c r="L156" s="21" t="n">
        <f aca="false">L141+L144+L149-L150</f>
        <v>0</v>
      </c>
      <c r="M156" s="21" t="n">
        <f aca="false">M141+M144+M149-M150</f>
        <v>0</v>
      </c>
    </row>
    <row r="157" customFormat="false" ht="17.15" hidden="false" customHeight="false" outlineLevel="0" collapsed="false">
      <c r="A157" s="0" t="s">
        <v>839</v>
      </c>
      <c r="B157" s="0" t="s">
        <v>126</v>
      </c>
      <c r="F157" s="16" t="n">
        <f aca="false">m_sp0</f>
        <v>-0.0594384707287933</v>
      </c>
      <c r="H157" s="16" t="n">
        <f aca="false">m_sp0+(m_spl-m_sp0)*MIN(1,(2027-2026)/conv_n)</f>
        <v>0.00542114695340502</v>
      </c>
      <c r="I157" s="16" t="n">
        <f aca="false">m_sp0+(m_spl-m_sp0)*MIN(1,(2028-2026)/conv_n)</f>
        <v>0.0702807646356033</v>
      </c>
      <c r="J157" s="16" t="n">
        <f aca="false">m_sp0+(m_spl-m_sp0)*MIN(1,(2029-2026)/conv_n)</f>
        <v>0.135140382317802</v>
      </c>
      <c r="K157" s="16" t="n">
        <f aca="false">m_sp0+(m_spl-m_sp0)*MIN(1,(2030-2026)/conv_n)</f>
        <v>0.2</v>
      </c>
      <c r="L157" s="16" t="n">
        <f aca="false">m_sp0+(m_spl-m_sp0)*MIN(1,(2031-2026)/conv_n)</f>
        <v>0.2</v>
      </c>
      <c r="M157" s="16" t="n">
        <f aca="false">m_sp0+(m_spl-m_sp0)*MIN(1,(2032-2026)/conv_n)</f>
        <v>0.2</v>
      </c>
    </row>
    <row r="158" customFormat="false" ht="17.15" hidden="false" customHeight="false" outlineLevel="0" collapsed="false">
      <c r="A158" s="0" t="s">
        <v>840</v>
      </c>
      <c r="B158" s="0" t="s">
        <v>95</v>
      </c>
      <c r="C158" s="14" t="n">
        <f aca="false">Q!I28</f>
        <v>0.653</v>
      </c>
      <c r="D158" s="14" t="n">
        <f aca="false">Q!G28</f>
        <v>0.803</v>
      </c>
      <c r="E158" s="14" t="n">
        <f aca="false">Q!H28</f>
        <v>-0.199</v>
      </c>
      <c r="F158" s="14" t="n">
        <f aca="false">F141*F157</f>
        <v>-0.0765096671932595</v>
      </c>
      <c r="G158" s="14" t="n">
        <f aca="false">E158+F158</f>
        <v>-0.27550966719326</v>
      </c>
      <c r="H158" s="14" t="n">
        <f aca="false">H141*H157</f>
        <v>0.0287381587504401</v>
      </c>
      <c r="I158" s="14" t="n">
        <f aca="false">I141*I157</f>
        <v>0.398884953477077</v>
      </c>
      <c r="J158" s="14" t="n">
        <f aca="false">J141*J157</f>
        <v>0.825255069009545</v>
      </c>
      <c r="K158" s="14" t="n">
        <f aca="false">K141*K157</f>
        <v>1.32029751510462</v>
      </c>
      <c r="L158" s="14" t="n">
        <f aca="false">L141*L157</f>
        <v>1.42728512011478</v>
      </c>
      <c r="M158" s="14" t="n">
        <f aca="false">M141*M157</f>
        <v>1.54294288353561</v>
      </c>
    </row>
    <row r="159" customFormat="false" ht="17.15" hidden="false" customHeight="false" outlineLevel="0" collapsed="false">
      <c r="A159" s="0" t="s">
        <v>841</v>
      </c>
      <c r="B159" s="0" t="s">
        <v>95</v>
      </c>
      <c r="C159" s="14" t="n">
        <f aca="false">Q!I29</f>
        <v>7.168</v>
      </c>
      <c r="D159" s="14" t="n">
        <f aca="false">Q!G29</f>
        <v>5.123</v>
      </c>
      <c r="E159" s="14" t="n">
        <f aca="false">Q!H29</f>
        <v>8.183</v>
      </c>
      <c r="F159" s="14" t="n">
        <f aca="false">F144*m_cn</f>
        <v>3.78784739537041</v>
      </c>
      <c r="G159" s="14" t="n">
        <f aca="false">E159+F159</f>
        <v>11.9708473953704</v>
      </c>
      <c r="H159" s="14" t="n">
        <f aca="false">H144*m_cn</f>
        <v>17.982650642881</v>
      </c>
      <c r="I159" s="14" t="n">
        <f aca="false">I144*m_cn</f>
        <v>23.0359503507215</v>
      </c>
      <c r="J159" s="14" t="n">
        <f aca="false">J144*m_cn</f>
        <v>27.406443904925</v>
      </c>
      <c r="K159" s="14" t="n">
        <f aca="false">K144*m_cn</f>
        <v>30.1978521065895</v>
      </c>
      <c r="L159" s="14" t="n">
        <f aca="false">L144*m_cn</f>
        <v>32.8794097254583</v>
      </c>
      <c r="M159" s="14" t="n">
        <f aca="false">M144*m_cn</f>
        <v>35.4936927142665</v>
      </c>
    </row>
    <row r="160" customFormat="false" ht="17.15" hidden="false" customHeight="false" outlineLevel="0" collapsed="false">
      <c r="A160" s="0" t="s">
        <v>842</v>
      </c>
      <c r="B160" s="0" t="s">
        <v>95</v>
      </c>
      <c r="F160" s="14" t="n">
        <f aca="false">F146-Thesis!F35</f>
        <v>5.63960314356129</v>
      </c>
      <c r="G160" s="14" t="n">
        <f aca="false">F160</f>
        <v>5.63960314356129</v>
      </c>
      <c r="H160" s="14" t="n">
        <f aca="false">H146-Thesis!H35</f>
        <v>31.9528119656724</v>
      </c>
      <c r="I160" s="14" t="n">
        <f aca="false">I146-Thesis!I35</f>
        <v>44.7664569254262</v>
      </c>
      <c r="J160" s="14" t="n">
        <f aca="false">J146-Thesis!J35</f>
        <v>50.3024989890193</v>
      </c>
      <c r="K160" s="14" t="n">
        <f aca="false">K146-Thesis!K35</f>
        <v>47.7268636334601</v>
      </c>
      <c r="L160" s="14" t="n">
        <f aca="false">L146-Thesis!L35</f>
        <v>53.1584119360342</v>
      </c>
      <c r="M160" s="14" t="n">
        <f aca="false">M146-Thesis!M35</f>
        <v>56.1478686547944</v>
      </c>
    </row>
    <row r="161" customFormat="false" ht="17.15" hidden="false" customHeight="false" outlineLevel="0" collapsed="false">
      <c r="A161" s="0" t="s">
        <v>843</v>
      </c>
      <c r="B161" s="0" t="s">
        <v>95</v>
      </c>
      <c r="F161" s="14" t="n">
        <f aca="false">(F147+F145)*m_so-Thesis!F36</f>
        <v>0.484624436347113</v>
      </c>
      <c r="G161" s="14" t="n">
        <f aca="false">F161</f>
        <v>0.484624436347113</v>
      </c>
      <c r="H161" s="14" t="n">
        <f aca="false">(H147+H145)*m_so-Thesis!H36</f>
        <v>1.78125849798681</v>
      </c>
      <c r="I161" s="14" t="n">
        <f aca="false">(I147+I145)*m_so-Thesis!I36</f>
        <v>1.67248125280677</v>
      </c>
      <c r="J161" s="14" t="n">
        <f aca="false">(J147+J145)*m_so-Thesis!J36</f>
        <v>1.63325243836426</v>
      </c>
      <c r="K161" s="14" t="n">
        <f aca="false">(K147+K145)*m_so-Thesis!K36</f>
        <v>1.57827009348017</v>
      </c>
      <c r="L161" s="14" t="n">
        <f aca="false">(L147+L145)*m_so-Thesis!L36</f>
        <v>1.81008116026793</v>
      </c>
      <c r="M161" s="14" t="n">
        <f aca="false">(M147+M145)*m_so-Thesis!M36</f>
        <v>2.33729074824448</v>
      </c>
    </row>
    <row r="162" customFormat="false" ht="17.15" hidden="false" customHeight="false" outlineLevel="0" collapsed="false">
      <c r="A162" s="0" t="s">
        <v>844</v>
      </c>
      <c r="B162" s="0" t="s">
        <v>95</v>
      </c>
      <c r="C162" s="14" t="n">
        <f aca="false">Q!I30</f>
        <v>-1.237</v>
      </c>
      <c r="D162" s="14" t="n">
        <f aca="false">Q!G30</f>
        <v>-0.813</v>
      </c>
      <c r="E162" s="14" t="n">
        <f aca="false">Q!H30</f>
        <v>5.49</v>
      </c>
      <c r="F162" s="14" t="n">
        <f aca="false">F160+F161</f>
        <v>6.1242275799084</v>
      </c>
      <c r="G162" s="14" t="n">
        <f aca="false">E162+F162</f>
        <v>11.6142275799084</v>
      </c>
      <c r="H162" s="14" t="n">
        <f aca="false">H160+H161</f>
        <v>33.7340704636592</v>
      </c>
      <c r="I162" s="14" t="n">
        <f aca="false">I160+I161</f>
        <v>46.4389381782329</v>
      </c>
      <c r="J162" s="14" t="n">
        <f aca="false">J160+J161</f>
        <v>51.9357514273835</v>
      </c>
      <c r="K162" s="14" t="n">
        <f aca="false">K160+K161</f>
        <v>49.3051337269403</v>
      </c>
      <c r="L162" s="14" t="n">
        <f aca="false">L160+L161</f>
        <v>54.9684930963021</v>
      </c>
      <c r="M162" s="14" t="n">
        <f aca="false">M160+M161</f>
        <v>58.4851594030389</v>
      </c>
    </row>
    <row r="163" customFormat="false" ht="17.15" hidden="false" customHeight="false" outlineLevel="0" collapsed="false">
      <c r="A163" s="4" t="s">
        <v>845</v>
      </c>
      <c r="B163" s="0" t="s">
        <v>95</v>
      </c>
      <c r="C163" s="14" t="n">
        <f aca="false">C158+C159+C162</f>
        <v>6.584</v>
      </c>
      <c r="D163" s="14" t="n">
        <f aca="false">D158+D159+D162</f>
        <v>5.113</v>
      </c>
      <c r="E163" s="14" t="n">
        <f aca="false">E158+E159+E162</f>
        <v>13.474</v>
      </c>
      <c r="F163" s="14" t="n">
        <f aca="false">F158+F159+F162</f>
        <v>9.83556530808555</v>
      </c>
      <c r="G163" s="14" t="n">
        <f aca="false">G158+G159+G162</f>
        <v>23.3095653080855</v>
      </c>
      <c r="H163" s="14" t="n">
        <f aca="false">H158+H159+H162</f>
        <v>51.7454592652906</v>
      </c>
      <c r="I163" s="14" t="n">
        <f aca="false">I158+I159+I162</f>
        <v>69.8737734824315</v>
      </c>
      <c r="J163" s="14" t="n">
        <f aca="false">J158+J159+J162</f>
        <v>80.1674504013181</v>
      </c>
      <c r="K163" s="14" t="n">
        <f aca="false">K158+K159+K162</f>
        <v>80.8232833486344</v>
      </c>
      <c r="L163" s="14" t="n">
        <f aca="false">L158+L159+L162</f>
        <v>89.2751879418752</v>
      </c>
      <c r="M163" s="14" t="n">
        <f aca="false">M158+M159+M162</f>
        <v>95.521795000841</v>
      </c>
    </row>
    <row r="164" customFormat="false" ht="17.15" hidden="false" customHeight="false" outlineLevel="0" collapsed="false">
      <c r="A164" s="0" t="s">
        <v>846</v>
      </c>
      <c r="B164" s="0" t="s">
        <v>95</v>
      </c>
      <c r="D164" s="14" t="n">
        <f aca="false">Q!G42</f>
        <v>0.572</v>
      </c>
      <c r="E164" s="14" t="n">
        <f aca="false">Q!H42</f>
        <v>0.509</v>
      </c>
      <c r="F164" s="14" t="n">
        <f aca="false">da_sp0*0.25*MAX(0,1-(2026.875-t_val)/rem_sp)+Seg!F115</f>
        <v>0.18958307301145</v>
      </c>
      <c r="G164" s="14" t="n">
        <f aca="false">E164+F164</f>
        <v>0.69858307301145</v>
      </c>
      <c r="H164" s="14" t="n">
        <f aca="false">da_sp0*1*MAX(0,1-(2027.5-t_val)/rem_sp)+Seg!H115</f>
        <v>0.900033878804414</v>
      </c>
      <c r="I164" s="14" t="n">
        <f aca="false">da_sp0*1*MAX(0,1-(2028.5-t_val)/rem_sp)+Seg!I115</f>
        <v>1.22563245547237</v>
      </c>
      <c r="J164" s="14" t="n">
        <f aca="false">da_sp0*1*MAX(0,1-(2029.5-t_val)/rem_sp)+Seg!J115</f>
        <v>1.46311977151845</v>
      </c>
      <c r="K164" s="14" t="n">
        <f aca="false">da_sp0*1*MAX(0,1-(2030.5-t_val)/rem_sp)+Seg!K115</f>
        <v>1.5987328732342</v>
      </c>
      <c r="L164" s="14" t="n">
        <f aca="false">da_sp0*1*MAX(0,1-(2031.5-t_val)/rem_sp)+Seg!L115</f>
        <v>1.65278953568777</v>
      </c>
      <c r="M164" s="14" t="n">
        <f aca="false">da_sp0*1*MAX(0,1-(2032.5-t_val)/rem_sp)+Seg!M115</f>
        <v>1.83421946983327</v>
      </c>
    </row>
    <row r="165" customFormat="false" ht="17.15" hidden="false" customHeight="false" outlineLevel="0" collapsed="false">
      <c r="A165" s="0" t="s">
        <v>847</v>
      </c>
      <c r="B165" s="0" t="s">
        <v>95</v>
      </c>
      <c r="D165" s="14" t="n">
        <f aca="false">Q!G44</f>
        <v>1.706</v>
      </c>
      <c r="E165" s="14" t="n">
        <f aca="false">Q!H44</f>
        <v>2.574</v>
      </c>
      <c r="F165" s="14" t="n">
        <f aca="false">da_cn0*0.25*MAX(0,1-(2026.875-t_val)/rem_cn)+Seg!F116</f>
        <v>0.965370718577082</v>
      </c>
      <c r="G165" s="14" t="n">
        <f aca="false">E165+F165</f>
        <v>3.53937071857708</v>
      </c>
      <c r="H165" s="14" t="n">
        <f aca="false">da_cn0*1*MAX(0,1-(2027.5-t_val)/rem_cn)+Seg!H116</f>
        <v>3.673683931279</v>
      </c>
      <c r="I165" s="14" t="n">
        <f aca="false">da_cn0*1*MAX(0,1-(2028.5-t_val)/rem_cn)+Seg!I116</f>
        <v>4.02184321204942</v>
      </c>
      <c r="J165" s="14" t="n">
        <f aca="false">da_cn0*1*MAX(0,1-(2029.5-t_val)/rem_cn)+Seg!J116</f>
        <v>4.79185229188961</v>
      </c>
      <c r="K165" s="14" t="n">
        <f aca="false">da_cn0*1*MAX(0,1-(2030.5-t_val)/rem_cn)+Seg!K116</f>
        <v>6.89135832966216</v>
      </c>
      <c r="L165" s="14" t="n">
        <f aca="false">da_cn0*1*MAX(0,1-(2031.5-t_val)/rem_cn)+Seg!L116</f>
        <v>9.55833214714888</v>
      </c>
      <c r="M165" s="14" t="n">
        <f aca="false">da_cn0*1*MAX(0,1-(2032.5-t_val)/rem_cn)+Seg!M116</f>
        <v>12.3737195560502</v>
      </c>
    </row>
    <row r="166" customFormat="false" ht="17.15" hidden="false" customHeight="false" outlineLevel="0" collapsed="false">
      <c r="A166" s="0" t="s">
        <v>848</v>
      </c>
      <c r="B166" s="0" t="s">
        <v>95</v>
      </c>
      <c r="D166" s="14" t="n">
        <f aca="false">Q!G46</f>
        <v>2.506</v>
      </c>
      <c r="E166" s="14" t="n">
        <f aca="false">Q!H46</f>
        <v>5.851</v>
      </c>
      <c r="F166" s="14" t="n">
        <f aca="false">Thesis!F62+Thesis!F55</f>
        <v>2.804893894167</v>
      </c>
      <c r="G166" s="14" t="n">
        <f aca="false">E166+F166</f>
        <v>8.655893894167</v>
      </c>
      <c r="H166" s="14" t="n">
        <f aca="false">Thesis!H62+Thesis!H55</f>
        <v>17.8009887260634</v>
      </c>
      <c r="I166" s="14" t="n">
        <f aca="false">Thesis!I62+Thesis!I55</f>
        <v>28.3770510163486</v>
      </c>
      <c r="J166" s="14" t="n">
        <f aca="false">Thesis!J62+Thesis!J55</f>
        <v>38.8707600405564</v>
      </c>
      <c r="K166" s="14" t="n">
        <f aca="false">Thesis!K62+Thesis!K55</f>
        <v>46.782348084239</v>
      </c>
      <c r="L166" s="14" t="n">
        <f aca="false">Thesis!L62+Thesis!L55</f>
        <v>52.333454721949</v>
      </c>
      <c r="M166" s="14" t="n">
        <f aca="false">Thesis!M62+Thesis!M55</f>
        <v>55.0952076568545</v>
      </c>
    </row>
    <row r="167" customFormat="false" ht="15" hidden="false" customHeight="false" outlineLevel="0" collapsed="false">
      <c r="A167" s="4" t="s">
        <v>849</v>
      </c>
      <c r="B167" s="0" t="s">
        <v>95</v>
      </c>
      <c r="D167" s="14" t="n">
        <f aca="false">D164+D165+D166</f>
        <v>4.784</v>
      </c>
      <c r="E167" s="14" t="n">
        <f aca="false">E164+E165+E166</f>
        <v>8.934</v>
      </c>
      <c r="F167" s="14" t="n">
        <f aca="false">F164+F165+F166</f>
        <v>3.95984768575553</v>
      </c>
      <c r="G167" s="14" t="n">
        <f aca="false">G164+G165+G166</f>
        <v>12.8938476857555</v>
      </c>
      <c r="H167" s="14" t="n">
        <f aca="false">H164+H165+H166</f>
        <v>22.3747065361468</v>
      </c>
      <c r="I167" s="14" t="n">
        <f aca="false">I164+I165+I166</f>
        <v>33.6245266838704</v>
      </c>
      <c r="J167" s="14" t="n">
        <f aca="false">J164+J165+J166</f>
        <v>45.1257321039645</v>
      </c>
      <c r="K167" s="14" t="n">
        <f aca="false">K164+K165+K166</f>
        <v>55.2724392871353</v>
      </c>
      <c r="L167" s="14" t="n">
        <f aca="false">L164+L165+L166</f>
        <v>63.5445764047857</v>
      </c>
      <c r="M167" s="14" t="n">
        <f aca="false">M164+M165+M166</f>
        <v>69.3031466827379</v>
      </c>
    </row>
    <row r="168" customFormat="false" ht="17.15" hidden="false" customHeight="false" outlineLevel="0" collapsed="false">
      <c r="A168" s="4" t="s">
        <v>850</v>
      </c>
      <c r="B168" s="0" t="s">
        <v>95</v>
      </c>
      <c r="F168" s="14" t="n">
        <f aca="false">Thesis!F55</f>
        <v>0.331893894166996</v>
      </c>
      <c r="G168" s="14" t="n">
        <f aca="false">F168</f>
        <v>0.331893894166996</v>
      </c>
      <c r="H168" s="14" t="n">
        <f aca="false">Thesis!H55</f>
        <v>7.90898872606337</v>
      </c>
      <c r="I168" s="14" t="n">
        <f aca="false">Thesis!I55</f>
        <v>18.4850510163486</v>
      </c>
      <c r="J168" s="14" t="n">
        <f aca="false">Thesis!J55</f>
        <v>28.9787600405564</v>
      </c>
      <c r="K168" s="14" t="n">
        <f aca="false">Thesis!K55</f>
        <v>37.234476846739</v>
      </c>
      <c r="L168" s="14" t="n">
        <f aca="false">Thesis!L55</f>
        <v>44.620936884449</v>
      </c>
      <c r="M168" s="14" t="n">
        <f aca="false">Thesis!M55</f>
        <v>51.8718673417046</v>
      </c>
    </row>
    <row r="169" customFormat="false" ht="17.15" hidden="false" customHeight="false" outlineLevel="0" collapsed="false">
      <c r="A169" s="0" t="s">
        <v>851</v>
      </c>
      <c r="B169" s="0" t="s">
        <v>95</v>
      </c>
      <c r="D169" s="14" t="n">
        <f aca="false">Q!G43</f>
        <v>0.383</v>
      </c>
      <c r="E169" s="14" t="n">
        <f aca="false">Q!H43</f>
        <v>0.503</v>
      </c>
      <c r="F169" s="14" t="n">
        <f aca="false">F141*sbcr_space</f>
        <v>0.130396269609459</v>
      </c>
      <c r="G169" s="14" t="n">
        <f aca="false">E169+F169</f>
        <v>0.633396269609459</v>
      </c>
      <c r="H169" s="14" t="n">
        <f aca="false">H141*sbcr_space</f>
        <v>0.537012309664596</v>
      </c>
      <c r="I169" s="14" t="n">
        <f aca="false">I141*sbcr_space</f>
        <v>0.574946795849931</v>
      </c>
      <c r="J169" s="14" t="n">
        <f aca="false">J141*sbcr_space</f>
        <v>0.618613707207835</v>
      </c>
      <c r="K169" s="14" t="n">
        <f aca="false">K141*sbcr_space</f>
        <v>0.668741525760404</v>
      </c>
      <c r="L169" s="14" t="n">
        <f aca="false">L141*sbcr_space</f>
        <v>0.722931625638218</v>
      </c>
      <c r="M169" s="14" t="n">
        <f aca="false">M141*sbcr_space</f>
        <v>0.781513231898341</v>
      </c>
    </row>
    <row r="170" customFormat="false" ht="17.15" hidden="false" customHeight="false" outlineLevel="0" collapsed="false">
      <c r="A170" s="0" t="s">
        <v>852</v>
      </c>
      <c r="B170" s="0" t="s">
        <v>95</v>
      </c>
      <c r="D170" s="14" t="n">
        <f aca="false">Q!G45</f>
        <v>0.27</v>
      </c>
      <c r="E170" s="14" t="n">
        <f aca="false">Q!H45</f>
        <v>0.398</v>
      </c>
      <c r="F170" s="14" t="n">
        <f aca="false">F144*sbcr_conn</f>
        <v>0.164783295286977</v>
      </c>
      <c r="G170" s="14" t="n">
        <f aca="false">E170+F170</f>
        <v>0.562783295286977</v>
      </c>
      <c r="H170" s="14" t="n">
        <f aca="false">H144*sbcr_conn</f>
        <v>0.782301957188174</v>
      </c>
      <c r="I170" s="14" t="n">
        <f aca="false">I144*sbcr_conn</f>
        <v>1.00213641486681</v>
      </c>
      <c r="J170" s="14" t="n">
        <f aca="false">J144*sbcr_conn</f>
        <v>1.19226665368593</v>
      </c>
      <c r="K170" s="14" t="n">
        <f aca="false">K144*sbcr_conn</f>
        <v>1.31370170477155</v>
      </c>
      <c r="L170" s="14" t="n">
        <f aca="false">L144*sbcr_conn</f>
        <v>1.43035790942203</v>
      </c>
      <c r="M170" s="14" t="n">
        <f aca="false">M144*sbcr_conn</f>
        <v>1.54408745571659</v>
      </c>
    </row>
    <row r="171" customFormat="false" ht="17.15" hidden="false" customHeight="false" outlineLevel="0" collapsed="false">
      <c r="A171" s="0" t="s">
        <v>853</v>
      </c>
      <c r="B171" s="0" t="s">
        <v>95</v>
      </c>
      <c r="D171" s="14" t="n">
        <f aca="false">Q!G47</f>
        <v>0.391</v>
      </c>
      <c r="E171" s="14" t="n">
        <f aca="false">Q!H47</f>
        <v>1.715</v>
      </c>
      <c r="F171" s="14" t="n">
        <f aca="false">F149*sbcr_si</f>
        <v>1.01260870338067</v>
      </c>
      <c r="G171" s="14" t="n">
        <f aca="false">E171+F171</f>
        <v>2.72760870338067</v>
      </c>
      <c r="H171" s="14" t="n">
        <f aca="false">H149*sbcr_si</f>
        <v>5.50170767405382</v>
      </c>
      <c r="I171" s="14" t="n">
        <f aca="false">I149*sbcr_si</f>
        <v>7.69102610460045</v>
      </c>
      <c r="J171" s="14" t="n">
        <f aca="false">J149*sbcr_si</f>
        <v>9.04730302599728</v>
      </c>
      <c r="K171" s="14" t="n">
        <f aca="false">K149*sbcr_si</f>
        <v>9.31954695479782</v>
      </c>
      <c r="L171" s="14" t="n">
        <f aca="false">L149*sbcr_si</f>
        <v>10.4607989425739</v>
      </c>
      <c r="M171" s="14" t="n">
        <f aca="false">M149*sbcr_si</f>
        <v>11.3457879613668</v>
      </c>
    </row>
    <row r="172" customFormat="false" ht="17.15" hidden="false" customHeight="false" outlineLevel="0" collapsed="false">
      <c r="A172" s="0" t="s">
        <v>854</v>
      </c>
      <c r="B172" s="0" t="s">
        <v>95</v>
      </c>
      <c r="D172" s="6" t="n">
        <v>0</v>
      </c>
      <c r="E172" s="14" t="n">
        <f aca="false">Q!H48+Q!H49+Q!H50+Q!H51</f>
        <v>1.219</v>
      </c>
      <c r="F172" s="14" t="n">
        <f aca="false">sbc_cur_left/sbc_cur_yrs*0.25</f>
        <v>2.09047169811321</v>
      </c>
      <c r="G172" s="14" t="n">
        <f aca="false">E172+F172</f>
        <v>3.30947169811321</v>
      </c>
      <c r="H172" s="14" t="n">
        <f aca="false">sbc_cur_left/sbc_cur_yrs</f>
        <v>8.36188679245283</v>
      </c>
      <c r="I172" s="14" t="n">
        <f aca="false">sbc_cur_left/sbc_cur_yrs</f>
        <v>8.36188679245283</v>
      </c>
      <c r="J172" s="14" t="n">
        <f aca="false">MAX(0,sbc_cur_left-2.25*sbc_cur_left/sbc_cur_yrs)</f>
        <v>3.34475471698113</v>
      </c>
      <c r="K172" s="6" t="n">
        <v>0</v>
      </c>
      <c r="L172" s="6" t="n">
        <v>0</v>
      </c>
      <c r="M172" s="6" t="n">
        <v>0</v>
      </c>
      <c r="N172" s="4" t="s">
        <v>855</v>
      </c>
    </row>
    <row r="173" customFormat="false" ht="15" hidden="false" customHeight="false" outlineLevel="0" collapsed="false">
      <c r="A173" s="4" t="s">
        <v>856</v>
      </c>
      <c r="B173" s="0" t="s">
        <v>95</v>
      </c>
      <c r="D173" s="14" t="n">
        <f aca="false">D169+D170+D171+D172</f>
        <v>1.044</v>
      </c>
      <c r="E173" s="14" t="n">
        <f aca="false">E169+E170+E171+E172</f>
        <v>3.835</v>
      </c>
      <c r="F173" s="14" t="n">
        <f aca="false">F169+F170+F171+F172</f>
        <v>3.39825996639031</v>
      </c>
      <c r="G173" s="14" t="n">
        <f aca="false">G169+G170+G171+G172</f>
        <v>7.23325996639031</v>
      </c>
      <c r="H173" s="14" t="n">
        <f aca="false">H169+H170+H171+H172</f>
        <v>15.1829087333594</v>
      </c>
      <c r="I173" s="14" t="n">
        <f aca="false">I169+I170+I171+I172</f>
        <v>17.62999610777</v>
      </c>
      <c r="J173" s="14" t="n">
        <f aca="false">J169+J170+J171+J172</f>
        <v>14.2029381038722</v>
      </c>
      <c r="K173" s="14" t="n">
        <f aca="false">K169+K170+K171+K172</f>
        <v>11.3019901853298</v>
      </c>
      <c r="L173" s="14" t="n">
        <f aca="false">L169+L170+L171+L172</f>
        <v>12.6140884776341</v>
      </c>
      <c r="M173" s="14" t="n">
        <f aca="false">M169+M170+M171+M172</f>
        <v>13.6713886489817</v>
      </c>
    </row>
    <row r="174" customFormat="false" ht="17.15" hidden="false" customHeight="false" outlineLevel="0" collapsed="false">
      <c r="A174" s="5" t="s">
        <v>857</v>
      </c>
      <c r="B174" s="7" t="s">
        <v>95</v>
      </c>
      <c r="C174" s="14" t="n">
        <f aca="false">Q!I21</f>
        <v>-0.657</v>
      </c>
      <c r="D174" s="14" t="n">
        <f aca="false">Q!G21</f>
        <v>-0.181</v>
      </c>
      <c r="E174" s="14" t="n">
        <f aca="false">Q!H21</f>
        <v>-1.211</v>
      </c>
      <c r="F174" s="14" t="n">
        <f aca="false">F158-F164-F169</f>
        <v>-0.396489009814169</v>
      </c>
      <c r="G174" s="14" t="n">
        <f aca="false">E174+F174</f>
        <v>-1.60748900981417</v>
      </c>
      <c r="H174" s="14" t="n">
        <f aca="false">H158-H164-H169</f>
        <v>-1.40830802971857</v>
      </c>
      <c r="I174" s="14" t="n">
        <f aca="false">I158-I164-I169</f>
        <v>-1.40169429784523</v>
      </c>
      <c r="J174" s="14" t="n">
        <f aca="false">J158-J164-J169</f>
        <v>-1.25647840971673</v>
      </c>
      <c r="K174" s="14" t="n">
        <f aca="false">K158-K164-K169</f>
        <v>-0.947176883889986</v>
      </c>
      <c r="L174" s="14" t="n">
        <f aca="false">L158-L164-L169</f>
        <v>-0.948436041211209</v>
      </c>
      <c r="M174" s="14" t="n">
        <f aca="false">M158-M164-M169</f>
        <v>-1.07278981819601</v>
      </c>
    </row>
    <row r="175" customFormat="false" ht="17.15" hidden="false" customHeight="false" outlineLevel="0" collapsed="false">
      <c r="A175" s="5" t="s">
        <v>858</v>
      </c>
      <c r="B175" s="7" t="s">
        <v>95</v>
      </c>
      <c r="C175" s="14" t="n">
        <f aca="false">Q!I22</f>
        <v>4.423</v>
      </c>
      <c r="D175" s="14" t="n">
        <f aca="false">Q!G22</f>
        <v>3.147</v>
      </c>
      <c r="E175" s="14" t="n">
        <f aca="false">Q!H22</f>
        <v>5.211</v>
      </c>
      <c r="F175" s="14" t="n">
        <f aca="false">F159-F165-F170</f>
        <v>2.65769338150635</v>
      </c>
      <c r="G175" s="14" t="n">
        <f aca="false">E175+F175</f>
        <v>7.86869338150635</v>
      </c>
      <c r="H175" s="14" t="n">
        <f aca="false">H159-H165-H170</f>
        <v>13.5266647544138</v>
      </c>
      <c r="I175" s="14" t="n">
        <f aca="false">I159-I165-I170</f>
        <v>18.0119707238053</v>
      </c>
      <c r="J175" s="14" t="n">
        <f aca="false">J159-J165-J170</f>
        <v>21.4223249593495</v>
      </c>
      <c r="K175" s="14" t="n">
        <f aca="false">K159-K165-K170</f>
        <v>21.9927920721558</v>
      </c>
      <c r="L175" s="14" t="n">
        <f aca="false">L159-L165-L170</f>
        <v>21.8907196688874</v>
      </c>
      <c r="M175" s="14" t="n">
        <f aca="false">M159-M165-M170</f>
        <v>21.5758857024997</v>
      </c>
    </row>
    <row r="176" customFormat="false" ht="17.15" hidden="false" customHeight="false" outlineLevel="0" collapsed="false">
      <c r="A176" s="5" t="s">
        <v>859</v>
      </c>
      <c r="B176" s="7" t="s">
        <v>95</v>
      </c>
      <c r="C176" s="14" t="n">
        <f aca="false">Q!I23</f>
        <v>-6.355</v>
      </c>
      <c r="D176" s="14" t="n">
        <f aca="false">Q!G23</f>
        <v>-4.182</v>
      </c>
      <c r="E176" s="14" t="n">
        <f aca="false">Q!H23</f>
        <v>-3.295</v>
      </c>
      <c r="F176" s="14" t="n">
        <f aca="false">F162-F166-F171-F172</f>
        <v>0.216253284247524</v>
      </c>
      <c r="G176" s="14" t="n">
        <f aca="false">E176+F176</f>
        <v>-3.07874671575248</v>
      </c>
      <c r="H176" s="14" t="n">
        <f aca="false">H162-H166-H171-H172</f>
        <v>2.0694872710892</v>
      </c>
      <c r="I176" s="14" t="n">
        <f aca="false">I162-I166-I171-I172</f>
        <v>2.00897426483107</v>
      </c>
      <c r="J176" s="14" t="n">
        <f aca="false">J162-J166-J171-J172</f>
        <v>0.672933643848678</v>
      </c>
      <c r="K176" s="14" t="n">
        <f aca="false">K162-K166-K171-K172</f>
        <v>-6.79676131209648</v>
      </c>
      <c r="L176" s="14" t="n">
        <f aca="false">L162-L166-L171-L172</f>
        <v>-7.82576056822082</v>
      </c>
      <c r="M176" s="14" t="n">
        <f aca="false">M162-M166-M171-M172</f>
        <v>-7.95583621518233</v>
      </c>
    </row>
    <row r="177" customFormat="false" ht="15" hidden="false" customHeight="false" outlineLevel="0" collapsed="false">
      <c r="A177" s="4" t="s">
        <v>860</v>
      </c>
      <c r="B177" s="0" t="s">
        <v>95</v>
      </c>
      <c r="C177" s="14" t="n">
        <f aca="false">C174+C175+C176</f>
        <v>-2.589</v>
      </c>
      <c r="D177" s="14" t="n">
        <f aca="false">D174+D175+D176</f>
        <v>-1.216</v>
      </c>
      <c r="E177" s="14" t="n">
        <f aca="false">E174+E175+E176</f>
        <v>0.705</v>
      </c>
      <c r="F177" s="14" t="n">
        <f aca="false">F174+F175+F176</f>
        <v>2.47745765593971</v>
      </c>
      <c r="G177" s="14" t="n">
        <f aca="false">G174+G175+G176</f>
        <v>3.18245765593971</v>
      </c>
      <c r="H177" s="14" t="n">
        <f aca="false">H174+H175+H176</f>
        <v>14.1878439957844</v>
      </c>
      <c r="I177" s="14" t="n">
        <f aca="false">I174+I175+I176</f>
        <v>18.6192506907911</v>
      </c>
      <c r="J177" s="14" t="n">
        <f aca="false">J174+J175+J176</f>
        <v>20.8387801934814</v>
      </c>
      <c r="K177" s="14" t="n">
        <f aca="false">K174+K175+K176</f>
        <v>14.2488538761693</v>
      </c>
      <c r="L177" s="14" t="n">
        <f aca="false">L174+L175+L176</f>
        <v>13.1165230594554</v>
      </c>
      <c r="M177" s="14" t="n">
        <f aca="false">M174+M175+M176</f>
        <v>12.5472596691214</v>
      </c>
    </row>
    <row r="178" customFormat="false" ht="17.15" hidden="false" customHeight="false" outlineLevel="0" collapsed="false">
      <c r="A178" s="28" t="s">
        <v>861</v>
      </c>
      <c r="B178" s="30" t="s">
        <v>95</v>
      </c>
      <c r="C178" s="31" t="n">
        <f aca="false">Q!I24</f>
        <v>-2.589</v>
      </c>
      <c r="D178" s="31" t="n">
        <f aca="false">Q!G24</f>
        <v>-1.216</v>
      </c>
      <c r="E178" s="31" t="n">
        <f aca="false">Q!H24</f>
        <v>0.705</v>
      </c>
      <c r="F178" s="31" t="n">
        <f aca="false">F163-F167-F173</f>
        <v>2.47745765593971</v>
      </c>
      <c r="G178" s="31" t="n">
        <f aca="false">E178+F178</f>
        <v>3.18245765593971</v>
      </c>
      <c r="H178" s="31" t="n">
        <f aca="false">H163-H167-H173</f>
        <v>14.1878439957844</v>
      </c>
      <c r="I178" s="31" t="n">
        <f aca="false">I163-I167-I173</f>
        <v>18.6192506907911</v>
      </c>
      <c r="J178" s="31" t="n">
        <f aca="false">J163-J167-J173</f>
        <v>20.8387801934814</v>
      </c>
      <c r="K178" s="31" t="n">
        <f aca="false">K163-K167-K173</f>
        <v>14.2488538761693</v>
      </c>
      <c r="L178" s="31" t="n">
        <f aca="false">L163-L167-L173</f>
        <v>13.1165230594554</v>
      </c>
      <c r="M178" s="31" t="n">
        <f aca="false">M163-M167-M173</f>
        <v>12.5472596691214</v>
      </c>
      <c r="N178" s="32" t="s">
        <v>862</v>
      </c>
    </row>
    <row r="179" customFormat="false" ht="15" hidden="false" customHeight="false" outlineLevel="0" collapsed="false">
      <c r="A179" s="4" t="s">
        <v>837</v>
      </c>
      <c r="B179" s="0" t="s">
        <v>95</v>
      </c>
      <c r="C179" s="21" t="n">
        <f aca="false">C177-C178</f>
        <v>0</v>
      </c>
      <c r="D179" s="21" t="n">
        <f aca="false">D177-D178</f>
        <v>0</v>
      </c>
      <c r="E179" s="21" t="n">
        <f aca="false">E177-E178</f>
        <v>0</v>
      </c>
      <c r="F179" s="21" t="n">
        <f aca="false">F177-F178</f>
        <v>0</v>
      </c>
      <c r="G179" s="21" t="n">
        <f aca="false">G177-G178</f>
        <v>0</v>
      </c>
      <c r="H179" s="21" t="n">
        <f aca="false">H177-H178</f>
        <v>0</v>
      </c>
      <c r="I179" s="21" t="n">
        <f aca="false">I177-I178</f>
        <v>0</v>
      </c>
      <c r="J179" s="21" t="n">
        <f aca="false">J177-J178</f>
        <v>0</v>
      </c>
      <c r="K179" s="21" t="n">
        <f aca="false">K177-K178</f>
        <v>0</v>
      </c>
      <c r="L179" s="21" t="n">
        <f aca="false">L177-L178</f>
        <v>0</v>
      </c>
      <c r="M179" s="21" t="n">
        <f aca="false">M177-M178</f>
        <v>0</v>
      </c>
    </row>
    <row r="180" customFormat="false" ht="17.15" hidden="false" customHeight="false" outlineLevel="0" collapsed="false">
      <c r="A180" s="4" t="s">
        <v>863</v>
      </c>
      <c r="B180" s="0" t="s">
        <v>95</v>
      </c>
      <c r="F180" s="14" t="n">
        <f aca="false">Thesis!F65</f>
        <v>0.15498462747226</v>
      </c>
      <c r="G180" s="14" t="n">
        <f aca="false">F180</f>
        <v>0.15498462747226</v>
      </c>
      <c r="H180" s="14" t="n">
        <f aca="false">Thesis!H65</f>
        <v>3.87213951458636</v>
      </c>
      <c r="I180" s="14" t="n">
        <f aca="false">Thesis!I65</f>
        <v>9.28917295945503</v>
      </c>
      <c r="J180" s="14" t="n">
        <f aca="false">Thesis!J65</f>
        <v>14.2313375975862</v>
      </c>
      <c r="K180" s="14" t="n">
        <f aca="false">Thesis!K65</f>
        <v>17.9511086170591</v>
      </c>
      <c r="L180" s="14" t="n">
        <f aca="false">Thesis!L65</f>
        <v>20.4998199604909</v>
      </c>
      <c r="M180" s="14" t="n">
        <f aca="false">Thesis!M65</f>
        <v>21.9025990255673</v>
      </c>
    </row>
    <row r="181" customFormat="false" ht="17.15" hidden="false" customHeight="false" outlineLevel="0" collapsed="false">
      <c r="A181" s="2" t="s">
        <v>864</v>
      </c>
      <c r="B181" s="7" t="s">
        <v>95</v>
      </c>
      <c r="C181" s="14" t="n">
        <f aca="false">C178</f>
        <v>-2.589</v>
      </c>
      <c r="D181" s="14" t="n">
        <f aca="false">D178</f>
        <v>-1.216</v>
      </c>
      <c r="E181" s="14" t="n">
        <f aca="false">E178</f>
        <v>0.705</v>
      </c>
      <c r="F181" s="14" t="n">
        <f aca="false">F178+(internal_ai_reading=2)*F180</f>
        <v>2.63244228341197</v>
      </c>
      <c r="G181" s="14" t="n">
        <f aca="false">G178+(internal_ai_reading=2)*G180</f>
        <v>3.33744228341197</v>
      </c>
      <c r="H181" s="14" t="n">
        <f aca="false">H178+(internal_ai_reading=2)*H180</f>
        <v>18.0599835103708</v>
      </c>
      <c r="I181" s="14" t="n">
        <f aca="false">I178+(internal_ai_reading=2)*I180</f>
        <v>27.9084236502461</v>
      </c>
      <c r="J181" s="14" t="n">
        <f aca="false">J178+(internal_ai_reading=2)*J180</f>
        <v>35.0701177910676</v>
      </c>
      <c r="K181" s="14" t="n">
        <f aca="false">K178+(internal_ai_reading=2)*K180</f>
        <v>32.1999624932284</v>
      </c>
      <c r="L181" s="14" t="n">
        <f aca="false">L178+(internal_ai_reading=2)*L180</f>
        <v>33.6163430199462</v>
      </c>
      <c r="M181" s="14" t="n">
        <f aca="false">M178+(internal_ai_reading=2)*M180</f>
        <v>34.4498586946887</v>
      </c>
    </row>
    <row r="182" customFormat="false" ht="15" hidden="false" customHeight="false" outlineLevel="0" collapsed="false">
      <c r="A182" s="4" t="s">
        <v>865</v>
      </c>
      <c r="B182" s="0" t="s">
        <v>126</v>
      </c>
      <c r="C182" s="16" t="n">
        <f aca="false">C178/C150</f>
        <v>-0.138641962086323</v>
      </c>
      <c r="D182" s="16" t="n">
        <f aca="false">D178/D150</f>
        <v>-0.0886685139273735</v>
      </c>
      <c r="E182" s="16" t="n">
        <f aca="false">E178/E150</f>
        <v>0.0260310896134106</v>
      </c>
      <c r="F182" s="16" t="n">
        <f aca="false">F178/F150</f>
        <v>0.149833260491946</v>
      </c>
      <c r="G182" s="16" t="n">
        <f aca="false">G178/G150</f>
        <v>0.0729624202990141</v>
      </c>
      <c r="H182" s="16" t="n">
        <f aca="false">H178/H150</f>
        <v>0.168737371220239</v>
      </c>
      <c r="I182" s="16" t="n">
        <f aca="false">I178/I150</f>
        <v>0.165476895839247</v>
      </c>
      <c r="J182" s="16" t="n">
        <f aca="false">J178/J150</f>
        <v>0.157543666511807</v>
      </c>
      <c r="K182" s="16" t="n">
        <f aca="false">K178/K150</f>
        <v>0.102040071550347</v>
      </c>
      <c r="L182" s="16" t="n">
        <f aca="false">L178/L150</f>
        <v>0.0846899747513185</v>
      </c>
      <c r="M182" s="16" t="n">
        <f aca="false">M178/M150</f>
        <v>0.0748230325936232</v>
      </c>
    </row>
    <row r="183" customFormat="false" ht="17.15" hidden="false" customHeight="false" outlineLevel="0" collapsed="false">
      <c r="A183" s="0" t="s">
        <v>866</v>
      </c>
      <c r="B183" s="0" t="s">
        <v>126</v>
      </c>
      <c r="C183" s="16" t="n">
        <f aca="false">C176/C149</f>
        <v>-1.98531708840987</v>
      </c>
      <c r="D183" s="16" t="n">
        <f aca="false">D176/D149</f>
        <v>-1.83582089552239</v>
      </c>
      <c r="E183" s="16" t="n">
        <f aca="false">E176/E149</f>
        <v>-0.301215833257153</v>
      </c>
      <c r="F183" s="16" t="n">
        <f aca="false">F176/F149</f>
        <v>0.0231922251033073</v>
      </c>
      <c r="G183" s="16" t="n">
        <f aca="false">G176/G149</f>
        <v>-0.15193643109589</v>
      </c>
      <c r="H183" s="16" t="n">
        <f aca="false">H176/H149</f>
        <v>0.0408494873024488</v>
      </c>
      <c r="I183" s="16" t="n">
        <f aca="false">I176/I149</f>
        <v>0.0283668720397097</v>
      </c>
      <c r="J183" s="16" t="n">
        <f aca="false">J176/J149</f>
        <v>0.00807745350341274</v>
      </c>
      <c r="K183" s="16" t="n">
        <f aca="false">K176/K149</f>
        <v>-0.0792006196646353</v>
      </c>
      <c r="L183" s="16" t="n">
        <f aca="false">L176/L149</f>
        <v>-0.0812424595786603</v>
      </c>
      <c r="M183" s="16" t="n">
        <f aca="false">M176/M149</f>
        <v>-0.0761504602555711</v>
      </c>
    </row>
    <row r="184" customFormat="false" ht="17.15" hidden="false" customHeight="false" outlineLevel="0" collapsed="false">
      <c r="A184" s="4" t="s">
        <v>867</v>
      </c>
      <c r="B184" s="0" t="s">
        <v>126</v>
      </c>
      <c r="C184" s="16" t="n">
        <f aca="false">C163/C150</f>
        <v>0.352575773803149</v>
      </c>
      <c r="D184" s="16" t="n">
        <f aca="false">D163/D150</f>
        <v>0.372830683972583</v>
      </c>
      <c r="E184" s="16" t="n">
        <f aca="false">E163/E150</f>
        <v>0.497507661632759</v>
      </c>
      <c r="F184" s="16" t="n">
        <f aca="false">F163/F150</f>
        <v>0.594841576952384</v>
      </c>
      <c r="G184" s="16" t="n">
        <f aca="false">G163/G150</f>
        <v>0.534405319681676</v>
      </c>
      <c r="H184" s="16" t="n">
        <f aca="false">H163/H150</f>
        <v>0.615413643651806</v>
      </c>
      <c r="I184" s="16" t="n">
        <f aca="false">I163/I150</f>
        <v>0.62099680209828</v>
      </c>
      <c r="J184" s="16" t="n">
        <f aca="false">J163/J150</f>
        <v>0.606075497407369</v>
      </c>
      <c r="K184" s="16" t="n">
        <f aca="false">K163/K150</f>
        <v>0.57879838529482</v>
      </c>
      <c r="L184" s="16" t="n">
        <f aca="false">L163/L150</f>
        <v>0.57642664740076</v>
      </c>
      <c r="M184" s="16" t="n">
        <f aca="false">M163/M150</f>
        <v>0.569624808063751</v>
      </c>
    </row>
    <row r="185" customFormat="false" ht="17.15" hidden="false" customHeight="false" outlineLevel="0" collapsed="false">
      <c r="A185" s="4" t="s">
        <v>868</v>
      </c>
      <c r="B185" s="0" t="s">
        <v>95</v>
      </c>
      <c r="F185" s="27" t="n">
        <f aca="false">r_cash*CF!F96*0.25</f>
        <v>0.826666</v>
      </c>
      <c r="G185" s="27" t="n">
        <f aca="false">F185</f>
        <v>0.826666</v>
      </c>
      <c r="H185" s="27" t="n">
        <f aca="false">r_cash*CF!H96*1</f>
        <v>2.91623292013578</v>
      </c>
      <c r="I185" s="27" t="n">
        <f aca="false">r_cash*CF!I96*1</f>
        <v>1.3117490181124</v>
      </c>
      <c r="J185" s="27" t="n">
        <f aca="false">r_cash*CF!J96*1</f>
        <v>1.104</v>
      </c>
      <c r="K185" s="27" t="n">
        <f aca="false">r_cash*CF!K96*1</f>
        <v>1.104</v>
      </c>
      <c r="L185" s="27" t="n">
        <f aca="false">r_cash*CF!L96*1</f>
        <v>1.4227163931146</v>
      </c>
      <c r="M185" s="27" t="n">
        <f aca="false">r_cash*CF!M96*1</f>
        <v>1.88787223054151</v>
      </c>
    </row>
    <row r="186" customFormat="false" ht="17.15" hidden="false" customHeight="false" outlineLevel="0" collapsed="false">
      <c r="A186" s="4" t="s">
        <v>869</v>
      </c>
      <c r="B186" s="0" t="s">
        <v>95</v>
      </c>
      <c r="F186" s="27" t="n">
        <f aca="false">r_debt*CF!F102*0.25</f>
        <v>0.6746065</v>
      </c>
      <c r="G186" s="27" t="n">
        <f aca="false">F186</f>
        <v>0.6746065</v>
      </c>
      <c r="H186" s="27" t="n">
        <f aca="false">r_debt*CF!H102*1</f>
        <v>2.7758276653</v>
      </c>
      <c r="I186" s="27" t="n">
        <f aca="false">r_debt*CF!I102*1</f>
        <v>3.08142976777101</v>
      </c>
      <c r="J186" s="27" t="n">
        <f aca="false">r_debt*CF!J102*1</f>
        <v>4.74456979385288</v>
      </c>
      <c r="K186" s="27" t="n">
        <f aca="false">r_debt*CF!K102*1</f>
        <v>5.04365657919435</v>
      </c>
      <c r="L186" s="27" t="n">
        <f aca="false">r_debt*CF!L102*1</f>
        <v>5.10754901076228</v>
      </c>
      <c r="M186" s="27" t="n">
        <f aca="false">r_debt*CF!M102*1</f>
        <v>5.08644509915422</v>
      </c>
    </row>
    <row r="187" customFormat="false" ht="17.15" hidden="false" customHeight="false" outlineLevel="0" collapsed="false">
      <c r="A187" s="4" t="s">
        <v>870</v>
      </c>
      <c r="B187" s="0" t="s">
        <v>95</v>
      </c>
      <c r="D187" s="14" t="n">
        <f aca="false">Q!G69</f>
        <v>0.342</v>
      </c>
      <c r="E187" s="14" t="n">
        <f aca="false">Q!H69</f>
        <v>-0.937</v>
      </c>
      <c r="F187" s="6" t="n">
        <v>0</v>
      </c>
      <c r="G187" s="14" t="n">
        <f aca="false">E187+F187</f>
        <v>-0.937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7" t="s">
        <v>871</v>
      </c>
    </row>
    <row r="188" customFormat="false" ht="15" hidden="false" customHeight="false" outlineLevel="0" collapsed="false">
      <c r="A188" s="4" t="s">
        <v>657</v>
      </c>
      <c r="B188" s="0" t="s">
        <v>95</v>
      </c>
      <c r="D188" s="14" t="n">
        <f aca="false">D178+Q!G67+Q!G68+D187</f>
        <v>-1.876</v>
      </c>
      <c r="E188" s="14" t="n">
        <f aca="false">E178+Q!H67+Q!H68+E187</f>
        <v>-0.774</v>
      </c>
      <c r="F188" s="14" t="n">
        <f aca="false">F178+F185-F186+F187</f>
        <v>2.62951715593971</v>
      </c>
      <c r="G188" s="14" t="n">
        <f aca="false">E188+F188</f>
        <v>1.85551715593971</v>
      </c>
      <c r="H188" s="14" t="n">
        <f aca="false">H178+H185-H186+H187</f>
        <v>14.3282492506202</v>
      </c>
      <c r="I188" s="14" t="n">
        <f aca="false">I178+I185-I186+I187</f>
        <v>16.8495699411325</v>
      </c>
      <c r="J188" s="14" t="n">
        <f aca="false">J178+J185-J186+J187</f>
        <v>17.1982103996286</v>
      </c>
      <c r="K188" s="14" t="n">
        <f aca="false">K178+K185-K186+K187</f>
        <v>10.3091972969749</v>
      </c>
      <c r="L188" s="14" t="n">
        <f aca="false">L178+L185-L186+L187</f>
        <v>9.43169044180772</v>
      </c>
      <c r="M188" s="14" t="n">
        <f aca="false">M178+M185-M186+M187</f>
        <v>9.34868680050869</v>
      </c>
    </row>
    <row r="189" customFormat="false" ht="15" hidden="false" customHeight="false" outlineLevel="0" collapsed="false">
      <c r="A189" s="4" t="s">
        <v>872</v>
      </c>
      <c r="B189" s="0" t="s">
        <v>95</v>
      </c>
      <c r="D189" s="14" t="n">
        <f aca="false">Q!G72</f>
        <v>0.714</v>
      </c>
      <c r="E189" s="14" t="n">
        <f aca="false">Q!H72</f>
        <v>-0.361</v>
      </c>
      <c r="F189" s="14" t="n">
        <f aca="false">F188*tax</f>
        <v>0.315542058712765</v>
      </c>
      <c r="G189" s="14" t="n">
        <f aca="false">E189+F189</f>
        <v>-0.0454579412872352</v>
      </c>
      <c r="H189" s="14" t="n">
        <f aca="false">H188*tax</f>
        <v>1.71938991007442</v>
      </c>
      <c r="I189" s="14" t="n">
        <f aca="false">I188*tax</f>
        <v>2.0219483929359</v>
      </c>
      <c r="J189" s="14" t="n">
        <f aca="false">J188*tax</f>
        <v>2.06378524795543</v>
      </c>
      <c r="K189" s="14" t="n">
        <f aca="false">K188*tax</f>
        <v>1.23710367563699</v>
      </c>
      <c r="L189" s="14" t="n">
        <f aca="false">L188*tax</f>
        <v>1.13180285301693</v>
      </c>
      <c r="M189" s="14" t="n">
        <f aca="false">M188*tax</f>
        <v>1.12184241606104</v>
      </c>
    </row>
    <row r="190" customFormat="false" ht="15" hidden="false" customHeight="false" outlineLevel="0" collapsed="false">
      <c r="A190" s="2" t="s">
        <v>873</v>
      </c>
      <c r="B190" s="7" t="s">
        <v>95</v>
      </c>
      <c r="D190" s="14" t="n">
        <f aca="false">D188-D189</f>
        <v>-2.59</v>
      </c>
      <c r="E190" s="14" t="n">
        <f aca="false">E188-E189</f>
        <v>-0.413</v>
      </c>
      <c r="F190" s="14" t="n">
        <f aca="false">F188-F189</f>
        <v>2.31397509722694</v>
      </c>
      <c r="G190" s="14" t="n">
        <f aca="false">G188-G189</f>
        <v>1.90097509722694</v>
      </c>
      <c r="H190" s="14" t="n">
        <f aca="false">H188-H189</f>
        <v>12.6088593405458</v>
      </c>
      <c r="I190" s="14" t="n">
        <f aca="false">I188-I189</f>
        <v>14.8276215481966</v>
      </c>
      <c r="J190" s="14" t="n">
        <f aca="false">J188-J189</f>
        <v>15.1344251516731</v>
      </c>
      <c r="K190" s="14" t="n">
        <f aca="false">K188-K189</f>
        <v>9.07209362133795</v>
      </c>
      <c r="L190" s="14" t="n">
        <f aca="false">L188-L189</f>
        <v>8.29988758879079</v>
      </c>
      <c r="M190" s="14" t="n">
        <f aca="false">M188-M189</f>
        <v>8.22684438444765</v>
      </c>
    </row>
    <row r="191" customFormat="false" ht="17.15" hidden="false" customHeight="false" outlineLevel="0" collapsed="false">
      <c r="A191" s="4" t="s">
        <v>874</v>
      </c>
      <c r="B191" s="0" t="s">
        <v>95</v>
      </c>
      <c r="D191" s="21" t="n">
        <f aca="false">D190-Q!G73</f>
        <v>0</v>
      </c>
      <c r="E191" s="21" t="n">
        <f aca="false">E190-Q!H73</f>
        <v>0</v>
      </c>
    </row>
    <row r="192" customFormat="false" ht="15" hidden="false" customHeight="false" outlineLevel="0" collapsed="false">
      <c r="A192" s="4" t="s">
        <v>875</v>
      </c>
      <c r="B192" s="0" t="s">
        <v>95</v>
      </c>
      <c r="E192" s="14" t="n">
        <f aca="false">deemed_1H</f>
        <v>0.671</v>
      </c>
      <c r="F192" s="6" t="n">
        <v>0</v>
      </c>
      <c r="G192" s="14" t="n">
        <f aca="false">E192+F192</f>
        <v>0.671</v>
      </c>
      <c r="H192" s="6" t="n">
        <v>0</v>
      </c>
      <c r="I192" s="6" t="n">
        <v>0</v>
      </c>
      <c r="J192" s="6" t="n">
        <v>0</v>
      </c>
      <c r="K192" s="6" t="n">
        <v>0</v>
      </c>
      <c r="L192" s="6" t="n">
        <v>0</v>
      </c>
      <c r="M192" s="6" t="n">
        <v>0</v>
      </c>
    </row>
    <row r="193" customFormat="false" ht="15" hidden="false" customHeight="false" outlineLevel="0" collapsed="false">
      <c r="A193" s="4" t="s">
        <v>876</v>
      </c>
      <c r="B193" s="0" t="s">
        <v>95</v>
      </c>
      <c r="E193" s="14" t="n">
        <f aca="false">E190-E192</f>
        <v>-1.084</v>
      </c>
      <c r="F193" s="14" t="n">
        <f aca="false">F190-F192</f>
        <v>2.31397509722694</v>
      </c>
      <c r="G193" s="14" t="n">
        <f aca="false">G190-G192</f>
        <v>1.22997509722694</v>
      </c>
      <c r="H193" s="14" t="n">
        <f aca="false">H190-H192</f>
        <v>12.6088593405458</v>
      </c>
      <c r="I193" s="14" t="n">
        <f aca="false">I190-I192</f>
        <v>14.8276215481966</v>
      </c>
      <c r="J193" s="14" t="n">
        <f aca="false">J190-J192</f>
        <v>15.1344251516731</v>
      </c>
      <c r="K193" s="14" t="n">
        <f aca="false">K190-K192</f>
        <v>9.07209362133795</v>
      </c>
      <c r="L193" s="14" t="n">
        <f aca="false">L190-L192</f>
        <v>8.29988758879079</v>
      </c>
      <c r="M193" s="14" t="n">
        <f aca="false">M190-M192</f>
        <v>8.22684438444765</v>
      </c>
    </row>
    <row r="194" customFormat="false" ht="17.15" hidden="false" customHeight="false" outlineLevel="0" collapsed="false">
      <c r="A194" s="4" t="s">
        <v>877</v>
      </c>
      <c r="B194" s="4" t="s">
        <v>65</v>
      </c>
      <c r="E194" s="21" t="n">
        <f aca="false">sh_out</f>
        <v>13.581064</v>
      </c>
      <c r="F194" s="21" t="n">
        <f aca="false">E194*(1+dil*0.25)</f>
        <v>13.61501666</v>
      </c>
      <c r="H194" s="21" t="n">
        <f aca="false">F194*(1+dil*1)</f>
        <v>13.7511668266</v>
      </c>
      <c r="I194" s="21" t="n">
        <f aca="false">H194*(1+dil*1)</f>
        <v>13.888678494866</v>
      </c>
      <c r="J194" s="21" t="n">
        <f aca="false">I194*(1+dil*1)</f>
        <v>14.0275652798147</v>
      </c>
      <c r="K194" s="21" t="n">
        <f aca="false">J194*(1+dil*1)</f>
        <v>14.1678409326128</v>
      </c>
      <c r="L194" s="21" t="n">
        <f aca="false">K194*(1+dil*1)</f>
        <v>14.3095193419389</v>
      </c>
      <c r="M194" s="21" t="n">
        <f aca="false">L194*(1+dil*1)</f>
        <v>14.4526145353583</v>
      </c>
      <c r="N194" s="7" t="s">
        <v>878</v>
      </c>
    </row>
    <row r="195" customFormat="false" ht="17.15" hidden="false" customHeight="false" outlineLevel="0" collapsed="false">
      <c r="A195" s="4" t="s">
        <v>879</v>
      </c>
      <c r="B195" s="4" t="s">
        <v>65</v>
      </c>
      <c r="E195" s="21" t="n">
        <f aca="false">sh_dil_1H</f>
        <v>7.274</v>
      </c>
      <c r="F195" s="21" t="n">
        <f aca="false">(E194+F194)/2</f>
        <v>13.59804033</v>
      </c>
      <c r="G195" s="21" t="n">
        <f aca="false">0.75*E195+0.25*F195</f>
        <v>8.8550100825</v>
      </c>
      <c r="H195" s="21" t="n">
        <f aca="false">(F194+H194)/2</f>
        <v>13.6830917433</v>
      </c>
      <c r="I195" s="21" t="n">
        <f aca="false">(H194+I194)/2</f>
        <v>13.819922660733</v>
      </c>
      <c r="J195" s="21" t="n">
        <f aca="false">(I194+J194)/2</f>
        <v>13.9581218873403</v>
      </c>
      <c r="K195" s="21" t="n">
        <f aca="false">(J194+K194)/2</f>
        <v>14.0977031062137</v>
      </c>
      <c r="L195" s="21" t="n">
        <f aca="false">(K194+L194)/2</f>
        <v>14.2386801372759</v>
      </c>
      <c r="M195" s="21" t="n">
        <f aca="false">(L194+M194)/2</f>
        <v>14.3810669386486</v>
      </c>
      <c r="N195" s="7" t="s">
        <v>880</v>
      </c>
    </row>
    <row r="196" customFormat="false" ht="17.15" hidden="false" customHeight="false" outlineLevel="0" collapsed="false">
      <c r="A196" s="5" t="s">
        <v>881</v>
      </c>
      <c r="B196" s="7" t="s">
        <v>54</v>
      </c>
      <c r="E196" s="17" t="n">
        <f aca="false">E193/E195</f>
        <v>-0.149023920813858</v>
      </c>
      <c r="F196" s="17" t="n">
        <f aca="false">F193/F195</f>
        <v>0.170169748071849</v>
      </c>
      <c r="G196" s="17" t="n">
        <f aca="false">G193/G195</f>
        <v>0.138901603246926</v>
      </c>
      <c r="H196" s="17" t="n">
        <f aca="false">H193/H195</f>
        <v>0.921491982739923</v>
      </c>
      <c r="I196" s="17" t="n">
        <f aca="false">I193/I195</f>
        <v>1.07291639122748</v>
      </c>
      <c r="J196" s="17" t="n">
        <f aca="false">J193/J195</f>
        <v>1.08427374927852</v>
      </c>
      <c r="K196" s="17" t="n">
        <f aca="false">K193/K195</f>
        <v>0.643515724014596</v>
      </c>
      <c r="L196" s="17" t="n">
        <f aca="false">L193/L195</f>
        <v>0.582911302787276</v>
      </c>
      <c r="M196" s="17" t="n">
        <f aca="false">M193/M195</f>
        <v>0.572060780993814</v>
      </c>
    </row>
    <row r="197" customFormat="false" ht="17.15" hidden="false" customHeight="false" outlineLevel="0" collapsed="false">
      <c r="A197" s="0" t="s">
        <v>882</v>
      </c>
      <c r="B197" s="0" t="s">
        <v>54</v>
      </c>
      <c r="F197" s="17" t="n">
        <f aca="false">(F193+(internal_ai_reading=2)*F180*(1-tax))/F195</f>
        <v>0.180199610380368</v>
      </c>
      <c r="G197" s="17" t="n">
        <f aca="false">(G193+(internal_ai_reading=2)*G180*(1-tax))/G195</f>
        <v>0.154303784713114</v>
      </c>
      <c r="H197" s="17" t="n">
        <f aca="false">(H193+(internal_ai_reading=2)*H180*(1-tax))/H195</f>
        <v>1.17052069911205</v>
      </c>
      <c r="I197" s="17" t="n">
        <f aca="false">(I193+(internal_ai_reading=2)*I180*(1-tax))/I195</f>
        <v>1.66441551933381</v>
      </c>
      <c r="J197" s="17" t="n">
        <f aca="false">(J193+(internal_ai_reading=2)*J180*(1-tax))/J195</f>
        <v>1.98149883349522</v>
      </c>
      <c r="K197" s="17" t="n">
        <f aca="false">(K193+(internal_ai_reading=2)*K180*(1-tax))/K195</f>
        <v>1.76405113776219</v>
      </c>
      <c r="L197" s="17" t="n">
        <f aca="false">(L193+(internal_ai_reading=2)*L180*(1-tax))/L195</f>
        <v>1.84987154006411</v>
      </c>
      <c r="M197" s="17" t="n">
        <f aca="false">(M193+(internal_ai_reading=2)*M180*(1-tax))/M195</f>
        <v>1.91231510459342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883</v>
      </c>
    </row>
    <row r="2" customFormat="false" ht="17.15" hidden="false" customHeight="false" outlineLevel="0" collapsed="false">
      <c r="A2" s="0" t="s">
        <v>884</v>
      </c>
    </row>
    <row r="4" customFormat="false" ht="17.15" hidden="false" customHeight="false" outlineLevel="0" collapsed="false">
      <c r="A4" s="2" t="s">
        <v>885</v>
      </c>
    </row>
    <row r="5" customFormat="false" ht="17.15" hidden="false" customHeight="false" outlineLevel="0" collapsed="false">
      <c r="A5" s="3" t="s">
        <v>43</v>
      </c>
      <c r="B5" s="3" t="s">
        <v>886</v>
      </c>
      <c r="C5" s="3" t="s">
        <v>887</v>
      </c>
      <c r="D5" s="3" t="s">
        <v>888</v>
      </c>
      <c r="E5" s="3" t="s">
        <v>50</v>
      </c>
    </row>
    <row r="6" customFormat="false" ht="17.15" hidden="false" customHeight="false" outlineLevel="0" collapsed="false">
      <c r="A6" s="4" t="s">
        <v>889</v>
      </c>
      <c r="B6" s="33" t="n">
        <f aca="false">SUM(G30:K30)</f>
        <v>-55.4829884713393</v>
      </c>
      <c r="C6" s="33" t="n">
        <f aca="false">SUM(G61:K61)</f>
        <v>-96.9372698258872</v>
      </c>
      <c r="D6" s="33" t="n">
        <f aca="false">SUM(G92:K92)</f>
        <v>-127.381538458709</v>
      </c>
      <c r="E6" s="4" t="s">
        <v>890</v>
      </c>
    </row>
    <row r="7" customFormat="false" ht="17.15" hidden="false" customHeight="false" outlineLevel="0" collapsed="false">
      <c r="A7" s="4" t="s">
        <v>891</v>
      </c>
      <c r="B7" s="33" t="n">
        <f aca="false">SUM(G29:K29)</f>
        <v>-12.219541713011</v>
      </c>
      <c r="C7" s="33" t="n">
        <f aca="false">SUM(G60:K60)</f>
        <v>-53.6738230675589</v>
      </c>
      <c r="D7" s="33" t="n">
        <f aca="false">SUM(G91:K91)</f>
        <v>-84.1180917003807</v>
      </c>
      <c r="E7" s="4" t="s">
        <v>892</v>
      </c>
    </row>
    <row r="8" customFormat="false" ht="15" hidden="false" customHeight="false" outlineLevel="0" collapsed="false">
      <c r="A8" s="4" t="s">
        <v>893</v>
      </c>
      <c r="B8" s="33" t="n">
        <f aca="false">SUM(G37:K37)</f>
        <v>4.82261079379141</v>
      </c>
      <c r="C8" s="33" t="n">
        <f aca="false">SUM(G68:K68)</f>
        <v>13.0736829333145</v>
      </c>
      <c r="D8" s="33" t="n">
        <f aca="false">SUM(G99:K99)</f>
        <v>21.2938632524079</v>
      </c>
    </row>
    <row r="9" customFormat="false" ht="17.15" hidden="false" customHeight="false" outlineLevel="0" collapsed="false">
      <c r="A9" s="4" t="s">
        <v>894</v>
      </c>
      <c r="B9" s="33" t="n">
        <f aca="false">K42</f>
        <v>38.6220115286606</v>
      </c>
      <c r="C9" s="33" t="n">
        <f aca="false">K73</f>
        <v>-2.83226982588725</v>
      </c>
      <c r="D9" s="33" t="n">
        <f aca="false">K104</f>
        <v>-33.2765384587091</v>
      </c>
    </row>
    <row r="10" customFormat="false" ht="15" hidden="false" customHeight="false" outlineLevel="0" collapsed="false">
      <c r="A10" s="4" t="s">
        <v>895</v>
      </c>
      <c r="B10" s="0" t="str">
        <f aca="false">IF(B8&gt;0.001,"需要舉債","不需舉債（IPO 現金足以支應）")</f>
        <v>需要舉債</v>
      </c>
      <c r="C10" s="0" t="str">
        <f aca="false">IF(C8&gt;0.001,"需要舉債","不需舉債（IPO 現金足以支應）")</f>
        <v>需要舉債</v>
      </c>
      <c r="D10" s="0" t="str">
        <f aca="false">IF(D8&gt;0.001,"需要舉債","不需舉債（IPO 現金足以支應）")</f>
        <v>需要舉債</v>
      </c>
    </row>
    <row r="11" customFormat="false" ht="17.15" hidden="false" customHeight="false" outlineLevel="0" collapsed="false">
      <c r="A11" s="4" t="s">
        <v>896</v>
      </c>
      <c r="B11" s="21" t="n">
        <f aca="false">B6-(G30+H30+I30+J30+K30)</f>
        <v>0</v>
      </c>
      <c r="C11" s="21" t="n">
        <f aca="false">C6-(G61+H61+I61+J61+K61)</f>
        <v>0</v>
      </c>
      <c r="D11" s="21" t="n">
        <f aca="false">D6-(G92+H92+I92+J92+K92)</f>
        <v>0</v>
      </c>
    </row>
    <row r="13" customFormat="false" ht="17.15" hidden="false" customHeight="false" outlineLevel="0" collapsed="false">
      <c r="A13" s="28" t="s">
        <v>798</v>
      </c>
    </row>
    <row r="14" customFormat="false" ht="15" hidden="false" customHeight="false" outlineLevel="0" collapsed="false">
      <c r="A14" s="3" t="s">
        <v>43</v>
      </c>
      <c r="B14" s="3" t="s">
        <v>44</v>
      </c>
      <c r="C14" s="20" t="s">
        <v>592</v>
      </c>
      <c r="D14" s="20" t="s">
        <v>731</v>
      </c>
      <c r="E14" s="20" t="s">
        <v>732</v>
      </c>
      <c r="F14" s="20" t="s">
        <v>733</v>
      </c>
      <c r="G14" s="20" t="s">
        <v>734</v>
      </c>
      <c r="H14" s="20" t="s">
        <v>735</v>
      </c>
      <c r="I14" s="20" t="s">
        <v>736</v>
      </c>
      <c r="J14" s="20" t="s">
        <v>737</v>
      </c>
      <c r="K14" s="20" t="s">
        <v>738</v>
      </c>
      <c r="L14" s="20" t="s">
        <v>739</v>
      </c>
      <c r="M14" s="20" t="s">
        <v>740</v>
      </c>
      <c r="N14" s="3" t="s">
        <v>50</v>
      </c>
    </row>
    <row r="15" customFormat="false" ht="15" hidden="false" customHeight="false" outlineLevel="0" collapsed="false">
      <c r="A15" s="4" t="s">
        <v>873</v>
      </c>
      <c r="B15" s="0" t="s">
        <v>95</v>
      </c>
      <c r="E15" s="14" t="n">
        <f aca="false">PL!E66</f>
        <v>-0.413</v>
      </c>
      <c r="F15" s="14" t="n">
        <f aca="false">PL!F66</f>
        <v>2.31397509722694</v>
      </c>
      <c r="G15" s="14" t="n">
        <f aca="false">PL!G66</f>
        <v>1.90097509722694</v>
      </c>
      <c r="H15" s="14" t="n">
        <f aca="false">PL!H66</f>
        <v>15.936747733745</v>
      </c>
      <c r="I15" s="14" t="n">
        <f aca="false">PL!I66</f>
        <v>25.43975193915</v>
      </c>
      <c r="J15" s="14" t="n">
        <f aca="false">PL!J66</f>
        <v>36.2308082152067</v>
      </c>
      <c r="K15" s="14" t="n">
        <f aca="false">PL!K66</f>
        <v>41.881185303258</v>
      </c>
      <c r="L15" s="14" t="n">
        <f aca="false">PL!L66</f>
        <v>45.8105113357824</v>
      </c>
      <c r="M15" s="14" t="n">
        <f aca="false">PL!M66</f>
        <v>48.9956064990691</v>
      </c>
    </row>
    <row r="16" customFormat="false" ht="15" hidden="false" customHeight="false" outlineLevel="0" collapsed="false">
      <c r="A16" s="4" t="s">
        <v>667</v>
      </c>
      <c r="B16" s="0" t="s">
        <v>95</v>
      </c>
      <c r="E16" s="14" t="n">
        <f aca="false">PL!E43</f>
        <v>8.934</v>
      </c>
      <c r="F16" s="14" t="n">
        <f aca="false">PL!F43</f>
        <v>3.95984768575553</v>
      </c>
      <c r="G16" s="14" t="n">
        <f aca="false">PL!G43</f>
        <v>12.8938476857555</v>
      </c>
      <c r="H16" s="14" t="n">
        <f aca="false">PL!H43</f>
        <v>22.3946105102166</v>
      </c>
      <c r="I16" s="14" t="n">
        <f aca="false">PL!I43</f>
        <v>33.7607096744559</v>
      </c>
      <c r="J16" s="14" t="n">
        <f aca="false">PL!J43</f>
        <v>45.5197401080406</v>
      </c>
      <c r="K16" s="14" t="n">
        <f aca="false">PL!K43</f>
        <v>56.0460105356152</v>
      </c>
      <c r="L16" s="14" t="n">
        <f aca="false">PL!L43</f>
        <v>64.8020407856849</v>
      </c>
      <c r="M16" s="14" t="n">
        <f aca="false">PL!M43</f>
        <v>71.1335407902689</v>
      </c>
    </row>
    <row r="17" customFormat="false" ht="17.15" hidden="false" customHeight="false" outlineLevel="0" collapsed="false">
      <c r="A17" s="4" t="s">
        <v>897</v>
      </c>
      <c r="B17" s="0" t="s">
        <v>95</v>
      </c>
      <c r="E17" s="14" t="n">
        <f aca="false">PL!E49</f>
        <v>3.835</v>
      </c>
      <c r="F17" s="14" t="n">
        <f aca="false">PL!F49</f>
        <v>3.39825996639031</v>
      </c>
      <c r="G17" s="14" t="n">
        <f aca="false">PL!G49</f>
        <v>7.23325996639031</v>
      </c>
      <c r="H17" s="14" t="n">
        <f aca="false">PL!H49</f>
        <v>15.5787578540327</v>
      </c>
      <c r="I17" s="14" t="n">
        <f aca="false">PL!I49</f>
        <v>18.9092631271394</v>
      </c>
      <c r="J17" s="14" t="n">
        <f aca="false">PL!J49</f>
        <v>16.749479398659</v>
      </c>
      <c r="K17" s="14" t="n">
        <f aca="false">PL!K49</f>
        <v>15.3159850576183</v>
      </c>
      <c r="L17" s="14" t="n">
        <f aca="false">PL!L49</f>
        <v>17.101697669756</v>
      </c>
      <c r="M17" s="14" t="n">
        <f aca="false">PL!M49</f>
        <v>18.4336351394014</v>
      </c>
    </row>
    <row r="18" customFormat="false" ht="17.15" hidden="false" customHeight="false" outlineLevel="0" collapsed="false">
      <c r="A18" s="4" t="s">
        <v>898</v>
      </c>
      <c r="B18" s="0" t="s">
        <v>95</v>
      </c>
      <c r="F18" s="14" t="n">
        <f aca="false">wc_k*(PL!F26-(Q!I17-Q!G17))</f>
        <v>0.32409340215753</v>
      </c>
      <c r="G18" s="14" t="n">
        <f aca="false">F18</f>
        <v>0.32409340215753</v>
      </c>
      <c r="H18" s="14" t="n">
        <f aca="false">wc_k*(PL!H26-PL!G26)</f>
        <v>1.26508365661163</v>
      </c>
      <c r="I18" s="14" t="n">
        <f aca="false">wc_k*(PL!I26-PL!H26)</f>
        <v>1.07927110956722</v>
      </c>
      <c r="J18" s="14" t="n">
        <f aca="false">wc_k*(PL!J26-PL!I26)</f>
        <v>0.927445475376896</v>
      </c>
      <c r="K18" s="14" t="n">
        <f aca="false">wc_k*(PL!K26-PL!J26)</f>
        <v>0.625438770337349</v>
      </c>
      <c r="L18" s="14" t="n">
        <f aca="false">wc_k*(PL!L26-PL!K26)</f>
        <v>0.583620528914241</v>
      </c>
      <c r="M18" s="14" t="n">
        <f aca="false">wc_k*(PL!M26-PL!L26)</f>
        <v>0.459291726959049</v>
      </c>
      <c r="N18" s="7" t="s">
        <v>899</v>
      </c>
    </row>
    <row r="19" customFormat="false" ht="17.15" hidden="false" customHeight="false" outlineLevel="0" collapsed="false">
      <c r="A19" s="4" t="s">
        <v>900</v>
      </c>
      <c r="B19" s="0" t="s">
        <v>95</v>
      </c>
      <c r="E19" s="14" t="n">
        <f aca="false">cfo_9m-E15-E16-E17</f>
        <v>0.741000000000001</v>
      </c>
      <c r="F19" s="6" t="n">
        <v>0</v>
      </c>
      <c r="G19" s="14" t="n">
        <f aca="false">E19+F19</f>
        <v>0.741000000000001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</row>
    <row r="20" customFormat="false" ht="15" hidden="false" customHeight="false" outlineLevel="0" collapsed="false">
      <c r="A20" s="2" t="s">
        <v>666</v>
      </c>
      <c r="B20" s="7" t="s">
        <v>95</v>
      </c>
      <c r="E20" s="14" t="n">
        <f aca="false">E15+E16+E17+N(E18)+E19</f>
        <v>13.097</v>
      </c>
      <c r="F20" s="14" t="n">
        <f aca="false">F15+F16+F17+N(F18)+F19</f>
        <v>9.99617615153031</v>
      </c>
      <c r="G20" s="14" t="n">
        <f aca="false">G15+G16+G17+N(G18)+G19</f>
        <v>23.0931761515303</v>
      </c>
      <c r="H20" s="14" t="n">
        <f aca="false">H15+H16+H17+N(H18)+H19</f>
        <v>55.1751997546059</v>
      </c>
      <c r="I20" s="14" t="n">
        <f aca="false">I15+I16+I17+N(I18)+I19</f>
        <v>79.1889958503125</v>
      </c>
      <c r="J20" s="14" t="n">
        <f aca="false">J15+J16+J17+N(J18)+J19</f>
        <v>99.4274731972832</v>
      </c>
      <c r="K20" s="14" t="n">
        <f aca="false">K15+K16+K17+N(K18)+K19</f>
        <v>113.868619666829</v>
      </c>
      <c r="L20" s="14" t="n">
        <f aca="false">L15+L16+L17+N(L18)+L19</f>
        <v>128.297870320138</v>
      </c>
      <c r="M20" s="14" t="n">
        <f aca="false">M15+M16+M17+N(M18)+M19</f>
        <v>139.022074155698</v>
      </c>
    </row>
    <row r="21" customFormat="false" ht="17.15" hidden="false" customHeight="false" outlineLevel="0" collapsed="false">
      <c r="A21" s="4" t="s">
        <v>827</v>
      </c>
      <c r="B21" s="0" t="s">
        <v>95</v>
      </c>
      <c r="E21" s="14" t="n">
        <f aca="false">Q!H35</f>
        <v>3.832</v>
      </c>
      <c r="F21" s="14" t="n">
        <f aca="false">Seg!F37</f>
        <v>1.47329168183201</v>
      </c>
      <c r="G21" s="14" t="n">
        <f aca="false">E21+F21</f>
        <v>5.30529168183201</v>
      </c>
      <c r="H21" s="14" t="n">
        <f aca="false">Seg!H37</f>
        <v>4.9481884248485</v>
      </c>
      <c r="I21" s="14" t="n">
        <f aca="false">Seg!I37</f>
        <v>4.09937779217283</v>
      </c>
      <c r="J21" s="14" t="n">
        <f aca="false">Seg!J37</f>
        <v>3.12135926532442</v>
      </c>
      <c r="K21" s="14" t="n">
        <f aca="false">Seg!K37</f>
        <v>1.98044627265693</v>
      </c>
      <c r="L21" s="14" t="n">
        <f aca="false">Seg!L37</f>
        <v>2.14092768017218</v>
      </c>
      <c r="M21" s="14" t="n">
        <f aca="false">Seg!M37</f>
        <v>2.31441432530341</v>
      </c>
    </row>
    <row r="22" customFormat="false" ht="17.15" hidden="false" customHeight="false" outlineLevel="0" collapsed="false">
      <c r="A22" s="4" t="s">
        <v>901</v>
      </c>
      <c r="B22" s="0" t="s">
        <v>95</v>
      </c>
      <c r="E22" s="14" t="n">
        <f aca="false">Q!H36</f>
        <v>4.242</v>
      </c>
      <c r="F22" s="14" t="n">
        <f aca="false">Seg!F38</f>
        <v>1.96358898339989</v>
      </c>
      <c r="G22" s="14" t="n">
        <f aca="false">E22+F22</f>
        <v>6.20558898339989</v>
      </c>
      <c r="H22" s="14" t="n">
        <f aca="false">Seg!H38</f>
        <v>9.79975379477163</v>
      </c>
      <c r="I22" s="14" t="n">
        <f aca="false">Seg!I38</f>
        <v>13.2992577505529</v>
      </c>
      <c r="J22" s="14" t="n">
        <f aca="false">Seg!J38</f>
        <v>16.3222449882786</v>
      </c>
      <c r="K22" s="14" t="n">
        <f aca="false">Seg!K38</f>
        <v>18.4189278073977</v>
      </c>
      <c r="L22" s="14" t="n">
        <f aca="false">Seg!L38</f>
        <v>20.3640233755505</v>
      </c>
      <c r="M22" s="14" t="n">
        <f aca="false">Seg!M38</f>
        <v>22.1911301095416</v>
      </c>
    </row>
    <row r="23" customFormat="false" ht="17.15" hidden="false" customHeight="false" outlineLevel="0" collapsed="false">
      <c r="A23" s="4" t="s">
        <v>902</v>
      </c>
      <c r="B23" s="0" t="s">
        <v>95</v>
      </c>
      <c r="E23" s="14" t="n">
        <f aca="false">Thesis!E44</f>
        <v>39.995</v>
      </c>
      <c r="F23" s="14" t="n">
        <f aca="false">Thesis!F44</f>
        <v>16.1658357</v>
      </c>
      <c r="G23" s="14" t="n">
        <f aca="false">Thesis!G44</f>
        <v>56.1608357</v>
      </c>
      <c r="H23" s="14" t="n">
        <f aca="false">Thesis!H44</f>
        <v>68.6263437408875</v>
      </c>
      <c r="I23" s="14" t="n">
        <f aca="false">Thesis!I44</f>
        <v>72.5893446817749</v>
      </c>
      <c r="J23" s="14" t="n">
        <f aca="false">Thesis!J44</f>
        <v>56.2357898893827</v>
      </c>
      <c r="K23" s="14" t="n">
        <f aca="false">Thesis!K44</f>
        <v>45.8602555602913</v>
      </c>
      <c r="L23" s="14" t="n">
        <f aca="false">Thesis!L44</f>
        <v>47.9597444440394</v>
      </c>
      <c r="M23" s="14" t="n">
        <f aca="false">Thesis!M44</f>
        <v>55.5854574017089</v>
      </c>
    </row>
    <row r="24" customFormat="false" ht="15" hidden="false" customHeight="false" outlineLevel="0" collapsed="false">
      <c r="A24" s="2" t="s">
        <v>903</v>
      </c>
      <c r="B24" s="7" t="s">
        <v>95</v>
      </c>
      <c r="E24" s="14" t="n">
        <f aca="false">E21+E22+E23</f>
        <v>48.069</v>
      </c>
      <c r="F24" s="14" t="n">
        <f aca="false">F21+F22+F23</f>
        <v>19.6027163652319</v>
      </c>
      <c r="G24" s="14" t="n">
        <f aca="false">G21+G22+G23</f>
        <v>67.6717163652319</v>
      </c>
      <c r="H24" s="14" t="n">
        <f aca="false">H21+H22+H23</f>
        <v>83.3742859605076</v>
      </c>
      <c r="I24" s="14" t="n">
        <f aca="false">I21+I22+I23</f>
        <v>89.9879802245007</v>
      </c>
      <c r="J24" s="14" t="n">
        <f aca="false">J21+J22+J23</f>
        <v>75.6793941429858</v>
      </c>
      <c r="K24" s="14" t="n">
        <f aca="false">K21+K22+K23</f>
        <v>66.2596296403459</v>
      </c>
      <c r="L24" s="14" t="n">
        <f aca="false">L21+L22+L23</f>
        <v>70.4646954997621</v>
      </c>
      <c r="M24" s="14" t="n">
        <f aca="false">M21+M22+M23</f>
        <v>80.0910018365538</v>
      </c>
    </row>
    <row r="25" customFormat="false" ht="17.15" hidden="false" customHeight="false" outlineLevel="0" collapsed="false">
      <c r="A25" s="4" t="s">
        <v>904</v>
      </c>
      <c r="B25" s="0" t="s">
        <v>95</v>
      </c>
      <c r="E25" s="21" t="n">
        <f aca="false">E24-capex_9m</f>
        <v>0</v>
      </c>
    </row>
    <row r="26" customFormat="false" ht="17.15" hidden="false" customHeight="false" outlineLevel="0" collapsed="false">
      <c r="A26" s="4" t="s">
        <v>905</v>
      </c>
      <c r="B26" s="0" t="s">
        <v>95</v>
      </c>
      <c r="E26" s="14" t="n">
        <f aca="false">Thesis!E45</f>
        <v>3.921</v>
      </c>
      <c r="F26" s="14" t="n">
        <f aca="false">Thesis!F45</f>
        <v>1.5851643</v>
      </c>
      <c r="G26" s="14" t="n">
        <f aca="false">Thesis!G45</f>
        <v>5.5061643</v>
      </c>
      <c r="H26" s="14" t="n">
        <f aca="false">Thesis!H45</f>
        <v>6.72925496438042</v>
      </c>
      <c r="I26" s="14" t="n">
        <f aca="false">Thesis!I45</f>
        <v>7.11785272876084</v>
      </c>
      <c r="J26" s="14" t="n">
        <f aca="false">Thesis!J45</f>
        <v>5.51428136282187</v>
      </c>
      <c r="K26" s="14" t="n">
        <f aca="false">Thesis!K45</f>
        <v>4.49689340236523</v>
      </c>
      <c r="L26" s="14" t="n">
        <f aca="false">Thesis!L45</f>
        <v>4.70276180833724</v>
      </c>
      <c r="M26" s="14" t="n">
        <f aca="false">Thesis!M45</f>
        <v>5.45051207419853</v>
      </c>
    </row>
    <row r="27" customFormat="false" ht="15" hidden="false" customHeight="false" outlineLevel="0" collapsed="false">
      <c r="A27" s="4" t="s">
        <v>672</v>
      </c>
      <c r="B27" s="0" t="s">
        <v>95</v>
      </c>
      <c r="E27" s="14" t="n">
        <f aca="false">lease_1H</f>
        <v>0.27</v>
      </c>
      <c r="F27" s="14" t="n">
        <f aca="false">lease_2H</f>
        <v>0.123</v>
      </c>
      <c r="G27" s="14" t="n">
        <f aca="false">E27+F27</f>
        <v>0.393</v>
      </c>
      <c r="H27" s="14" t="n">
        <f aca="false">lease_27</f>
        <v>0.25</v>
      </c>
      <c r="I27" s="14" t="n">
        <f aca="false">lease_28</f>
        <v>0.2</v>
      </c>
      <c r="J27" s="14" t="n">
        <f aca="false">lease_29</f>
        <v>0.15</v>
      </c>
      <c r="K27" s="14" t="n">
        <f aca="false">lease_30</f>
        <v>0.1</v>
      </c>
      <c r="L27" s="14" t="n">
        <f aca="false">lease_31</f>
        <v>0.1</v>
      </c>
      <c r="M27" s="14" t="n">
        <f aca="false">lease_32</f>
        <v>0.1</v>
      </c>
    </row>
    <row r="28" customFormat="false" ht="17.15" hidden="false" customHeight="false" outlineLevel="0" collapsed="false">
      <c r="A28" s="0" t="s">
        <v>906</v>
      </c>
      <c r="B28" s="0" t="s">
        <v>95</v>
      </c>
      <c r="E28" s="14" t="n">
        <f aca="false">slb_1H</f>
        <v>0</v>
      </c>
      <c r="F28" s="14" t="n">
        <f aca="false">mat_2H</f>
        <v>0.495</v>
      </c>
      <c r="G28" s="14" t="n">
        <f aca="false">E28+F28</f>
        <v>0.495</v>
      </c>
      <c r="H28" s="14" t="n">
        <f aca="false">mat_27</f>
        <v>2.425</v>
      </c>
      <c r="I28" s="14" t="n">
        <f aca="false">mat_28</f>
        <v>2.867</v>
      </c>
      <c r="J28" s="14" t="n">
        <f aca="false">mat_29</f>
        <v>3.422</v>
      </c>
      <c r="K28" s="14" t="n">
        <f aca="false">mat_30</f>
        <v>3.597</v>
      </c>
      <c r="L28" s="14" t="n">
        <f aca="false">mat_31</f>
        <v>5</v>
      </c>
      <c r="M28" s="14" t="n">
        <f aca="false">mat_32</f>
        <v>5</v>
      </c>
      <c r="N28" s="7" t="s">
        <v>907</v>
      </c>
    </row>
    <row r="29" customFormat="false" ht="17.15" hidden="false" customHeight="false" outlineLevel="0" collapsed="false">
      <c r="A29" s="4" t="s">
        <v>673</v>
      </c>
      <c r="B29" s="0" t="s">
        <v>95</v>
      </c>
      <c r="E29" s="14" t="n">
        <f aca="false">E20-E24</f>
        <v>-34.972</v>
      </c>
      <c r="F29" s="14" t="n">
        <f aca="false">F20-F24</f>
        <v>-9.60654021370159</v>
      </c>
      <c r="G29" s="14" t="n">
        <f aca="false">G20-G24</f>
        <v>-44.5785402137016</v>
      </c>
      <c r="H29" s="14" t="n">
        <f aca="false">H20-H24</f>
        <v>-28.1990862059017</v>
      </c>
      <c r="I29" s="14" t="n">
        <f aca="false">I20-I24</f>
        <v>-10.7989843741881</v>
      </c>
      <c r="J29" s="14" t="n">
        <f aca="false">J20-J24</f>
        <v>23.7480790542974</v>
      </c>
      <c r="K29" s="14" t="n">
        <f aca="false">K20-K24</f>
        <v>47.608990026483</v>
      </c>
      <c r="L29" s="14" t="n">
        <f aca="false">L20-L24</f>
        <v>57.8331748203755</v>
      </c>
      <c r="M29" s="14" t="n">
        <f aca="false">M20-M24</f>
        <v>58.9310723191446</v>
      </c>
    </row>
    <row r="30" customFormat="false" ht="17.15" hidden="false" customHeight="false" outlineLevel="0" collapsed="false">
      <c r="A30" s="28" t="s">
        <v>908</v>
      </c>
      <c r="B30" s="30" t="s">
        <v>95</v>
      </c>
      <c r="C30" s="30"/>
      <c r="D30" s="30"/>
      <c r="E30" s="31" t="n">
        <f aca="false">E29-E27-E28-E26</f>
        <v>-39.163</v>
      </c>
      <c r="F30" s="31" t="n">
        <f aca="false">F29-F27-F28-F26</f>
        <v>-11.8097045137016</v>
      </c>
      <c r="G30" s="31" t="n">
        <f aca="false">G29-G27-G28-G26</f>
        <v>-50.9727045137016</v>
      </c>
      <c r="H30" s="31" t="n">
        <f aca="false">H29-H27-H28-H26</f>
        <v>-37.6033411702821</v>
      </c>
      <c r="I30" s="31" t="n">
        <f aca="false">I29-I27-I28-I26</f>
        <v>-20.983837102949</v>
      </c>
      <c r="J30" s="31" t="n">
        <f aca="false">J29-J27-J28-J26</f>
        <v>14.6617976914756</v>
      </c>
      <c r="K30" s="31" t="n">
        <f aca="false">K29-K27-K28-K26</f>
        <v>39.4150966241177</v>
      </c>
      <c r="L30" s="31" t="n">
        <f aca="false">L29-L27-L28-L26</f>
        <v>48.0304130120383</v>
      </c>
      <c r="M30" s="31" t="n">
        <f aca="false">M29-M27-M28-M26</f>
        <v>48.3805602449461</v>
      </c>
      <c r="N30" s="30"/>
    </row>
    <row r="31" customFormat="false" ht="17.15" hidden="false" customHeight="false" outlineLevel="0" collapsed="false">
      <c r="A31" s="0" t="s">
        <v>909</v>
      </c>
      <c r="B31" s="0" t="s">
        <v>95</v>
      </c>
      <c r="E31" s="6" t="n">
        <v>0</v>
      </c>
      <c r="F31" s="14" t="n">
        <f aca="false">spec_2h</f>
        <v>0.385</v>
      </c>
      <c r="G31" s="14" t="n">
        <f aca="false">E31+F31</f>
        <v>0.385</v>
      </c>
      <c r="H31" s="14" t="n">
        <f aca="false">spec_27</f>
        <v>9.328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</row>
    <row r="32" customFormat="false" ht="17.15" hidden="false" customHeight="false" outlineLevel="0" collapsed="false">
      <c r="A32" s="0" t="s">
        <v>910</v>
      </c>
      <c r="B32" s="0" t="s">
        <v>95</v>
      </c>
      <c r="E32" s="14" t="n">
        <f aca="false">debt_1H</f>
        <v>10.712</v>
      </c>
      <c r="F32" s="6" t="n">
        <v>0</v>
      </c>
      <c r="G32" s="14" t="n">
        <f aca="false">E32+F32</f>
        <v>10.712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</row>
    <row r="33" customFormat="false" ht="17.15" hidden="false" customHeight="false" outlineLevel="0" collapsed="false">
      <c r="A33" s="4" t="s">
        <v>911</v>
      </c>
      <c r="B33" s="0" t="s">
        <v>95</v>
      </c>
      <c r="E33" s="14" t="n">
        <f aca="false">eq_1H</f>
        <v>89.377</v>
      </c>
      <c r="F33" s="6" t="n">
        <v>0</v>
      </c>
      <c r="G33" s="14" t="n">
        <f aca="false">E33+F33</f>
        <v>89.377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</row>
    <row r="34" customFormat="false" ht="15" hidden="false" customHeight="false" outlineLevel="0" collapsed="false">
      <c r="A34" s="4" t="s">
        <v>912</v>
      </c>
      <c r="B34" s="0" t="s">
        <v>95</v>
      </c>
      <c r="E34" s="14" t="n">
        <f aca="false">cash_ye25</f>
        <v>24.747</v>
      </c>
      <c r="F34" s="14" t="n">
        <f aca="false">E38</f>
        <v>89.855</v>
      </c>
      <c r="H34" s="14" t="n">
        <f aca="false">F38</f>
        <v>79.2454597862984</v>
      </c>
      <c r="I34" s="14" t="n">
        <f aca="false">H38</f>
        <v>39.0433735803967</v>
      </c>
      <c r="J34" s="14" t="n">
        <f aca="false">I38</f>
        <v>30</v>
      </c>
      <c r="K34" s="14" t="n">
        <f aca="false">J38</f>
        <v>50.1760790542974</v>
      </c>
      <c r="L34" s="14" t="n">
        <f aca="false">K38</f>
        <v>94.0880690807804</v>
      </c>
      <c r="M34" s="14" t="n">
        <f aca="false">L38</f>
        <v>146.821243901156</v>
      </c>
    </row>
    <row r="35" customFormat="false" ht="17.15" hidden="false" customHeight="false" outlineLevel="0" collapsed="false">
      <c r="A35" s="4" t="s">
        <v>913</v>
      </c>
      <c r="B35" s="0" t="s">
        <v>95</v>
      </c>
      <c r="E35" s="27" t="n">
        <f aca="false">cash_0-(E34+E20-E24-E27+E32+E33)</f>
        <v>0.26100000000001</v>
      </c>
      <c r="F35" s="34" t="n">
        <v>0</v>
      </c>
      <c r="H35" s="34" t="n">
        <v>0</v>
      </c>
      <c r="I35" s="34" t="n">
        <v>0</v>
      </c>
      <c r="J35" s="34" t="n">
        <v>0</v>
      </c>
      <c r="K35" s="34" t="n">
        <v>0</v>
      </c>
      <c r="L35" s="34" t="n">
        <v>0</v>
      </c>
      <c r="M35" s="34" t="n">
        <v>0</v>
      </c>
    </row>
    <row r="36" customFormat="false" ht="15" hidden="false" customHeight="false" outlineLevel="0" collapsed="false">
      <c r="A36" s="4" t="s">
        <v>914</v>
      </c>
      <c r="B36" s="0" t="s">
        <v>95</v>
      </c>
      <c r="E36" s="14" t="n">
        <f aca="false">E34+E20-E24-E27+E32+E33+E35</f>
        <v>89.855</v>
      </c>
      <c r="F36" s="14" t="n">
        <f aca="false">F34+F20-F24-F27-F28-F31</f>
        <v>79.2454597862984</v>
      </c>
      <c r="H36" s="14" t="n">
        <f aca="false">H34+H20-H24-H27-H28-H31</f>
        <v>39.0433735803967</v>
      </c>
      <c r="I36" s="14" t="n">
        <f aca="false">I34+I20-I24-I27-I28-I31</f>
        <v>25.1773892062086</v>
      </c>
      <c r="J36" s="14" t="n">
        <f aca="false">J34+J20-J24-J27-J28-J31</f>
        <v>50.1760790542974</v>
      </c>
      <c r="K36" s="14" t="n">
        <f aca="false">K34+K20-K24-K27-K28-K31</f>
        <v>94.0880690807804</v>
      </c>
      <c r="L36" s="14" t="n">
        <f aca="false">L34+L20-L24-L27-L28-L31</f>
        <v>146.821243901156</v>
      </c>
      <c r="M36" s="14" t="n">
        <f aca="false">M34+M20-M24-M27-M28-M31</f>
        <v>200.652316220301</v>
      </c>
    </row>
    <row r="37" customFormat="false" ht="15" hidden="false" customHeight="false" outlineLevel="0" collapsed="false">
      <c r="A37" s="4" t="s">
        <v>915</v>
      </c>
      <c r="B37" s="0" t="s">
        <v>95</v>
      </c>
      <c r="E37" s="6" t="n">
        <v>0</v>
      </c>
      <c r="F37" s="14" t="n">
        <f aca="false">MAX(0,min_cash-F36)</f>
        <v>0</v>
      </c>
      <c r="G37" s="14" t="n">
        <f aca="false">E37+F37</f>
        <v>0</v>
      </c>
      <c r="H37" s="14" t="n">
        <f aca="false">MAX(0,min_cash-H36)</f>
        <v>0</v>
      </c>
      <c r="I37" s="14" t="n">
        <f aca="false">MAX(0,min_cash-I36)</f>
        <v>4.82261079379141</v>
      </c>
      <c r="J37" s="14" t="n">
        <f aca="false">MAX(0,min_cash-J36)</f>
        <v>0</v>
      </c>
      <c r="K37" s="14" t="n">
        <f aca="false">MAX(0,min_cash-K36)</f>
        <v>0</v>
      </c>
      <c r="L37" s="14" t="n">
        <f aca="false">MAX(0,min_cash-L36)</f>
        <v>0</v>
      </c>
      <c r="M37" s="14" t="n">
        <f aca="false">MAX(0,min_cash-M36)</f>
        <v>0</v>
      </c>
    </row>
    <row r="38" customFormat="false" ht="15" hidden="false" customHeight="false" outlineLevel="0" collapsed="false">
      <c r="A38" s="4" t="s">
        <v>916</v>
      </c>
      <c r="B38" s="0" t="s">
        <v>95</v>
      </c>
      <c r="E38" s="14" t="n">
        <f aca="false">E36+E37</f>
        <v>89.855</v>
      </c>
      <c r="F38" s="14" t="n">
        <f aca="false">F36+F37</f>
        <v>79.2454597862984</v>
      </c>
      <c r="H38" s="14" t="n">
        <f aca="false">H36+H37</f>
        <v>39.0433735803967</v>
      </c>
      <c r="I38" s="14" t="n">
        <f aca="false">I36+I37</f>
        <v>30</v>
      </c>
      <c r="J38" s="14" t="n">
        <f aca="false">J36+J37</f>
        <v>50.1760790542974</v>
      </c>
      <c r="K38" s="14" t="n">
        <f aca="false">K36+K37</f>
        <v>94.0880690807804</v>
      </c>
      <c r="L38" s="14" t="n">
        <f aca="false">L36+L37</f>
        <v>146.821243901156</v>
      </c>
      <c r="M38" s="14" t="n">
        <f aca="false">M36+M37</f>
        <v>200.652316220301</v>
      </c>
    </row>
    <row r="39" customFormat="false" ht="17.15" hidden="false" customHeight="false" outlineLevel="0" collapsed="false">
      <c r="A39" s="4" t="s">
        <v>917</v>
      </c>
      <c r="B39" s="0" t="s">
        <v>95</v>
      </c>
      <c r="E39" s="21" t="n">
        <f aca="false">E38-cash_0</f>
        <v>0</v>
      </c>
    </row>
    <row r="40" customFormat="false" ht="15" hidden="false" customHeight="false" outlineLevel="0" collapsed="false">
      <c r="A40" s="4" t="s">
        <v>918</v>
      </c>
      <c r="B40" s="0" t="s">
        <v>95</v>
      </c>
      <c r="E40" s="14" t="n">
        <f aca="false">debt_ye25</f>
        <v>22.049</v>
      </c>
      <c r="F40" s="14" t="n">
        <f aca="false">E41</f>
        <v>38.006</v>
      </c>
      <c r="H40" s="14" t="n">
        <f aca="false">F41</f>
        <v>39.0961643</v>
      </c>
      <c r="I40" s="14" t="n">
        <f aca="false">H41</f>
        <v>43.4004192643804</v>
      </c>
      <c r="J40" s="14" t="n">
        <f aca="false">I41</f>
        <v>52.4738827869327</v>
      </c>
      <c r="K40" s="14" t="n">
        <f aca="false">J41</f>
        <v>54.5661641497546</v>
      </c>
      <c r="L40" s="14" t="n">
        <f aca="false">K41</f>
        <v>55.4660575521198</v>
      </c>
      <c r="M40" s="14" t="n">
        <f aca="false">L41</f>
        <v>55.168819360457</v>
      </c>
    </row>
    <row r="41" customFormat="false" ht="17.15" hidden="false" customHeight="false" outlineLevel="0" collapsed="false">
      <c r="A41" s="4" t="s">
        <v>919</v>
      </c>
      <c r="B41" s="0" t="s">
        <v>95</v>
      </c>
      <c r="E41" s="14" t="n">
        <f aca="false">debt_0</f>
        <v>38.006</v>
      </c>
      <c r="F41" s="14" t="n">
        <f aca="false">F40-F28+F37+F26</f>
        <v>39.0961643</v>
      </c>
      <c r="H41" s="14" t="n">
        <f aca="false">H40-H28+H37+H26</f>
        <v>43.4004192643804</v>
      </c>
      <c r="I41" s="14" t="n">
        <f aca="false">I40-I28+I37+I26</f>
        <v>52.4738827869327</v>
      </c>
      <c r="J41" s="14" t="n">
        <f aca="false">J40-J28+J37+J26</f>
        <v>54.5661641497546</v>
      </c>
      <c r="K41" s="14" t="n">
        <f aca="false">K40-K28+K37+K26</f>
        <v>55.4660575521198</v>
      </c>
      <c r="L41" s="14" t="n">
        <f aca="false">L40-L28+L37+L26</f>
        <v>55.168819360457</v>
      </c>
      <c r="M41" s="14" t="n">
        <f aca="false">M40-M28+M37+M26</f>
        <v>55.6193314346556</v>
      </c>
    </row>
    <row r="42" customFormat="false" ht="15" hidden="false" customHeight="false" outlineLevel="0" collapsed="false">
      <c r="A42" s="4" t="s">
        <v>920</v>
      </c>
      <c r="B42" s="0" t="s">
        <v>95</v>
      </c>
      <c r="E42" s="14" t="n">
        <f aca="false">E38-E41</f>
        <v>51.849</v>
      </c>
      <c r="F42" s="14" t="n">
        <f aca="false">F38-F41</f>
        <v>40.1492954862984</v>
      </c>
      <c r="H42" s="14" t="n">
        <f aca="false">H38-H41</f>
        <v>-4.35704568398371</v>
      </c>
      <c r="I42" s="14" t="n">
        <f aca="false">I38-I41</f>
        <v>-22.4738827869327</v>
      </c>
      <c r="J42" s="14" t="n">
        <f aca="false">J38-J41</f>
        <v>-4.39008509545713</v>
      </c>
      <c r="K42" s="14" t="n">
        <f aca="false">K38-K41</f>
        <v>38.6220115286606</v>
      </c>
      <c r="L42" s="14" t="n">
        <f aca="false">L38-L41</f>
        <v>91.6524245406989</v>
      </c>
      <c r="M42" s="14" t="n">
        <f aca="false">M38-M41</f>
        <v>145.032984785645</v>
      </c>
    </row>
    <row r="44" customFormat="false" ht="17.15" hidden="false" customHeight="false" outlineLevel="0" collapsed="false">
      <c r="A44" s="28" t="s">
        <v>831</v>
      </c>
    </row>
    <row r="45" customFormat="false" ht="15" hidden="false" customHeight="false" outlineLevel="0" collapsed="false">
      <c r="A45" s="3" t="s">
        <v>43</v>
      </c>
      <c r="B45" s="3" t="s">
        <v>44</v>
      </c>
      <c r="C45" s="20" t="s">
        <v>592</v>
      </c>
      <c r="D45" s="20" t="s">
        <v>731</v>
      </c>
      <c r="E45" s="20" t="s">
        <v>732</v>
      </c>
      <c r="F45" s="20" t="s">
        <v>733</v>
      </c>
      <c r="G45" s="20" t="s">
        <v>734</v>
      </c>
      <c r="H45" s="20" t="s">
        <v>735</v>
      </c>
      <c r="I45" s="20" t="s">
        <v>736</v>
      </c>
      <c r="J45" s="20" t="s">
        <v>737</v>
      </c>
      <c r="K45" s="20" t="s">
        <v>738</v>
      </c>
      <c r="L45" s="20" t="s">
        <v>739</v>
      </c>
      <c r="M45" s="20" t="s">
        <v>740</v>
      </c>
      <c r="N45" s="3" t="s">
        <v>50</v>
      </c>
    </row>
    <row r="46" customFormat="false" ht="15" hidden="false" customHeight="false" outlineLevel="0" collapsed="false">
      <c r="A46" s="4" t="s">
        <v>873</v>
      </c>
      <c r="B46" s="0" t="s">
        <v>95</v>
      </c>
      <c r="E46" s="14" t="n">
        <f aca="false">PL!E128</f>
        <v>-0.413</v>
      </c>
      <c r="F46" s="14" t="n">
        <f aca="false">PL!F128</f>
        <v>2.31397509722694</v>
      </c>
      <c r="G46" s="14" t="n">
        <f aca="false">PL!G128</f>
        <v>1.90097509722694</v>
      </c>
      <c r="H46" s="14" t="n">
        <f aca="false">PL!H128</f>
        <v>14.0586563891578</v>
      </c>
      <c r="I46" s="14" t="n">
        <f aca="false">PL!I128</f>
        <v>19.4240803131578</v>
      </c>
      <c r="J46" s="14" t="n">
        <f aca="false">PL!J128</f>
        <v>24.1893860931346</v>
      </c>
      <c r="K46" s="14" t="n">
        <f aca="false">PL!K128</f>
        <v>23.1092223333477</v>
      </c>
      <c r="L46" s="14" t="n">
        <f aca="false">PL!L128</f>
        <v>24.3428741648111</v>
      </c>
      <c r="M46" s="14" t="n">
        <f aca="false">PL!M128</f>
        <v>25.6579299190985</v>
      </c>
    </row>
    <row r="47" customFormat="false" ht="15" hidden="false" customHeight="false" outlineLevel="0" collapsed="false">
      <c r="A47" s="4" t="s">
        <v>667</v>
      </c>
      <c r="B47" s="0" t="s">
        <v>95</v>
      </c>
      <c r="E47" s="14" t="n">
        <f aca="false">PL!E105</f>
        <v>8.934</v>
      </c>
      <c r="F47" s="14" t="n">
        <f aca="false">PL!F105</f>
        <v>3.95984768575553</v>
      </c>
      <c r="G47" s="14" t="n">
        <f aca="false">PL!G105</f>
        <v>12.8938476857555</v>
      </c>
      <c r="H47" s="14" t="n">
        <f aca="false">PL!H105</f>
        <v>22.3846585231817</v>
      </c>
      <c r="I47" s="14" t="n">
        <f aca="false">PL!I105</f>
        <v>33.6926181791632</v>
      </c>
      <c r="J47" s="14" t="n">
        <f aca="false">PL!J105</f>
        <v>45.3227361060025</v>
      </c>
      <c r="K47" s="14" t="n">
        <f aca="false">PL!K105</f>
        <v>55.6592249113753</v>
      </c>
      <c r="L47" s="14" t="n">
        <f aca="false">PL!L105</f>
        <v>64.1733085952353</v>
      </c>
      <c r="M47" s="14" t="n">
        <f aca="false">PL!M105</f>
        <v>70.2183437365034</v>
      </c>
    </row>
    <row r="48" customFormat="false" ht="17.15" hidden="false" customHeight="false" outlineLevel="0" collapsed="false">
      <c r="A48" s="4" t="s">
        <v>897</v>
      </c>
      <c r="B48" s="0" t="s">
        <v>95</v>
      </c>
      <c r="E48" s="14" t="n">
        <f aca="false">PL!E111</f>
        <v>3.835</v>
      </c>
      <c r="F48" s="14" t="n">
        <f aca="false">PL!F111</f>
        <v>3.39825996639031</v>
      </c>
      <c r="G48" s="14" t="n">
        <f aca="false">PL!G111</f>
        <v>7.23325996639031</v>
      </c>
      <c r="H48" s="14" t="n">
        <f aca="false">PL!H111</f>
        <v>15.3511865278389</v>
      </c>
      <c r="I48" s="14" t="n">
        <f aca="false">PL!I111</f>
        <v>18.1725181906874</v>
      </c>
      <c r="J48" s="14" t="n">
        <f aca="false">PL!J111</f>
        <v>15.2787875656056</v>
      </c>
      <c r="K48" s="14" t="n">
        <f aca="false">PL!K111</f>
        <v>12.993821754761</v>
      </c>
      <c r="L48" s="14" t="n">
        <f aca="false">PL!L111</f>
        <v>14.5071406081222</v>
      </c>
      <c r="M48" s="14" t="n">
        <f aca="false">PL!M111</f>
        <v>15.6821730066386</v>
      </c>
    </row>
    <row r="49" customFormat="false" ht="17.15" hidden="false" customHeight="false" outlineLevel="0" collapsed="false">
      <c r="A49" s="4" t="s">
        <v>898</v>
      </c>
      <c r="B49" s="0" t="s">
        <v>95</v>
      </c>
      <c r="F49" s="14" t="n">
        <f aca="false">wc_k*(PL!F88-(Q!I17-Q!G17))</f>
        <v>0.32409340215753</v>
      </c>
      <c r="G49" s="14" t="n">
        <f aca="false">F49</f>
        <v>0.32409340215753</v>
      </c>
      <c r="H49" s="14" t="n">
        <f aca="false">wc_k*(PL!H88-PL!G88)</f>
        <v>1.19140291573956</v>
      </c>
      <c r="I49" s="14" t="n">
        <f aca="false">wc_k*(PL!I88-PL!H88)</f>
        <v>0.920349605955162</v>
      </c>
      <c r="J49" s="14" t="n">
        <f aca="false">wc_k*(PL!J88-PL!I88)</f>
        <v>0.714420019828506</v>
      </c>
      <c r="K49" s="14" t="n">
        <f aca="false">wc_k*(PL!K88-PL!J88)</f>
        <v>0.385495465901223</v>
      </c>
      <c r="L49" s="14" t="n">
        <f aca="false">wc_k*(PL!L88-PL!K88)</f>
        <v>0.495954864637504</v>
      </c>
      <c r="M49" s="14" t="n">
        <f aca="false">wc_k*(PL!M88-PL!L88)</f>
        <v>0.404013554574553</v>
      </c>
      <c r="N49" s="7" t="s">
        <v>899</v>
      </c>
    </row>
    <row r="50" customFormat="false" ht="17.15" hidden="false" customHeight="false" outlineLevel="0" collapsed="false">
      <c r="A50" s="4" t="s">
        <v>900</v>
      </c>
      <c r="B50" s="0" t="s">
        <v>95</v>
      </c>
      <c r="E50" s="14" t="n">
        <f aca="false">cfo_9m-E46-E47-E48</f>
        <v>0.741000000000001</v>
      </c>
      <c r="F50" s="6" t="n">
        <v>0</v>
      </c>
      <c r="G50" s="14" t="n">
        <f aca="false">E50+F50</f>
        <v>0.741000000000001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</row>
    <row r="51" customFormat="false" ht="15" hidden="false" customHeight="false" outlineLevel="0" collapsed="false">
      <c r="A51" s="2" t="s">
        <v>666</v>
      </c>
      <c r="B51" s="7" t="s">
        <v>95</v>
      </c>
      <c r="E51" s="14" t="n">
        <f aca="false">E46+E47+E48+N(E49)+E50</f>
        <v>13.097</v>
      </c>
      <c r="F51" s="14" t="n">
        <f aca="false">F46+F47+F48+N(F49)+F50</f>
        <v>9.99617615153031</v>
      </c>
      <c r="G51" s="14" t="n">
        <f aca="false">G46+G47+G48+N(G49)+G50</f>
        <v>23.0931761515303</v>
      </c>
      <c r="H51" s="14" t="n">
        <f aca="false">H46+H47+H48+N(H49)+H50</f>
        <v>52.9859043559179</v>
      </c>
      <c r="I51" s="14" t="n">
        <f aca="false">I46+I47+I48+N(I49)+I50</f>
        <v>72.2095662889636</v>
      </c>
      <c r="J51" s="14" t="n">
        <f aca="false">J46+J47+J48+N(J49)+J50</f>
        <v>85.5053297845712</v>
      </c>
      <c r="K51" s="14" t="n">
        <f aca="false">K46+K47+K48+N(K49)+K50</f>
        <v>92.1477644653853</v>
      </c>
      <c r="L51" s="14" t="n">
        <f aca="false">L46+L47+L48+N(L49)+L50</f>
        <v>103.519278232806</v>
      </c>
      <c r="M51" s="14" t="n">
        <f aca="false">M46+M47+M48+N(M49)+M50</f>
        <v>111.962460216815</v>
      </c>
    </row>
    <row r="52" customFormat="false" ht="17.15" hidden="false" customHeight="false" outlineLevel="0" collapsed="false">
      <c r="A52" s="4" t="s">
        <v>827</v>
      </c>
      <c r="B52" s="0" t="s">
        <v>95</v>
      </c>
      <c r="E52" s="14" t="n">
        <f aca="false">Q!H35</f>
        <v>3.832</v>
      </c>
      <c r="F52" s="14" t="n">
        <f aca="false">Seg!F75</f>
        <v>1.47329168183201</v>
      </c>
      <c r="G52" s="14" t="n">
        <f aca="false">E52+F52</f>
        <v>5.30529168183201</v>
      </c>
      <c r="H52" s="14" t="n">
        <f aca="false">Seg!H75</f>
        <v>4.9481884248485</v>
      </c>
      <c r="I52" s="14" t="n">
        <f aca="false">Seg!I75</f>
        <v>4.09937779217283</v>
      </c>
      <c r="J52" s="14" t="n">
        <f aca="false">Seg!J75</f>
        <v>3.12135926532442</v>
      </c>
      <c r="K52" s="14" t="n">
        <f aca="false">Seg!K75</f>
        <v>1.98044627265693</v>
      </c>
      <c r="L52" s="14" t="n">
        <f aca="false">Seg!L75</f>
        <v>2.14092768017218</v>
      </c>
      <c r="M52" s="14" t="n">
        <f aca="false">Seg!M75</f>
        <v>2.31441432530341</v>
      </c>
    </row>
    <row r="53" customFormat="false" ht="17.15" hidden="false" customHeight="false" outlineLevel="0" collapsed="false">
      <c r="A53" s="4" t="s">
        <v>901</v>
      </c>
      <c r="B53" s="0" t="s">
        <v>95</v>
      </c>
      <c r="E53" s="14" t="n">
        <f aca="false">Q!H36</f>
        <v>4.242</v>
      </c>
      <c r="F53" s="14" t="n">
        <f aca="false">Seg!F76</f>
        <v>1.96358898339989</v>
      </c>
      <c r="G53" s="14" t="n">
        <f aca="false">E53+F53</f>
        <v>6.20558898339989</v>
      </c>
      <c r="H53" s="14" t="n">
        <f aca="false">Seg!H76</f>
        <v>9.56090610593409</v>
      </c>
      <c r="I53" s="14" t="n">
        <f aca="false">Seg!I76</f>
        <v>12.6204526188766</v>
      </c>
      <c r="J53" s="14" t="n">
        <f aca="false">Seg!J76</f>
        <v>15.264760221421</v>
      </c>
      <c r="K53" s="14" t="n">
        <f aca="false">Seg!K76</f>
        <v>17.0366231751245</v>
      </c>
      <c r="L53" s="14" t="n">
        <f aca="false">Seg!L76</f>
        <v>18.7042196833389</v>
      </c>
      <c r="M53" s="14" t="n">
        <f aca="false">Seg!M76</f>
        <v>20.2953844665952</v>
      </c>
    </row>
    <row r="54" customFormat="false" ht="17.15" hidden="false" customHeight="false" outlineLevel="0" collapsed="false">
      <c r="A54" s="4" t="s">
        <v>902</v>
      </c>
      <c r="B54" s="0" t="s">
        <v>95</v>
      </c>
      <c r="E54" s="14" t="n">
        <f aca="false">Thesis!E44</f>
        <v>39.995</v>
      </c>
      <c r="F54" s="14" t="n">
        <f aca="false">Thesis!F44</f>
        <v>16.1658357</v>
      </c>
      <c r="G54" s="14" t="n">
        <f aca="false">Thesis!G44</f>
        <v>56.1608357</v>
      </c>
      <c r="H54" s="14" t="n">
        <f aca="false">Thesis!H44</f>
        <v>68.6263437408875</v>
      </c>
      <c r="I54" s="14" t="n">
        <f aca="false">Thesis!I44</f>
        <v>72.5893446817749</v>
      </c>
      <c r="J54" s="14" t="n">
        <f aca="false">Thesis!J44</f>
        <v>56.2357898893827</v>
      </c>
      <c r="K54" s="14" t="n">
        <f aca="false">Thesis!K44</f>
        <v>45.8602555602913</v>
      </c>
      <c r="L54" s="14" t="n">
        <f aca="false">Thesis!L44</f>
        <v>47.9597444440394</v>
      </c>
      <c r="M54" s="14" t="n">
        <f aca="false">Thesis!M44</f>
        <v>55.5854574017089</v>
      </c>
    </row>
    <row r="55" customFormat="false" ht="15" hidden="false" customHeight="false" outlineLevel="0" collapsed="false">
      <c r="A55" s="2" t="s">
        <v>903</v>
      </c>
      <c r="B55" s="7" t="s">
        <v>95</v>
      </c>
      <c r="E55" s="14" t="n">
        <f aca="false">E52+E53+E54</f>
        <v>48.069</v>
      </c>
      <c r="F55" s="14" t="n">
        <f aca="false">F52+F53+F54</f>
        <v>19.6027163652319</v>
      </c>
      <c r="G55" s="14" t="n">
        <f aca="false">G52+G53+G54</f>
        <v>67.6717163652319</v>
      </c>
      <c r="H55" s="14" t="n">
        <f aca="false">H52+H53+H54</f>
        <v>83.13543827167</v>
      </c>
      <c r="I55" s="14" t="n">
        <f aca="false">I52+I53+I54</f>
        <v>89.3091750928244</v>
      </c>
      <c r="J55" s="14" t="n">
        <f aca="false">J52+J53+J54</f>
        <v>74.6219093761281</v>
      </c>
      <c r="K55" s="14" t="n">
        <f aca="false">K52+K53+K54</f>
        <v>64.8773250080728</v>
      </c>
      <c r="L55" s="14" t="n">
        <f aca="false">L52+L53+L54</f>
        <v>68.8048918075505</v>
      </c>
      <c r="M55" s="14" t="n">
        <f aca="false">M52+M53+M54</f>
        <v>78.1952561936075</v>
      </c>
    </row>
    <row r="56" customFormat="false" ht="17.15" hidden="false" customHeight="false" outlineLevel="0" collapsed="false">
      <c r="A56" s="4" t="s">
        <v>904</v>
      </c>
      <c r="B56" s="0" t="s">
        <v>95</v>
      </c>
      <c r="E56" s="21" t="n">
        <f aca="false">E55-capex_9m</f>
        <v>0</v>
      </c>
    </row>
    <row r="57" customFormat="false" ht="17.15" hidden="false" customHeight="false" outlineLevel="0" collapsed="false">
      <c r="A57" s="4" t="s">
        <v>905</v>
      </c>
      <c r="B57" s="0" t="s">
        <v>95</v>
      </c>
      <c r="E57" s="14" t="n">
        <f aca="false">Thesis!E45</f>
        <v>3.921</v>
      </c>
      <c r="F57" s="14" t="n">
        <f aca="false">Thesis!F45</f>
        <v>1.5851643</v>
      </c>
      <c r="G57" s="14" t="n">
        <f aca="false">Thesis!G45</f>
        <v>5.5061643</v>
      </c>
      <c r="H57" s="14" t="n">
        <f aca="false">Thesis!H45</f>
        <v>6.72925496438042</v>
      </c>
      <c r="I57" s="14" t="n">
        <f aca="false">Thesis!I45</f>
        <v>7.11785272876084</v>
      </c>
      <c r="J57" s="14" t="n">
        <f aca="false">Thesis!J45</f>
        <v>5.51428136282187</v>
      </c>
      <c r="K57" s="14" t="n">
        <f aca="false">Thesis!K45</f>
        <v>4.49689340236523</v>
      </c>
      <c r="L57" s="14" t="n">
        <f aca="false">Thesis!L45</f>
        <v>4.70276180833724</v>
      </c>
      <c r="M57" s="14" t="n">
        <f aca="false">Thesis!M45</f>
        <v>5.45051207419853</v>
      </c>
    </row>
    <row r="58" customFormat="false" ht="15" hidden="false" customHeight="false" outlineLevel="0" collapsed="false">
      <c r="A58" s="4" t="s">
        <v>672</v>
      </c>
      <c r="B58" s="0" t="s">
        <v>95</v>
      </c>
      <c r="E58" s="14" t="n">
        <f aca="false">lease_1H</f>
        <v>0.27</v>
      </c>
      <c r="F58" s="14" t="n">
        <f aca="false">lease_2H</f>
        <v>0.123</v>
      </c>
      <c r="G58" s="14" t="n">
        <f aca="false">E58+F58</f>
        <v>0.393</v>
      </c>
      <c r="H58" s="14" t="n">
        <f aca="false">lease_27</f>
        <v>0.25</v>
      </c>
      <c r="I58" s="14" t="n">
        <f aca="false">lease_28</f>
        <v>0.2</v>
      </c>
      <c r="J58" s="14" t="n">
        <f aca="false">lease_29</f>
        <v>0.15</v>
      </c>
      <c r="K58" s="14" t="n">
        <f aca="false">lease_30</f>
        <v>0.1</v>
      </c>
      <c r="L58" s="14" t="n">
        <f aca="false">lease_31</f>
        <v>0.1</v>
      </c>
      <c r="M58" s="14" t="n">
        <f aca="false">lease_32</f>
        <v>0.1</v>
      </c>
    </row>
    <row r="59" customFormat="false" ht="17.15" hidden="false" customHeight="false" outlineLevel="0" collapsed="false">
      <c r="A59" s="0" t="s">
        <v>906</v>
      </c>
      <c r="B59" s="0" t="s">
        <v>95</v>
      </c>
      <c r="E59" s="14" t="n">
        <f aca="false">slb_1H</f>
        <v>0</v>
      </c>
      <c r="F59" s="14" t="n">
        <f aca="false">mat_2H</f>
        <v>0.495</v>
      </c>
      <c r="G59" s="14" t="n">
        <f aca="false">E59+F59</f>
        <v>0.495</v>
      </c>
      <c r="H59" s="14" t="n">
        <f aca="false">mat_27</f>
        <v>2.425</v>
      </c>
      <c r="I59" s="14" t="n">
        <f aca="false">mat_28</f>
        <v>2.867</v>
      </c>
      <c r="J59" s="14" t="n">
        <f aca="false">mat_29</f>
        <v>3.422</v>
      </c>
      <c r="K59" s="14" t="n">
        <f aca="false">mat_30</f>
        <v>3.597</v>
      </c>
      <c r="L59" s="14" t="n">
        <f aca="false">mat_31</f>
        <v>5</v>
      </c>
      <c r="M59" s="14" t="n">
        <f aca="false">mat_32</f>
        <v>5</v>
      </c>
      <c r="N59" s="7" t="s">
        <v>907</v>
      </c>
    </row>
    <row r="60" customFormat="false" ht="17.15" hidden="false" customHeight="false" outlineLevel="0" collapsed="false">
      <c r="A60" s="4" t="s">
        <v>673</v>
      </c>
      <c r="B60" s="0" t="s">
        <v>95</v>
      </c>
      <c r="E60" s="14" t="n">
        <f aca="false">E51-E55</f>
        <v>-34.972</v>
      </c>
      <c r="F60" s="14" t="n">
        <f aca="false">F51-F55</f>
        <v>-9.60654021370159</v>
      </c>
      <c r="G60" s="14" t="n">
        <f aca="false">G51-G55</f>
        <v>-44.5785402137016</v>
      </c>
      <c r="H60" s="14" t="n">
        <f aca="false">H51-H55</f>
        <v>-30.1495339157521</v>
      </c>
      <c r="I60" s="14" t="n">
        <f aca="false">I51-I55</f>
        <v>-17.0996088038608</v>
      </c>
      <c r="J60" s="14" t="n">
        <f aca="false">J51-J55</f>
        <v>10.8834204084431</v>
      </c>
      <c r="K60" s="14" t="n">
        <f aca="false">K51-K55</f>
        <v>27.2704394573125</v>
      </c>
      <c r="L60" s="14" t="n">
        <f aca="false">L51-L55</f>
        <v>34.7143864252557</v>
      </c>
      <c r="M60" s="14" t="n">
        <f aca="false">M51-M55</f>
        <v>33.7672040232076</v>
      </c>
    </row>
    <row r="61" customFormat="false" ht="17.15" hidden="false" customHeight="false" outlineLevel="0" collapsed="false">
      <c r="A61" s="28" t="s">
        <v>908</v>
      </c>
      <c r="B61" s="30" t="s">
        <v>95</v>
      </c>
      <c r="C61" s="30"/>
      <c r="D61" s="30"/>
      <c r="E61" s="31" t="n">
        <f aca="false">E60-E58-E59-E57</f>
        <v>-39.163</v>
      </c>
      <c r="F61" s="31" t="n">
        <f aca="false">F60-F58-F59-F57</f>
        <v>-11.8097045137016</v>
      </c>
      <c r="G61" s="31" t="n">
        <f aca="false">G60-G58-G59-G57</f>
        <v>-50.9727045137016</v>
      </c>
      <c r="H61" s="31" t="n">
        <f aca="false">H60-H58-H59-H57</f>
        <v>-39.5537888801325</v>
      </c>
      <c r="I61" s="31" t="n">
        <f aca="false">I60-I58-I59-I57</f>
        <v>-27.2844615326217</v>
      </c>
      <c r="J61" s="31" t="n">
        <f aca="false">J60-J58-J59-J57</f>
        <v>1.79713904562123</v>
      </c>
      <c r="K61" s="31" t="n">
        <f aca="false">K60-K58-K59-K57</f>
        <v>19.0765460549473</v>
      </c>
      <c r="L61" s="31" t="n">
        <f aca="false">L60-L58-L59-L57</f>
        <v>24.9116246169184</v>
      </c>
      <c r="M61" s="31" t="n">
        <f aca="false">M60-M58-M59-M57</f>
        <v>23.2166919490091</v>
      </c>
      <c r="N61" s="30"/>
    </row>
    <row r="62" customFormat="false" ht="17.15" hidden="false" customHeight="false" outlineLevel="0" collapsed="false">
      <c r="A62" s="0" t="s">
        <v>909</v>
      </c>
      <c r="B62" s="0" t="s">
        <v>95</v>
      </c>
      <c r="E62" s="6" t="n">
        <v>0</v>
      </c>
      <c r="F62" s="14" t="n">
        <f aca="false">spec_2h</f>
        <v>0.385</v>
      </c>
      <c r="G62" s="14" t="n">
        <f aca="false">E62+F62</f>
        <v>0.385</v>
      </c>
      <c r="H62" s="14" t="n">
        <f aca="false">spec_27</f>
        <v>9.328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</row>
    <row r="63" customFormat="false" ht="17.15" hidden="false" customHeight="false" outlineLevel="0" collapsed="false">
      <c r="A63" s="0" t="s">
        <v>910</v>
      </c>
      <c r="B63" s="0" t="s">
        <v>95</v>
      </c>
      <c r="E63" s="14" t="n">
        <f aca="false">debt_1H</f>
        <v>10.712</v>
      </c>
      <c r="F63" s="6" t="n">
        <v>0</v>
      </c>
      <c r="G63" s="14" t="n">
        <f aca="false">E63+F63</f>
        <v>10.712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</row>
    <row r="64" customFormat="false" ht="17.15" hidden="false" customHeight="false" outlineLevel="0" collapsed="false">
      <c r="A64" s="4" t="s">
        <v>911</v>
      </c>
      <c r="B64" s="0" t="s">
        <v>95</v>
      </c>
      <c r="E64" s="14" t="n">
        <f aca="false">eq_1H</f>
        <v>89.377</v>
      </c>
      <c r="F64" s="6" t="n">
        <v>0</v>
      </c>
      <c r="G64" s="14" t="n">
        <f aca="false">E64+F64</f>
        <v>89.377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</row>
    <row r="65" customFormat="false" ht="15" hidden="false" customHeight="false" outlineLevel="0" collapsed="false">
      <c r="A65" s="4" t="s">
        <v>912</v>
      </c>
      <c r="B65" s="0" t="s">
        <v>95</v>
      </c>
      <c r="E65" s="14" t="n">
        <f aca="false">cash_ye25</f>
        <v>24.747</v>
      </c>
      <c r="F65" s="14" t="n">
        <f aca="false">E69</f>
        <v>89.855</v>
      </c>
      <c r="H65" s="14" t="n">
        <f aca="false">F69</f>
        <v>79.2454597862984</v>
      </c>
      <c r="I65" s="14" t="n">
        <f aca="false">H69</f>
        <v>37.0929258705463</v>
      </c>
      <c r="J65" s="14" t="n">
        <f aca="false">I69</f>
        <v>30</v>
      </c>
      <c r="K65" s="14" t="n">
        <f aca="false">J69</f>
        <v>37.3114204084431</v>
      </c>
      <c r="L65" s="14" t="n">
        <f aca="false">K69</f>
        <v>60.8848598657556</v>
      </c>
      <c r="M65" s="14" t="n">
        <f aca="false">L69</f>
        <v>90.4992462910113</v>
      </c>
    </row>
    <row r="66" customFormat="false" ht="17.15" hidden="false" customHeight="false" outlineLevel="0" collapsed="false">
      <c r="A66" s="4" t="s">
        <v>913</v>
      </c>
      <c r="B66" s="0" t="s">
        <v>95</v>
      </c>
      <c r="E66" s="27" t="n">
        <f aca="false">cash_0-(E65+E51-E55-E58+E63+E64)</f>
        <v>0.26100000000001</v>
      </c>
      <c r="F66" s="34" t="n">
        <v>0</v>
      </c>
      <c r="H66" s="34" t="n">
        <v>0</v>
      </c>
      <c r="I66" s="34" t="n">
        <v>0</v>
      </c>
      <c r="J66" s="34" t="n">
        <v>0</v>
      </c>
      <c r="K66" s="34" t="n">
        <v>0</v>
      </c>
      <c r="L66" s="34" t="n">
        <v>0</v>
      </c>
      <c r="M66" s="34" t="n">
        <v>0</v>
      </c>
    </row>
    <row r="67" customFormat="false" ht="15" hidden="false" customHeight="false" outlineLevel="0" collapsed="false">
      <c r="A67" s="4" t="s">
        <v>914</v>
      </c>
      <c r="B67" s="0" t="s">
        <v>95</v>
      </c>
      <c r="E67" s="14" t="n">
        <f aca="false">E65+E51-E55-E58+E63+E64+E66</f>
        <v>89.855</v>
      </c>
      <c r="F67" s="14" t="n">
        <f aca="false">F65+F51-F55-F58-F59-F62</f>
        <v>79.2454597862984</v>
      </c>
      <c r="H67" s="14" t="n">
        <f aca="false">H65+H51-H55-H58-H59-H62</f>
        <v>37.0929258705463</v>
      </c>
      <c r="I67" s="14" t="n">
        <f aca="false">I65+I51-I55-I58-I59-I62</f>
        <v>16.9263170666855</v>
      </c>
      <c r="J67" s="14" t="n">
        <f aca="false">J65+J51-J55-J58-J59-J62</f>
        <v>37.3114204084431</v>
      </c>
      <c r="K67" s="14" t="n">
        <f aca="false">K65+K51-K55-K58-K59-K62</f>
        <v>60.8848598657556</v>
      </c>
      <c r="L67" s="14" t="n">
        <f aca="false">L65+L51-L55-L58-L59-L62</f>
        <v>90.4992462910113</v>
      </c>
      <c r="M67" s="14" t="n">
        <f aca="false">M65+M51-M55-M58-M59-M62</f>
        <v>119.166450314219</v>
      </c>
    </row>
    <row r="68" customFormat="false" ht="15" hidden="false" customHeight="false" outlineLevel="0" collapsed="false">
      <c r="A68" s="4" t="s">
        <v>915</v>
      </c>
      <c r="B68" s="0" t="s">
        <v>95</v>
      </c>
      <c r="E68" s="6" t="n">
        <v>0</v>
      </c>
      <c r="F68" s="14" t="n">
        <f aca="false">MAX(0,min_cash-F67)</f>
        <v>0</v>
      </c>
      <c r="G68" s="14" t="n">
        <f aca="false">E68+F68</f>
        <v>0</v>
      </c>
      <c r="H68" s="14" t="n">
        <f aca="false">MAX(0,min_cash-H67)</f>
        <v>0</v>
      </c>
      <c r="I68" s="14" t="n">
        <f aca="false">MAX(0,min_cash-I67)</f>
        <v>13.0736829333145</v>
      </c>
      <c r="J68" s="14" t="n">
        <f aca="false">MAX(0,min_cash-J67)</f>
        <v>0</v>
      </c>
      <c r="K68" s="14" t="n">
        <f aca="false">MAX(0,min_cash-K67)</f>
        <v>0</v>
      </c>
      <c r="L68" s="14" t="n">
        <f aca="false">MAX(0,min_cash-L67)</f>
        <v>0</v>
      </c>
      <c r="M68" s="14" t="n">
        <f aca="false">MAX(0,min_cash-M67)</f>
        <v>0</v>
      </c>
    </row>
    <row r="69" customFormat="false" ht="15" hidden="false" customHeight="false" outlineLevel="0" collapsed="false">
      <c r="A69" s="4" t="s">
        <v>916</v>
      </c>
      <c r="B69" s="0" t="s">
        <v>95</v>
      </c>
      <c r="E69" s="14" t="n">
        <f aca="false">E67+E68</f>
        <v>89.855</v>
      </c>
      <c r="F69" s="14" t="n">
        <f aca="false">F67+F68</f>
        <v>79.2454597862984</v>
      </c>
      <c r="H69" s="14" t="n">
        <f aca="false">H67+H68</f>
        <v>37.0929258705463</v>
      </c>
      <c r="I69" s="14" t="n">
        <f aca="false">I67+I68</f>
        <v>30</v>
      </c>
      <c r="J69" s="14" t="n">
        <f aca="false">J67+J68</f>
        <v>37.3114204084431</v>
      </c>
      <c r="K69" s="14" t="n">
        <f aca="false">K67+K68</f>
        <v>60.8848598657556</v>
      </c>
      <c r="L69" s="14" t="n">
        <f aca="false">L67+L68</f>
        <v>90.4992462910113</v>
      </c>
      <c r="M69" s="14" t="n">
        <f aca="false">M67+M68</f>
        <v>119.166450314219</v>
      </c>
    </row>
    <row r="70" customFormat="false" ht="17.15" hidden="false" customHeight="false" outlineLevel="0" collapsed="false">
      <c r="A70" s="4" t="s">
        <v>917</v>
      </c>
      <c r="B70" s="0" t="s">
        <v>95</v>
      </c>
      <c r="E70" s="21" t="n">
        <f aca="false">E69-cash_0</f>
        <v>0</v>
      </c>
    </row>
    <row r="71" customFormat="false" ht="15" hidden="false" customHeight="false" outlineLevel="0" collapsed="false">
      <c r="A71" s="4" t="s">
        <v>918</v>
      </c>
      <c r="B71" s="0" t="s">
        <v>95</v>
      </c>
      <c r="E71" s="14" t="n">
        <f aca="false">debt_ye25</f>
        <v>22.049</v>
      </c>
      <c r="F71" s="14" t="n">
        <f aca="false">E72</f>
        <v>38.006</v>
      </c>
      <c r="H71" s="14" t="n">
        <f aca="false">F72</f>
        <v>39.0961643</v>
      </c>
      <c r="I71" s="14" t="n">
        <f aca="false">H72</f>
        <v>43.4004192643804</v>
      </c>
      <c r="J71" s="14" t="n">
        <f aca="false">I72</f>
        <v>60.7249549264558</v>
      </c>
      <c r="K71" s="14" t="n">
        <f aca="false">J72</f>
        <v>62.8172362892776</v>
      </c>
      <c r="L71" s="14" t="n">
        <f aca="false">K72</f>
        <v>63.7171296916429</v>
      </c>
      <c r="M71" s="14" t="n">
        <f aca="false">L72</f>
        <v>63.4198914999801</v>
      </c>
    </row>
    <row r="72" customFormat="false" ht="17.15" hidden="false" customHeight="false" outlineLevel="0" collapsed="false">
      <c r="A72" s="4" t="s">
        <v>919</v>
      </c>
      <c r="B72" s="0" t="s">
        <v>95</v>
      </c>
      <c r="E72" s="14" t="n">
        <f aca="false">debt_0</f>
        <v>38.006</v>
      </c>
      <c r="F72" s="14" t="n">
        <f aca="false">F71-F59+F68+F57</f>
        <v>39.0961643</v>
      </c>
      <c r="H72" s="14" t="n">
        <f aca="false">H71-H59+H68+H57</f>
        <v>43.4004192643804</v>
      </c>
      <c r="I72" s="14" t="n">
        <f aca="false">I71-I59+I68+I57</f>
        <v>60.7249549264558</v>
      </c>
      <c r="J72" s="14" t="n">
        <f aca="false">J71-J59+J68+J57</f>
        <v>62.8172362892776</v>
      </c>
      <c r="K72" s="14" t="n">
        <f aca="false">K71-K59+K68+K57</f>
        <v>63.7171296916429</v>
      </c>
      <c r="L72" s="14" t="n">
        <f aca="false">L71-L59+L68+L57</f>
        <v>63.4198914999801</v>
      </c>
      <c r="M72" s="14" t="n">
        <f aca="false">M71-M59+M68+M57</f>
        <v>63.8704035741786</v>
      </c>
    </row>
    <row r="73" customFormat="false" ht="15" hidden="false" customHeight="false" outlineLevel="0" collapsed="false">
      <c r="A73" s="4" t="s">
        <v>920</v>
      </c>
      <c r="B73" s="0" t="s">
        <v>95</v>
      </c>
      <c r="E73" s="14" t="n">
        <f aca="false">E69-E72</f>
        <v>51.849</v>
      </c>
      <c r="F73" s="14" t="n">
        <f aca="false">F69-F72</f>
        <v>40.1492954862984</v>
      </c>
      <c r="H73" s="14" t="n">
        <f aca="false">H69-H72</f>
        <v>-6.30749339383411</v>
      </c>
      <c r="I73" s="14" t="n">
        <f aca="false">I69-I72</f>
        <v>-30.7249549264558</v>
      </c>
      <c r="J73" s="14" t="n">
        <f aca="false">J69-J72</f>
        <v>-25.5058158808345</v>
      </c>
      <c r="K73" s="14" t="n">
        <f aca="false">K69-K72</f>
        <v>-2.83226982588725</v>
      </c>
      <c r="L73" s="14" t="n">
        <f aca="false">L69-L72</f>
        <v>27.0793547910312</v>
      </c>
      <c r="M73" s="14" t="n">
        <f aca="false">M69-M72</f>
        <v>55.2960467400403</v>
      </c>
    </row>
    <row r="75" customFormat="false" ht="17.15" hidden="false" customHeight="false" outlineLevel="0" collapsed="false">
      <c r="A75" s="28" t="s">
        <v>832</v>
      </c>
    </row>
    <row r="76" customFormat="false" ht="15" hidden="false" customHeight="false" outlineLevel="0" collapsed="false">
      <c r="A76" s="3" t="s">
        <v>43</v>
      </c>
      <c r="B76" s="3" t="s">
        <v>44</v>
      </c>
      <c r="C76" s="20" t="s">
        <v>592</v>
      </c>
      <c r="D76" s="20" t="s">
        <v>731</v>
      </c>
      <c r="E76" s="20" t="s">
        <v>732</v>
      </c>
      <c r="F76" s="20" t="s">
        <v>733</v>
      </c>
      <c r="G76" s="20" t="s">
        <v>734</v>
      </c>
      <c r="H76" s="20" t="s">
        <v>735</v>
      </c>
      <c r="I76" s="20" t="s">
        <v>736</v>
      </c>
      <c r="J76" s="20" t="s">
        <v>737</v>
      </c>
      <c r="K76" s="20" t="s">
        <v>738</v>
      </c>
      <c r="L76" s="20" t="s">
        <v>739</v>
      </c>
      <c r="M76" s="20" t="s">
        <v>740</v>
      </c>
      <c r="N76" s="3" t="s">
        <v>50</v>
      </c>
    </row>
    <row r="77" customFormat="false" ht="15" hidden="false" customHeight="false" outlineLevel="0" collapsed="false">
      <c r="A77" s="4" t="s">
        <v>873</v>
      </c>
      <c r="B77" s="0" t="s">
        <v>95</v>
      </c>
      <c r="E77" s="14" t="n">
        <f aca="false">PL!E190</f>
        <v>-0.413</v>
      </c>
      <c r="F77" s="14" t="n">
        <f aca="false">PL!F190</f>
        <v>2.31397509722694</v>
      </c>
      <c r="G77" s="14" t="n">
        <f aca="false">PL!G190</f>
        <v>1.90097509722694</v>
      </c>
      <c r="H77" s="14" t="n">
        <f aca="false">PL!H190</f>
        <v>12.6088593405458</v>
      </c>
      <c r="I77" s="14" t="n">
        <f aca="false">PL!I190</f>
        <v>14.8276215481966</v>
      </c>
      <c r="J77" s="14" t="n">
        <f aca="false">PL!J190</f>
        <v>15.1344251516731</v>
      </c>
      <c r="K77" s="14" t="n">
        <f aca="false">PL!K190</f>
        <v>9.07209362133795</v>
      </c>
      <c r="L77" s="14" t="n">
        <f aca="false">PL!L190</f>
        <v>8.29988758879079</v>
      </c>
      <c r="M77" s="14" t="n">
        <f aca="false">PL!M190</f>
        <v>8.22684438444765</v>
      </c>
    </row>
    <row r="78" customFormat="false" ht="15" hidden="false" customHeight="false" outlineLevel="0" collapsed="false">
      <c r="A78" s="4" t="s">
        <v>667</v>
      </c>
      <c r="B78" s="0" t="s">
        <v>95</v>
      </c>
      <c r="E78" s="14" t="n">
        <f aca="false">PL!E167</f>
        <v>8.934</v>
      </c>
      <c r="F78" s="14" t="n">
        <f aca="false">PL!F167</f>
        <v>3.95984768575553</v>
      </c>
      <c r="G78" s="14" t="n">
        <f aca="false">PL!G167</f>
        <v>12.8938476857555</v>
      </c>
      <c r="H78" s="14" t="n">
        <f aca="false">PL!H167</f>
        <v>22.3747065361468</v>
      </c>
      <c r="I78" s="14" t="n">
        <f aca="false">PL!I167</f>
        <v>33.6245266838704</v>
      </c>
      <c r="J78" s="14" t="n">
        <f aca="false">PL!J167</f>
        <v>45.1257321039645</v>
      </c>
      <c r="K78" s="14" t="n">
        <f aca="false">PL!K167</f>
        <v>55.2724392871353</v>
      </c>
      <c r="L78" s="14" t="n">
        <f aca="false">PL!L167</f>
        <v>63.5445764047857</v>
      </c>
      <c r="M78" s="14" t="n">
        <f aca="false">PL!M167</f>
        <v>69.3031466827379</v>
      </c>
    </row>
    <row r="79" customFormat="false" ht="17.15" hidden="false" customHeight="false" outlineLevel="0" collapsed="false">
      <c r="A79" s="4" t="s">
        <v>897</v>
      </c>
      <c r="B79" s="0" t="s">
        <v>95</v>
      </c>
      <c r="E79" s="14" t="n">
        <f aca="false">PL!E173</f>
        <v>3.835</v>
      </c>
      <c r="F79" s="14" t="n">
        <f aca="false">PL!F173</f>
        <v>3.39825996639031</v>
      </c>
      <c r="G79" s="14" t="n">
        <f aca="false">PL!G173</f>
        <v>7.23325996639031</v>
      </c>
      <c r="H79" s="14" t="n">
        <f aca="false">PL!H173</f>
        <v>15.1829087333594</v>
      </c>
      <c r="I79" s="14" t="n">
        <f aca="false">PL!I173</f>
        <v>17.62999610777</v>
      </c>
      <c r="J79" s="14" t="n">
        <f aca="false">PL!J173</f>
        <v>14.2029381038722</v>
      </c>
      <c r="K79" s="14" t="n">
        <f aca="false">PL!K173</f>
        <v>11.3019901853298</v>
      </c>
      <c r="L79" s="14" t="n">
        <f aca="false">PL!L173</f>
        <v>12.6140884776341</v>
      </c>
      <c r="M79" s="14" t="n">
        <f aca="false">PL!M173</f>
        <v>13.6713886489817</v>
      </c>
    </row>
    <row r="80" customFormat="false" ht="17.15" hidden="false" customHeight="false" outlineLevel="0" collapsed="false">
      <c r="A80" s="4" t="s">
        <v>898</v>
      </c>
      <c r="B80" s="0" t="s">
        <v>95</v>
      </c>
      <c r="F80" s="14" t="n">
        <f aca="false">wc_k*(PL!F150-(Q!I17-Q!G17))</f>
        <v>0.32409340215753</v>
      </c>
      <c r="G80" s="14" t="n">
        <f aca="false">F80</f>
        <v>0.32409340215753</v>
      </c>
      <c r="H80" s="14" t="n">
        <f aca="false">wc_k*(PL!H150-PL!G150)</f>
        <v>1.13300993953653</v>
      </c>
      <c r="I80" s="14" t="n">
        <f aca="false">wc_k*(PL!I150-PL!H150)</f>
        <v>0.796217187413659</v>
      </c>
      <c r="J80" s="14" t="n">
        <f aca="false">wc_k*(PL!J150-PL!I150)</f>
        <v>0.553120678195819</v>
      </c>
      <c r="K80" s="14" t="n">
        <f aca="false">wc_k*(PL!K150-PL!J150)</f>
        <v>0.20626883402373</v>
      </c>
      <c r="L80" s="14" t="n">
        <f aca="false">wc_k*(PL!L150-PL!K150)</f>
        <v>0.426639922033473</v>
      </c>
      <c r="M80" s="14" t="n">
        <f aca="false">wc_k*(PL!M150-PL!L150)</f>
        <v>0.358835391458609</v>
      </c>
      <c r="N80" s="7" t="s">
        <v>899</v>
      </c>
    </row>
    <row r="81" customFormat="false" ht="17.15" hidden="false" customHeight="false" outlineLevel="0" collapsed="false">
      <c r="A81" s="4" t="s">
        <v>900</v>
      </c>
      <c r="B81" s="0" t="s">
        <v>95</v>
      </c>
      <c r="E81" s="14" t="n">
        <f aca="false">cfo_9m-E77-E78-E79</f>
        <v>0.741000000000001</v>
      </c>
      <c r="F81" s="6" t="n">
        <v>0</v>
      </c>
      <c r="G81" s="14" t="n">
        <f aca="false">E81+F81</f>
        <v>0.741000000000001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</row>
    <row r="82" customFormat="false" ht="15" hidden="false" customHeight="false" outlineLevel="0" collapsed="false">
      <c r="A82" s="2" t="s">
        <v>666</v>
      </c>
      <c r="B82" s="7" t="s">
        <v>95</v>
      </c>
      <c r="E82" s="14" t="n">
        <f aca="false">E77+E78+E79+N(E80)+E81</f>
        <v>13.097</v>
      </c>
      <c r="F82" s="14" t="n">
        <f aca="false">F77+F78+F79+N(F80)+F81</f>
        <v>9.99617615153031</v>
      </c>
      <c r="G82" s="14" t="n">
        <f aca="false">G77+G78+G79+N(G80)+G81</f>
        <v>23.0931761515303</v>
      </c>
      <c r="H82" s="14" t="n">
        <f aca="false">H77+H78+H79+N(H80)+H81</f>
        <v>51.2994845495885</v>
      </c>
      <c r="I82" s="14" t="n">
        <f aca="false">I77+I78+I79+N(I80)+I81</f>
        <v>66.8783615272507</v>
      </c>
      <c r="J82" s="14" t="n">
        <f aca="false">J77+J78+J79+N(J80)+J81</f>
        <v>75.0162160377056</v>
      </c>
      <c r="K82" s="14" t="n">
        <f aca="false">K77+K78+K79+N(K80)+K81</f>
        <v>75.8527919278268</v>
      </c>
      <c r="L82" s="14" t="n">
        <f aca="false">L77+L78+L79+N(L80)+L81</f>
        <v>84.8851923932441</v>
      </c>
      <c r="M82" s="14" t="n">
        <f aca="false">M77+M78+M79+N(M80)+M81</f>
        <v>91.5602151076259</v>
      </c>
    </row>
    <row r="83" customFormat="false" ht="17.15" hidden="false" customHeight="false" outlineLevel="0" collapsed="false">
      <c r="A83" s="4" t="s">
        <v>827</v>
      </c>
      <c r="B83" s="0" t="s">
        <v>95</v>
      </c>
      <c r="E83" s="14" t="n">
        <f aca="false">Q!H35</f>
        <v>3.832</v>
      </c>
      <c r="F83" s="14" t="n">
        <f aca="false">Seg!F113</f>
        <v>1.47329168183201</v>
      </c>
      <c r="G83" s="14" t="n">
        <f aca="false">E83+F83</f>
        <v>5.30529168183201</v>
      </c>
      <c r="H83" s="14" t="n">
        <f aca="false">Seg!H113</f>
        <v>4.9481884248485</v>
      </c>
      <c r="I83" s="14" t="n">
        <f aca="false">Seg!I113</f>
        <v>4.09937779217283</v>
      </c>
      <c r="J83" s="14" t="n">
        <f aca="false">Seg!J113</f>
        <v>3.12135926532442</v>
      </c>
      <c r="K83" s="14" t="n">
        <f aca="false">Seg!K113</f>
        <v>1.98044627265693</v>
      </c>
      <c r="L83" s="14" t="n">
        <f aca="false">Seg!L113</f>
        <v>2.14092768017218</v>
      </c>
      <c r="M83" s="14" t="n">
        <f aca="false">Seg!M113</f>
        <v>2.31441432530341</v>
      </c>
    </row>
    <row r="84" customFormat="false" ht="17.15" hidden="false" customHeight="false" outlineLevel="0" collapsed="false">
      <c r="A84" s="4" t="s">
        <v>901</v>
      </c>
      <c r="B84" s="0" t="s">
        <v>95</v>
      </c>
      <c r="E84" s="14" t="n">
        <f aca="false">Q!H36</f>
        <v>4.242</v>
      </c>
      <c r="F84" s="14" t="n">
        <f aca="false">Seg!F114</f>
        <v>1.96358898339989</v>
      </c>
      <c r="G84" s="14" t="n">
        <f aca="false">E84+F84</f>
        <v>6.20558898339989</v>
      </c>
      <c r="H84" s="14" t="n">
        <f aca="false">Seg!H114</f>
        <v>9.32205841709655</v>
      </c>
      <c r="I84" s="14" t="n">
        <f aca="false">Seg!I114</f>
        <v>11.9416474872004</v>
      </c>
      <c r="J84" s="14" t="n">
        <f aca="false">Seg!J114</f>
        <v>14.2072754545634</v>
      </c>
      <c r="K84" s="14" t="n">
        <f aca="false">Seg!K114</f>
        <v>15.6543185428513</v>
      </c>
      <c r="L84" s="14" t="n">
        <f aca="false">Seg!L114</f>
        <v>17.0444159911272</v>
      </c>
      <c r="M84" s="14" t="n">
        <f aca="false">Seg!M114</f>
        <v>18.3996388236488</v>
      </c>
    </row>
    <row r="85" customFormat="false" ht="17.15" hidden="false" customHeight="false" outlineLevel="0" collapsed="false">
      <c r="A85" s="4" t="s">
        <v>902</v>
      </c>
      <c r="B85" s="0" t="s">
        <v>95</v>
      </c>
      <c r="E85" s="14" t="n">
        <f aca="false">Thesis!E44</f>
        <v>39.995</v>
      </c>
      <c r="F85" s="14" t="n">
        <f aca="false">Thesis!F44</f>
        <v>16.1658357</v>
      </c>
      <c r="G85" s="14" t="n">
        <f aca="false">Thesis!G44</f>
        <v>56.1608357</v>
      </c>
      <c r="H85" s="14" t="n">
        <f aca="false">Thesis!H44</f>
        <v>68.6263437408875</v>
      </c>
      <c r="I85" s="14" t="n">
        <f aca="false">Thesis!I44</f>
        <v>72.5893446817749</v>
      </c>
      <c r="J85" s="14" t="n">
        <f aca="false">Thesis!J44</f>
        <v>56.2357898893827</v>
      </c>
      <c r="K85" s="14" t="n">
        <f aca="false">Thesis!K44</f>
        <v>45.8602555602913</v>
      </c>
      <c r="L85" s="14" t="n">
        <f aca="false">Thesis!L44</f>
        <v>47.9597444440394</v>
      </c>
      <c r="M85" s="14" t="n">
        <f aca="false">Thesis!M44</f>
        <v>55.5854574017089</v>
      </c>
    </row>
    <row r="86" customFormat="false" ht="15" hidden="false" customHeight="false" outlineLevel="0" collapsed="false">
      <c r="A86" s="2" t="s">
        <v>903</v>
      </c>
      <c r="B86" s="7" t="s">
        <v>95</v>
      </c>
      <c r="E86" s="14" t="n">
        <f aca="false">E83+E84+E85</f>
        <v>48.069</v>
      </c>
      <c r="F86" s="14" t="n">
        <f aca="false">F83+F84+F85</f>
        <v>19.6027163652319</v>
      </c>
      <c r="G86" s="14" t="n">
        <f aca="false">G83+G84+G85</f>
        <v>67.6717163652319</v>
      </c>
      <c r="H86" s="14" t="n">
        <f aca="false">H83+H84+H85</f>
        <v>82.8965905828325</v>
      </c>
      <c r="I86" s="14" t="n">
        <f aca="false">I83+I84+I85</f>
        <v>88.6303699611481</v>
      </c>
      <c r="J86" s="14" t="n">
        <f aca="false">J83+J84+J85</f>
        <v>73.5644246092705</v>
      </c>
      <c r="K86" s="14" t="n">
        <f aca="false">K83+K84+K85</f>
        <v>63.4950203757996</v>
      </c>
      <c r="L86" s="14" t="n">
        <f aca="false">L83+L84+L85</f>
        <v>67.1450881153389</v>
      </c>
      <c r="M86" s="14" t="n">
        <f aca="false">M83+M84+M85</f>
        <v>76.2995105506611</v>
      </c>
    </row>
    <row r="87" customFormat="false" ht="17.15" hidden="false" customHeight="false" outlineLevel="0" collapsed="false">
      <c r="A87" s="4" t="s">
        <v>904</v>
      </c>
      <c r="B87" s="0" t="s">
        <v>95</v>
      </c>
      <c r="E87" s="21" t="n">
        <f aca="false">E86-capex_9m</f>
        <v>0</v>
      </c>
    </row>
    <row r="88" customFormat="false" ht="17.15" hidden="false" customHeight="false" outlineLevel="0" collapsed="false">
      <c r="A88" s="4" t="s">
        <v>905</v>
      </c>
      <c r="B88" s="0" t="s">
        <v>95</v>
      </c>
      <c r="E88" s="14" t="n">
        <f aca="false">Thesis!E45</f>
        <v>3.921</v>
      </c>
      <c r="F88" s="14" t="n">
        <f aca="false">Thesis!F45</f>
        <v>1.5851643</v>
      </c>
      <c r="G88" s="14" t="n">
        <f aca="false">Thesis!G45</f>
        <v>5.5061643</v>
      </c>
      <c r="H88" s="14" t="n">
        <f aca="false">Thesis!H45</f>
        <v>6.72925496438042</v>
      </c>
      <c r="I88" s="14" t="n">
        <f aca="false">Thesis!I45</f>
        <v>7.11785272876084</v>
      </c>
      <c r="J88" s="14" t="n">
        <f aca="false">Thesis!J45</f>
        <v>5.51428136282187</v>
      </c>
      <c r="K88" s="14" t="n">
        <f aca="false">Thesis!K45</f>
        <v>4.49689340236523</v>
      </c>
      <c r="L88" s="14" t="n">
        <f aca="false">Thesis!L45</f>
        <v>4.70276180833724</v>
      </c>
      <c r="M88" s="14" t="n">
        <f aca="false">Thesis!M45</f>
        <v>5.45051207419853</v>
      </c>
    </row>
    <row r="89" customFormat="false" ht="15" hidden="false" customHeight="false" outlineLevel="0" collapsed="false">
      <c r="A89" s="4" t="s">
        <v>672</v>
      </c>
      <c r="B89" s="0" t="s">
        <v>95</v>
      </c>
      <c r="E89" s="14" t="n">
        <f aca="false">lease_1H</f>
        <v>0.27</v>
      </c>
      <c r="F89" s="14" t="n">
        <f aca="false">lease_2H</f>
        <v>0.123</v>
      </c>
      <c r="G89" s="14" t="n">
        <f aca="false">E89+F89</f>
        <v>0.393</v>
      </c>
      <c r="H89" s="14" t="n">
        <f aca="false">lease_27</f>
        <v>0.25</v>
      </c>
      <c r="I89" s="14" t="n">
        <f aca="false">lease_28</f>
        <v>0.2</v>
      </c>
      <c r="J89" s="14" t="n">
        <f aca="false">lease_29</f>
        <v>0.15</v>
      </c>
      <c r="K89" s="14" t="n">
        <f aca="false">lease_30</f>
        <v>0.1</v>
      </c>
      <c r="L89" s="14" t="n">
        <f aca="false">lease_31</f>
        <v>0.1</v>
      </c>
      <c r="M89" s="14" t="n">
        <f aca="false">lease_32</f>
        <v>0.1</v>
      </c>
    </row>
    <row r="90" customFormat="false" ht="17.15" hidden="false" customHeight="false" outlineLevel="0" collapsed="false">
      <c r="A90" s="0" t="s">
        <v>906</v>
      </c>
      <c r="B90" s="0" t="s">
        <v>95</v>
      </c>
      <c r="E90" s="14" t="n">
        <f aca="false">slb_1H</f>
        <v>0</v>
      </c>
      <c r="F90" s="14" t="n">
        <f aca="false">mat_2H</f>
        <v>0.495</v>
      </c>
      <c r="G90" s="14" t="n">
        <f aca="false">E90+F90</f>
        <v>0.495</v>
      </c>
      <c r="H90" s="14" t="n">
        <f aca="false">mat_27</f>
        <v>2.425</v>
      </c>
      <c r="I90" s="14" t="n">
        <f aca="false">mat_28</f>
        <v>2.867</v>
      </c>
      <c r="J90" s="14" t="n">
        <f aca="false">mat_29</f>
        <v>3.422</v>
      </c>
      <c r="K90" s="14" t="n">
        <f aca="false">mat_30</f>
        <v>3.597</v>
      </c>
      <c r="L90" s="14" t="n">
        <f aca="false">mat_31</f>
        <v>5</v>
      </c>
      <c r="M90" s="14" t="n">
        <f aca="false">mat_32</f>
        <v>5</v>
      </c>
      <c r="N90" s="7" t="s">
        <v>907</v>
      </c>
    </row>
    <row r="91" customFormat="false" ht="17.15" hidden="false" customHeight="false" outlineLevel="0" collapsed="false">
      <c r="A91" s="4" t="s">
        <v>673</v>
      </c>
      <c r="B91" s="0" t="s">
        <v>95</v>
      </c>
      <c r="E91" s="14" t="n">
        <f aca="false">E82-E86</f>
        <v>-34.972</v>
      </c>
      <c r="F91" s="14" t="n">
        <f aca="false">F82-F86</f>
        <v>-9.60654021370159</v>
      </c>
      <c r="G91" s="14" t="n">
        <f aca="false">G82-G86</f>
        <v>-44.5785402137016</v>
      </c>
      <c r="H91" s="14" t="n">
        <f aca="false">H82-H86</f>
        <v>-31.597106033244</v>
      </c>
      <c r="I91" s="14" t="n">
        <f aca="false">I82-I86</f>
        <v>-21.7520084338974</v>
      </c>
      <c r="J91" s="14" t="n">
        <f aca="false">J82-J86</f>
        <v>1.4517914284351</v>
      </c>
      <c r="K91" s="14" t="n">
        <f aca="false">K82-K86</f>
        <v>12.3577715520272</v>
      </c>
      <c r="L91" s="14" t="n">
        <f aca="false">L82-L86</f>
        <v>17.7401042779052</v>
      </c>
      <c r="M91" s="14" t="n">
        <f aca="false">M82-M86</f>
        <v>15.2607045569648</v>
      </c>
    </row>
    <row r="92" customFormat="false" ht="17.15" hidden="false" customHeight="false" outlineLevel="0" collapsed="false">
      <c r="A92" s="28" t="s">
        <v>908</v>
      </c>
      <c r="B92" s="30" t="s">
        <v>95</v>
      </c>
      <c r="C92" s="30"/>
      <c r="D92" s="30"/>
      <c r="E92" s="31" t="n">
        <f aca="false">E91-E89-E90-E88</f>
        <v>-39.163</v>
      </c>
      <c r="F92" s="31" t="n">
        <f aca="false">F91-F89-F90-F88</f>
        <v>-11.8097045137016</v>
      </c>
      <c r="G92" s="31" t="n">
        <f aca="false">G91-G89-G90-G88</f>
        <v>-50.9727045137016</v>
      </c>
      <c r="H92" s="31" t="n">
        <f aca="false">H91-H89-H90-H88</f>
        <v>-41.0013609976244</v>
      </c>
      <c r="I92" s="31" t="n">
        <f aca="false">I91-I89-I90-I88</f>
        <v>-31.9368611626583</v>
      </c>
      <c r="J92" s="31" t="n">
        <f aca="false">J91-J89-J90-J88</f>
        <v>-7.63448993438677</v>
      </c>
      <c r="K92" s="31" t="n">
        <f aca="false">K91-K89-K90-K88</f>
        <v>4.16387814966198</v>
      </c>
      <c r="L92" s="31" t="n">
        <f aca="false">L91-L89-L90-L88</f>
        <v>7.93734246956799</v>
      </c>
      <c r="M92" s="31" t="n">
        <f aca="false">M91-M89-M90-M88</f>
        <v>4.71019248276622</v>
      </c>
      <c r="N92" s="30"/>
    </row>
    <row r="93" customFormat="false" ht="17.15" hidden="false" customHeight="false" outlineLevel="0" collapsed="false">
      <c r="A93" s="0" t="s">
        <v>909</v>
      </c>
      <c r="B93" s="0" t="s">
        <v>95</v>
      </c>
      <c r="E93" s="6" t="n">
        <v>0</v>
      </c>
      <c r="F93" s="14" t="n">
        <f aca="false">spec_2h</f>
        <v>0.385</v>
      </c>
      <c r="G93" s="14" t="n">
        <f aca="false">E93+F93</f>
        <v>0.385</v>
      </c>
      <c r="H93" s="14" t="n">
        <f aca="false">spec_27</f>
        <v>9.328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</row>
    <row r="94" customFormat="false" ht="17.15" hidden="false" customHeight="false" outlineLevel="0" collapsed="false">
      <c r="A94" s="0" t="s">
        <v>910</v>
      </c>
      <c r="B94" s="0" t="s">
        <v>95</v>
      </c>
      <c r="E94" s="14" t="n">
        <f aca="false">debt_1H</f>
        <v>10.712</v>
      </c>
      <c r="F94" s="6" t="n">
        <v>0</v>
      </c>
      <c r="G94" s="14" t="n">
        <f aca="false">E94+F94</f>
        <v>10.712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</row>
    <row r="95" customFormat="false" ht="17.15" hidden="false" customHeight="false" outlineLevel="0" collapsed="false">
      <c r="A95" s="4" t="s">
        <v>911</v>
      </c>
      <c r="B95" s="0" t="s">
        <v>95</v>
      </c>
      <c r="E95" s="14" t="n">
        <f aca="false">eq_1H</f>
        <v>89.377</v>
      </c>
      <c r="F95" s="6" t="n">
        <v>0</v>
      </c>
      <c r="G95" s="14" t="n">
        <f aca="false">E95+F95</f>
        <v>89.377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</row>
    <row r="96" customFormat="false" ht="15" hidden="false" customHeight="false" outlineLevel="0" collapsed="false">
      <c r="A96" s="4" t="s">
        <v>912</v>
      </c>
      <c r="B96" s="0" t="s">
        <v>95</v>
      </c>
      <c r="E96" s="14" t="n">
        <f aca="false">cash_ye25</f>
        <v>24.747</v>
      </c>
      <c r="F96" s="14" t="n">
        <f aca="false">E100</f>
        <v>89.855</v>
      </c>
      <c r="H96" s="14" t="n">
        <f aca="false">F100</f>
        <v>79.2454597862984</v>
      </c>
      <c r="I96" s="14" t="n">
        <f aca="false">H100</f>
        <v>35.6453537530544</v>
      </c>
      <c r="J96" s="14" t="n">
        <f aca="false">I100</f>
        <v>30</v>
      </c>
      <c r="K96" s="14" t="n">
        <f aca="false">J100</f>
        <v>30</v>
      </c>
      <c r="L96" s="14" t="n">
        <f aca="false">K100</f>
        <v>38.6607715520272</v>
      </c>
      <c r="M96" s="14" t="n">
        <f aca="false">L100</f>
        <v>51.3008758299324</v>
      </c>
    </row>
    <row r="97" customFormat="false" ht="17.15" hidden="false" customHeight="false" outlineLevel="0" collapsed="false">
      <c r="A97" s="4" t="s">
        <v>913</v>
      </c>
      <c r="B97" s="0" t="s">
        <v>95</v>
      </c>
      <c r="E97" s="27" t="n">
        <f aca="false">cash_0-(E96+E82-E86-E89+E94+E95)</f>
        <v>0.26100000000001</v>
      </c>
      <c r="F97" s="34" t="n">
        <v>0</v>
      </c>
      <c r="H97" s="34" t="n">
        <v>0</v>
      </c>
      <c r="I97" s="34" t="n">
        <v>0</v>
      </c>
      <c r="J97" s="34" t="n">
        <v>0</v>
      </c>
      <c r="K97" s="34" t="n">
        <v>0</v>
      </c>
      <c r="L97" s="34" t="n">
        <v>0</v>
      </c>
      <c r="M97" s="34" t="n">
        <v>0</v>
      </c>
    </row>
    <row r="98" customFormat="false" ht="15" hidden="false" customHeight="false" outlineLevel="0" collapsed="false">
      <c r="A98" s="4" t="s">
        <v>914</v>
      </c>
      <c r="B98" s="0" t="s">
        <v>95</v>
      </c>
      <c r="E98" s="14" t="n">
        <f aca="false">E96+E82-E86-E89+E94+E95+E97</f>
        <v>89.855</v>
      </c>
      <c r="F98" s="14" t="n">
        <f aca="false">F96+F82-F86-F89-F90-F93</f>
        <v>79.2454597862984</v>
      </c>
      <c r="H98" s="14" t="n">
        <f aca="false">H96+H82-H86-H89-H90-H93</f>
        <v>35.6453537530544</v>
      </c>
      <c r="I98" s="14" t="n">
        <f aca="false">I96+I82-I86-I89-I90-I93</f>
        <v>10.826345319157</v>
      </c>
      <c r="J98" s="14" t="n">
        <f aca="false">J96+J82-J86-J89-J90-J93</f>
        <v>27.8797914284351</v>
      </c>
      <c r="K98" s="14" t="n">
        <f aca="false">K96+K82-K86-K89-K90-K93</f>
        <v>38.6607715520272</v>
      </c>
      <c r="L98" s="14" t="n">
        <f aca="false">L96+L82-L86-L89-L90-L93</f>
        <v>51.3008758299324</v>
      </c>
      <c r="M98" s="14" t="n">
        <f aca="false">M96+M82-M86-M89-M90-M93</f>
        <v>61.4615803868972</v>
      </c>
    </row>
    <row r="99" customFormat="false" ht="15" hidden="false" customHeight="false" outlineLevel="0" collapsed="false">
      <c r="A99" s="4" t="s">
        <v>915</v>
      </c>
      <c r="B99" s="0" t="s">
        <v>95</v>
      </c>
      <c r="E99" s="6" t="n">
        <v>0</v>
      </c>
      <c r="F99" s="14" t="n">
        <f aca="false">MAX(0,min_cash-F98)</f>
        <v>0</v>
      </c>
      <c r="G99" s="14" t="n">
        <f aca="false">E99+F99</f>
        <v>0</v>
      </c>
      <c r="H99" s="14" t="n">
        <f aca="false">MAX(0,min_cash-H98)</f>
        <v>0</v>
      </c>
      <c r="I99" s="14" t="n">
        <f aca="false">MAX(0,min_cash-I98)</f>
        <v>19.173654680843</v>
      </c>
      <c r="J99" s="14" t="n">
        <f aca="false">MAX(0,min_cash-J98)</f>
        <v>2.1202085715649</v>
      </c>
      <c r="K99" s="14" t="n">
        <f aca="false">MAX(0,min_cash-K98)</f>
        <v>0</v>
      </c>
      <c r="L99" s="14" t="n">
        <f aca="false">MAX(0,min_cash-L98)</f>
        <v>0</v>
      </c>
      <c r="M99" s="14" t="n">
        <f aca="false">MAX(0,min_cash-M98)</f>
        <v>0</v>
      </c>
    </row>
    <row r="100" customFormat="false" ht="15" hidden="false" customHeight="false" outlineLevel="0" collapsed="false">
      <c r="A100" s="4" t="s">
        <v>916</v>
      </c>
      <c r="B100" s="0" t="s">
        <v>95</v>
      </c>
      <c r="E100" s="14" t="n">
        <f aca="false">E98+E99</f>
        <v>89.855</v>
      </c>
      <c r="F100" s="14" t="n">
        <f aca="false">F98+F99</f>
        <v>79.2454597862984</v>
      </c>
      <c r="H100" s="14" t="n">
        <f aca="false">H98+H99</f>
        <v>35.6453537530544</v>
      </c>
      <c r="I100" s="14" t="n">
        <f aca="false">I98+I99</f>
        <v>30</v>
      </c>
      <c r="J100" s="14" t="n">
        <f aca="false">J98+J99</f>
        <v>30</v>
      </c>
      <c r="K100" s="14" t="n">
        <f aca="false">K98+K99</f>
        <v>38.6607715520272</v>
      </c>
      <c r="L100" s="14" t="n">
        <f aca="false">L98+L99</f>
        <v>51.3008758299324</v>
      </c>
      <c r="M100" s="14" t="n">
        <f aca="false">M98+M99</f>
        <v>61.4615803868972</v>
      </c>
    </row>
    <row r="101" customFormat="false" ht="17.15" hidden="false" customHeight="false" outlineLevel="0" collapsed="false">
      <c r="A101" s="4" t="s">
        <v>917</v>
      </c>
      <c r="B101" s="0" t="s">
        <v>95</v>
      </c>
      <c r="E101" s="21" t="n">
        <f aca="false">E100-cash_0</f>
        <v>0</v>
      </c>
    </row>
    <row r="102" customFormat="false" ht="15" hidden="false" customHeight="false" outlineLevel="0" collapsed="false">
      <c r="A102" s="4" t="s">
        <v>918</v>
      </c>
      <c r="B102" s="0" t="s">
        <v>95</v>
      </c>
      <c r="E102" s="14" t="n">
        <f aca="false">debt_ye25</f>
        <v>22.049</v>
      </c>
      <c r="F102" s="14" t="n">
        <f aca="false">E103</f>
        <v>38.006</v>
      </c>
      <c r="H102" s="14" t="n">
        <f aca="false">F103</f>
        <v>39.0961643</v>
      </c>
      <c r="I102" s="14" t="n">
        <f aca="false">H103</f>
        <v>43.4004192643804</v>
      </c>
      <c r="J102" s="14" t="n">
        <f aca="false">I103</f>
        <v>66.8249266739843</v>
      </c>
      <c r="K102" s="14" t="n">
        <f aca="false">J103</f>
        <v>71.0374166083711</v>
      </c>
      <c r="L102" s="14" t="n">
        <f aca="false">K103</f>
        <v>71.9373100107363</v>
      </c>
      <c r="M102" s="14" t="n">
        <f aca="false">L103</f>
        <v>71.6400718190736</v>
      </c>
    </row>
    <row r="103" customFormat="false" ht="17.15" hidden="false" customHeight="false" outlineLevel="0" collapsed="false">
      <c r="A103" s="4" t="s">
        <v>919</v>
      </c>
      <c r="B103" s="0" t="s">
        <v>95</v>
      </c>
      <c r="E103" s="14" t="n">
        <f aca="false">debt_0</f>
        <v>38.006</v>
      </c>
      <c r="F103" s="14" t="n">
        <f aca="false">F102-F90+F99+F88</f>
        <v>39.0961643</v>
      </c>
      <c r="H103" s="14" t="n">
        <f aca="false">H102-H90+H99+H88</f>
        <v>43.4004192643804</v>
      </c>
      <c r="I103" s="14" t="n">
        <f aca="false">I102-I90+I99+I88</f>
        <v>66.8249266739843</v>
      </c>
      <c r="J103" s="14" t="n">
        <f aca="false">J102-J90+J99+J88</f>
        <v>71.0374166083711</v>
      </c>
      <c r="K103" s="14" t="n">
        <f aca="false">K102-K90+K99+K88</f>
        <v>71.9373100107363</v>
      </c>
      <c r="L103" s="14" t="n">
        <f aca="false">L102-L90+L99+L88</f>
        <v>71.6400718190736</v>
      </c>
      <c r="M103" s="14" t="n">
        <f aca="false">M102-M90+M99+M88</f>
        <v>72.0905838932721</v>
      </c>
    </row>
    <row r="104" customFormat="false" ht="15" hidden="false" customHeight="false" outlineLevel="0" collapsed="false">
      <c r="A104" s="4" t="s">
        <v>920</v>
      </c>
      <c r="B104" s="0" t="s">
        <v>95</v>
      </c>
      <c r="E104" s="14" t="n">
        <f aca="false">E100-E103</f>
        <v>51.849</v>
      </c>
      <c r="F104" s="14" t="n">
        <f aca="false">F100-F103</f>
        <v>40.1492954862984</v>
      </c>
      <c r="H104" s="14" t="n">
        <f aca="false">H100-H103</f>
        <v>-7.75506551132601</v>
      </c>
      <c r="I104" s="14" t="n">
        <f aca="false">I100-I103</f>
        <v>-36.8249266739843</v>
      </c>
      <c r="J104" s="14" t="n">
        <f aca="false">J100-J103</f>
        <v>-41.0374166083711</v>
      </c>
      <c r="K104" s="14" t="n">
        <f aca="false">K100-K103</f>
        <v>-33.2765384587091</v>
      </c>
      <c r="L104" s="14" t="n">
        <f aca="false">L100-L103</f>
        <v>-20.3391959891411</v>
      </c>
      <c r="M104" s="14" t="n">
        <f aca="false">M100-M103</f>
        <v>-10.6290035063749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4" min="2" style="0" width="13"/>
    <col collapsed="false" customWidth="true" hidden="false" outlineLevel="0" max="5" min="5" style="0" width="60"/>
    <col collapsed="false" customWidth="true" hidden="false" outlineLevel="0" max="13" min="6" style="0" width="12"/>
  </cols>
  <sheetData>
    <row r="1" customFormat="false" ht="17.15" hidden="false" customHeight="false" outlineLevel="0" collapsed="false">
      <c r="A1" s="0" t="s">
        <v>921</v>
      </c>
    </row>
    <row r="2" customFormat="false" ht="17.15" hidden="false" customHeight="false" outlineLevel="0" collapsed="false">
      <c r="A2" s="0" t="s">
        <v>922</v>
      </c>
    </row>
    <row r="4" customFormat="false" ht="17.15" hidden="false" customHeight="false" outlineLevel="0" collapsed="false">
      <c r="A4" s="5" t="s">
        <v>923</v>
      </c>
    </row>
    <row r="5" customFormat="false" ht="15" hidden="false" customHeight="false" outlineLevel="0" collapsed="false">
      <c r="A5" s="3" t="s">
        <v>43</v>
      </c>
      <c r="B5" s="3" t="s">
        <v>678</v>
      </c>
      <c r="C5" s="3" t="s">
        <v>924</v>
      </c>
      <c r="D5" s="3" t="s">
        <v>924</v>
      </c>
      <c r="E5" s="3" t="s">
        <v>50</v>
      </c>
    </row>
    <row r="6" customFormat="false" ht="17.15" hidden="false" customHeight="false" outlineLevel="0" collapsed="false">
      <c r="A6" s="8" t="s">
        <v>925</v>
      </c>
      <c r="B6" s="35" t="n">
        <f aca="false">tp_wA*B120+tp_wB*C120+tp_wC*D120</f>
        <v>20.6584417027133</v>
      </c>
      <c r="C6" s="8"/>
      <c r="D6" s="8"/>
      <c r="E6" s="8"/>
    </row>
    <row r="7" customFormat="false" ht="17.15" hidden="false" customHeight="false" outlineLevel="0" collapsed="false">
      <c r="A7" s="0" t="s">
        <v>926</v>
      </c>
      <c r="B7" s="27" t="n">
        <f aca="false">tp_wA*B146+tp_wB*C146+tp_wC*D146</f>
        <v>34.3724711060449</v>
      </c>
      <c r="E7" s="4" t="s">
        <v>927</v>
      </c>
    </row>
    <row r="8" customFormat="false" ht="17.15" hidden="false" customHeight="false" outlineLevel="0" collapsed="false">
      <c r="A8" s="36" t="s">
        <v>928</v>
      </c>
      <c r="B8" s="35" t="n">
        <f aca="false">w_dcf*B6+(1-w_dcf)*B7</f>
        <v>27.5154564043791</v>
      </c>
      <c r="C8" s="8"/>
      <c r="D8" s="8"/>
      <c r="E8" s="8" t="str">
        <f aca="false">"DCF 權重 "&amp;TEXT(w_dcf,"0%")&amp;"、分部加總 "&amp;TEXT(1-w_dcf,"0%")&amp;"；自用 AI 讀法 "&amp;internal_ai_reading</f>
        <v>DCF 權重 50%、分部加總 50%；自用 AI 讀法 2</v>
      </c>
    </row>
    <row r="9" customFormat="false" ht="17.15" hidden="false" customHeight="false" outlineLevel="0" collapsed="false">
      <c r="A9" s="4" t="s">
        <v>53</v>
      </c>
      <c r="B9" s="27" t="n">
        <f aca="false">px</f>
        <v>143.89</v>
      </c>
      <c r="E9" s="7" t="s">
        <v>929</v>
      </c>
    </row>
    <row r="10" customFormat="false" ht="17.15" hidden="false" customHeight="false" outlineLevel="0" collapsed="false">
      <c r="A10" s="4" t="s">
        <v>930</v>
      </c>
      <c r="B10" s="27" t="n">
        <f aca="false">cons_tp</f>
        <v>244.97</v>
      </c>
      <c r="E10" s="7" t="s">
        <v>931</v>
      </c>
    </row>
    <row r="11" customFormat="false" ht="15" hidden="false" customHeight="false" outlineLevel="0" collapsed="false">
      <c r="A11" s="36" t="s">
        <v>932</v>
      </c>
      <c r="B11" s="37" t="n">
        <f aca="false">B8/px-1</f>
        <v>-0.808774366499555</v>
      </c>
      <c r="C11" s="8"/>
      <c r="D11" s="8"/>
      <c r="E11" s="8"/>
    </row>
    <row r="12" customFormat="false" ht="17.15" hidden="false" customHeight="false" outlineLevel="0" collapsed="false">
      <c r="A12" s="4" t="s">
        <v>933</v>
      </c>
      <c r="B12" s="16" t="n">
        <f aca="false">B7/px-1</f>
        <v>-0.761119806059873</v>
      </c>
    </row>
    <row r="13" customFormat="false" ht="17.15" hidden="false" customHeight="false" outlineLevel="0" collapsed="false">
      <c r="A13" s="4" t="s">
        <v>934</v>
      </c>
      <c r="B13" s="38" t="str">
        <f aca="false">IF(B11&gt;=0.5,"大於 50%",IF(B11&gt;=0.25,"25%–50%",IF(B11&gt;=0,"0%–25%",IF(B11&gt;-0.25,"0%～−25%",IF(B11&gt;-0.5,"−25%～−50%","小於 −50%")))))</f>
        <v>小於 −50%</v>
      </c>
      <c r="E13" s="4" t="s">
        <v>935</v>
      </c>
    </row>
    <row r="14" customFormat="false" ht="17.15" hidden="false" customHeight="false" outlineLevel="0" collapsed="false">
      <c r="A14" s="36" t="s">
        <v>936</v>
      </c>
      <c r="B14" s="39" t="str">
        <f aca="false">IF(B11&gt;=0.5,"強力買進",IF(B11&gt;=0.25,"買進",IF(B11&gt;-0.25,"中立",IF(B11&gt;-0.5,"放空","強力放空"))))</f>
        <v>強力放空</v>
      </c>
      <c r="C14" s="8"/>
      <c r="D14" s="8"/>
      <c r="E14" s="9" t="s">
        <v>937</v>
      </c>
    </row>
    <row r="15" customFormat="false" ht="17.15" hidden="false" customHeight="false" outlineLevel="0" collapsed="false">
      <c r="A15" s="4" t="s">
        <v>938</v>
      </c>
      <c r="B15" s="27" t="n">
        <f aca="false">D120</f>
        <v>10.9854704033287</v>
      </c>
      <c r="C15" s="27" t="n">
        <f aca="false">B120</f>
        <v>31.8853183360008</v>
      </c>
      <c r="E15" s="7" t="s">
        <v>939</v>
      </c>
    </row>
    <row r="16" customFormat="false" ht="17.15" hidden="false" customHeight="false" outlineLevel="0" collapsed="false">
      <c r="A16" s="4" t="s">
        <v>940</v>
      </c>
      <c r="B16" s="27" t="n">
        <f aca="false">D120</f>
        <v>10.9854704033287</v>
      </c>
      <c r="E16" s="4" t="s">
        <v>941</v>
      </c>
    </row>
    <row r="17" customFormat="false" ht="17.15" hidden="false" customHeight="false" outlineLevel="0" collapsed="false">
      <c r="A17" s="4" t="s">
        <v>942</v>
      </c>
      <c r="B17" s="27" t="n">
        <f aca="false">w_dcf*B120+(1-w_dcf)*B146</f>
        <v>39.1068678520808</v>
      </c>
      <c r="C17" s="27" t="n">
        <f aca="false">w_dcf*C120+(1-w_dcf)*C146</f>
        <v>26.6909063309232</v>
      </c>
      <c r="D17" s="27" t="n">
        <f aca="false">w_dcf*D120+(1-w_dcf)*D146</f>
        <v>17.5731451035891</v>
      </c>
    </row>
    <row r="18" customFormat="false" ht="17.15" hidden="false" customHeight="false" outlineLevel="0" collapsed="false">
      <c r="A18" s="4" t="s">
        <v>943</v>
      </c>
      <c r="B18" s="16" t="n">
        <f aca="false">B17/px-1</f>
        <v>-0.728216916727494</v>
      </c>
      <c r="C18" s="16" t="n">
        <f aca="false">C17/px-1</f>
        <v>-0.814504786080178</v>
      </c>
      <c r="D18" s="16" t="n">
        <f aca="false">D17/px-1</f>
        <v>-0.877870977110369</v>
      </c>
    </row>
    <row r="19" customFormat="false" ht="17.15" hidden="false" customHeight="false" outlineLevel="0" collapsed="false">
      <c r="A19" s="0" t="s">
        <v>944</v>
      </c>
      <c r="B19" s="16" t="n">
        <f aca="false">B113</f>
        <v>0.930363337103357</v>
      </c>
      <c r="C19" s="16" t="n">
        <f aca="false">C113</f>
        <v>1.1310597814225</v>
      </c>
      <c r="D19" s="16" t="n">
        <f aca="false">D113</f>
        <v>1.7408204244976</v>
      </c>
    </row>
    <row r="20" customFormat="false" ht="17.15" hidden="false" customHeight="false" outlineLevel="0" collapsed="false">
      <c r="A20" s="4" t="s">
        <v>945</v>
      </c>
      <c r="B20" s="27" t="n">
        <f aca="false">w_dcf*(tp_wA*B119+tp_wB*C119+tp_wC*D119)+(1-w_dcf)*(tp_wA*B145+tp_wB*C145+tp_wC*D145)</f>
        <v>27.5154564043791</v>
      </c>
      <c r="C20" s="16" t="n">
        <f aca="false">B20/px-1</f>
        <v>-0.808774366499555</v>
      </c>
      <c r="D20" s="38" t="str">
        <f aca="false">IF(C20&gt;=0.5,"強力買進",IF(C20&gt;=0.25,"買進",IF(C20&gt;-0.25,"中立",IF(C20&gt;-0.5,"放空","強力放空"))))</f>
        <v>強力放空</v>
      </c>
      <c r="E20" s="4" t="s">
        <v>946</v>
      </c>
    </row>
    <row r="21" customFormat="false" ht="17.15" hidden="false" customHeight="false" outlineLevel="0" collapsed="false">
      <c r="A21" s="4" t="s">
        <v>947</v>
      </c>
      <c r="B21" s="27" t="n">
        <f aca="false">w_dcf*(tp_wA*B118+tp_wB*C118+tp_wC*D118)+(1-w_dcf)*(tp_wA*B144+tp_wB*C144+tp_wC*D144)</f>
        <v>20.2087703093152</v>
      </c>
      <c r="C21" s="16" t="n">
        <f aca="false">B21/px-1</f>
        <v>-0.859554032182117</v>
      </c>
      <c r="D21" s="38" t="str">
        <f aca="false">IF(C21&gt;=0.5,"強力買進",IF(C21&gt;=0.25,"買進",IF(C21&gt;-0.25,"中立",IF(C21&gt;-0.5,"放空","強力放空"))))</f>
        <v>強力放空</v>
      </c>
      <c r="E21" s="4" t="s">
        <v>948</v>
      </c>
    </row>
    <row r="22" customFormat="false" ht="17.15" hidden="false" customHeight="false" outlineLevel="0" collapsed="false">
      <c r="A22" s="4" t="s">
        <v>949</v>
      </c>
      <c r="B22" s="27" t="n">
        <f aca="false">tp_wA*B118+tp_wB*C118+tp_wC*D118</f>
        <v>9.19941567481684</v>
      </c>
      <c r="C22" s="27" t="n">
        <f aca="false">tp_wA*B119+tp_wB*C119+tp_wC*D119</f>
        <v>20.6584417027133</v>
      </c>
    </row>
    <row r="23" customFormat="false" ht="17.15" hidden="false" customHeight="false" outlineLevel="0" collapsed="false">
      <c r="A23" s="4" t="s">
        <v>950</v>
      </c>
      <c r="B23" s="27" t="n">
        <f aca="false">tp_wA*B144+tp_wB*C144+tp_wC*D144</f>
        <v>31.2181249438136</v>
      </c>
      <c r="C23" s="27" t="n">
        <f aca="false">tp_wA*B145+tp_wB*C145+tp_wC*D145</f>
        <v>34.3724711060449</v>
      </c>
    </row>
    <row r="24" customFormat="false" ht="17.15" hidden="false" customHeight="false" outlineLevel="0" collapsed="false">
      <c r="A24" s="0" t="s">
        <v>951</v>
      </c>
      <c r="B24" s="17" t="n">
        <f aca="false">Seg!I35</f>
        <v>1.73330625934888</v>
      </c>
      <c r="C24" s="17" t="n">
        <f aca="false">Seg!I73</f>
        <v>1.55830625934888</v>
      </c>
      <c r="D24" s="17" t="n">
        <f aca="false">Seg!I111</f>
        <v>1.43330625934888</v>
      </c>
      <c r="E24" s="0" t="str">
        <f aca="false">"2026Q3 校準 k0＝"&amp;TEXT(k0,"0.00")&amp;"；FY2028 情境 B 每 GW 年營收 "&amp;TEXT(Seg!I45,"0.0")&amp;"、持有成本 "&amp;TEXT(Thesis!I33,"0.0")&amp;"（US$B/GW-年）"</f>
        <v>2026Q3 校準 k0＝1.87；FY2028 情境 B 每 GW 年營收 17.0、持有成本 10.9（US$B/GW-年）</v>
      </c>
    </row>
    <row r="25" customFormat="false" ht="17.15" hidden="false" customHeight="false" outlineLevel="0" collapsed="false">
      <c r="A25" s="4" t="s">
        <v>952</v>
      </c>
      <c r="B25" s="33" t="n">
        <f aca="false">CF!B6</f>
        <v>-55.4829884713393</v>
      </c>
      <c r="C25" s="33" t="n">
        <f aca="false">CF!C6</f>
        <v>-96.9372698258872</v>
      </c>
      <c r="D25" s="33" t="n">
        <f aca="false">CF!D6</f>
        <v>-127.381538458709</v>
      </c>
      <c r="E25" s="7" t="s">
        <v>953</v>
      </c>
    </row>
    <row r="26" customFormat="false" ht="17.15" hidden="false" customHeight="false" outlineLevel="0" collapsed="false">
      <c r="A26" s="4" t="s">
        <v>954</v>
      </c>
      <c r="B26" s="38" t="s">
        <v>955</v>
      </c>
    </row>
    <row r="27" customFormat="false" ht="17.15" hidden="false" customHeight="false" outlineLevel="0" collapsed="false">
      <c r="A27" s="4" t="s">
        <v>956</v>
      </c>
      <c r="B27" s="21" t="n">
        <f aca="false">ROUND(tp_wA+tp_wB+tp_wC,6)</f>
        <v>1</v>
      </c>
    </row>
    <row r="28" customFormat="false" ht="17.15" hidden="false" customHeight="false" outlineLevel="0" collapsed="false">
      <c r="A28" s="4" t="s">
        <v>957</v>
      </c>
      <c r="B28" s="21" t="n">
        <f aca="false">B8-IF(internal_ai_reading=2,B20,B21)</f>
        <v>0</v>
      </c>
    </row>
    <row r="33" customFormat="false" ht="17.15" hidden="false" customHeight="false" outlineLevel="0" collapsed="false">
      <c r="A33" s="5" t="s">
        <v>958</v>
      </c>
    </row>
    <row r="34" customFormat="false" ht="15" hidden="false" customHeight="false" outlineLevel="0" collapsed="false">
      <c r="A34" s="3" t="s">
        <v>43</v>
      </c>
      <c r="B34" s="3" t="s">
        <v>678</v>
      </c>
      <c r="C34" s="3"/>
      <c r="D34" s="3"/>
      <c r="E34" s="3" t="s">
        <v>50</v>
      </c>
    </row>
    <row r="35" customFormat="false" ht="17.15" hidden="false" customHeight="false" outlineLevel="0" collapsed="false">
      <c r="A35" s="4" t="s">
        <v>959</v>
      </c>
      <c r="B35" s="33" t="n">
        <f aca="false">px_val*sh_out</f>
        <v>2048.83931504</v>
      </c>
    </row>
    <row r="36" customFormat="false" ht="17.15" hidden="false" customHeight="false" outlineLevel="0" collapsed="false">
      <c r="A36" s="4" t="s">
        <v>960</v>
      </c>
      <c r="B36" s="33" t="n">
        <f aca="false">debt_0+fin_lease</f>
        <v>38.989</v>
      </c>
    </row>
    <row r="37" customFormat="false" ht="17.15" hidden="false" customHeight="false" outlineLevel="0" collapsed="false">
      <c r="A37" s="4" t="s">
        <v>961</v>
      </c>
      <c r="B37" s="40" t="n">
        <f aca="false">rf+beta*erp</f>
        <v>0.1149</v>
      </c>
      <c r="E37" s="0" t="str">
        <f aca="false">"β（判斷）"&amp;TEXT(beta,"0.00")</f>
        <v>β（判斷）1.30</v>
      </c>
    </row>
    <row r="38" customFormat="false" ht="15" hidden="false" customHeight="false" outlineLevel="0" collapsed="false">
      <c r="A38" s="4" t="s">
        <v>962</v>
      </c>
      <c r="B38" s="40" t="n">
        <f aca="false">kd*(1-tax_w)</f>
        <v>0.0479688</v>
      </c>
    </row>
    <row r="39" customFormat="false" ht="17.15" hidden="false" customHeight="false" outlineLevel="0" collapsed="false">
      <c r="A39" s="5" t="s">
        <v>963</v>
      </c>
      <c r="B39" s="40" t="n">
        <f aca="false">(B35*ke+B36*B38)/(B35+B36)+wacc_adj</f>
        <v>0.113650098110079</v>
      </c>
    </row>
    <row r="40" customFormat="false" ht="17.15" hidden="false" customHeight="false" outlineLevel="0" collapsed="false">
      <c r="A40" s="4" t="s">
        <v>964</v>
      </c>
      <c r="B40" s="40" t="n">
        <f aca="false">wacc+ronic_sp</f>
        <v>0.113650098110079</v>
      </c>
    </row>
    <row r="42" customFormat="false" ht="17.15" hidden="false" customHeight="false" outlineLevel="0" collapsed="false">
      <c r="A42" s="5" t="s">
        <v>965</v>
      </c>
    </row>
    <row r="43" customFormat="false" ht="17.15" hidden="false" customHeight="false" outlineLevel="0" collapsed="false">
      <c r="A43" s="28" t="s">
        <v>798</v>
      </c>
    </row>
    <row r="44" customFormat="false" ht="15" hidden="false" customHeight="false" outlineLevel="0" collapsed="false">
      <c r="A44" s="3" t="s">
        <v>43</v>
      </c>
      <c r="B44" s="3"/>
      <c r="C44" s="3"/>
      <c r="D44" s="3"/>
      <c r="E44" s="3" t="s">
        <v>50</v>
      </c>
      <c r="F44" s="20" t="s">
        <v>733</v>
      </c>
      <c r="G44" s="3"/>
      <c r="H44" s="20" t="s">
        <v>735</v>
      </c>
      <c r="I44" s="20" t="s">
        <v>736</v>
      </c>
      <c r="J44" s="20" t="s">
        <v>737</v>
      </c>
      <c r="K44" s="20" t="s">
        <v>738</v>
      </c>
      <c r="L44" s="20" t="s">
        <v>739</v>
      </c>
      <c r="M44" s="20" t="s">
        <v>740</v>
      </c>
    </row>
    <row r="45" customFormat="false" ht="17.15" hidden="false" customHeight="false" outlineLevel="0" collapsed="false">
      <c r="A45" s="4" t="s">
        <v>966</v>
      </c>
      <c r="F45" s="27" t="n">
        <f aca="false">PL!F54</f>
        <v>2.47745765593971</v>
      </c>
      <c r="H45" s="27" t="n">
        <f aca="false">PL!H54</f>
        <v>17.9695353516927</v>
      </c>
      <c r="I45" s="27" t="n">
        <f aca="false">PL!I54</f>
        <v>30.5534426417737</v>
      </c>
      <c r="J45" s="27" t="n">
        <f aca="false">PL!J54</f>
        <v>43.7930186496981</v>
      </c>
      <c r="K45" s="27" t="n">
        <f aca="false">PL!K54</f>
        <v>49.619973971864</v>
      </c>
      <c r="L45" s="27" t="n">
        <f aca="false">PL!L54</f>
        <v>52.5330483892351</v>
      </c>
      <c r="M45" s="27" t="n">
        <f aca="false">PL!M54</f>
        <v>54.1907899661539</v>
      </c>
    </row>
    <row r="46" customFormat="false" ht="17.15" hidden="false" customHeight="false" outlineLevel="0" collapsed="false">
      <c r="A46" s="0" t="s">
        <v>967</v>
      </c>
      <c r="F46" s="27" t="n">
        <f aca="false">(F45+sbc_add*PL!F49)*(1-tax)</f>
        <v>2.18016273722694</v>
      </c>
      <c r="H46" s="27" t="n">
        <f aca="false">(H45+sbc_add*PL!H49)*(1-tax)</f>
        <v>15.8131911094895</v>
      </c>
      <c r="I46" s="27" t="n">
        <f aca="false">(I45+sbc_add*PL!I49)*(1-tax)</f>
        <v>26.8870295247609</v>
      </c>
      <c r="J46" s="27" t="n">
        <f aca="false">(J45+sbc_add*PL!J49)*(1-tax)</f>
        <v>38.5378564117343</v>
      </c>
      <c r="K46" s="27" t="n">
        <f aca="false">(K45+sbc_add*PL!K49)*(1-tax)</f>
        <v>43.6655770952403</v>
      </c>
      <c r="L46" s="27" t="n">
        <f aca="false">(L45+sbc_add*PL!L49)*(1-tax)</f>
        <v>46.2290825825269</v>
      </c>
      <c r="M46" s="27" t="n">
        <f aca="false">(M45+sbc_add*PL!M49)*(1-tax)</f>
        <v>47.6878951702154</v>
      </c>
    </row>
    <row r="47" customFormat="false" ht="15" hidden="false" customHeight="false" outlineLevel="0" collapsed="false">
      <c r="A47" s="4" t="s">
        <v>968</v>
      </c>
      <c r="F47" s="27" t="n">
        <f aca="false">PL!F43</f>
        <v>3.95984768575553</v>
      </c>
      <c r="H47" s="27" t="n">
        <f aca="false">PL!H43</f>
        <v>22.3946105102166</v>
      </c>
      <c r="I47" s="27" t="n">
        <f aca="false">PL!I43</f>
        <v>33.7607096744559</v>
      </c>
      <c r="J47" s="27" t="n">
        <f aca="false">PL!J43</f>
        <v>45.5197401080406</v>
      </c>
      <c r="K47" s="27" t="n">
        <f aca="false">PL!K43</f>
        <v>56.0460105356152</v>
      </c>
      <c r="L47" s="27" t="n">
        <f aca="false">PL!L43</f>
        <v>64.8020407856849</v>
      </c>
      <c r="M47" s="27" t="n">
        <f aca="false">PL!M43</f>
        <v>71.1335407902689</v>
      </c>
    </row>
    <row r="48" customFormat="false" ht="17.15" hidden="false" customHeight="false" outlineLevel="0" collapsed="false">
      <c r="A48" s="4" t="s">
        <v>969</v>
      </c>
      <c r="F48" s="27" t="n">
        <f aca="false">CF!F24+CF!F26</f>
        <v>21.1878806652319</v>
      </c>
      <c r="H48" s="27" t="n">
        <f aca="false">CF!H24+CF!H26</f>
        <v>90.103540924888</v>
      </c>
      <c r="I48" s="27" t="n">
        <f aca="false">CF!I24+CF!I26</f>
        <v>97.1058329532615</v>
      </c>
      <c r="J48" s="27" t="n">
        <f aca="false">CF!J24+CF!J26</f>
        <v>81.1936755058076</v>
      </c>
      <c r="K48" s="27" t="n">
        <f aca="false">CF!K24+CF!K26</f>
        <v>70.7565230427112</v>
      </c>
      <c r="L48" s="27" t="n">
        <f aca="false">CF!L24+CF!L26</f>
        <v>75.1674573080993</v>
      </c>
      <c r="M48" s="27" t="n">
        <f aca="false">CF!M24+CF!M26</f>
        <v>85.5415139107524</v>
      </c>
    </row>
    <row r="49" customFormat="false" ht="15" hidden="false" customHeight="false" outlineLevel="0" collapsed="false">
      <c r="A49" s="4" t="s">
        <v>970</v>
      </c>
      <c r="F49" s="27" t="n">
        <f aca="false">CF!F18</f>
        <v>0.32409340215753</v>
      </c>
      <c r="H49" s="27" t="n">
        <f aca="false">CF!H18</f>
        <v>1.26508365661163</v>
      </c>
      <c r="I49" s="27" t="n">
        <f aca="false">CF!I18</f>
        <v>1.07927110956722</v>
      </c>
      <c r="J49" s="27" t="n">
        <f aca="false">CF!J18</f>
        <v>0.927445475376896</v>
      </c>
      <c r="K49" s="27" t="n">
        <f aca="false">CF!K18</f>
        <v>0.625438770337349</v>
      </c>
      <c r="L49" s="27" t="n">
        <f aca="false">CF!L18</f>
        <v>0.583620528914241</v>
      </c>
      <c r="M49" s="27" t="n">
        <f aca="false">CF!M18</f>
        <v>0.459291726959049</v>
      </c>
    </row>
    <row r="50" customFormat="false" ht="15" hidden="false" customHeight="false" outlineLevel="0" collapsed="false">
      <c r="A50" s="4" t="s">
        <v>971</v>
      </c>
      <c r="F50" s="27" t="n">
        <f aca="false">F46+F47-F48+F49</f>
        <v>-14.7237768400919</v>
      </c>
      <c r="H50" s="27" t="n">
        <f aca="false">H46+H47-H48+H49</f>
        <v>-50.6306556485703</v>
      </c>
      <c r="I50" s="27" t="n">
        <f aca="false">I46+I47-I48+I49</f>
        <v>-35.3788226444775</v>
      </c>
      <c r="J50" s="27" t="n">
        <f aca="false">J46+J47-J48+J49</f>
        <v>3.79136648934411</v>
      </c>
      <c r="K50" s="27" t="n">
        <f aca="false">K46+K47-K48+K49</f>
        <v>29.5805033584817</v>
      </c>
      <c r="L50" s="27" t="n">
        <f aca="false">L46+L47-L48+L49</f>
        <v>36.4472865890267</v>
      </c>
      <c r="M50" s="27" t="n">
        <f aca="false">M46+M47-M48+M49</f>
        <v>33.739213776691</v>
      </c>
    </row>
    <row r="51" customFormat="false" ht="17.15" hidden="false" customHeight="false" outlineLevel="0" collapsed="false">
      <c r="A51" s="4" t="s">
        <v>972</v>
      </c>
      <c r="F51" s="27" t="n">
        <f aca="false">PL!F56*(1-tax)</f>
        <v>0.136386472175589</v>
      </c>
      <c r="H51" s="27" t="n">
        <f aca="false">PL!H56*(1-tax)</f>
        <v>3.40748277283599</v>
      </c>
      <c r="I51" s="27" t="n">
        <f aca="false">PL!I56*(1-tax)</f>
        <v>8.17447220432043</v>
      </c>
      <c r="J51" s="27" t="n">
        <f aca="false">PL!J56*(1-tax)</f>
        <v>12.5235770858758</v>
      </c>
      <c r="K51" s="27" t="n">
        <f aca="false">PL!K56*(1-tax)</f>
        <v>15.796975583012</v>
      </c>
      <c r="L51" s="27" t="n">
        <f aca="false">PL!L56*(1-tax)</f>
        <v>18.039841565232</v>
      </c>
      <c r="M51" s="27" t="n">
        <f aca="false">PL!M56*(1-tax)</f>
        <v>19.2742871424992</v>
      </c>
    </row>
    <row r="52" customFormat="false" ht="17.15" hidden="false" customHeight="false" outlineLevel="0" collapsed="false">
      <c r="A52" s="4" t="s">
        <v>973</v>
      </c>
      <c r="F52" s="17" t="n">
        <f aca="false">t_q4</f>
        <v>0.125</v>
      </c>
      <c r="H52" s="17" t="n">
        <f aca="false">2027+mid-t_val</f>
        <v>0.75</v>
      </c>
      <c r="I52" s="17" t="n">
        <f aca="false">2028+mid-t_val</f>
        <v>1.75</v>
      </c>
      <c r="J52" s="17" t="n">
        <f aca="false">2029+mid-t_val</f>
        <v>2.75</v>
      </c>
      <c r="K52" s="17" t="n">
        <f aca="false">2030+mid-t_val</f>
        <v>3.75</v>
      </c>
      <c r="L52" s="17" t="n">
        <f aca="false">2031+mid-t_val</f>
        <v>4.75</v>
      </c>
      <c r="M52" s="17" t="n">
        <f aca="false">2032+mid-t_val</f>
        <v>5.75</v>
      </c>
    </row>
    <row r="53" customFormat="false" ht="17.15" hidden="false" customHeight="false" outlineLevel="0" collapsed="false">
      <c r="A53" s="4" t="s">
        <v>974</v>
      </c>
      <c r="F53" s="26" t="n">
        <f aca="false">1/(1+wacc)^F52</f>
        <v>0.986634744266844</v>
      </c>
      <c r="H53" s="26" t="n">
        <f aca="false">1/(1+wacc)^H52</f>
        <v>0.922440643861736</v>
      </c>
      <c r="I53" s="26" t="n">
        <f aca="false">1/(1+wacc)^I52</f>
        <v>0.828303832080799</v>
      </c>
      <c r="J53" s="26" t="n">
        <f aca="false">1/(1+wacc)^J52</f>
        <v>0.743773859928243</v>
      </c>
      <c r="K53" s="26" t="n">
        <f aca="false">1/(1+wacc)^K52</f>
        <v>0.667870331256169</v>
      </c>
      <c r="L53" s="26" t="n">
        <f aca="false">1/(1+wacc)^L52</f>
        <v>0.599712901197224</v>
      </c>
      <c r="M53" s="26" t="n">
        <f aca="false">1/(1+wacc)^M52</f>
        <v>0.538511065742254</v>
      </c>
    </row>
    <row r="54" customFormat="false" ht="15" hidden="false" customHeight="false" outlineLevel="0" collapsed="false">
      <c r="A54" s="4" t="s">
        <v>975</v>
      </c>
      <c r="F54" s="27" t="n">
        <f aca="false">F50*F53</f>
        <v>-14.5269897972661</v>
      </c>
      <c r="H54" s="27" t="n">
        <f aca="false">H50*H53</f>
        <v>-46.703774595609</v>
      </c>
      <c r="I54" s="27" t="n">
        <f aca="false">I50*I53</f>
        <v>-29.3044143709277</v>
      </c>
      <c r="J54" s="27" t="n">
        <f aca="false">J50*J53</f>
        <v>2.81991928818206</v>
      </c>
      <c r="K54" s="27" t="n">
        <f aca="false">K50*K53</f>
        <v>19.7559405767534</v>
      </c>
      <c r="L54" s="27" t="n">
        <f aca="false">L50*L53</f>
        <v>21.8579079810719</v>
      </c>
      <c r="M54" s="27" t="n">
        <f aca="false">M50*M53</f>
        <v>18.1689399681916</v>
      </c>
    </row>
    <row r="55" customFormat="false" ht="15" hidden="false" customHeight="false" outlineLevel="0" collapsed="false">
      <c r="A55" s="4" t="s">
        <v>976</v>
      </c>
      <c r="F55" s="27" t="n">
        <f aca="false">F51*F53</f>
        <v>0.134563632096419</v>
      </c>
      <c r="H55" s="27" t="n">
        <f aca="false">H51*H53</f>
        <v>3.14320060292261</v>
      </c>
      <c r="I55" s="27" t="n">
        <f aca="false">I51*I53</f>
        <v>6.77094665207659</v>
      </c>
      <c r="J55" s="27" t="n">
        <f aca="false">J51*J53</f>
        <v>9.31470926927076</v>
      </c>
      <c r="K55" s="27" t="n">
        <f aca="false">K51*K53</f>
        <v>10.5503313154718</v>
      </c>
      <c r="L55" s="27" t="n">
        <f aca="false">L51*L53</f>
        <v>10.8187257222235</v>
      </c>
      <c r="M55" s="27" t="n">
        <f aca="false">M51*M53</f>
        <v>10.3794169105295</v>
      </c>
    </row>
    <row r="56" customFormat="false" ht="17.15" hidden="false" customHeight="false" outlineLevel="0" collapsed="false">
      <c r="A56" s="0" t="s">
        <v>977</v>
      </c>
      <c r="F56" s="27" t="n">
        <f aca="false">PL!F36</f>
        <v>5.63960314356129</v>
      </c>
      <c r="H56" s="27" t="n">
        <f aca="false">PL!H36</f>
        <v>35.2287615376072</v>
      </c>
      <c r="I56" s="27" t="n">
        <f aca="false">PL!I36</f>
        <v>55.4972104410516</v>
      </c>
      <c r="J56" s="27" t="n">
        <f aca="false">PL!J36</f>
        <v>72.117419772295</v>
      </c>
      <c r="K56" s="27" t="n">
        <f aca="false">PL!K36</f>
        <v>82.5524999650145</v>
      </c>
      <c r="L56" s="27" t="n">
        <f aca="false">PL!L36</f>
        <v>91.9163457688833</v>
      </c>
      <c r="M56" s="27" t="n">
        <f aca="false">PL!M36</f>
        <v>97.0700901880472</v>
      </c>
    </row>
    <row r="57" customFormat="false" ht="17.15" hidden="false" customHeight="false" outlineLevel="0" collapsed="false">
      <c r="A57" s="0" t="s">
        <v>978</v>
      </c>
      <c r="F57" s="27" t="n">
        <f aca="false">Thesis!F56</f>
        <v>0.238963603800237</v>
      </c>
      <c r="H57" s="27" t="n">
        <f aca="false">Thesis!H56</f>
        <v>5.69447188276563</v>
      </c>
      <c r="I57" s="27" t="n">
        <f aca="false">Thesis!I56</f>
        <v>13.309236731771</v>
      </c>
      <c r="J57" s="27" t="n">
        <f aca="false">Thesis!J56</f>
        <v>20.8647072292006</v>
      </c>
      <c r="K57" s="27" t="n">
        <f aca="false">Thesis!K56</f>
        <v>26.8088233296521</v>
      </c>
      <c r="L57" s="27" t="n">
        <f aca="false">Thesis!L56</f>
        <v>32.1270745568033</v>
      </c>
      <c r="M57" s="27" t="n">
        <f aca="false">Thesis!M56</f>
        <v>37.3477444860273</v>
      </c>
    </row>
    <row r="58" customFormat="false" ht="17.15" hidden="false" customHeight="false" outlineLevel="0" collapsed="false">
      <c r="A58" s="0" t="s">
        <v>979</v>
      </c>
      <c r="F58" s="27" t="n">
        <f aca="false">(F56-F57)*(1-tax)</f>
        <v>4.75256279498972</v>
      </c>
      <c r="H58" s="27" t="n">
        <f aca="false">(H56-H57)*(1-tax)</f>
        <v>25.9901748962606</v>
      </c>
      <c r="I58" s="27" t="n">
        <f aca="false">(I56-I57)*(1-tax)</f>
        <v>37.125416864167</v>
      </c>
      <c r="J58" s="27" t="n">
        <f aca="false">(J56-J57)*(1-tax)</f>
        <v>45.102387037923</v>
      </c>
      <c r="K58" s="27" t="n">
        <f aca="false">(K56-K57)*(1-tax)</f>
        <v>49.054435439119</v>
      </c>
      <c r="L58" s="27" t="n">
        <f aca="false">(L56-L57)*(1-tax)</f>
        <v>52.6145586666303</v>
      </c>
      <c r="M58" s="27" t="n">
        <f aca="false">(M56-M57)*(1-tax)</f>
        <v>52.5556642177775</v>
      </c>
    </row>
    <row r="59" customFormat="false" ht="17.15" hidden="false" customHeight="false" outlineLevel="0" collapsed="false">
      <c r="A59" s="0" t="s">
        <v>980</v>
      </c>
      <c r="F59" s="27" t="n">
        <f aca="false">Thesis!F43*ext_sh</f>
        <v>12.78072</v>
      </c>
      <c r="H59" s="27" t="n">
        <f aca="false">Thesis!H43*ext_sh</f>
        <v>54.2560310677929</v>
      </c>
      <c r="I59" s="27" t="n">
        <f aca="false">Thesis!I43*ext_sh</f>
        <v>57.3891821355857</v>
      </c>
      <c r="J59" s="27" t="n">
        <f aca="false">Thesis!J43*ext_sh</f>
        <v>44.4600513015873</v>
      </c>
      <c r="K59" s="27" t="n">
        <f aca="false">Thesis!K43*ext_sh</f>
        <v>36.2571472531127</v>
      </c>
      <c r="L59" s="27" t="n">
        <f aca="false">Thesis!L43*ext_sh</f>
        <v>37.9170045017112</v>
      </c>
      <c r="M59" s="27" t="n">
        <f aca="false">Thesis!M43*ext_sh</f>
        <v>43.9458980226533</v>
      </c>
    </row>
    <row r="60" customFormat="false" ht="17.15" hidden="false" customHeight="false" outlineLevel="0" collapsed="false">
      <c r="A60" s="0" t="s">
        <v>981</v>
      </c>
      <c r="F60" s="27" t="n">
        <f aca="false">F58+F57-F59</f>
        <v>-7.78919360121004</v>
      </c>
      <c r="H60" s="27" t="n">
        <f aca="false">H58+H57-H59</f>
        <v>-22.5713842887666</v>
      </c>
      <c r="I60" s="27" t="n">
        <f aca="false">I58+I57-I59</f>
        <v>-6.9545285396478</v>
      </c>
      <c r="J60" s="27" t="n">
        <f aca="false">J58+J57-J59</f>
        <v>21.5070429655363</v>
      </c>
      <c r="K60" s="27" t="n">
        <f aca="false">K58+K57-K59</f>
        <v>39.6061115156583</v>
      </c>
      <c r="L60" s="27" t="n">
        <f aca="false">L58+L57-L59</f>
        <v>46.8246287217224</v>
      </c>
      <c r="M60" s="27" t="n">
        <f aca="false">M58+M57-M59</f>
        <v>45.9575106811515</v>
      </c>
    </row>
    <row r="61" customFormat="false" ht="17.15" hidden="false" customHeight="false" outlineLevel="0" collapsed="false">
      <c r="A61" s="0" t="s">
        <v>982</v>
      </c>
      <c r="F61" s="27" t="n">
        <f aca="false">F60*F53</f>
        <v>-7.68508903677481</v>
      </c>
      <c r="H61" s="27" t="n">
        <f aca="false">H60*H53</f>
        <v>-20.8207622561806</v>
      </c>
      <c r="I61" s="27" t="n">
        <f aca="false">I60*I53</f>
        <v>-5.76046263970556</v>
      </c>
      <c r="J61" s="27" t="n">
        <f aca="false">J60*J53</f>
        <v>15.9963763621195</v>
      </c>
      <c r="K61" s="27" t="n">
        <f aca="false">K60*K53</f>
        <v>26.4517468177315</v>
      </c>
      <c r="L61" s="27" t="n">
        <f aca="false">L60*L53</f>
        <v>28.081333938187</v>
      </c>
      <c r="M61" s="27" t="n">
        <f aca="false">M60*M53</f>
        <v>24.7486280557679</v>
      </c>
    </row>
    <row r="63" customFormat="false" ht="17.15" hidden="false" customHeight="false" outlineLevel="0" collapsed="false">
      <c r="A63" s="28" t="s">
        <v>831</v>
      </c>
    </row>
    <row r="64" customFormat="false" ht="15" hidden="false" customHeight="false" outlineLevel="0" collapsed="false">
      <c r="A64" s="3" t="s">
        <v>43</v>
      </c>
      <c r="B64" s="3"/>
      <c r="C64" s="3"/>
      <c r="D64" s="3"/>
      <c r="E64" s="3" t="s">
        <v>50</v>
      </c>
      <c r="F64" s="20" t="s">
        <v>733</v>
      </c>
      <c r="G64" s="3"/>
      <c r="H64" s="20" t="s">
        <v>735</v>
      </c>
      <c r="I64" s="20" t="s">
        <v>736</v>
      </c>
      <c r="J64" s="20" t="s">
        <v>737</v>
      </c>
      <c r="K64" s="20" t="s">
        <v>738</v>
      </c>
      <c r="L64" s="20" t="s">
        <v>739</v>
      </c>
      <c r="M64" s="20" t="s">
        <v>740</v>
      </c>
    </row>
    <row r="65" customFormat="false" ht="17.15" hidden="false" customHeight="false" outlineLevel="0" collapsed="false">
      <c r="A65" s="4" t="s">
        <v>966</v>
      </c>
      <c r="F65" s="27" t="n">
        <f aca="false">PL!F116</f>
        <v>2.47745765593971</v>
      </c>
      <c r="H65" s="27" t="n">
        <f aca="false">PL!H116</f>
        <v>15.8353406419344</v>
      </c>
      <c r="I65" s="27" t="n">
        <f aca="false">PL!I116</f>
        <v>23.7892286334142</v>
      </c>
      <c r="J65" s="27" t="n">
        <f aca="false">PL!J116</f>
        <v>30.6954105419767</v>
      </c>
      <c r="K65" s="27" t="n">
        <f aca="false">PL!K116</f>
        <v>29.3474434297668</v>
      </c>
      <c r="L65" s="27" t="n">
        <f aca="false">PL!L116</f>
        <v>29.945710370514</v>
      </c>
      <c r="M65" s="27" t="n">
        <f aca="false">PL!M116</f>
        <v>30.3291785774195</v>
      </c>
    </row>
    <row r="66" customFormat="false" ht="17.15" hidden="false" customHeight="false" outlineLevel="0" collapsed="false">
      <c r="A66" s="0" t="s">
        <v>967</v>
      </c>
      <c r="F66" s="27" t="n">
        <f aca="false">(F65+sbc_add*PL!F111)*(1-tax)</f>
        <v>2.18016273722694</v>
      </c>
      <c r="H66" s="27" t="n">
        <f aca="false">(H65+sbc_add*PL!H111)*(1-tax)</f>
        <v>13.9350997649023</v>
      </c>
      <c r="I66" s="27" t="n">
        <f aca="false">(I65+sbc_add*PL!I111)*(1-tax)</f>
        <v>20.9345211974045</v>
      </c>
      <c r="J66" s="27" t="n">
        <f aca="false">(J65+sbc_add*PL!J111)*(1-tax)</f>
        <v>27.0119612769395</v>
      </c>
      <c r="K66" s="27" t="n">
        <f aca="false">(K65+sbc_add*PL!K111)*(1-tax)</f>
        <v>25.8257502181948</v>
      </c>
      <c r="L66" s="27" t="n">
        <f aca="false">(L65+sbc_add*PL!L111)*(1-tax)</f>
        <v>26.3522251260523</v>
      </c>
      <c r="M66" s="27" t="n">
        <f aca="false">(M65+sbc_add*PL!M111)*(1-tax)</f>
        <v>26.6896771481292</v>
      </c>
    </row>
    <row r="67" customFormat="false" ht="15" hidden="false" customHeight="false" outlineLevel="0" collapsed="false">
      <c r="A67" s="4" t="s">
        <v>968</v>
      </c>
      <c r="F67" s="27" t="n">
        <f aca="false">PL!F105</f>
        <v>3.95984768575553</v>
      </c>
      <c r="H67" s="27" t="n">
        <f aca="false">PL!H105</f>
        <v>22.3846585231817</v>
      </c>
      <c r="I67" s="27" t="n">
        <f aca="false">PL!I105</f>
        <v>33.6926181791632</v>
      </c>
      <c r="J67" s="27" t="n">
        <f aca="false">PL!J105</f>
        <v>45.3227361060025</v>
      </c>
      <c r="K67" s="27" t="n">
        <f aca="false">PL!K105</f>
        <v>55.6592249113753</v>
      </c>
      <c r="L67" s="27" t="n">
        <f aca="false">PL!L105</f>
        <v>64.1733085952353</v>
      </c>
      <c r="M67" s="27" t="n">
        <f aca="false">PL!M105</f>
        <v>70.2183437365034</v>
      </c>
    </row>
    <row r="68" customFormat="false" ht="17.15" hidden="false" customHeight="false" outlineLevel="0" collapsed="false">
      <c r="A68" s="4" t="s">
        <v>969</v>
      </c>
      <c r="F68" s="27" t="n">
        <f aca="false">CF!F55+CF!F57</f>
        <v>21.1878806652319</v>
      </c>
      <c r="H68" s="27" t="n">
        <f aca="false">CF!H55+CF!H57</f>
        <v>89.8646932360505</v>
      </c>
      <c r="I68" s="27" t="n">
        <f aca="false">CF!I55+CF!I57</f>
        <v>96.4270278215852</v>
      </c>
      <c r="J68" s="27" t="n">
        <f aca="false">CF!J55+CF!J57</f>
        <v>80.13619073895</v>
      </c>
      <c r="K68" s="27" t="n">
        <f aca="false">CF!K55+CF!K57</f>
        <v>69.374218410438</v>
      </c>
      <c r="L68" s="27" t="n">
        <f aca="false">CF!L55+CF!L57</f>
        <v>73.5076536158877</v>
      </c>
      <c r="M68" s="27" t="n">
        <f aca="false">CF!M55+CF!M57</f>
        <v>83.645768267806</v>
      </c>
    </row>
    <row r="69" customFormat="false" ht="15" hidden="false" customHeight="false" outlineLevel="0" collapsed="false">
      <c r="A69" s="4" t="s">
        <v>970</v>
      </c>
      <c r="F69" s="27" t="n">
        <f aca="false">CF!F49</f>
        <v>0.32409340215753</v>
      </c>
      <c r="H69" s="27" t="n">
        <f aca="false">CF!H49</f>
        <v>1.19140291573956</v>
      </c>
      <c r="I69" s="27" t="n">
        <f aca="false">CF!I49</f>
        <v>0.920349605955162</v>
      </c>
      <c r="J69" s="27" t="n">
        <f aca="false">CF!J49</f>
        <v>0.714420019828506</v>
      </c>
      <c r="K69" s="27" t="n">
        <f aca="false">CF!K49</f>
        <v>0.385495465901223</v>
      </c>
      <c r="L69" s="27" t="n">
        <f aca="false">CF!L49</f>
        <v>0.495954864637504</v>
      </c>
      <c r="M69" s="27" t="n">
        <f aca="false">CF!M49</f>
        <v>0.404013554574553</v>
      </c>
    </row>
    <row r="70" customFormat="false" ht="15" hidden="false" customHeight="false" outlineLevel="0" collapsed="false">
      <c r="A70" s="4" t="s">
        <v>971</v>
      </c>
      <c r="F70" s="27" t="n">
        <f aca="false">F66+F67-F68+F69</f>
        <v>-14.7237768400919</v>
      </c>
      <c r="H70" s="27" t="n">
        <f aca="false">H66+H67-H68+H69</f>
        <v>-52.3535320322269</v>
      </c>
      <c r="I70" s="27" t="n">
        <f aca="false">I66+I67-I68+I69</f>
        <v>-40.8795388390624</v>
      </c>
      <c r="J70" s="27" t="n">
        <f aca="false">J66+J67-J68+J69</f>
        <v>-7.08707333617946</v>
      </c>
      <c r="K70" s="27" t="n">
        <f aca="false">K66+K67-K68+K69</f>
        <v>12.4962521850333</v>
      </c>
      <c r="L70" s="27" t="n">
        <f aca="false">L66+L67-L68+L69</f>
        <v>17.5138349700374</v>
      </c>
      <c r="M70" s="27" t="n">
        <f aca="false">M66+M67-M68+M69</f>
        <v>13.6662661714011</v>
      </c>
    </row>
    <row r="71" customFormat="false" ht="17.15" hidden="false" customHeight="false" outlineLevel="0" collapsed="false">
      <c r="A71" s="4" t="s">
        <v>972</v>
      </c>
      <c r="F71" s="27" t="n">
        <f aca="false">PL!F118*(1-tax)</f>
        <v>0.136386472175589</v>
      </c>
      <c r="H71" s="27" t="n">
        <f aca="false">PL!H118*(1-tax)</f>
        <v>3.40748277283599</v>
      </c>
      <c r="I71" s="27" t="n">
        <f aca="false">PL!I118*(1-tax)</f>
        <v>8.17447220432043</v>
      </c>
      <c r="J71" s="27" t="n">
        <f aca="false">PL!J118*(1-tax)</f>
        <v>12.5235770858758</v>
      </c>
      <c r="K71" s="27" t="n">
        <f aca="false">PL!K118*(1-tax)</f>
        <v>15.796975583012</v>
      </c>
      <c r="L71" s="27" t="n">
        <f aca="false">PL!L118*(1-tax)</f>
        <v>18.039841565232</v>
      </c>
      <c r="M71" s="27" t="n">
        <f aca="false">PL!M118*(1-tax)</f>
        <v>19.2742871424992</v>
      </c>
    </row>
    <row r="72" customFormat="false" ht="17.15" hidden="false" customHeight="false" outlineLevel="0" collapsed="false">
      <c r="A72" s="4" t="s">
        <v>973</v>
      </c>
      <c r="F72" s="17" t="n">
        <f aca="false">t_q4</f>
        <v>0.125</v>
      </c>
      <c r="H72" s="17" t="n">
        <f aca="false">2027+mid-t_val</f>
        <v>0.75</v>
      </c>
      <c r="I72" s="17" t="n">
        <f aca="false">2028+mid-t_val</f>
        <v>1.75</v>
      </c>
      <c r="J72" s="17" t="n">
        <f aca="false">2029+mid-t_val</f>
        <v>2.75</v>
      </c>
      <c r="K72" s="17" t="n">
        <f aca="false">2030+mid-t_val</f>
        <v>3.75</v>
      </c>
      <c r="L72" s="17" t="n">
        <f aca="false">2031+mid-t_val</f>
        <v>4.75</v>
      </c>
      <c r="M72" s="17" t="n">
        <f aca="false">2032+mid-t_val</f>
        <v>5.75</v>
      </c>
    </row>
    <row r="73" customFormat="false" ht="17.15" hidden="false" customHeight="false" outlineLevel="0" collapsed="false">
      <c r="A73" s="4" t="s">
        <v>974</v>
      </c>
      <c r="F73" s="26" t="n">
        <f aca="false">1/(1+wacc)^F72</f>
        <v>0.986634744266844</v>
      </c>
      <c r="H73" s="26" t="n">
        <f aca="false">1/(1+wacc)^H72</f>
        <v>0.922440643861736</v>
      </c>
      <c r="I73" s="26" t="n">
        <f aca="false">1/(1+wacc)^I72</f>
        <v>0.828303832080799</v>
      </c>
      <c r="J73" s="26" t="n">
        <f aca="false">1/(1+wacc)^J72</f>
        <v>0.743773859928243</v>
      </c>
      <c r="K73" s="26" t="n">
        <f aca="false">1/(1+wacc)^K72</f>
        <v>0.667870331256169</v>
      </c>
      <c r="L73" s="26" t="n">
        <f aca="false">1/(1+wacc)^L72</f>
        <v>0.599712901197224</v>
      </c>
      <c r="M73" s="26" t="n">
        <f aca="false">1/(1+wacc)^M72</f>
        <v>0.538511065742254</v>
      </c>
    </row>
    <row r="74" customFormat="false" ht="15" hidden="false" customHeight="false" outlineLevel="0" collapsed="false">
      <c r="A74" s="4" t="s">
        <v>975</v>
      </c>
      <c r="F74" s="27" t="n">
        <f aca="false">F70*F73</f>
        <v>-14.5269897972661</v>
      </c>
      <c r="H74" s="27" t="n">
        <f aca="false">H70*H73</f>
        <v>-48.2930257962434</v>
      </c>
      <c r="I74" s="27" t="n">
        <f aca="false">I70*I73</f>
        <v>-33.8606786740912</v>
      </c>
      <c r="J74" s="27" t="n">
        <f aca="false">J70*J73</f>
        <v>-5.27117989084473</v>
      </c>
      <c r="K74" s="27" t="n">
        <f aca="false">K70*K73</f>
        <v>8.34587608627881</v>
      </c>
      <c r="L74" s="27" t="n">
        <f aca="false">L70*L73</f>
        <v>10.5032727809705</v>
      </c>
      <c r="M74" s="27" t="n">
        <f aca="false">M70*M73</f>
        <v>7.35943556067852</v>
      </c>
    </row>
    <row r="75" customFormat="false" ht="15" hidden="false" customHeight="false" outlineLevel="0" collapsed="false">
      <c r="A75" s="4" t="s">
        <v>976</v>
      </c>
      <c r="F75" s="27" t="n">
        <f aca="false">F71*F73</f>
        <v>0.134563632096419</v>
      </c>
      <c r="H75" s="27" t="n">
        <f aca="false">H71*H73</f>
        <v>3.14320060292261</v>
      </c>
      <c r="I75" s="27" t="n">
        <f aca="false">I71*I73</f>
        <v>6.77094665207659</v>
      </c>
      <c r="J75" s="27" t="n">
        <f aca="false">J71*J73</f>
        <v>9.31470926927076</v>
      </c>
      <c r="K75" s="27" t="n">
        <f aca="false">K71*K73</f>
        <v>10.5503313154718</v>
      </c>
      <c r="L75" s="27" t="n">
        <f aca="false">L71*L73</f>
        <v>10.8187257222235</v>
      </c>
      <c r="M75" s="27" t="n">
        <f aca="false">M71*M73</f>
        <v>10.3794169105295</v>
      </c>
    </row>
    <row r="76" customFormat="false" ht="17.15" hidden="false" customHeight="false" outlineLevel="0" collapsed="false">
      <c r="A76" s="0" t="s">
        <v>977</v>
      </c>
      <c r="F76" s="27" t="n">
        <f aca="false">PL!F98</f>
        <v>5.63960314356129</v>
      </c>
      <c r="H76" s="27" t="n">
        <f aca="false">PL!H98</f>
        <v>33.3177909539786</v>
      </c>
      <c r="I76" s="27" t="n">
        <f aca="false">PL!I98</f>
        <v>49.2376042236034</v>
      </c>
      <c r="J76" s="27" t="n">
        <f aca="false">PL!J98</f>
        <v>59.3920493153841</v>
      </c>
      <c r="K76" s="27" t="n">
        <f aca="false">PL!K98</f>
        <v>62.2375454382745</v>
      </c>
      <c r="L76" s="27" t="n">
        <f aca="false">PL!L98</f>
        <v>69.3075510330546</v>
      </c>
      <c r="M76" s="27" t="n">
        <f aca="false">PL!M98</f>
        <v>73.1987942936498</v>
      </c>
    </row>
    <row r="77" customFormat="false" ht="17.15" hidden="false" customHeight="false" outlineLevel="0" collapsed="false">
      <c r="A77" s="0" t="s">
        <v>978</v>
      </c>
      <c r="F77" s="27" t="n">
        <f aca="false">Thesis!F56</f>
        <v>0.238963603800237</v>
      </c>
      <c r="H77" s="27" t="n">
        <f aca="false">Thesis!H56</f>
        <v>5.69447188276563</v>
      </c>
      <c r="I77" s="27" t="n">
        <f aca="false">Thesis!I56</f>
        <v>13.309236731771</v>
      </c>
      <c r="J77" s="27" t="n">
        <f aca="false">Thesis!J56</f>
        <v>20.8647072292006</v>
      </c>
      <c r="K77" s="27" t="n">
        <f aca="false">Thesis!K56</f>
        <v>26.8088233296521</v>
      </c>
      <c r="L77" s="27" t="n">
        <f aca="false">Thesis!L56</f>
        <v>32.1270745568033</v>
      </c>
      <c r="M77" s="27" t="n">
        <f aca="false">Thesis!M56</f>
        <v>37.3477444860273</v>
      </c>
    </row>
    <row r="78" customFormat="false" ht="17.15" hidden="false" customHeight="false" outlineLevel="0" collapsed="false">
      <c r="A78" s="0" t="s">
        <v>979</v>
      </c>
      <c r="F78" s="27" t="n">
        <f aca="false">(F76-F77)*(1-tax)</f>
        <v>4.75256279498972</v>
      </c>
      <c r="H78" s="27" t="n">
        <f aca="false">(H76-H77)*(1-tax)</f>
        <v>24.3085207826674</v>
      </c>
      <c r="I78" s="27" t="n">
        <f aca="false">(I76-I77)*(1-tax)</f>
        <v>31.6169633928126</v>
      </c>
      <c r="J78" s="27" t="n">
        <f aca="false">(J76-J77)*(1-tax)</f>
        <v>33.9040610358415</v>
      </c>
      <c r="K78" s="27" t="n">
        <f aca="false">(K76-K77)*(1-tax)</f>
        <v>31.1772754555877</v>
      </c>
      <c r="L78" s="27" t="n">
        <f aca="false">(L76-L77)*(1-tax)</f>
        <v>32.7188192991012</v>
      </c>
      <c r="M78" s="27" t="n">
        <f aca="false">(M76-M77)*(1-tax)</f>
        <v>31.5489238307078</v>
      </c>
    </row>
    <row r="79" customFormat="false" ht="17.15" hidden="false" customHeight="false" outlineLevel="0" collapsed="false">
      <c r="A79" s="0" t="s">
        <v>980</v>
      </c>
      <c r="F79" s="27" t="n">
        <f aca="false">Thesis!F43*ext_sh</f>
        <v>12.78072</v>
      </c>
      <c r="H79" s="27" t="n">
        <f aca="false">Thesis!H43*ext_sh</f>
        <v>54.2560310677929</v>
      </c>
      <c r="I79" s="27" t="n">
        <f aca="false">Thesis!I43*ext_sh</f>
        <v>57.3891821355857</v>
      </c>
      <c r="J79" s="27" t="n">
        <f aca="false">Thesis!J43*ext_sh</f>
        <v>44.4600513015873</v>
      </c>
      <c r="K79" s="27" t="n">
        <f aca="false">Thesis!K43*ext_sh</f>
        <v>36.2571472531127</v>
      </c>
      <c r="L79" s="27" t="n">
        <f aca="false">Thesis!L43*ext_sh</f>
        <v>37.9170045017112</v>
      </c>
      <c r="M79" s="27" t="n">
        <f aca="false">Thesis!M43*ext_sh</f>
        <v>43.9458980226533</v>
      </c>
    </row>
    <row r="80" customFormat="false" ht="17.15" hidden="false" customHeight="false" outlineLevel="0" collapsed="false">
      <c r="A80" s="0" t="s">
        <v>981</v>
      </c>
      <c r="F80" s="27" t="n">
        <f aca="false">F78+F77-F79</f>
        <v>-7.78919360121004</v>
      </c>
      <c r="H80" s="27" t="n">
        <f aca="false">H78+H77-H79</f>
        <v>-24.2530384023598</v>
      </c>
      <c r="I80" s="27" t="n">
        <f aca="false">I78+I77-I79</f>
        <v>-12.4629820110022</v>
      </c>
      <c r="J80" s="27" t="n">
        <f aca="false">J78+J77-J79</f>
        <v>10.3087169634548</v>
      </c>
      <c r="K80" s="27" t="n">
        <f aca="false">K78+K77-K79</f>
        <v>21.7289515321271</v>
      </c>
      <c r="L80" s="27" t="n">
        <f aca="false">L78+L77-L79</f>
        <v>26.9288893541933</v>
      </c>
      <c r="M80" s="27" t="n">
        <f aca="false">M78+M77-M79</f>
        <v>24.9507702940818</v>
      </c>
    </row>
    <row r="81" customFormat="false" ht="17.15" hidden="false" customHeight="false" outlineLevel="0" collapsed="false">
      <c r="A81" s="0" t="s">
        <v>982</v>
      </c>
      <c r="F81" s="27" t="n">
        <f aca="false">F80*F73</f>
        <v>-7.68508903677481</v>
      </c>
      <c r="H81" s="27" t="n">
        <f aca="false">H80*H73</f>
        <v>-22.3719883594762</v>
      </c>
      <c r="I81" s="27" t="n">
        <f aca="false">I80*I73</f>
        <v>-10.3231357588672</v>
      </c>
      <c r="J81" s="27" t="n">
        <f aca="false">J80*J73</f>
        <v>7.66735420681653</v>
      </c>
      <c r="K81" s="27" t="n">
        <f aca="false">K80*K73</f>
        <v>14.5121220576109</v>
      </c>
      <c r="L81" s="27" t="n">
        <f aca="false">L80*L73</f>
        <v>16.1496023606223</v>
      </c>
      <c r="M81" s="27" t="n">
        <f aca="false">M80*M73</f>
        <v>13.4362659021561</v>
      </c>
    </row>
    <row r="83" customFormat="false" ht="17.15" hidden="false" customHeight="false" outlineLevel="0" collapsed="false">
      <c r="A83" s="28" t="s">
        <v>832</v>
      </c>
    </row>
    <row r="84" customFormat="false" ht="15" hidden="false" customHeight="false" outlineLevel="0" collapsed="false">
      <c r="A84" s="3" t="s">
        <v>43</v>
      </c>
      <c r="B84" s="3"/>
      <c r="C84" s="3"/>
      <c r="D84" s="3"/>
      <c r="E84" s="3" t="s">
        <v>50</v>
      </c>
      <c r="F84" s="20" t="s">
        <v>733</v>
      </c>
      <c r="G84" s="3"/>
      <c r="H84" s="20" t="s">
        <v>735</v>
      </c>
      <c r="I84" s="20" t="s">
        <v>736</v>
      </c>
      <c r="J84" s="20" t="s">
        <v>737</v>
      </c>
      <c r="K84" s="20" t="s">
        <v>738</v>
      </c>
      <c r="L84" s="20" t="s">
        <v>739</v>
      </c>
      <c r="M84" s="20" t="s">
        <v>740</v>
      </c>
    </row>
    <row r="85" customFormat="false" ht="17.15" hidden="false" customHeight="false" outlineLevel="0" collapsed="false">
      <c r="A85" s="4" t="s">
        <v>966</v>
      </c>
      <c r="F85" s="27" t="n">
        <f aca="false">PL!F178</f>
        <v>2.47745765593971</v>
      </c>
      <c r="H85" s="27" t="n">
        <f aca="false">PL!H178</f>
        <v>14.1878439957844</v>
      </c>
      <c r="I85" s="27" t="n">
        <f aca="false">PL!I178</f>
        <v>18.6192506907911</v>
      </c>
      <c r="J85" s="27" t="n">
        <f aca="false">PL!J178</f>
        <v>20.8387801934814</v>
      </c>
      <c r="K85" s="27" t="n">
        <f aca="false">PL!K178</f>
        <v>14.2488538761693</v>
      </c>
      <c r="L85" s="27" t="n">
        <f aca="false">PL!L178</f>
        <v>13.1165230594554</v>
      </c>
      <c r="M85" s="27" t="n">
        <f aca="false">PL!M178</f>
        <v>12.5472596691214</v>
      </c>
    </row>
    <row r="86" customFormat="false" ht="17.15" hidden="false" customHeight="false" outlineLevel="0" collapsed="false">
      <c r="A86" s="0" t="s">
        <v>967</v>
      </c>
      <c r="F86" s="27" t="n">
        <f aca="false">(F85+sbc_add*PL!F173)*(1-tax)</f>
        <v>2.18016273722694</v>
      </c>
      <c r="H86" s="27" t="n">
        <f aca="false">(H85+sbc_add*PL!H173)*(1-tax)</f>
        <v>12.4853027162903</v>
      </c>
      <c r="I86" s="27" t="n">
        <f aca="false">(I85+sbc_add*PL!I173)*(1-tax)</f>
        <v>16.3849406078962</v>
      </c>
      <c r="J86" s="27" t="n">
        <f aca="false">(J85+sbc_add*PL!J173)*(1-tax)</f>
        <v>18.3381265702637</v>
      </c>
      <c r="K86" s="27" t="n">
        <f aca="false">(K85+sbc_add*PL!K173)*(1-tax)</f>
        <v>12.538991411029</v>
      </c>
      <c r="L86" s="27" t="n">
        <f aca="false">(L85+sbc_add*PL!L173)*(1-tax)</f>
        <v>11.5425402923207</v>
      </c>
      <c r="M86" s="27" t="n">
        <f aca="false">(M85+sbc_add*PL!M173)*(1-tax)</f>
        <v>11.0415885088268</v>
      </c>
    </row>
    <row r="87" customFormat="false" ht="15" hidden="false" customHeight="false" outlineLevel="0" collapsed="false">
      <c r="A87" s="4" t="s">
        <v>968</v>
      </c>
      <c r="F87" s="27" t="n">
        <f aca="false">PL!F167</f>
        <v>3.95984768575553</v>
      </c>
      <c r="H87" s="27" t="n">
        <f aca="false">PL!H167</f>
        <v>22.3747065361468</v>
      </c>
      <c r="I87" s="27" t="n">
        <f aca="false">PL!I167</f>
        <v>33.6245266838704</v>
      </c>
      <c r="J87" s="27" t="n">
        <f aca="false">PL!J167</f>
        <v>45.1257321039645</v>
      </c>
      <c r="K87" s="27" t="n">
        <f aca="false">PL!K167</f>
        <v>55.2724392871353</v>
      </c>
      <c r="L87" s="27" t="n">
        <f aca="false">PL!L167</f>
        <v>63.5445764047857</v>
      </c>
      <c r="M87" s="27" t="n">
        <f aca="false">PL!M167</f>
        <v>69.3031466827379</v>
      </c>
    </row>
    <row r="88" customFormat="false" ht="17.15" hidden="false" customHeight="false" outlineLevel="0" collapsed="false">
      <c r="A88" s="4" t="s">
        <v>969</v>
      </c>
      <c r="F88" s="27" t="n">
        <f aca="false">CF!F86+CF!F88</f>
        <v>21.1878806652319</v>
      </c>
      <c r="H88" s="27" t="n">
        <f aca="false">CF!H86+CF!H88</f>
        <v>89.6258455472129</v>
      </c>
      <c r="I88" s="27" t="n">
        <f aca="false">CF!I86+CF!I88</f>
        <v>95.7482226899089</v>
      </c>
      <c r="J88" s="27" t="n">
        <f aca="false">CF!J86+CF!J88</f>
        <v>79.0787059720924</v>
      </c>
      <c r="K88" s="27" t="n">
        <f aca="false">CF!K86+CF!K88</f>
        <v>67.9919137781648</v>
      </c>
      <c r="L88" s="27" t="n">
        <f aca="false">CF!L86+CF!L88</f>
        <v>71.8478499236761</v>
      </c>
      <c r="M88" s="27" t="n">
        <f aca="false">CF!M86+CF!M88</f>
        <v>81.7500226248596</v>
      </c>
    </row>
    <row r="89" customFormat="false" ht="15" hidden="false" customHeight="false" outlineLevel="0" collapsed="false">
      <c r="A89" s="4" t="s">
        <v>970</v>
      </c>
      <c r="F89" s="27" t="n">
        <f aca="false">CF!F80</f>
        <v>0.32409340215753</v>
      </c>
      <c r="H89" s="27" t="n">
        <f aca="false">CF!H80</f>
        <v>1.13300993953653</v>
      </c>
      <c r="I89" s="27" t="n">
        <f aca="false">CF!I80</f>
        <v>0.796217187413659</v>
      </c>
      <c r="J89" s="27" t="n">
        <f aca="false">CF!J80</f>
        <v>0.553120678195819</v>
      </c>
      <c r="K89" s="27" t="n">
        <f aca="false">CF!K80</f>
        <v>0.20626883402373</v>
      </c>
      <c r="L89" s="27" t="n">
        <f aca="false">CF!L80</f>
        <v>0.426639922033473</v>
      </c>
      <c r="M89" s="27" t="n">
        <f aca="false">CF!M80</f>
        <v>0.358835391458609</v>
      </c>
    </row>
    <row r="90" customFormat="false" ht="15" hidden="false" customHeight="false" outlineLevel="0" collapsed="false">
      <c r="A90" s="4" t="s">
        <v>971</v>
      </c>
      <c r="F90" s="27" t="n">
        <f aca="false">F86+F87-F88+F89</f>
        <v>-14.7237768400919</v>
      </c>
      <c r="H90" s="27" t="n">
        <f aca="false">H86+H87-H88+H89</f>
        <v>-53.6328263552393</v>
      </c>
      <c r="I90" s="27" t="n">
        <f aca="false">I86+I87-I88+I89</f>
        <v>-44.9425382107287</v>
      </c>
      <c r="J90" s="27" t="n">
        <f aca="false">J86+J87-J88+J89</f>
        <v>-15.0617266196684</v>
      </c>
      <c r="K90" s="27" t="n">
        <f aca="false">K86+K87-K88+K89</f>
        <v>0.0257857540232309</v>
      </c>
      <c r="L90" s="27" t="n">
        <f aca="false">L86+L87-L88+L89</f>
        <v>3.6659066954638</v>
      </c>
      <c r="M90" s="27" t="n">
        <f aca="false">M86+M87-M88+M89</f>
        <v>-1.04645204183628</v>
      </c>
    </row>
    <row r="91" customFormat="false" ht="17.15" hidden="false" customHeight="false" outlineLevel="0" collapsed="false">
      <c r="A91" s="4" t="s">
        <v>972</v>
      </c>
      <c r="F91" s="27" t="n">
        <f aca="false">PL!F180*(1-tax)</f>
        <v>0.136386472175589</v>
      </c>
      <c r="H91" s="27" t="n">
        <f aca="false">PL!H180*(1-tax)</f>
        <v>3.40748277283599</v>
      </c>
      <c r="I91" s="27" t="n">
        <f aca="false">PL!I180*(1-tax)</f>
        <v>8.17447220432043</v>
      </c>
      <c r="J91" s="27" t="n">
        <f aca="false">PL!J180*(1-tax)</f>
        <v>12.5235770858758</v>
      </c>
      <c r="K91" s="27" t="n">
        <f aca="false">PL!K180*(1-tax)</f>
        <v>15.796975583012</v>
      </c>
      <c r="L91" s="27" t="n">
        <f aca="false">PL!L180*(1-tax)</f>
        <v>18.039841565232</v>
      </c>
      <c r="M91" s="27" t="n">
        <f aca="false">PL!M180*(1-tax)</f>
        <v>19.2742871424992</v>
      </c>
    </row>
    <row r="92" customFormat="false" ht="17.15" hidden="false" customHeight="false" outlineLevel="0" collapsed="false">
      <c r="A92" s="4" t="s">
        <v>973</v>
      </c>
      <c r="F92" s="17" t="n">
        <f aca="false">t_q4</f>
        <v>0.125</v>
      </c>
      <c r="H92" s="17" t="n">
        <f aca="false">2027+mid-t_val</f>
        <v>0.75</v>
      </c>
      <c r="I92" s="17" t="n">
        <f aca="false">2028+mid-t_val</f>
        <v>1.75</v>
      </c>
      <c r="J92" s="17" t="n">
        <f aca="false">2029+mid-t_val</f>
        <v>2.75</v>
      </c>
      <c r="K92" s="17" t="n">
        <f aca="false">2030+mid-t_val</f>
        <v>3.75</v>
      </c>
      <c r="L92" s="17" t="n">
        <f aca="false">2031+mid-t_val</f>
        <v>4.75</v>
      </c>
      <c r="M92" s="17" t="n">
        <f aca="false">2032+mid-t_val</f>
        <v>5.75</v>
      </c>
    </row>
    <row r="93" customFormat="false" ht="17.15" hidden="false" customHeight="false" outlineLevel="0" collapsed="false">
      <c r="A93" s="4" t="s">
        <v>974</v>
      </c>
      <c r="F93" s="26" t="n">
        <f aca="false">1/(1+wacc)^F92</f>
        <v>0.986634744266844</v>
      </c>
      <c r="H93" s="26" t="n">
        <f aca="false">1/(1+wacc)^H92</f>
        <v>0.922440643861736</v>
      </c>
      <c r="I93" s="26" t="n">
        <f aca="false">1/(1+wacc)^I92</f>
        <v>0.828303832080799</v>
      </c>
      <c r="J93" s="26" t="n">
        <f aca="false">1/(1+wacc)^J92</f>
        <v>0.743773859928243</v>
      </c>
      <c r="K93" s="26" t="n">
        <f aca="false">1/(1+wacc)^K92</f>
        <v>0.667870331256169</v>
      </c>
      <c r="L93" s="26" t="n">
        <f aca="false">1/(1+wacc)^L92</f>
        <v>0.599712901197224</v>
      </c>
      <c r="M93" s="26" t="n">
        <f aca="false">1/(1+wacc)^M92</f>
        <v>0.538511065742254</v>
      </c>
    </row>
    <row r="94" customFormat="false" ht="15" hidden="false" customHeight="false" outlineLevel="0" collapsed="false">
      <c r="A94" s="4" t="s">
        <v>975</v>
      </c>
      <c r="F94" s="27" t="n">
        <f aca="false">F90*F93</f>
        <v>-14.5269897972661</v>
      </c>
      <c r="H94" s="27" t="n">
        <f aca="false">H90*H93</f>
        <v>-49.4730988752517</v>
      </c>
      <c r="I94" s="27" t="n">
        <f aca="false">I90*I93</f>
        <v>-37.2260766233844</v>
      </c>
      <c r="J94" s="27" t="n">
        <f aca="false">J90*J93</f>
        <v>-11.2025185450947</v>
      </c>
      <c r="K94" s="27" t="n">
        <f aca="false">K90*K93</f>
        <v>0.0172215400811853</v>
      </c>
      <c r="L94" s="27" t="n">
        <f aca="false">L90*L93</f>
        <v>2.19849153985493</v>
      </c>
      <c r="M94" s="27" t="n">
        <f aca="false">M90*M93</f>
        <v>-0.563526004297412</v>
      </c>
    </row>
    <row r="95" customFormat="false" ht="15" hidden="false" customHeight="false" outlineLevel="0" collapsed="false">
      <c r="A95" s="4" t="s">
        <v>976</v>
      </c>
      <c r="F95" s="27" t="n">
        <f aca="false">F91*F93</f>
        <v>0.134563632096419</v>
      </c>
      <c r="H95" s="27" t="n">
        <f aca="false">H91*H93</f>
        <v>3.14320060292261</v>
      </c>
      <c r="I95" s="27" t="n">
        <f aca="false">I91*I93</f>
        <v>6.77094665207659</v>
      </c>
      <c r="J95" s="27" t="n">
        <f aca="false">J91*J93</f>
        <v>9.31470926927076</v>
      </c>
      <c r="K95" s="27" t="n">
        <f aca="false">K91*K93</f>
        <v>10.5503313154718</v>
      </c>
      <c r="L95" s="27" t="n">
        <f aca="false">L91*L93</f>
        <v>10.8187257222235</v>
      </c>
      <c r="M95" s="27" t="n">
        <f aca="false">M91*M93</f>
        <v>10.3794169105295</v>
      </c>
    </row>
    <row r="96" customFormat="false" ht="17.15" hidden="false" customHeight="false" outlineLevel="0" collapsed="false">
      <c r="A96" s="0" t="s">
        <v>977</v>
      </c>
      <c r="F96" s="27" t="n">
        <f aca="false">PL!F160</f>
        <v>5.63960314356129</v>
      </c>
      <c r="H96" s="27" t="n">
        <f aca="false">PL!H160</f>
        <v>31.9528119656724</v>
      </c>
      <c r="I96" s="27" t="n">
        <f aca="false">PL!I160</f>
        <v>44.7664569254262</v>
      </c>
      <c r="J96" s="27" t="n">
        <f aca="false">PL!J160</f>
        <v>50.3024989890193</v>
      </c>
      <c r="K96" s="27" t="n">
        <f aca="false">PL!K160</f>
        <v>47.7268636334601</v>
      </c>
      <c r="L96" s="27" t="n">
        <f aca="false">PL!L160</f>
        <v>53.1584119360342</v>
      </c>
      <c r="M96" s="27" t="n">
        <f aca="false">PL!M160</f>
        <v>56.1478686547944</v>
      </c>
    </row>
    <row r="97" customFormat="false" ht="17.15" hidden="false" customHeight="false" outlineLevel="0" collapsed="false">
      <c r="A97" s="0" t="s">
        <v>978</v>
      </c>
      <c r="F97" s="27" t="n">
        <f aca="false">Thesis!F56</f>
        <v>0.238963603800237</v>
      </c>
      <c r="H97" s="27" t="n">
        <f aca="false">Thesis!H56</f>
        <v>5.69447188276563</v>
      </c>
      <c r="I97" s="27" t="n">
        <f aca="false">Thesis!I56</f>
        <v>13.309236731771</v>
      </c>
      <c r="J97" s="27" t="n">
        <f aca="false">Thesis!J56</f>
        <v>20.8647072292006</v>
      </c>
      <c r="K97" s="27" t="n">
        <f aca="false">Thesis!K56</f>
        <v>26.8088233296521</v>
      </c>
      <c r="L97" s="27" t="n">
        <f aca="false">Thesis!L56</f>
        <v>32.1270745568033</v>
      </c>
      <c r="M97" s="27" t="n">
        <f aca="false">Thesis!M56</f>
        <v>37.3477444860273</v>
      </c>
    </row>
    <row r="98" customFormat="false" ht="17.15" hidden="false" customHeight="false" outlineLevel="0" collapsed="false">
      <c r="A98" s="0" t="s">
        <v>979</v>
      </c>
      <c r="F98" s="27" t="n">
        <f aca="false">(F96-F97)*(1-tax)</f>
        <v>4.75256279498972</v>
      </c>
      <c r="H98" s="27" t="n">
        <f aca="false">(H96-H97)*(1-tax)</f>
        <v>23.107339272958</v>
      </c>
      <c r="I98" s="27" t="n">
        <f aca="false">(I96-I97)*(1-tax)</f>
        <v>27.6823537704166</v>
      </c>
      <c r="J98" s="27" t="n">
        <f aca="false">(J96-J97)*(1-tax)</f>
        <v>25.9052567486404</v>
      </c>
      <c r="K98" s="27" t="n">
        <f aca="false">(K96-K97)*(1-tax)</f>
        <v>18.4078754673511</v>
      </c>
      <c r="L98" s="27" t="n">
        <f aca="false">(L96-L97)*(1-tax)</f>
        <v>18.5075768937232</v>
      </c>
      <c r="M98" s="27" t="n">
        <f aca="false">(M96-M97)*(1-tax)</f>
        <v>16.5441092685151</v>
      </c>
    </row>
    <row r="99" customFormat="false" ht="17.15" hidden="false" customHeight="false" outlineLevel="0" collapsed="false">
      <c r="A99" s="0" t="s">
        <v>980</v>
      </c>
      <c r="F99" s="27" t="n">
        <f aca="false">Thesis!F43*ext_sh</f>
        <v>12.78072</v>
      </c>
      <c r="H99" s="27" t="n">
        <f aca="false">Thesis!H43*ext_sh</f>
        <v>54.2560310677929</v>
      </c>
      <c r="I99" s="27" t="n">
        <f aca="false">Thesis!I43*ext_sh</f>
        <v>57.3891821355857</v>
      </c>
      <c r="J99" s="27" t="n">
        <f aca="false">Thesis!J43*ext_sh</f>
        <v>44.4600513015873</v>
      </c>
      <c r="K99" s="27" t="n">
        <f aca="false">Thesis!K43*ext_sh</f>
        <v>36.2571472531127</v>
      </c>
      <c r="L99" s="27" t="n">
        <f aca="false">Thesis!L43*ext_sh</f>
        <v>37.9170045017112</v>
      </c>
      <c r="M99" s="27" t="n">
        <f aca="false">Thesis!M43*ext_sh</f>
        <v>43.9458980226533</v>
      </c>
    </row>
    <row r="100" customFormat="false" ht="17.15" hidden="false" customHeight="false" outlineLevel="0" collapsed="false">
      <c r="A100" s="0" t="s">
        <v>981</v>
      </c>
      <c r="F100" s="27" t="n">
        <f aca="false">F98+F97-F99</f>
        <v>-7.78919360121004</v>
      </c>
      <c r="H100" s="27" t="n">
        <f aca="false">H98+H97-H99</f>
        <v>-25.4542199120693</v>
      </c>
      <c r="I100" s="27" t="n">
        <f aca="false">I98+I97-I99</f>
        <v>-16.3975916333982</v>
      </c>
      <c r="J100" s="27" t="n">
        <f aca="false">J98+J97-J99</f>
        <v>2.30991267625372</v>
      </c>
      <c r="K100" s="27" t="n">
        <f aca="false">K98+K97-K99</f>
        <v>8.95955154389048</v>
      </c>
      <c r="L100" s="27" t="n">
        <f aca="false">L98+L97-L99</f>
        <v>12.7176469488153</v>
      </c>
      <c r="M100" s="27" t="n">
        <f aca="false">M98+M97-M99</f>
        <v>9.94595573188906</v>
      </c>
    </row>
    <row r="101" customFormat="false" ht="17.15" hidden="false" customHeight="false" outlineLevel="0" collapsed="false">
      <c r="A101" s="0" t="s">
        <v>982</v>
      </c>
      <c r="F101" s="27" t="n">
        <f aca="false">F100*F93</f>
        <v>-7.68508903677481</v>
      </c>
      <c r="H101" s="27" t="n">
        <f aca="false">H100*H93</f>
        <v>-23.4800070046874</v>
      </c>
      <c r="I101" s="27" t="n">
        <f aca="false">I100*I93</f>
        <v>-13.5821879868398</v>
      </c>
      <c r="J101" s="27" t="n">
        <f aca="false">J100*J93</f>
        <v>1.7180526673144</v>
      </c>
      <c r="K101" s="27" t="n">
        <f aca="false">K100*K93</f>
        <v>5.98381865752485</v>
      </c>
      <c r="L101" s="27" t="n">
        <f aca="false">L100*L93</f>
        <v>7.62693694807603</v>
      </c>
      <c r="M101" s="27" t="n">
        <f aca="false">M100*M93</f>
        <v>5.35600722100486</v>
      </c>
    </row>
    <row r="103" customFormat="false" ht="17.15" hidden="false" customHeight="false" outlineLevel="0" collapsed="false">
      <c r="A103" s="5" t="s">
        <v>983</v>
      </c>
    </row>
    <row r="104" customFormat="false" ht="17.15" hidden="false" customHeight="false" outlineLevel="0" collapsed="false">
      <c r="A104" s="3" t="s">
        <v>43</v>
      </c>
      <c r="B104" s="3" t="s">
        <v>886</v>
      </c>
      <c r="C104" s="3" t="s">
        <v>887</v>
      </c>
      <c r="D104" s="3" t="s">
        <v>888</v>
      </c>
      <c r="E104" s="3" t="s">
        <v>50</v>
      </c>
    </row>
    <row r="105" customFormat="false" ht="15" hidden="false" customHeight="false" outlineLevel="0" collapsed="false">
      <c r="A105" s="4" t="s">
        <v>984</v>
      </c>
      <c r="B105" s="27" t="n">
        <f aca="false">SUM(F54:M54)</f>
        <v>-27.9324709496039</v>
      </c>
      <c r="C105" s="27" t="n">
        <f aca="false">SUM(F74:M74)</f>
        <v>-75.7432897305177</v>
      </c>
      <c r="D105" s="27" t="n">
        <f aca="false">SUM(F94:M94)</f>
        <v>-110.776496765358</v>
      </c>
    </row>
    <row r="106" customFormat="false" ht="17.15" hidden="false" customHeight="false" outlineLevel="0" collapsed="false">
      <c r="A106" s="4" t="s">
        <v>985</v>
      </c>
      <c r="B106" s="27" t="n">
        <f aca="false">IF(tv_alt=1,M50*(1+g_tv)/(wacc-g_tv),M46*(1+g_tv)*(1-g_tv/ronic)/(wacc-g_tv))</f>
        <v>432.190845781294</v>
      </c>
      <c r="C106" s="27" t="n">
        <f aca="false">IF(tv_alt=1,M70*(1+g_tv)/(wacc-g_tv),M66*(1+g_tv)*(1-g_tv/ronic)/(wacc-g_tv))</f>
        <v>241.885998514023</v>
      </c>
      <c r="D106" s="27" t="n">
        <f aca="false">IF(tv_alt=1,M90*(1+g_tv)/(wacc-g_tv),M86*(1+g_tv)*(1-g_tv/ronic)/(wacc-g_tv))</f>
        <v>100.068863584053</v>
      </c>
      <c r="E106" s="4" t="s">
        <v>986</v>
      </c>
    </row>
    <row r="107" customFormat="false" ht="15" hidden="false" customHeight="false" outlineLevel="0" collapsed="false">
      <c r="A107" s="4" t="s">
        <v>987</v>
      </c>
      <c r="B107" s="27" t="n">
        <f aca="false">B106/(1+wacc)^($M$52+mid)</f>
        <v>220.544288893153</v>
      </c>
      <c r="C107" s="27" t="n">
        <f aca="false">C106/(1+wacc)^($M$72+mid)</f>
        <v>123.432914084629</v>
      </c>
      <c r="D107" s="27" t="n">
        <f aca="false">D106/(1+wacc)^($M$92+mid)</f>
        <v>51.0645160000887</v>
      </c>
    </row>
    <row r="108" customFormat="false" ht="17.15" hidden="false" customHeight="false" outlineLevel="0" collapsed="false">
      <c r="A108" s="4" t="s">
        <v>988</v>
      </c>
      <c r="B108" s="27" t="n">
        <f aca="false">B105+B107</f>
        <v>192.611817943549</v>
      </c>
      <c r="C108" s="27" t="n">
        <f aca="false">C105+C107</f>
        <v>47.6896243541109</v>
      </c>
      <c r="D108" s="27" t="n">
        <f aca="false">D105+D107</f>
        <v>-59.7119807652695</v>
      </c>
    </row>
    <row r="109" customFormat="false" ht="17.15" hidden="false" customHeight="false" outlineLevel="0" collapsed="false">
      <c r="A109" s="4" t="s">
        <v>989</v>
      </c>
      <c r="B109" s="27" t="n">
        <f aca="false">SUM(F55:M55)</f>
        <v>51.1118941045912</v>
      </c>
      <c r="C109" s="27" t="n">
        <f aca="false">SUM(F75:M75)</f>
        <v>51.1118941045912</v>
      </c>
      <c r="D109" s="27" t="n">
        <f aca="false">SUM(F95:M95)</f>
        <v>51.1118941045912</v>
      </c>
    </row>
    <row r="110" customFormat="false" ht="17.15" hidden="false" customHeight="false" outlineLevel="0" collapsed="false">
      <c r="A110" s="4" t="s">
        <v>990</v>
      </c>
      <c r="B110" s="27" t="n">
        <f aca="false">IF(tv_alt=1,M51*(1+g_tv)/(wacc-g_tv),M51*(1+g_tv)*(1-g_tv/ronic)/(wacc-g_tv))/(1+wacc)^($M$52+mid)</f>
        <v>89.1386364735152</v>
      </c>
      <c r="C110" s="27" t="n">
        <f aca="false">IF(tv_alt=1,M71*(1+g_tv)/(wacc-g_tv),M71*(1+g_tv)*(1-g_tv/ronic)/(wacc-g_tv))/(1+wacc)^($M$72+mid)</f>
        <v>89.1386364735152</v>
      </c>
      <c r="D110" s="27" t="n">
        <f aca="false">IF(tv_alt=1,M91*(1+g_tv)/(wacc-g_tv),M91*(1+g_tv)*(1-g_tv/ronic)/(wacc-g_tv))/(1+wacc)^($M$92+mid)</f>
        <v>89.1386364735152</v>
      </c>
    </row>
    <row r="111" customFormat="false" ht="17.15" hidden="false" customHeight="false" outlineLevel="0" collapsed="false">
      <c r="A111" s="4" t="s">
        <v>991</v>
      </c>
      <c r="B111" s="27" t="n">
        <f aca="false">B108+B109+B110</f>
        <v>332.862348521655</v>
      </c>
      <c r="C111" s="27" t="n">
        <f aca="false">C108+C109+C110</f>
        <v>187.940154932217</v>
      </c>
      <c r="D111" s="27" t="n">
        <f aca="false">D108+D109+D110</f>
        <v>80.5385498128369</v>
      </c>
    </row>
    <row r="112" customFormat="false" ht="17.15" hidden="false" customHeight="false" outlineLevel="0" collapsed="false">
      <c r="A112" s="2" t="s">
        <v>992</v>
      </c>
      <c r="B112" s="27" t="n">
        <f aca="false">IF(internal_ai_reading=2,B111,B108)</f>
        <v>332.862348521655</v>
      </c>
      <c r="C112" s="27" t="n">
        <f aca="false">IF(internal_ai_reading=2,C111,C108)</f>
        <v>187.940154932217</v>
      </c>
      <c r="D112" s="27" t="n">
        <f aca="false">IF(internal_ai_reading=2,D111,D108)</f>
        <v>80.5385498128369</v>
      </c>
    </row>
    <row r="113" customFormat="false" ht="17.15" hidden="false" customHeight="false" outlineLevel="0" collapsed="false">
      <c r="A113" s="4" t="s">
        <v>993</v>
      </c>
      <c r="B113" s="16" t="n">
        <f aca="false">(B107+(internal_ai_reading=2)*B110)/B112</f>
        <v>0.930363337103357</v>
      </c>
      <c r="C113" s="16" t="n">
        <f aca="false">(C107+(internal_ai_reading=2)*C110)/C112</f>
        <v>1.1310597814225</v>
      </c>
      <c r="D113" s="16" t="n">
        <f aca="false">(D107+(internal_ai_reading=2)*D110)/D112</f>
        <v>1.7408204244976</v>
      </c>
    </row>
    <row r="114" customFormat="false" ht="15" hidden="false" customHeight="false" outlineLevel="0" collapsed="false">
      <c r="A114" s="4" t="s">
        <v>994</v>
      </c>
      <c r="B114" s="27" t="n">
        <f aca="false">cash_0-debt_0-fin_lease</f>
        <v>50.866</v>
      </c>
      <c r="C114" s="27" t="n">
        <f aca="false">cash_0-debt_0-fin_lease</f>
        <v>50.866</v>
      </c>
      <c r="D114" s="27" t="n">
        <f aca="false">cash_0-debt_0-fin_lease</f>
        <v>50.866</v>
      </c>
    </row>
    <row r="115" customFormat="false" ht="15" hidden="false" customHeight="false" outlineLevel="0" collapsed="false">
      <c r="A115" s="4" t="s">
        <v>995</v>
      </c>
      <c r="B115" s="27" t="n">
        <f aca="false">btc</f>
        <v>1.573</v>
      </c>
      <c r="C115" s="27" t="n">
        <f aca="false">btc</f>
        <v>1.573</v>
      </c>
      <c r="D115" s="27" t="n">
        <f aca="false">btc</f>
        <v>1.573</v>
      </c>
    </row>
    <row r="116" customFormat="false" ht="17.15" hidden="false" customHeight="false" outlineLevel="0" collapsed="false">
      <c r="A116" s="4" t="s">
        <v>996</v>
      </c>
      <c r="B116" s="27" t="n">
        <f aca="false">legal</f>
        <v>0.35</v>
      </c>
      <c r="C116" s="27" t="n">
        <f aca="false">legal</f>
        <v>0.35</v>
      </c>
      <c r="D116" s="27" t="n">
        <f aca="false">legal</f>
        <v>0.35</v>
      </c>
      <c r="E116" s="7" t="s">
        <v>997</v>
      </c>
    </row>
    <row r="117" customFormat="false" ht="17.15" hidden="false" customHeight="false" outlineLevel="0" collapsed="false">
      <c r="A117" s="4" t="s">
        <v>998</v>
      </c>
      <c r="B117" s="21" t="n">
        <f aca="false">sh_out+dil_x*(dil_perf+dil_opt+dil_rsu+dil_echo)</f>
        <v>13.581064</v>
      </c>
      <c r="C117" s="21" t="n">
        <f aca="false">sh_out+dil_x*(dil_perf+dil_opt+dil_rsu+dil_echo)</f>
        <v>13.581064</v>
      </c>
      <c r="D117" s="21" t="n">
        <f aca="false">sh_out+dil_x*(dil_perf+dil_opt+dil_rsu+dil_echo)</f>
        <v>13.581064</v>
      </c>
    </row>
    <row r="118" customFormat="false" ht="17.15" hidden="false" customHeight="false" outlineLevel="0" collapsed="false">
      <c r="A118" s="0" t="s">
        <v>999</v>
      </c>
      <c r="B118" s="27" t="n">
        <f aca="false">MAX(0,(B108+B114+B115-B116)/B117*(1+ke)^t_tgt)</f>
        <v>20.2684404332485</v>
      </c>
      <c r="C118" s="27" t="n">
        <f aca="false">MAX(0,(C108+C114+C115-C116)/C117*(1+ke)^t_tgt)</f>
        <v>8.26461113300945</v>
      </c>
      <c r="D118" s="27" t="n">
        <f aca="false">MAX(0,(D108+D114+D115-D116)/D117*(1+ke)^t_tgt)</f>
        <v>0</v>
      </c>
      <c r="E118" s="7" t="s">
        <v>1000</v>
      </c>
    </row>
    <row r="119" customFormat="false" ht="17.15" hidden="false" customHeight="false" outlineLevel="0" collapsed="false">
      <c r="A119" s="0" t="s">
        <v>1001</v>
      </c>
      <c r="B119" s="27" t="n">
        <f aca="false">MAX(0,(B111+B114+B115-B116)/B117*(1+ke)^t_tgt)</f>
        <v>31.8853183360008</v>
      </c>
      <c r="C119" s="27" t="n">
        <f aca="false">MAX(0,(C111+C114+C115-C116)/C117*(1+ke)^t_tgt)</f>
        <v>19.8814890357618</v>
      </c>
      <c r="D119" s="27" t="n">
        <f aca="false">MAX(0,(D111+D114+D115-D116)/D117*(1+ke)^t_tgt)</f>
        <v>10.9854704033287</v>
      </c>
    </row>
    <row r="120" customFormat="false" ht="17.15" hidden="false" customHeight="false" outlineLevel="0" collapsed="false">
      <c r="A120" s="41" t="s">
        <v>1002</v>
      </c>
      <c r="B120" s="35" t="n">
        <f aca="false">IF(internal_ai_reading=2,B119,B118)</f>
        <v>31.8853183360008</v>
      </c>
      <c r="C120" s="35" t="n">
        <f aca="false">IF(internal_ai_reading=2,C119,C118)</f>
        <v>19.8814890357618</v>
      </c>
      <c r="D120" s="35" t="n">
        <f aca="false">IF(internal_ai_reading=2,D119,D118)</f>
        <v>10.9854704033287</v>
      </c>
      <c r="E120" s="8"/>
    </row>
    <row r="121" customFormat="false" ht="17.15" hidden="false" customHeight="false" outlineLevel="0" collapsed="false">
      <c r="A121" s="0" t="s">
        <v>1003</v>
      </c>
      <c r="B121" s="27" t="n">
        <f aca="false">SUM(I61:M61)</f>
        <v>89.5176225341004</v>
      </c>
      <c r="C121" s="27" t="n">
        <f aca="false">SUM(I81:M81)</f>
        <v>41.4422087683387</v>
      </c>
      <c r="D121" s="27" t="n">
        <f aca="false">SUM(I101:M101)</f>
        <v>7.10262750708035</v>
      </c>
      <c r="E121" s="7" t="s">
        <v>1004</v>
      </c>
    </row>
    <row r="122" customFormat="false" ht="17.15" hidden="false" customHeight="false" outlineLevel="0" collapsed="false">
      <c r="A122" s="0" t="s">
        <v>1005</v>
      </c>
      <c r="B122" s="27" t="n">
        <f aca="false">M58*(1+g_tv)*(1-g_tv/ronic)/(wacc-g_tv)/(1+wacc)^($M$52+mid)</f>
        <v>243.056472734749</v>
      </c>
      <c r="C122" s="27" t="n">
        <f aca="false">M78*(1+g_tv)*(1-g_tv/ronic)/(wacc-g_tv)/(1+wacc)^($M$72+mid)</f>
        <v>145.905684173149</v>
      </c>
      <c r="D122" s="27" t="n">
        <f aca="false">M98*(1+g_tv)*(1-g_tv/ronic)/(wacc-g_tv)/(1+wacc)^($M$92+mid)</f>
        <v>76.5122637720055</v>
      </c>
    </row>
    <row r="123" customFormat="false" ht="17.15" hidden="false" customHeight="false" outlineLevel="0" collapsed="false">
      <c r="A123" s="5" t="s">
        <v>1006</v>
      </c>
      <c r="B123" s="27" t="n">
        <f aca="false">(B121+B122)*(1+wacc)^($H$52+mid)</f>
        <v>380.473460013237</v>
      </c>
      <c r="C123" s="27" t="n">
        <f aca="false">(C121+C122)*(1+wacc)^($H$72+mid)</f>
        <v>214.330887665843</v>
      </c>
      <c r="D123" s="27" t="n">
        <f aca="false">(D121+D122)*(1+wacc)^($H$92+mid)</f>
        <v>95.6576217034188</v>
      </c>
      <c r="E123" s="4" t="s">
        <v>1007</v>
      </c>
    </row>
    <row r="125" customFormat="false" ht="17.15" hidden="false" customHeight="false" outlineLevel="0" collapsed="false">
      <c r="A125" s="5" t="s">
        <v>1008</v>
      </c>
    </row>
    <row r="126" customFormat="false" ht="15" hidden="false" customHeight="false" outlineLevel="0" collapsed="false">
      <c r="A126" s="3" t="s">
        <v>1009</v>
      </c>
      <c r="B126" s="3" t="s">
        <v>1010</v>
      </c>
      <c r="C126" s="3" t="s">
        <v>1011</v>
      </c>
      <c r="D126" s="3"/>
      <c r="E126" s="3" t="s">
        <v>50</v>
      </c>
    </row>
    <row r="127" customFormat="false" ht="17.15" hidden="false" customHeight="false" outlineLevel="0" collapsed="false">
      <c r="A127" s="0" t="s">
        <v>1012</v>
      </c>
      <c r="B127" s="17" t="n">
        <f aca="false">MEDIAN(pm_conn_irdm,pm_conn_tmus,pm_conn_t,pm_conn_cmcsa,pm_conn_sats)</f>
        <v>7.13</v>
      </c>
      <c r="C127" s="42" t="n">
        <v>5</v>
      </c>
      <c r="E127" s="7" t="s">
        <v>1013</v>
      </c>
    </row>
    <row r="128" customFormat="false" ht="17.15" hidden="false" customHeight="false" outlineLevel="0" collapsed="false">
      <c r="A128" s="0" t="s">
        <v>1014</v>
      </c>
      <c r="B128" s="17" t="n">
        <f aca="false">MEDIAN(pm_si_crwv,pm_si_nbis,pm_si_orcl)*mult_si_adj</f>
        <v>9.49</v>
      </c>
      <c r="C128" s="42" t="n">
        <v>3</v>
      </c>
      <c r="E128" s="7" t="s">
        <v>1015</v>
      </c>
    </row>
    <row r="130" customFormat="false" ht="17.15" hidden="false" customHeight="false" outlineLevel="0" collapsed="false">
      <c r="A130" s="3" t="s">
        <v>1016</v>
      </c>
      <c r="B130" s="3" t="s">
        <v>886</v>
      </c>
      <c r="C130" s="3" t="s">
        <v>887</v>
      </c>
      <c r="D130" s="3" t="s">
        <v>888</v>
      </c>
      <c r="E130" s="3" t="s">
        <v>1017</v>
      </c>
      <c r="F130" s="20" t="s">
        <v>1018</v>
      </c>
      <c r="G130" s="20" t="s">
        <v>1019</v>
      </c>
      <c r="H130" s="20" t="s">
        <v>1020</v>
      </c>
    </row>
    <row r="131" customFormat="false" ht="17.15" hidden="false" customHeight="false" outlineLevel="0" collapsed="false">
      <c r="A131" s="0" t="s">
        <v>1021</v>
      </c>
      <c r="B131" s="27" t="n">
        <f aca="false">(w_ntm27*PL!H35+(1-w_ntm27)*PL!I35)</f>
        <v>24.5078960087069</v>
      </c>
      <c r="C131" s="27" t="n">
        <f aca="false">(w_ntm27*PL!H97+(1-w_ntm27)*PL!I97)</f>
        <v>23.3426453695331</v>
      </c>
      <c r="D131" s="27" t="n">
        <f aca="false">(w_ntm27*PL!H159+(1-w_ntm27)*PL!I159)</f>
        <v>22.1773947303594</v>
      </c>
      <c r="E131" s="0" t="str">
        <f aca="false">"衛星與電信 "&amp;TEXT(mult_conn,"0.00")&amp;"×"</f>
        <v>衛星與電信 7.13×</v>
      </c>
      <c r="F131" s="33" t="n">
        <f aca="false">B131*mult_conn</f>
        <v>174.74129854208</v>
      </c>
      <c r="G131" s="33" t="n">
        <f aca="false">C131*mult_conn</f>
        <v>166.433061484771</v>
      </c>
      <c r="H131" s="33" t="n">
        <f aca="false">D131*mult_conn</f>
        <v>158.124824427462</v>
      </c>
    </row>
    <row r="132" customFormat="false" ht="17.15" hidden="false" customHeight="false" outlineLevel="0" collapsed="false">
      <c r="A132" s="0" t="s">
        <v>1022</v>
      </c>
      <c r="B132" s="27" t="n">
        <f aca="false">(w_ntm27*PL!H37+(1-w_ntm27)*PL!I37)</f>
        <v>1.69096250676286</v>
      </c>
      <c r="C132" s="27" t="n">
        <f aca="false">(w_ntm27*PL!H99+(1-w_ntm27)*PL!I99)</f>
        <v>1.69096250676286</v>
      </c>
      <c r="D132" s="27" t="n">
        <f aca="false">(w_ntm27*PL!H161+(1-w_ntm27)*PL!I161)</f>
        <v>1.69096250676286</v>
      </c>
      <c r="E132" s="0" t="str">
        <f aca="false">"AI 基礎設施／雲 × 調整 "&amp;TEXT(mult_si,"0.00")&amp;"×"</f>
        <v>AI 基礎設施／雲 × 調整 9.49×</v>
      </c>
      <c r="F132" s="33" t="n">
        <f aca="false">B132*mult_si</f>
        <v>16.0472341891796</v>
      </c>
      <c r="G132" s="33" t="n">
        <f aca="false">C132*mult_si</f>
        <v>16.0472341891796</v>
      </c>
      <c r="H132" s="33" t="n">
        <f aca="false">D132*mult_si</f>
        <v>16.0472341891796</v>
      </c>
    </row>
    <row r="133" customFormat="false" ht="17.15" hidden="false" customHeight="false" outlineLevel="0" collapsed="false">
      <c r="A133" s="0" t="s">
        <v>1023</v>
      </c>
      <c r="B133" s="27" t="n">
        <f aca="false">(w_ntm27*PL!H17+(1-w_ntm27)*PL!I17)</f>
        <v>5.61196955857723</v>
      </c>
      <c r="C133" s="27" t="n">
        <f aca="false">(w_ntm27*PL!H79+(1-w_ntm27)*PL!I79)</f>
        <v>5.61196955857723</v>
      </c>
      <c r="D133" s="27" t="n">
        <f aca="false">(w_ntm27*PL!H141+(1-w_ntm27)*PL!I141)</f>
        <v>5.61196955857723</v>
      </c>
      <c r="E133" s="0" t="str">
        <f aca="false">"EV／營收（判斷） "&amp;TEXT(evs_space,"0.00")&amp;"×"</f>
        <v>EV／營收（判斷） 3.00×</v>
      </c>
      <c r="F133" s="33" t="n">
        <f aca="false">B133*evs_space</f>
        <v>16.8359086757317</v>
      </c>
      <c r="G133" s="33" t="n">
        <f aca="false">C133*evs_space</f>
        <v>16.8359086757317</v>
      </c>
      <c r="H133" s="33" t="n">
        <f aca="false">D133*evs_space</f>
        <v>16.8359086757317</v>
      </c>
    </row>
    <row r="134" customFormat="false" ht="17.15" hidden="false" customHeight="false" outlineLevel="0" collapsed="false">
      <c r="A134" s="0" t="s">
        <v>1024</v>
      </c>
      <c r="B134" s="27" t="n">
        <f aca="false">(w_ntm27*PL!H36+(1-w_ntm27)*PL!I36)</f>
        <v>52.0536009723564</v>
      </c>
      <c r="C134" s="27" t="n">
        <f aca="false">(w_ntm27*PL!H98+(1-w_ntm27)*PL!I98)</f>
        <v>46.5328279490942</v>
      </c>
      <c r="D134" s="27" t="n">
        <f aca="false">(w_ntm27*PL!H160+(1-w_ntm27)*PL!I160)</f>
        <v>42.589418646764</v>
      </c>
      <c r="E134" s="4" t="s">
        <v>1025</v>
      </c>
      <c r="F134" s="33" t="n">
        <f aca="false">B123</f>
        <v>380.473460013237</v>
      </c>
      <c r="G134" s="33" t="n">
        <f aca="false">C123</f>
        <v>214.330887665843</v>
      </c>
      <c r="H134" s="33" t="n">
        <f aca="false">D123</f>
        <v>95.6576217034188</v>
      </c>
    </row>
    <row r="135" customFormat="false" ht="17.15" hidden="false" customHeight="false" outlineLevel="0" collapsed="false">
      <c r="A135" s="4" t="s">
        <v>1026</v>
      </c>
      <c r="B135" s="33" t="n">
        <f aca="false">SUM(F131:F134)</f>
        <v>588.097901420228</v>
      </c>
      <c r="C135" s="33" t="n">
        <f aca="false">SUM(G131:G134)</f>
        <v>413.647092015525</v>
      </c>
      <c r="D135" s="33" t="n">
        <f aca="false">SUM(H131:H134)</f>
        <v>286.665588995792</v>
      </c>
    </row>
    <row r="136" customFormat="false" ht="17.15" hidden="false" customHeight="false" outlineLevel="0" collapsed="false">
      <c r="A136" s="4" t="s">
        <v>1027</v>
      </c>
      <c r="B136" s="27" t="n">
        <f aca="false">(w_ntm27*Thesis!H36+(1-w_ntm27)*Thesis!I36)</f>
        <v>1.47125709187329</v>
      </c>
      <c r="C136" s="27" t="n">
        <f aca="false">(w_ntm27*Thesis!H36+(1-w_ntm27)*Thesis!I36)</f>
        <v>1.47125709187329</v>
      </c>
      <c r="D136" s="27" t="n">
        <f aca="false">(w_ntm27*Thesis!H36+(1-w_ntm27)*Thesis!I36)</f>
        <v>1.47125709187329</v>
      </c>
      <c r="E136" s="4" t="s">
        <v>1028</v>
      </c>
      <c r="F136" s="33" t="n">
        <f aca="false">B136*mult_si</f>
        <v>13.9622298018775</v>
      </c>
      <c r="G136" s="33" t="n">
        <f aca="false">C136*mult_si</f>
        <v>13.9622298018775</v>
      </c>
      <c r="H136" s="33" t="n">
        <f aca="false">D136*mult_si</f>
        <v>13.9622298018775</v>
      </c>
    </row>
    <row r="137" customFormat="false" ht="17.15" hidden="false" customHeight="false" outlineLevel="0" collapsed="false">
      <c r="A137" s="4" t="s">
        <v>1029</v>
      </c>
      <c r="E137" s="0" t="s">
        <v>1030</v>
      </c>
      <c r="F137" s="33" t="n">
        <f aca="false">(1-ext_sh)*(cip_0*cip_si+Thesis!F43+Thesis!H43)-(Thesis!F57+Thesis!H57)</f>
        <v>29.4137105038105</v>
      </c>
      <c r="G137" s="33" t="n">
        <f aca="false">(1-ext_sh)*(cip_0*cip_si+Thesis!F43+Thesis!H43)-(Thesis!F57+Thesis!H57)</f>
        <v>29.4137105038105</v>
      </c>
      <c r="H137" s="33" t="n">
        <f aca="false">(1-ext_sh)*(cip_0*cip_si+Thesis!F43+Thesis!H43)-(Thesis!F57+Thesis!H57)</f>
        <v>29.4137105038105</v>
      </c>
    </row>
    <row r="138" customFormat="false" ht="17.15" hidden="false" customHeight="false" outlineLevel="0" collapsed="false">
      <c r="A138" s="4" t="s">
        <v>1031</v>
      </c>
      <c r="B138" s="33" t="n">
        <f aca="false">B135+F136+F137</f>
        <v>631.473841725916</v>
      </c>
      <c r="C138" s="33" t="n">
        <f aca="false">C135+G136+G137</f>
        <v>457.023032321213</v>
      </c>
      <c r="D138" s="33" t="n">
        <f aca="false">D135+H136+H137</f>
        <v>330.041529301481</v>
      </c>
    </row>
    <row r="139" customFormat="false" ht="17.15" hidden="false" customHeight="false" outlineLevel="0" collapsed="false">
      <c r="A139" s="2" t="s">
        <v>1032</v>
      </c>
      <c r="B139" s="33" t="n">
        <f aca="false">IF(internal_ai_reading=2,B138,B135)</f>
        <v>631.473841725916</v>
      </c>
      <c r="C139" s="33" t="n">
        <f aca="false">IF(internal_ai_reading=2,C138,C135)</f>
        <v>457.023032321213</v>
      </c>
      <c r="D139" s="33" t="n">
        <f aca="false">IF(internal_ai_reading=2,D138,D135)</f>
        <v>330.041529301481</v>
      </c>
    </row>
    <row r="140" customFormat="false" ht="17.15" hidden="false" customHeight="false" outlineLevel="0" collapsed="false">
      <c r="A140" s="4" t="s">
        <v>1033</v>
      </c>
      <c r="B140" s="27" t="n">
        <f aca="false">CF!H42-fin_lease</f>
        <v>-5.34004568398371</v>
      </c>
      <c r="C140" s="27" t="n">
        <f aca="false">CF!H73-fin_lease</f>
        <v>-7.29049339383411</v>
      </c>
      <c r="D140" s="27" t="n">
        <f aca="false">CF!H104-fin_lease</f>
        <v>-8.73806551132601</v>
      </c>
    </row>
    <row r="141" customFormat="false" ht="17.15" hidden="false" customHeight="false" outlineLevel="0" collapsed="false">
      <c r="A141" s="4" t="s">
        <v>1034</v>
      </c>
      <c r="B141" s="27" t="n">
        <f aca="false">btc+spec_2h+spec_27</f>
        <v>11.286</v>
      </c>
      <c r="C141" s="27" t="n">
        <f aca="false">btc+spec_2h+spec_27</f>
        <v>11.286</v>
      </c>
      <c r="D141" s="27" t="n">
        <f aca="false">btc+spec_2h+spec_27</f>
        <v>11.286</v>
      </c>
      <c r="E141" s="4" t="s">
        <v>1035</v>
      </c>
    </row>
    <row r="142" customFormat="false" ht="15" hidden="false" customHeight="false" outlineLevel="0" collapsed="false">
      <c r="A142" s="4" t="s">
        <v>1036</v>
      </c>
      <c r="B142" s="27" t="n">
        <f aca="false">legal</f>
        <v>0.35</v>
      </c>
      <c r="C142" s="27" t="n">
        <f aca="false">legal</f>
        <v>0.35</v>
      </c>
      <c r="D142" s="27" t="n">
        <f aca="false">legal</f>
        <v>0.35</v>
      </c>
    </row>
    <row r="143" customFormat="false" ht="17.15" hidden="false" customHeight="false" outlineLevel="0" collapsed="false">
      <c r="A143" s="4" t="s">
        <v>1037</v>
      </c>
      <c r="B143" s="21" t="n">
        <f aca="false">PL!H70+dil_x*(dil_perf+dil_opt+dil_rsu+dil_echo)</f>
        <v>13.7511668266</v>
      </c>
      <c r="C143" s="21" t="n">
        <f aca="false">PL!H132+dil_x*(dil_perf+dil_opt+dil_rsu+dil_echo)</f>
        <v>13.7511668266</v>
      </c>
      <c r="D143" s="21" t="n">
        <f aca="false">PL!H194+dil_x*(dil_perf+dil_opt+dil_rsu+dil_echo)</f>
        <v>13.7511668266</v>
      </c>
    </row>
    <row r="144" customFormat="false" ht="17.15" hidden="false" customHeight="false" outlineLevel="0" collapsed="false">
      <c r="A144" s="4" t="s">
        <v>1038</v>
      </c>
      <c r="B144" s="27" t="n">
        <f aca="false">MAX(0,(B135+B140+B141-B142)/B143)</f>
        <v>43.1740712059295</v>
      </c>
      <c r="C144" s="27" t="n">
        <f aca="false">MAX(0,(C135+C140+C141-C142)/C143)</f>
        <v>30.3459774638534</v>
      </c>
      <c r="D144" s="27" t="n">
        <f aca="false">MAX(0,(D135+D140+D141-D142)/D143)</f>
        <v>21.0064736416181</v>
      </c>
    </row>
    <row r="145" customFormat="false" ht="17.15" hidden="false" customHeight="false" outlineLevel="0" collapsed="false">
      <c r="A145" s="4" t="s">
        <v>1039</v>
      </c>
      <c r="B145" s="27" t="n">
        <f aca="false">MAX(0,(B138+B140+B141-B142)/B143)</f>
        <v>46.3284173681608</v>
      </c>
      <c r="C145" s="27" t="n">
        <f aca="false">MAX(0,(C138+C140+C141-C142)/C143)</f>
        <v>33.5003236260846</v>
      </c>
      <c r="D145" s="27" t="n">
        <f aca="false">MAX(0,(D138+D140+D141-D142)/D143)</f>
        <v>24.1608198038494</v>
      </c>
    </row>
    <row r="146" customFormat="false" ht="15" hidden="false" customHeight="false" outlineLevel="0" collapsed="false">
      <c r="A146" s="36" t="s">
        <v>1040</v>
      </c>
      <c r="B146" s="35" t="n">
        <f aca="false">IF(internal_ai_reading=2,B145,B144)</f>
        <v>46.3284173681608</v>
      </c>
      <c r="C146" s="35" t="n">
        <f aca="false">IF(internal_ai_reading=2,C145,C144)</f>
        <v>33.5003236260846</v>
      </c>
      <c r="D146" s="35" t="n">
        <f aca="false">IF(internal_ai_reading=2,D145,D144)</f>
        <v>24.1608198038494</v>
      </c>
      <c r="E146" s="8"/>
    </row>
    <row r="147" customFormat="false" ht="17.15" hidden="false" customHeight="false" outlineLevel="0" collapsed="false">
      <c r="A147" s="4" t="s">
        <v>1041</v>
      </c>
      <c r="B147" s="33" t="n">
        <f aca="false">(w_ntm27*PL!H39+(1-w_ntm27)*PL!I39)</f>
        <v>78.5884565008792</v>
      </c>
      <c r="C147" s="33" t="n">
        <f aca="false">(w_ntm27*PL!H101+(1-w_ntm27)*PL!I101)</f>
        <v>71.9024328384432</v>
      </c>
      <c r="D147" s="33" t="n">
        <f aca="false">(w_ntm27*PL!H163+(1-w_ntm27)*PL!I163)</f>
        <v>66.7937728969393</v>
      </c>
    </row>
    <row r="148" customFormat="false" ht="17.15" hidden="false" customHeight="false" outlineLevel="0" collapsed="false">
      <c r="A148" s="4" t="s">
        <v>1042</v>
      </c>
      <c r="B148" s="17" t="n">
        <f aca="false">B139/B147</f>
        <v>8.03519842279701</v>
      </c>
      <c r="C148" s="17" t="n">
        <f aca="false">C139/C147</f>
        <v>6.35615533827755</v>
      </c>
      <c r="D148" s="17" t="n">
        <f aca="false">D139/D147</f>
        <v>4.9412020759888</v>
      </c>
    </row>
    <row r="149" customFormat="false" ht="17.15" hidden="false" customHeight="false" outlineLevel="0" collapsed="false">
      <c r="A149" s="4" t="s">
        <v>1043</v>
      </c>
      <c r="B149" s="17" t="n">
        <f aca="false">(px*sh_out-cash_0+debt_0+fin_lease)/C147</f>
        <v>26.4707774664111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6"/>
    <col collapsed="false" customWidth="true" hidden="false" outlineLevel="0" max="4" min="2" style="0" width="13"/>
    <col collapsed="false" customWidth="true" hidden="false" outlineLevel="0" max="5" min="5" style="0" width="40"/>
    <col collapsed="false" customWidth="true" hidden="false" outlineLevel="0" max="7" min="6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1044</v>
      </c>
    </row>
    <row r="3" customFormat="false" ht="17.15" hidden="false" customHeight="false" outlineLevel="0" collapsed="false">
      <c r="A3" s="5" t="s">
        <v>1045</v>
      </c>
    </row>
    <row r="4" customFormat="false" ht="17.15" hidden="false" customHeight="false" outlineLevel="0" collapsed="false">
      <c r="A4" s="3" t="s">
        <v>43</v>
      </c>
      <c r="B4" s="3" t="s">
        <v>1046</v>
      </c>
      <c r="C4" s="3" t="s">
        <v>886</v>
      </c>
      <c r="D4" s="3" t="s">
        <v>887</v>
      </c>
      <c r="E4" s="3" t="s">
        <v>888</v>
      </c>
      <c r="F4" s="3" t="s">
        <v>1047</v>
      </c>
      <c r="G4" s="20" t="s">
        <v>1048</v>
      </c>
      <c r="H4" s="3" t="s">
        <v>50</v>
      </c>
    </row>
    <row r="5" customFormat="false" ht="17.15" hidden="false" customHeight="false" outlineLevel="0" collapsed="false">
      <c r="A5" s="4" t="s">
        <v>1049</v>
      </c>
      <c r="B5" s="0" t="s">
        <v>1050</v>
      </c>
      <c r="C5" s="27" t="n">
        <f aca="false">PL!G26</f>
        <v>43.6177643627689</v>
      </c>
      <c r="D5" s="27" t="n">
        <f aca="false">PL!G88</f>
        <v>43.6177643627689</v>
      </c>
      <c r="E5" s="27" t="n">
        <f aca="false">PL!G150</f>
        <v>43.6177643627689</v>
      </c>
      <c r="F5" s="27" t="n">
        <f aca="false">c_revenue_26</f>
        <v>36.85</v>
      </c>
      <c r="G5" s="16" t="n">
        <f aca="false">D5/F5-1</f>
        <v>0.183657106180975</v>
      </c>
      <c r="H5" s="4" t="s">
        <v>1051</v>
      </c>
    </row>
    <row r="6" customFormat="false" ht="15" hidden="false" customHeight="false" outlineLevel="0" collapsed="false">
      <c r="A6" s="4" t="s">
        <v>1049</v>
      </c>
      <c r="B6" s="0" t="s">
        <v>1052</v>
      </c>
      <c r="C6" s="27" t="n">
        <f aca="false">PL!H26</f>
        <v>88.7993235274699</v>
      </c>
      <c r="D6" s="27" t="n">
        <f aca="false">PL!H88</f>
        <v>86.1678684963247</v>
      </c>
      <c r="E6" s="27" t="n">
        <f aca="false">PL!H150</f>
        <v>84.082405060502</v>
      </c>
      <c r="F6" s="27" t="n">
        <f aca="false">c_revenue_27</f>
        <v>68.255</v>
      </c>
      <c r="G6" s="16" t="n">
        <f aca="false">D6/F6-1</f>
        <v>0.262440385265911</v>
      </c>
    </row>
    <row r="7" customFormat="false" ht="15" hidden="false" customHeight="false" outlineLevel="0" collapsed="false">
      <c r="A7" s="4" t="s">
        <v>1049</v>
      </c>
      <c r="B7" s="0" t="s">
        <v>1053</v>
      </c>
      <c r="C7" s="27" t="n">
        <f aca="false">PL!I26</f>
        <v>127.344720297728</v>
      </c>
      <c r="D7" s="27" t="n">
        <f aca="false">PL!I88</f>
        <v>119.037497280438</v>
      </c>
      <c r="E7" s="27" t="n">
        <f aca="false">PL!I150</f>
        <v>112.518733182418</v>
      </c>
      <c r="F7" s="27" t="n">
        <f aca="false">c_revenue_28</f>
        <v>97.508</v>
      </c>
      <c r="G7" s="16" t="n">
        <f aca="false">D7/F7-1</f>
        <v>0.22079724002582</v>
      </c>
    </row>
    <row r="8" customFormat="false" ht="15" hidden="false" customHeight="false" outlineLevel="0" collapsed="false">
      <c r="A8" s="4" t="s">
        <v>873</v>
      </c>
      <c r="B8" s="0" t="s">
        <v>1050</v>
      </c>
      <c r="C8" s="27" t="n">
        <f aca="false">PL!G66</f>
        <v>1.90097509722694</v>
      </c>
      <c r="D8" s="27" t="n">
        <f aca="false">PL!G128</f>
        <v>1.90097509722694</v>
      </c>
      <c r="E8" s="27" t="n">
        <f aca="false">PL!G190</f>
        <v>1.90097509722694</v>
      </c>
      <c r="F8" s="27" t="n">
        <f aca="false">c_earnings_26</f>
        <v>-6.912</v>
      </c>
      <c r="G8" s="16" t="n">
        <f aca="false">D8/F8-1</f>
        <v>-1.27502533235343</v>
      </c>
    </row>
    <row r="9" customFormat="false" ht="15" hidden="false" customHeight="false" outlineLevel="0" collapsed="false">
      <c r="A9" s="4" t="s">
        <v>873</v>
      </c>
      <c r="B9" s="0" t="s">
        <v>1052</v>
      </c>
      <c r="C9" s="27" t="n">
        <f aca="false">PL!H66</f>
        <v>15.936747733745</v>
      </c>
      <c r="D9" s="27" t="n">
        <f aca="false">PL!H128</f>
        <v>14.0586563891578</v>
      </c>
      <c r="E9" s="27" t="n">
        <f aca="false">PL!H190</f>
        <v>12.6088593405458</v>
      </c>
      <c r="F9" s="27" t="n">
        <f aca="false">c_earnings_27</f>
        <v>3.35</v>
      </c>
      <c r="G9" s="16" t="n">
        <f aca="false">D9/F9-1</f>
        <v>3.19661384750978</v>
      </c>
    </row>
    <row r="10" customFormat="false" ht="15" hidden="false" customHeight="false" outlineLevel="0" collapsed="false">
      <c r="A10" s="4" t="s">
        <v>873</v>
      </c>
      <c r="B10" s="0" t="s">
        <v>1053</v>
      </c>
      <c r="C10" s="27" t="n">
        <f aca="false">PL!I66</f>
        <v>25.43975193915</v>
      </c>
      <c r="D10" s="27" t="n">
        <f aca="false">PL!I128</f>
        <v>19.4240803131578</v>
      </c>
      <c r="E10" s="27" t="n">
        <f aca="false">PL!I190</f>
        <v>14.8276215481966</v>
      </c>
      <c r="F10" s="27" t="n">
        <f aca="false">c_earnings_28</f>
        <v>7.646</v>
      </c>
      <c r="G10" s="16" t="n">
        <f aca="false">D10/F10-1</f>
        <v>1.54042379193798</v>
      </c>
    </row>
    <row r="11" customFormat="false" ht="17.15" hidden="false" customHeight="false" outlineLevel="0" collapsed="false">
      <c r="A11" s="4" t="s">
        <v>1054</v>
      </c>
      <c r="B11" s="0" t="s">
        <v>1050</v>
      </c>
      <c r="C11" s="27" t="n">
        <f aca="false">CF!G29</f>
        <v>-44.5785402137016</v>
      </c>
      <c r="D11" s="27" t="n">
        <f aca="false">CF!G60</f>
        <v>-44.5785402137016</v>
      </c>
      <c r="E11" s="27" t="n">
        <f aca="false">CF!G91</f>
        <v>-44.5785402137016</v>
      </c>
      <c r="F11" s="27" t="n">
        <f aca="false">c_fcf_26</f>
        <v>-28.749</v>
      </c>
      <c r="G11" s="16" t="n">
        <f aca="false">D11/F11-1</f>
        <v>0.550611854801961</v>
      </c>
    </row>
    <row r="12" customFormat="false" ht="17.15" hidden="false" customHeight="false" outlineLevel="0" collapsed="false">
      <c r="A12" s="4" t="s">
        <v>1054</v>
      </c>
      <c r="B12" s="0" t="s">
        <v>1052</v>
      </c>
      <c r="C12" s="27" t="n">
        <f aca="false">CF!H29</f>
        <v>-28.1990862059017</v>
      </c>
      <c r="D12" s="27" t="n">
        <f aca="false">CF!H60</f>
        <v>-30.1495339157521</v>
      </c>
      <c r="E12" s="27" t="n">
        <f aca="false">CF!H91</f>
        <v>-31.597106033244</v>
      </c>
      <c r="F12" s="27" t="n">
        <f aca="false">c_fcf_27</f>
        <v>-28.378</v>
      </c>
      <c r="G12" s="16" t="n">
        <f aca="false">D12/F12-1</f>
        <v>0.0624263131916309</v>
      </c>
    </row>
    <row r="13" customFormat="false" ht="17.15" hidden="false" customHeight="false" outlineLevel="0" collapsed="false">
      <c r="A13" s="4" t="s">
        <v>1054</v>
      </c>
      <c r="B13" s="0" t="s">
        <v>1053</v>
      </c>
      <c r="C13" s="27" t="n">
        <f aca="false">CF!I29</f>
        <v>-10.7989843741881</v>
      </c>
      <c r="D13" s="27" t="n">
        <f aca="false">CF!I60</f>
        <v>-17.0996088038608</v>
      </c>
      <c r="E13" s="27" t="n">
        <f aca="false">CF!I91</f>
        <v>-21.7520084338974</v>
      </c>
      <c r="F13" s="27" t="n">
        <f aca="false">c_fcf_28</f>
        <v>-14.581</v>
      </c>
      <c r="G13" s="16" t="n">
        <f aca="false">D13/F13-1</f>
        <v>0.172732240851849</v>
      </c>
    </row>
    <row r="14" customFormat="false" ht="17.15" hidden="false" customHeight="false" outlineLevel="0" collapsed="false">
      <c r="A14" s="4" t="s">
        <v>1055</v>
      </c>
      <c r="C14" s="27" t="n">
        <f aca="false">cons_tp</f>
        <v>244.97</v>
      </c>
      <c r="D14" s="27" t="n">
        <f aca="false">Val!B8</f>
        <v>27.5154564043791</v>
      </c>
      <c r="E14" s="16" t="n">
        <f aca="false">D14/C14-1</f>
        <v>-0.887678260993676</v>
      </c>
      <c r="H14" s="7" t="s">
        <v>1056</v>
      </c>
    </row>
    <row r="16" customFormat="false" ht="17.15" hidden="false" customHeight="false" outlineLevel="0" collapsed="false">
      <c r="A16" s="5" t="s">
        <v>1057</v>
      </c>
    </row>
    <row r="17" customFormat="false" ht="15" hidden="false" customHeight="false" outlineLevel="0" collapsed="false">
      <c r="A17" s="3" t="s">
        <v>1058</v>
      </c>
      <c r="B17" s="20" t="s">
        <v>734</v>
      </c>
      <c r="C17" s="20" t="s">
        <v>735</v>
      </c>
      <c r="D17" s="20" t="s">
        <v>736</v>
      </c>
      <c r="E17" s="3" t="s">
        <v>1059</v>
      </c>
      <c r="F17" s="3" t="s">
        <v>1060</v>
      </c>
      <c r="G17" s="3" t="s">
        <v>50</v>
      </c>
    </row>
    <row r="18" customFormat="false" ht="15" hidden="false" customHeight="false" outlineLevel="0" collapsed="false">
      <c r="A18" s="0" t="s">
        <v>814</v>
      </c>
      <c r="B18" s="27" t="n">
        <f aca="false">PL!G79</f>
        <v>4.63520786815594</v>
      </c>
      <c r="C18" s="27" t="n">
        <f aca="false">PL!H79</f>
        <v>5.30112151495721</v>
      </c>
      <c r="D18" s="27" t="n">
        <f aca="false">PL!I79</f>
        <v>5.6755921132225</v>
      </c>
      <c r="E18" s="4" t="s">
        <v>1061</v>
      </c>
      <c r="F18" s="4" t="s">
        <v>1062</v>
      </c>
      <c r="G18" s="4" t="s">
        <v>1063</v>
      </c>
    </row>
    <row r="19" customFormat="false" ht="15" hidden="false" customHeight="false" outlineLevel="0" collapsed="false">
      <c r="A19" s="0" t="s">
        <v>821</v>
      </c>
      <c r="B19" s="27" t="n">
        <f aca="false">PL!G82</f>
        <v>18.7191694086716</v>
      </c>
      <c r="C19" s="27" t="n">
        <f aca="false">PL!H82</f>
        <v>28.840489045623</v>
      </c>
      <c r="D19" s="27" t="n">
        <f aca="false">PL!I82</f>
        <v>38.0696161506708</v>
      </c>
      <c r="E19" s="4" t="s">
        <v>1061</v>
      </c>
      <c r="F19" s="4" t="s">
        <v>1062</v>
      </c>
    </row>
    <row r="20" customFormat="false" ht="15" hidden="false" customHeight="false" outlineLevel="0" collapsed="false">
      <c r="A20" s="0" t="s">
        <v>809</v>
      </c>
      <c r="B20" s="27" t="n">
        <f aca="false">PL!G87</f>
        <v>20.2633870859414</v>
      </c>
      <c r="C20" s="27" t="n">
        <f aca="false">PL!H87</f>
        <v>52.0262579357446</v>
      </c>
      <c r="D20" s="27" t="n">
        <f aca="false">PL!I87</f>
        <v>75.2922890165444</v>
      </c>
      <c r="E20" s="4" t="s">
        <v>1061</v>
      </c>
      <c r="F20" s="4" t="s">
        <v>1062</v>
      </c>
    </row>
    <row r="21" customFormat="false" ht="17.15" hidden="false" customHeight="false" outlineLevel="0" collapsed="false">
      <c r="A21" s="0" t="s">
        <v>1064</v>
      </c>
      <c r="B21" s="27" t="n">
        <f aca="false">PL!G84</f>
        <v>12.9245394708836</v>
      </c>
      <c r="C21" s="27" t="n">
        <f aca="false">PL!H84</f>
        <v>37.3995373495115</v>
      </c>
      <c r="D21" s="27" t="n">
        <f aca="false">PL!I84</f>
        <v>55.739334569764</v>
      </c>
      <c r="E21" s="4" t="s">
        <v>1061</v>
      </c>
      <c r="F21" s="4" t="s">
        <v>1065</v>
      </c>
    </row>
    <row r="22" customFormat="false" ht="17.15" hidden="false" customHeight="false" outlineLevel="0" collapsed="false">
      <c r="A22" s="0" t="s">
        <v>1066</v>
      </c>
      <c r="B22" s="27" t="n">
        <f aca="false">PL!G85</f>
        <v>5.56064</v>
      </c>
      <c r="C22" s="27" t="n">
        <f aca="false">PL!H85</f>
        <v>12.9107804793285</v>
      </c>
      <c r="D22" s="27" t="n">
        <f aca="false">PL!I85</f>
        <v>17.8599129964044</v>
      </c>
      <c r="E22" s="4" t="s">
        <v>1061</v>
      </c>
      <c r="F22" s="4" t="s">
        <v>1067</v>
      </c>
    </row>
    <row r="23" customFormat="false" ht="15" hidden="false" customHeight="false" outlineLevel="0" collapsed="false">
      <c r="A23" s="0" t="s">
        <v>1068</v>
      </c>
      <c r="B23" s="27" t="n">
        <f aca="false">PL!G83</f>
        <v>1.77820761505773</v>
      </c>
      <c r="C23" s="27" t="n">
        <f aca="false">PL!H83</f>
        <v>1.71594010690461</v>
      </c>
      <c r="D23" s="27" t="n">
        <f aca="false">PL!I83</f>
        <v>1.69304145037596</v>
      </c>
      <c r="E23" s="4" t="s">
        <v>1061</v>
      </c>
    </row>
    <row r="24" customFormat="false" ht="17.15" hidden="false" customHeight="false" outlineLevel="0" collapsed="false">
      <c r="A24" s="0" t="s">
        <v>1069</v>
      </c>
      <c r="B24" s="17" t="n">
        <f aca="false">Thesis!F25</f>
        <v>2.10675776549635</v>
      </c>
      <c r="F24" s="17" t="n">
        <f aca="false">gw_ye26_co</f>
        <v>2</v>
      </c>
      <c r="G24" s="4" t="s">
        <v>1070</v>
      </c>
    </row>
    <row r="25" customFormat="false" ht="17.15" hidden="false" customHeight="false" outlineLevel="0" collapsed="false">
      <c r="A25" s="0" t="s">
        <v>1071</v>
      </c>
      <c r="B25" s="33" t="n">
        <f aca="false">backlog*0.67</f>
        <v>42.18253</v>
      </c>
      <c r="C25" s="33" t="n">
        <f aca="false">PL!H88</f>
        <v>86.1678684963247</v>
      </c>
      <c r="G25" s="7" t="s">
        <v>1072</v>
      </c>
    </row>
    <row r="26" customFormat="false" ht="17.15" hidden="false" customHeight="false" outlineLevel="0" collapsed="false">
      <c r="A26" s="0" t="s">
        <v>1073</v>
      </c>
      <c r="B26" s="33" t="n">
        <f aca="false">cloud_q2/3</f>
        <v>4.7</v>
      </c>
      <c r="C26" s="33" t="n">
        <f aca="false">PL!H84</f>
        <v>37.3995373495115</v>
      </c>
      <c r="G26" s="4" t="s">
        <v>1074</v>
      </c>
    </row>
    <row r="27" customFormat="false" ht="17.15" hidden="false" customHeight="false" outlineLevel="0" collapsed="false">
      <c r="A27" s="4" t="s">
        <v>1075</v>
      </c>
      <c r="B27" s="33" t="n">
        <f aca="false">commit_27</f>
        <v>25.569</v>
      </c>
      <c r="C27" s="33" t="n">
        <f aca="false">Thesis!H43</f>
        <v>75.3555987052679</v>
      </c>
      <c r="G27" s="4" t="s">
        <v>1076</v>
      </c>
    </row>
    <row r="29" customFormat="false" ht="17.15" hidden="false" customHeight="false" outlineLevel="0" collapsed="false">
      <c r="A29" s="5" t="s">
        <v>1077</v>
      </c>
    </row>
    <row r="30" customFormat="false" ht="17.15" hidden="false" customHeight="false" outlineLevel="0" collapsed="false">
      <c r="A30" s="3" t="s">
        <v>43</v>
      </c>
      <c r="B30" s="3" t="s">
        <v>886</v>
      </c>
      <c r="C30" s="3" t="s">
        <v>887</v>
      </c>
      <c r="D30" s="3" t="s">
        <v>888</v>
      </c>
      <c r="E30" s="3" t="s">
        <v>50</v>
      </c>
    </row>
    <row r="31" customFormat="false" ht="17.15" hidden="false" customHeight="false" outlineLevel="0" collapsed="false">
      <c r="A31" s="0" t="s">
        <v>1078</v>
      </c>
      <c r="B31" s="17" t="n">
        <f aca="false">Seg!I7</f>
        <v>18.936414454371</v>
      </c>
      <c r="C31" s="17" t="n">
        <f aca="false">Seg!I45</f>
        <v>17.0245350553086</v>
      </c>
      <c r="D31" s="17" t="n">
        <f aca="false">Seg!I83</f>
        <v>15.6589069131213</v>
      </c>
    </row>
    <row r="32" customFormat="false" ht="17.15" hidden="false" customHeight="false" outlineLevel="0" collapsed="false">
      <c r="A32" s="0" t="s">
        <v>1079</v>
      </c>
      <c r="B32" s="17" t="n">
        <f aca="false">Thesis!I33</f>
        <v>10.925025137499</v>
      </c>
      <c r="C32" s="17" t="n">
        <f aca="false">Thesis!I33</f>
        <v>10.925025137499</v>
      </c>
      <c r="D32" s="17" t="n">
        <f aca="false">Thesis!I33</f>
        <v>10.925025137499</v>
      </c>
    </row>
    <row r="33" customFormat="false" ht="17.15" hidden="false" customHeight="false" outlineLevel="0" collapsed="false">
      <c r="A33" s="4" t="s">
        <v>1080</v>
      </c>
      <c r="B33" s="17" t="n">
        <f aca="false">B31/B32</f>
        <v>1.73330625934888</v>
      </c>
      <c r="C33" s="17" t="n">
        <f aca="false">C31/C32</f>
        <v>1.55830625934888</v>
      </c>
      <c r="D33" s="17" t="n">
        <f aca="false">D31/D32</f>
        <v>1.43330625934888</v>
      </c>
      <c r="E33" s="4" t="s">
        <v>1081</v>
      </c>
    </row>
    <row r="34" customFormat="false" ht="17.15" hidden="false" customHeight="false" outlineLevel="0" collapsed="false">
      <c r="A34" s="4" t="s">
        <v>1082</v>
      </c>
      <c r="B34" s="17" t="n">
        <f aca="false">B33*1.2</f>
        <v>2.07996751121866</v>
      </c>
      <c r="C34" s="17" t="n">
        <f aca="false">C33*1.2</f>
        <v>1.86996751121866</v>
      </c>
      <c r="D34" s="17" t="n">
        <f aca="false">D33*1.2</f>
        <v>1.71996751121866</v>
      </c>
      <c r="E34" s="7" t="s">
        <v>1083</v>
      </c>
    </row>
    <row r="35" customFormat="false" ht="17.15" hidden="false" customHeight="false" outlineLevel="0" collapsed="false">
      <c r="A35" s="0" t="s">
        <v>1084</v>
      </c>
      <c r="B35" s="17" t="n">
        <f aca="false">k0</f>
        <v>1.86661251869776</v>
      </c>
      <c r="E35" s="4" t="s">
        <v>1085</v>
      </c>
    </row>
    <row r="37" customFormat="false" ht="17.15" hidden="false" customHeight="false" outlineLevel="0" collapsed="false">
      <c r="A37" s="5" t="s">
        <v>1086</v>
      </c>
    </row>
    <row r="38" customFormat="false" ht="17.15" hidden="false" customHeight="false" outlineLevel="0" collapsed="false">
      <c r="A38" s="0" t="s">
        <v>1087</v>
      </c>
      <c r="B38" s="17" t="n">
        <f aca="false">cxgw26</f>
        <v>43.640224</v>
      </c>
    </row>
    <row r="39" customFormat="false" ht="17.15" hidden="false" customHeight="false" outlineLevel="0" collapsed="false">
      <c r="A39" s="0" t="s">
        <v>1088</v>
      </c>
      <c r="B39" s="17" t="n">
        <f aca="false">ppe_gw</f>
        <v>29.1405882352941</v>
      </c>
      <c r="E39" s="4" t="s">
        <v>1089</v>
      </c>
    </row>
    <row r="40" customFormat="false" ht="17.15" hidden="false" customHeight="false" outlineLevel="0" collapsed="false">
      <c r="A40" s="4" t="s">
        <v>1090</v>
      </c>
      <c r="B40" s="17" t="n">
        <f aca="false">(Q!I37-Q!G37+Q!H37+ppefin_9m)/(gw_0-Q!C61)</f>
        <v>44.1509090909091</v>
      </c>
      <c r="E40" s="4" t="s">
        <v>1091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0"/>
    <col collapsed="false" customWidth="true" hidden="false" outlineLevel="0" max="7" min="7" style="0" width="24"/>
  </cols>
  <sheetData>
    <row r="1" customFormat="false" ht="17.15" hidden="false" customHeight="false" outlineLevel="0" collapsed="false">
      <c r="A1" s="0" t="s">
        <v>1092</v>
      </c>
    </row>
    <row r="2" customFormat="false" ht="17.15" hidden="false" customHeight="false" outlineLevel="0" collapsed="false">
      <c r="A2" s="4" t="s">
        <v>1093</v>
      </c>
    </row>
    <row r="3" customFormat="false" ht="17.15" hidden="false" customHeight="false" outlineLevel="0" collapsed="false">
      <c r="A3" s="3" t="s">
        <v>1094</v>
      </c>
      <c r="B3" s="3" t="s">
        <v>1095</v>
      </c>
      <c r="C3" s="3" t="s">
        <v>1096</v>
      </c>
      <c r="D3" s="3" t="s">
        <v>1097</v>
      </c>
      <c r="E3" s="3" t="s">
        <v>1098</v>
      </c>
      <c r="F3" s="3" t="s">
        <v>42</v>
      </c>
      <c r="G3" s="3" t="s">
        <v>50</v>
      </c>
      <c r="H3" s="3" t="s">
        <v>1099</v>
      </c>
      <c r="I3" s="20" t="s">
        <v>1100</v>
      </c>
    </row>
    <row r="4" customFormat="false" ht="17.15" hidden="false" customHeight="false" outlineLevel="0" collapsed="false">
      <c r="A4" s="4" t="s">
        <v>1101</v>
      </c>
      <c r="B4" s="4" t="s">
        <v>1102</v>
      </c>
      <c r="C4" s="4" t="s">
        <v>1103</v>
      </c>
      <c r="D4" s="34" t="n">
        <v>20.2087703093152</v>
      </c>
      <c r="E4" s="43" t="n">
        <f aca="false">D4/Val!$B$8-1</f>
        <v>-0.265548424408509</v>
      </c>
      <c r="F4" s="7" t="s">
        <v>182</v>
      </c>
      <c r="G4" s="4" t="s">
        <v>1104</v>
      </c>
      <c r="H4" s="44" t="n">
        <v>-96.9372698258872</v>
      </c>
      <c r="I4" s="24" t="n">
        <v>1.55830625934888</v>
      </c>
    </row>
    <row r="5" customFormat="false" ht="17.15" hidden="false" customHeight="false" outlineLevel="0" collapsed="false">
      <c r="A5" s="4" t="s">
        <v>1105</v>
      </c>
      <c r="B5" s="0" t="s">
        <v>1106</v>
      </c>
      <c r="C5" s="4" t="s">
        <v>1103</v>
      </c>
      <c r="D5" s="34" t="n">
        <v>29.9300361042763</v>
      </c>
      <c r="E5" s="43" t="n">
        <f aca="false">D5/Val!$B$8-1</f>
        <v>0.0877535761868349</v>
      </c>
      <c r="F5" s="7" t="s">
        <v>241</v>
      </c>
      <c r="G5" s="4" t="s">
        <v>1104</v>
      </c>
      <c r="H5" s="44" t="n">
        <v>-108.78796754281</v>
      </c>
      <c r="I5" s="24" t="n">
        <v>1.55830625934888</v>
      </c>
    </row>
    <row r="6" customFormat="false" ht="17.15" hidden="false" customHeight="false" outlineLevel="0" collapsed="false">
      <c r="A6" s="4" t="s">
        <v>1107</v>
      </c>
      <c r="B6" s="0" t="s">
        <v>1106</v>
      </c>
      <c r="C6" s="4" t="s">
        <v>1108</v>
      </c>
      <c r="D6" s="34" t="n">
        <v>24.6214381118444</v>
      </c>
      <c r="E6" s="43" t="n">
        <f aca="false">D6/Val!$B$8-1</f>
        <v>-0.105177913460818</v>
      </c>
      <c r="F6" s="7" t="s">
        <v>241</v>
      </c>
      <c r="G6" s="4" t="s">
        <v>1104</v>
      </c>
      <c r="H6" s="44" t="n">
        <v>-85.6577687530502</v>
      </c>
      <c r="I6" s="24" t="n">
        <v>1.55830625934888</v>
      </c>
    </row>
    <row r="7" customFormat="false" ht="17.15" hidden="false" customHeight="false" outlineLevel="0" collapsed="false">
      <c r="A7" s="0" t="s">
        <v>1109</v>
      </c>
      <c r="B7" s="4" t="s">
        <v>1110</v>
      </c>
      <c r="C7" s="4" t="s">
        <v>1103</v>
      </c>
      <c r="D7" s="34" t="n">
        <v>25.2651908832949</v>
      </c>
      <c r="E7" s="43" t="n">
        <f aca="false">D7/Val!$B$8-1</f>
        <v>-0.0817818715420638</v>
      </c>
      <c r="F7" s="7" t="s">
        <v>266</v>
      </c>
      <c r="G7" s="4" t="s">
        <v>1104</v>
      </c>
      <c r="H7" s="44" t="n">
        <v>-43.2922433993075</v>
      </c>
      <c r="I7" s="24" t="n">
        <v>1.55830625934888</v>
      </c>
    </row>
    <row r="8" customFormat="false" ht="17.15" hidden="false" customHeight="false" outlineLevel="0" collapsed="false">
      <c r="A8" s="0" t="s">
        <v>1111</v>
      </c>
      <c r="B8" s="4" t="s">
        <v>1110</v>
      </c>
      <c r="C8" s="4" t="s">
        <v>1108</v>
      </c>
      <c r="D8" s="34" t="n">
        <v>30.8907399387318</v>
      </c>
      <c r="E8" s="43" t="n">
        <f aca="false">D8/Val!$B$8-1</f>
        <v>0.122668637028879</v>
      </c>
      <c r="F8" s="7" t="s">
        <v>266</v>
      </c>
      <c r="G8" s="4" t="s">
        <v>1104</v>
      </c>
      <c r="H8" s="44" t="n">
        <v>-180.809671913224</v>
      </c>
      <c r="I8" s="24" t="n">
        <v>1.55830625934888</v>
      </c>
    </row>
    <row r="9" customFormat="false" ht="17.15" hidden="false" customHeight="false" outlineLevel="0" collapsed="false">
      <c r="A9" s="4" t="s">
        <v>1112</v>
      </c>
      <c r="B9" s="0" t="s">
        <v>1113</v>
      </c>
      <c r="C9" s="4" t="s">
        <v>1103</v>
      </c>
      <c r="D9" s="34" t="n">
        <v>28.7373507572841</v>
      </c>
      <c r="E9" s="43" t="n">
        <f aca="false">D9/Val!$B$8-1</f>
        <v>0.0444075626058142</v>
      </c>
      <c r="F9" s="7" t="s">
        <v>258</v>
      </c>
      <c r="G9" s="4" t="s">
        <v>1104</v>
      </c>
      <c r="H9" s="44" t="n">
        <v>-91.8388827580936</v>
      </c>
      <c r="I9" s="24" t="n">
        <v>1.55830625934888</v>
      </c>
    </row>
    <row r="10" customFormat="false" ht="17.15" hidden="false" customHeight="false" outlineLevel="0" collapsed="false">
      <c r="A10" s="4" t="s">
        <v>1114</v>
      </c>
      <c r="B10" s="0" t="s">
        <v>1113</v>
      </c>
      <c r="C10" s="4" t="s">
        <v>1108</v>
      </c>
      <c r="D10" s="34" t="n">
        <v>26.7577000952901</v>
      </c>
      <c r="E10" s="43" t="n">
        <f aca="false">D10/Val!$B$8-1</f>
        <v>-0.0275392963850089</v>
      </c>
      <c r="F10" s="7" t="s">
        <v>258</v>
      </c>
      <c r="G10" s="4" t="s">
        <v>1104</v>
      </c>
      <c r="H10" s="44" t="n">
        <v>-100.099917027485</v>
      </c>
      <c r="I10" s="24" t="n">
        <v>1.55830625934888</v>
      </c>
    </row>
    <row r="11" customFormat="false" ht="17.15" hidden="false" customHeight="false" outlineLevel="0" collapsed="false">
      <c r="A11" s="4" t="s">
        <v>1115</v>
      </c>
      <c r="B11" s="0" t="s">
        <v>1116</v>
      </c>
      <c r="C11" s="4" t="s">
        <v>1103</v>
      </c>
      <c r="D11" s="34" t="n">
        <v>23.3927060370998</v>
      </c>
      <c r="E11" s="43" t="n">
        <f aca="false">D11/Val!$B$8-1</f>
        <v>-0.149833980824797</v>
      </c>
      <c r="F11" s="7" t="s">
        <v>344</v>
      </c>
      <c r="G11" s="4" t="s">
        <v>1104</v>
      </c>
      <c r="H11" s="44" t="n">
        <v>-124.660082766573</v>
      </c>
      <c r="I11" s="24" t="n">
        <v>1.43330625934888</v>
      </c>
    </row>
    <row r="12" customFormat="false" ht="17.15" hidden="false" customHeight="false" outlineLevel="0" collapsed="false">
      <c r="A12" s="4" t="s">
        <v>1117</v>
      </c>
      <c r="B12" s="0" t="s">
        <v>1116</v>
      </c>
      <c r="C12" s="4" t="s">
        <v>1108</v>
      </c>
      <c r="D12" s="34" t="n">
        <v>31.6382067716584</v>
      </c>
      <c r="E12" s="43" t="n">
        <f aca="false">D12/Val!$B$8-1</f>
        <v>0.149833980824798</v>
      </c>
      <c r="F12" s="7" t="s">
        <v>344</v>
      </c>
      <c r="G12" s="4" t="s">
        <v>1104</v>
      </c>
      <c r="H12" s="44" t="n">
        <v>-69.2527135286475</v>
      </c>
      <c r="I12" s="24" t="n">
        <v>1.68330625934888</v>
      </c>
    </row>
    <row r="13" customFormat="false" ht="17.15" hidden="false" customHeight="false" outlineLevel="0" collapsed="false">
      <c r="A13" s="0" t="s">
        <v>1118</v>
      </c>
      <c r="B13" s="4" t="s">
        <v>1119</v>
      </c>
      <c r="C13" s="4" t="s">
        <v>1103</v>
      </c>
      <c r="D13" s="34" t="n">
        <v>25.8082567855904</v>
      </c>
      <c r="E13" s="43" t="n">
        <f aca="false">D13/Val!$B$8-1</f>
        <v>-0.0620451136153781</v>
      </c>
      <c r="F13" s="7" t="s">
        <v>370</v>
      </c>
      <c r="G13" s="4" t="s">
        <v>1104</v>
      </c>
      <c r="H13" s="44" t="n">
        <v>-105.349329276591</v>
      </c>
      <c r="I13" s="24" t="n">
        <v>1.55830625934888</v>
      </c>
    </row>
    <row r="14" customFormat="false" ht="17.15" hidden="false" customHeight="false" outlineLevel="0" collapsed="false">
      <c r="A14" s="0" t="s">
        <v>1120</v>
      </c>
      <c r="B14" s="4" t="s">
        <v>1119</v>
      </c>
      <c r="C14" s="4" t="s">
        <v>1108</v>
      </c>
      <c r="D14" s="34" t="n">
        <v>29.2226560231678</v>
      </c>
      <c r="E14" s="43" t="n">
        <f aca="false">D14/Val!$B$8-1</f>
        <v>0.0620451136153792</v>
      </c>
      <c r="F14" s="7" t="s">
        <v>370</v>
      </c>
      <c r="G14" s="4" t="s">
        <v>1104</v>
      </c>
      <c r="H14" s="44" t="n">
        <v>-88.5252103751836</v>
      </c>
      <c r="I14" s="24" t="n">
        <v>1.55830625934888</v>
      </c>
    </row>
    <row r="15" customFormat="false" ht="17.15" hidden="false" customHeight="false" outlineLevel="0" collapsed="false">
      <c r="A15" s="0" t="s">
        <v>1121</v>
      </c>
      <c r="B15" s="0" t="s">
        <v>1122</v>
      </c>
      <c r="C15" s="4" t="s">
        <v>1103</v>
      </c>
      <c r="D15" s="34" t="n">
        <v>27.1534623291275</v>
      </c>
      <c r="E15" s="43" t="n">
        <f aca="false">D15/Val!$B$8-1</f>
        <v>-0.0131560265594568</v>
      </c>
      <c r="F15" s="7" t="s">
        <v>358</v>
      </c>
      <c r="G15" s="4" t="s">
        <v>1104</v>
      </c>
      <c r="H15" s="44" t="n">
        <v>-100.241254127185</v>
      </c>
      <c r="I15" s="24" t="n">
        <v>1.55830625934888</v>
      </c>
    </row>
    <row r="16" customFormat="false" ht="17.15" hidden="false" customHeight="false" outlineLevel="0" collapsed="false">
      <c r="A16" s="0" t="s">
        <v>1123</v>
      </c>
      <c r="B16" s="0" t="s">
        <v>1122</v>
      </c>
      <c r="C16" s="4" t="s">
        <v>1108</v>
      </c>
      <c r="D16" s="34" t="n">
        <v>28.0037698460458</v>
      </c>
      <c r="E16" s="43" t="n">
        <f aca="false">D16/Val!$B$8-1</f>
        <v>0.0177468777726324</v>
      </c>
      <c r="F16" s="7" t="s">
        <v>358</v>
      </c>
      <c r="G16" s="4" t="s">
        <v>1104</v>
      </c>
      <c r="H16" s="44" t="n">
        <v>-92.3554248159464</v>
      </c>
      <c r="I16" s="24" t="n">
        <v>1.55830625934888</v>
      </c>
    </row>
    <row r="17" customFormat="false" ht="17.15" hidden="false" customHeight="false" outlineLevel="0" collapsed="false">
      <c r="A17" s="0" t="s">
        <v>1124</v>
      </c>
      <c r="B17" s="0" t="s">
        <v>1125</v>
      </c>
      <c r="C17" s="4" t="s">
        <v>1103</v>
      </c>
      <c r="D17" s="34" t="n">
        <v>27.397986206905</v>
      </c>
      <c r="E17" s="43" t="n">
        <f aca="false">D17/Val!$B$8-1</f>
        <v>-0.00426924401135476</v>
      </c>
      <c r="F17" s="7" t="s">
        <v>361</v>
      </c>
      <c r="G17" s="4" t="s">
        <v>1104</v>
      </c>
      <c r="H17" s="44" t="n">
        <v>-97.7410693802481</v>
      </c>
      <c r="I17" s="24" t="n">
        <v>1.55830625934888</v>
      </c>
    </row>
    <row r="18" customFormat="false" ht="17.15" hidden="false" customHeight="false" outlineLevel="0" collapsed="false">
      <c r="A18" s="0" t="s">
        <v>1126</v>
      </c>
      <c r="B18" s="0" t="s">
        <v>1125</v>
      </c>
      <c r="C18" s="4" t="s">
        <v>1108</v>
      </c>
      <c r="D18" s="34" t="n">
        <v>27.7169207787346</v>
      </c>
      <c r="E18" s="43" t="n">
        <f aca="false">D18/Val!$B$8-1</f>
        <v>0.00732186198893836</v>
      </c>
      <c r="F18" s="7" t="s">
        <v>361</v>
      </c>
      <c r="G18" s="4" t="s">
        <v>1104</v>
      </c>
      <c r="H18" s="44" t="n">
        <v>-95.713897186192</v>
      </c>
      <c r="I18" s="24" t="n">
        <v>1.55830625934888</v>
      </c>
    </row>
    <row r="19" customFormat="false" ht="17.15" hidden="false" customHeight="false" outlineLevel="0" collapsed="false">
      <c r="A19" s="4" t="s">
        <v>1127</v>
      </c>
      <c r="B19" s="0" t="s">
        <v>1128</v>
      </c>
      <c r="C19" s="4" t="s">
        <v>1103</v>
      </c>
      <c r="D19" s="34" t="n">
        <v>27.8779100023179</v>
      </c>
      <c r="E19" s="43" t="n">
        <f aca="false">D19/Val!$B$8-1</f>
        <v>0.0131727270888056</v>
      </c>
      <c r="F19" s="7" t="s">
        <v>324</v>
      </c>
      <c r="G19" s="4" t="s">
        <v>1104</v>
      </c>
      <c r="H19" s="44" t="n">
        <v>-98.464015863464</v>
      </c>
      <c r="I19" s="24" t="n">
        <v>1.55830625934888</v>
      </c>
    </row>
    <row r="20" customFormat="false" ht="17.15" hidden="false" customHeight="false" outlineLevel="0" collapsed="false">
      <c r="A20" s="4" t="s">
        <v>1129</v>
      </c>
      <c r="B20" s="0" t="s">
        <v>1128</v>
      </c>
      <c r="C20" s="4" t="s">
        <v>1108</v>
      </c>
      <c r="D20" s="34" t="n">
        <v>27.4514940047428</v>
      </c>
      <c r="E20" s="43" t="n">
        <f aca="false">D20/Val!$B$8-1</f>
        <v>-0.0023245988980255</v>
      </c>
      <c r="F20" s="7" t="s">
        <v>324</v>
      </c>
      <c r="G20" s="4" t="s">
        <v>1104</v>
      </c>
      <c r="H20" s="44" t="n">
        <v>-96.6678440545502</v>
      </c>
      <c r="I20" s="24" t="n">
        <v>1.55830625934888</v>
      </c>
    </row>
    <row r="21" customFormat="false" ht="17.15" hidden="false" customHeight="false" outlineLevel="0" collapsed="false">
      <c r="A21" s="0" t="s">
        <v>1130</v>
      </c>
      <c r="B21" s="0" t="s">
        <v>1131</v>
      </c>
      <c r="C21" s="4" t="s">
        <v>1103</v>
      </c>
      <c r="D21" s="34" t="n">
        <v>26.9684010705275</v>
      </c>
      <c r="E21" s="43" t="n">
        <f aca="false">D21/Val!$B$8-1</f>
        <v>-0.0198817466740084</v>
      </c>
      <c r="F21" s="7" t="s">
        <v>312</v>
      </c>
      <c r="G21" s="4" t="s">
        <v>1104</v>
      </c>
      <c r="H21" s="44" t="n">
        <v>-94.7941785111764</v>
      </c>
      <c r="I21" s="24" t="n">
        <v>1.55830625934888</v>
      </c>
    </row>
    <row r="22" customFormat="false" ht="17.15" hidden="false" customHeight="false" outlineLevel="0" collapsed="false">
      <c r="A22" s="0" t="s">
        <v>1132</v>
      </c>
      <c r="B22" s="0" t="s">
        <v>1131</v>
      </c>
      <c r="C22" s="4" t="s">
        <v>1108</v>
      </c>
      <c r="D22" s="34" t="n">
        <v>29.0780561580325</v>
      </c>
      <c r="E22" s="43" t="n">
        <f aca="false">D22/Val!$B$8-1</f>
        <v>0.0567898904051878</v>
      </c>
      <c r="F22" s="7" t="s">
        <v>312</v>
      </c>
      <c r="G22" s="4" t="s">
        <v>1104</v>
      </c>
      <c r="H22" s="44" t="n">
        <v>-98.468049336395</v>
      </c>
      <c r="I22" s="24" t="n">
        <v>1.55830625934888</v>
      </c>
    </row>
    <row r="23" customFormat="false" ht="17.15" hidden="false" customHeight="false" outlineLevel="0" collapsed="false">
      <c r="A23" s="4" t="s">
        <v>1133</v>
      </c>
      <c r="B23" s="0" t="s">
        <v>1134</v>
      </c>
      <c r="C23" s="4" t="s">
        <v>1103</v>
      </c>
      <c r="D23" s="34" t="n">
        <v>27.0793261579913</v>
      </c>
      <c r="E23" s="43" t="n">
        <f aca="false">D23/Val!$B$8-1</f>
        <v>-0.0158503729677687</v>
      </c>
      <c r="F23" s="7" t="s">
        <v>415</v>
      </c>
      <c r="G23" s="4" t="s">
        <v>1104</v>
      </c>
      <c r="H23" s="44" t="n">
        <v>-99.6331723642995</v>
      </c>
      <c r="I23" s="24" t="n">
        <v>1.55830625934888</v>
      </c>
    </row>
    <row r="24" customFormat="false" ht="17.15" hidden="false" customHeight="false" outlineLevel="0" collapsed="false">
      <c r="A24" s="4" t="s">
        <v>1135</v>
      </c>
      <c r="B24" s="0" t="s">
        <v>1134</v>
      </c>
      <c r="C24" s="4" t="s">
        <v>1108</v>
      </c>
      <c r="D24" s="34" t="n">
        <v>27.9515866507669</v>
      </c>
      <c r="E24" s="43" t="n">
        <f aca="false">D24/Val!$B$8-1</f>
        <v>0.0158503729677695</v>
      </c>
      <c r="F24" s="7" t="s">
        <v>415</v>
      </c>
      <c r="G24" s="4" t="s">
        <v>1104</v>
      </c>
      <c r="H24" s="44" t="n">
        <v>-94.241367287475</v>
      </c>
      <c r="I24" s="24" t="n">
        <v>1.55830625934888</v>
      </c>
    </row>
    <row r="25" customFormat="false" ht="17.15" hidden="false" customHeight="false" outlineLevel="0" collapsed="false">
      <c r="A25" s="0" t="s">
        <v>1136</v>
      </c>
      <c r="B25" s="0" t="s">
        <v>1137</v>
      </c>
      <c r="C25" s="4" t="s">
        <v>1103</v>
      </c>
      <c r="D25" s="34" t="n">
        <v>26.7817759452185</v>
      </c>
      <c r="E25" s="43" t="n">
        <f aca="false">D25/Val!$B$8-1</f>
        <v>-0.026664302724189</v>
      </c>
      <c r="F25" s="7" t="s">
        <v>428</v>
      </c>
      <c r="G25" s="4" t="s">
        <v>1104</v>
      </c>
      <c r="H25" s="44" t="n">
        <v>-98.7640897346927</v>
      </c>
      <c r="I25" s="24" t="n">
        <v>1.55830625934888</v>
      </c>
    </row>
    <row r="26" customFormat="false" ht="17.15" hidden="false" customHeight="false" outlineLevel="0" collapsed="false">
      <c r="A26" s="0" t="s">
        <v>1138</v>
      </c>
      <c r="B26" s="0" t="s">
        <v>1137</v>
      </c>
      <c r="C26" s="4" t="s">
        <v>1108</v>
      </c>
      <c r="D26" s="34" t="n">
        <v>28.0556525514385</v>
      </c>
      <c r="E26" s="43" t="n">
        <f aca="false">D26/Val!$B$8-1</f>
        <v>0.0196324618105712</v>
      </c>
      <c r="F26" s="7" t="s">
        <v>428</v>
      </c>
      <c r="G26" s="4" t="s">
        <v>1104</v>
      </c>
      <c r="H26" s="44" t="n">
        <v>-95.6586792873608</v>
      </c>
      <c r="I26" s="24" t="n">
        <v>1.55830625934888</v>
      </c>
    </row>
    <row r="27" customFormat="false" ht="17.15" hidden="false" customHeight="false" outlineLevel="0" collapsed="false">
      <c r="A27" s="0" t="s">
        <v>1139</v>
      </c>
      <c r="B27" s="0" t="s">
        <v>1140</v>
      </c>
      <c r="C27" s="4" t="s">
        <v>1103</v>
      </c>
      <c r="D27" s="34" t="n">
        <v>25.8396838900179</v>
      </c>
      <c r="E27" s="43" t="n">
        <f aca="false">D27/Val!$B$8-1</f>
        <v>-0.0609029517712993</v>
      </c>
      <c r="F27" s="7" t="s">
        <v>437</v>
      </c>
      <c r="G27" s="4" t="s">
        <v>1104</v>
      </c>
      <c r="H27" s="44" t="n">
        <v>-106.492554733722</v>
      </c>
      <c r="I27" s="24" t="n">
        <v>1.55830625934888</v>
      </c>
    </row>
    <row r="28" customFormat="false" ht="17.15" hidden="false" customHeight="false" outlineLevel="0" collapsed="false">
      <c r="A28" s="0" t="s">
        <v>1141</v>
      </c>
      <c r="B28" s="0" t="s">
        <v>1140</v>
      </c>
      <c r="C28" s="4" t="s">
        <v>1108</v>
      </c>
      <c r="D28" s="34" t="n">
        <v>29.2195796122528</v>
      </c>
      <c r="E28" s="43" t="n">
        <f aca="false">D28/Val!$B$8-1</f>
        <v>0.0619333069686063</v>
      </c>
      <c r="F28" s="7" t="s">
        <v>437</v>
      </c>
      <c r="G28" s="4" t="s">
        <v>1104</v>
      </c>
      <c r="H28" s="44" t="n">
        <v>-87.2203287555806</v>
      </c>
      <c r="I28" s="24" t="n">
        <v>1.55830625934888</v>
      </c>
    </row>
    <row r="29" customFormat="false" ht="17.15" hidden="false" customHeight="false" outlineLevel="0" collapsed="false">
      <c r="A29" s="0" t="s">
        <v>1142</v>
      </c>
      <c r="B29" s="0" t="s">
        <v>1143</v>
      </c>
      <c r="C29" s="4" t="s">
        <v>1103</v>
      </c>
      <c r="D29" s="34" t="n">
        <v>28.8122359178003</v>
      </c>
      <c r="E29" s="43" t="n">
        <f aca="false">D29/Val!$B$8-1</f>
        <v>0.0471291296921694</v>
      </c>
      <c r="F29" s="7" t="s">
        <v>440</v>
      </c>
      <c r="G29" s="4" t="s">
        <v>1104</v>
      </c>
      <c r="H29" s="44" t="n">
        <v>-82.5252292514461</v>
      </c>
      <c r="I29" s="24" t="n">
        <v>1.55830625934888</v>
      </c>
    </row>
    <row r="30" customFormat="false" ht="17.15" hidden="false" customHeight="false" outlineLevel="0" collapsed="false">
      <c r="A30" s="0" t="s">
        <v>1144</v>
      </c>
      <c r="B30" s="0" t="s">
        <v>1143</v>
      </c>
      <c r="C30" s="4" t="s">
        <v>1108</v>
      </c>
      <c r="D30" s="34" t="n">
        <v>26.4258134843769</v>
      </c>
      <c r="E30" s="43" t="n">
        <f aca="false">D30/Val!$B$8-1</f>
        <v>-0.0396011210567734</v>
      </c>
      <c r="F30" s="7" t="s">
        <v>440</v>
      </c>
      <c r="G30" s="4" t="s">
        <v>1104</v>
      </c>
      <c r="H30" s="44" t="n">
        <v>-109.047252912599</v>
      </c>
      <c r="I30" s="24" t="n">
        <v>1.55830625934888</v>
      </c>
    </row>
    <row r="31" customFormat="false" ht="17.15" hidden="false" customHeight="false" outlineLevel="0" collapsed="false">
      <c r="A31" s="4" t="s">
        <v>1145</v>
      </c>
      <c r="B31" s="0" t="s">
        <v>1146</v>
      </c>
      <c r="C31" s="4" t="s">
        <v>1103</v>
      </c>
      <c r="D31" s="34" t="n">
        <v>26.9669746772765</v>
      </c>
      <c r="E31" s="43" t="n">
        <f aca="false">D31/Val!$B$8-1</f>
        <v>-0.0199335863829355</v>
      </c>
      <c r="F31" s="7" t="s">
        <v>434</v>
      </c>
      <c r="G31" s="4" t="s">
        <v>1104</v>
      </c>
      <c r="H31" s="44" t="n">
        <v>-97.9425491103743</v>
      </c>
      <c r="I31" s="24" t="n">
        <v>1.55830625934888</v>
      </c>
    </row>
    <row r="32" customFormat="false" ht="17.15" hidden="false" customHeight="false" outlineLevel="0" collapsed="false">
      <c r="A32" s="4" t="s">
        <v>1147</v>
      </c>
      <c r="B32" s="0" t="s">
        <v>1146</v>
      </c>
      <c r="C32" s="4" t="s">
        <v>1108</v>
      </c>
      <c r="D32" s="34" t="n">
        <v>28.147073691845</v>
      </c>
      <c r="E32" s="43" t="n">
        <f aca="false">D32/Val!$B$8-1</f>
        <v>0.0229549994804155</v>
      </c>
      <c r="F32" s="7" t="s">
        <v>434</v>
      </c>
      <c r="G32" s="4" t="s">
        <v>1104</v>
      </c>
      <c r="H32" s="44" t="n">
        <v>-95.8803830153756</v>
      </c>
      <c r="I32" s="24" t="n">
        <v>1.55830625934888</v>
      </c>
    </row>
    <row r="33" customFormat="false" ht="17.15" hidden="false" customHeight="false" outlineLevel="0" collapsed="false">
      <c r="A33" s="0" t="s">
        <v>1148</v>
      </c>
      <c r="B33" s="0" t="s">
        <v>1149</v>
      </c>
      <c r="C33" s="4" t="s">
        <v>1103</v>
      </c>
      <c r="D33" s="34" t="n">
        <v>27.2056840972983</v>
      </c>
      <c r="E33" s="43" t="n">
        <f aca="false">D33/Val!$B$8-1</f>
        <v>-0.0112581198918978</v>
      </c>
      <c r="F33" s="7" t="s">
        <v>396</v>
      </c>
      <c r="G33" s="4" t="s">
        <v>1104</v>
      </c>
      <c r="H33" s="44" t="n">
        <v>-99.0584938894454</v>
      </c>
      <c r="I33" s="24" t="n">
        <v>1.55830625934888</v>
      </c>
    </row>
    <row r="34" customFormat="false" ht="17.15" hidden="false" customHeight="false" outlineLevel="0" collapsed="false">
      <c r="A34" s="0" t="s">
        <v>1150</v>
      </c>
      <c r="B34" s="0" t="s">
        <v>1149</v>
      </c>
      <c r="C34" s="4" t="s">
        <v>1108</v>
      </c>
      <c r="D34" s="34" t="n">
        <v>27.7219712757663</v>
      </c>
      <c r="E34" s="43" t="n">
        <f aca="false">D34/Val!$B$8-1</f>
        <v>0.00750541326126597</v>
      </c>
      <c r="F34" s="7" t="s">
        <v>396</v>
      </c>
      <c r="G34" s="4" t="s">
        <v>1104</v>
      </c>
      <c r="H34" s="44" t="n">
        <v>-95.5231204501818</v>
      </c>
      <c r="I34" s="24" t="n">
        <v>1.55830625934888</v>
      </c>
    </row>
    <row r="35" customFormat="false" ht="17.15" hidden="false" customHeight="false" outlineLevel="0" collapsed="false">
      <c r="A35" s="0" t="s">
        <v>1151</v>
      </c>
      <c r="B35" s="0" t="s">
        <v>1152</v>
      </c>
      <c r="C35" s="4" t="s">
        <v>1103</v>
      </c>
      <c r="D35" s="34" t="n">
        <v>27.6416942854291</v>
      </c>
      <c r="E35" s="43" t="n">
        <f aca="false">D35/Val!$B$8-1</f>
        <v>0.00458788977347013</v>
      </c>
      <c r="F35" s="7" t="s">
        <v>399</v>
      </c>
      <c r="G35" s="4" t="s">
        <v>1104</v>
      </c>
      <c r="H35" s="44" t="n">
        <v>-95.3525442947196</v>
      </c>
      <c r="I35" s="24" t="n">
        <v>1.55830625934888</v>
      </c>
    </row>
    <row r="36" customFormat="false" ht="17.15" hidden="false" customHeight="false" outlineLevel="0" collapsed="false">
      <c r="A36" s="0" t="s">
        <v>1153</v>
      </c>
      <c r="B36" s="0" t="s">
        <v>1152</v>
      </c>
      <c r="C36" s="4" t="s">
        <v>1108</v>
      </c>
      <c r="D36" s="34" t="n">
        <v>27.262980642279</v>
      </c>
      <c r="E36" s="43" t="n">
        <f aca="false">D36/Val!$B$8-1</f>
        <v>-0.00917577954694238</v>
      </c>
      <c r="F36" s="7" t="s">
        <v>399</v>
      </c>
      <c r="G36" s="4" t="s">
        <v>1104</v>
      </c>
      <c r="H36" s="44" t="n">
        <v>-100.106720888223</v>
      </c>
      <c r="I36" s="24" t="n">
        <v>1.55830625934888</v>
      </c>
    </row>
    <row r="37" customFormat="false" ht="17.15" hidden="false" customHeight="false" outlineLevel="0" collapsed="false">
      <c r="A37" s="0" t="s">
        <v>1154</v>
      </c>
      <c r="B37" s="0" t="s">
        <v>1155</v>
      </c>
      <c r="C37" s="4" t="s">
        <v>1103</v>
      </c>
      <c r="D37" s="34" t="n">
        <v>27.542928396081</v>
      </c>
      <c r="E37" s="43" t="n">
        <f aca="false">D37/Val!$B$8-1</f>
        <v>0.000998420353206964</v>
      </c>
      <c r="F37" s="7" t="s">
        <v>385</v>
      </c>
      <c r="G37" s="4" t="s">
        <v>1104</v>
      </c>
      <c r="H37" s="44" t="n">
        <v>-95.5320978167605</v>
      </c>
      <c r="I37" s="24" t="n">
        <v>1.55830625934888</v>
      </c>
    </row>
    <row r="38" customFormat="false" ht="17.15" hidden="false" customHeight="false" outlineLevel="0" collapsed="false">
      <c r="A38" s="0" t="s">
        <v>1156</v>
      </c>
      <c r="B38" s="0" t="s">
        <v>1155</v>
      </c>
      <c r="C38" s="4" t="s">
        <v>1108</v>
      </c>
      <c r="D38" s="34" t="n">
        <v>27.4742484168263</v>
      </c>
      <c r="E38" s="43" t="n">
        <f aca="false">D38/Val!$B$8-1</f>
        <v>-0.00149763052980756</v>
      </c>
      <c r="F38" s="7" t="s">
        <v>385</v>
      </c>
      <c r="G38" s="4" t="s">
        <v>1104</v>
      </c>
      <c r="H38" s="44" t="n">
        <v>-99.0450278395775</v>
      </c>
      <c r="I38" s="24" t="n">
        <v>1.55830625934888</v>
      </c>
    </row>
    <row r="39" customFormat="false" ht="17.15" hidden="false" customHeight="false" outlineLevel="0" collapsed="false">
      <c r="A39" s="4" t="s">
        <v>1157</v>
      </c>
      <c r="B39" s="0" t="s">
        <v>1158</v>
      </c>
      <c r="C39" s="4" t="s">
        <v>1103</v>
      </c>
      <c r="D39" s="34" t="n">
        <v>29.6690320441662</v>
      </c>
      <c r="E39" s="43" t="n">
        <f aca="false">D39/Val!$B$8-1</f>
        <v>0.07826785091758</v>
      </c>
      <c r="F39" s="7" t="s">
        <v>457</v>
      </c>
      <c r="G39" s="4" t="s">
        <v>1104</v>
      </c>
      <c r="H39" s="44" t="n">
        <v>-89.8099544108349</v>
      </c>
      <c r="I39" s="24" t="n">
        <v>1.55830625934888</v>
      </c>
    </row>
    <row r="40" customFormat="false" ht="17.15" hidden="false" customHeight="false" outlineLevel="0" collapsed="false">
      <c r="A40" s="4" t="s">
        <v>1159</v>
      </c>
      <c r="B40" s="0" t="s">
        <v>1158</v>
      </c>
      <c r="C40" s="4" t="s">
        <v>1108</v>
      </c>
      <c r="D40" s="34" t="n">
        <v>24.7466241049565</v>
      </c>
      <c r="E40" s="43" t="n">
        <f aca="false">D40/Val!$B$8-1</f>
        <v>-0.100628252671176</v>
      </c>
      <c r="F40" s="7" t="s">
        <v>457</v>
      </c>
      <c r="G40" s="4" t="s">
        <v>1104</v>
      </c>
      <c r="H40" s="44" t="n">
        <v>-105.986346909125</v>
      </c>
      <c r="I40" s="24" t="n">
        <v>1.55830625934888</v>
      </c>
    </row>
    <row r="41" customFormat="false" ht="17.15" hidden="false" customHeight="false" outlineLevel="0" collapsed="false">
      <c r="A41" s="0" t="s">
        <v>1160</v>
      </c>
      <c r="B41" s="0" t="s">
        <v>1161</v>
      </c>
      <c r="C41" s="4" t="s">
        <v>1103</v>
      </c>
      <c r="D41" s="34" t="n">
        <v>30.0477971649564</v>
      </c>
      <c r="E41" s="43" t="n">
        <f aca="false">D41/Val!$B$8-1</f>
        <v>0.0920333911006575</v>
      </c>
      <c r="F41" s="7" t="s">
        <v>142</v>
      </c>
      <c r="G41" s="4" t="s">
        <v>1104</v>
      </c>
      <c r="H41" s="44" t="n">
        <v>-96.9372698258872</v>
      </c>
      <c r="I41" s="24" t="n">
        <v>1.55830625934888</v>
      </c>
    </row>
    <row r="42" customFormat="false" ht="17.15" hidden="false" customHeight="false" outlineLevel="0" collapsed="false">
      <c r="A42" s="0" t="s">
        <v>1162</v>
      </c>
      <c r="B42" s="0" t="s">
        <v>1161</v>
      </c>
      <c r="C42" s="4" t="s">
        <v>1108</v>
      </c>
      <c r="D42" s="34" t="n">
        <v>25.421206566288</v>
      </c>
      <c r="E42" s="43" t="n">
        <f aca="false">D42/Val!$B$8-1</f>
        <v>-0.0761117608704389</v>
      </c>
      <c r="F42" s="7" t="s">
        <v>142</v>
      </c>
      <c r="G42" s="4" t="s">
        <v>1104</v>
      </c>
      <c r="H42" s="44" t="n">
        <v>-96.9372698258872</v>
      </c>
      <c r="I42" s="24" t="n">
        <v>1.55830625934888</v>
      </c>
    </row>
    <row r="43" customFormat="false" ht="17.15" hidden="false" customHeight="false" outlineLevel="0" collapsed="false">
      <c r="A43" s="0" t="s">
        <v>1163</v>
      </c>
      <c r="B43" s="0" t="s">
        <v>1164</v>
      </c>
      <c r="C43" s="4" t="s">
        <v>1103</v>
      </c>
      <c r="D43" s="34" t="n">
        <v>29.8809232085665</v>
      </c>
      <c r="E43" s="43" t="n">
        <f aca="false">D43/Val!$B$8-1</f>
        <v>0.0859686559228197</v>
      </c>
      <c r="F43" s="7" t="s">
        <v>128</v>
      </c>
      <c r="G43" s="4" t="s">
        <v>1104</v>
      </c>
      <c r="H43" s="44" t="n">
        <v>-96.9372698258872</v>
      </c>
      <c r="I43" s="24" t="n">
        <v>1.55830625934888</v>
      </c>
    </row>
    <row r="44" customFormat="false" ht="17.15" hidden="false" customHeight="false" outlineLevel="0" collapsed="false">
      <c r="A44" s="0" t="s">
        <v>1165</v>
      </c>
      <c r="B44" s="0" t="s">
        <v>1164</v>
      </c>
      <c r="C44" s="4" t="s">
        <v>1108</v>
      </c>
      <c r="D44" s="34" t="n">
        <v>24.6796660736283</v>
      </c>
      <c r="E44" s="43" t="n">
        <f aca="false">D44/Val!$B$8-1</f>
        <v>-0.103061722439736</v>
      </c>
      <c r="F44" s="7" t="s">
        <v>128</v>
      </c>
      <c r="G44" s="4" t="s">
        <v>1104</v>
      </c>
      <c r="H44" s="44" t="n">
        <v>-96.9372698258872</v>
      </c>
      <c r="I44" s="24" t="n">
        <v>1.55830625934888</v>
      </c>
    </row>
    <row r="45" customFormat="false" ht="17.15" hidden="false" customHeight="false" outlineLevel="0" collapsed="false">
      <c r="A45" s="4" t="s">
        <v>1166</v>
      </c>
      <c r="B45" s="0" t="s">
        <v>1167</v>
      </c>
      <c r="C45" s="4" t="s">
        <v>1103</v>
      </c>
      <c r="D45" s="34" t="n">
        <v>30.6850577466763</v>
      </c>
      <c r="E45" s="43" t="n">
        <f aca="false">D45/Val!$B$8-1</f>
        <v>0.115193486007115</v>
      </c>
      <c r="F45" s="7" t="s">
        <v>132</v>
      </c>
      <c r="G45" s="4" t="s">
        <v>1104</v>
      </c>
      <c r="H45" s="44" t="n">
        <v>-96.9372698258872</v>
      </c>
      <c r="I45" s="24" t="n">
        <v>1.55830625934888</v>
      </c>
    </row>
    <row r="46" customFormat="false" ht="17.15" hidden="false" customHeight="false" outlineLevel="0" collapsed="false">
      <c r="A46" s="4" t="s">
        <v>1168</v>
      </c>
      <c r="B46" s="0" t="s">
        <v>1167</v>
      </c>
      <c r="C46" s="4" t="s">
        <v>1108</v>
      </c>
      <c r="D46" s="34" t="n">
        <v>25.0172914004071</v>
      </c>
      <c r="E46" s="43" t="n">
        <f aca="false">D46/Val!$B$8-1</f>
        <v>-0.0907913344142969</v>
      </c>
      <c r="F46" s="7" t="s">
        <v>132</v>
      </c>
      <c r="G46" s="4" t="s">
        <v>1104</v>
      </c>
      <c r="H46" s="44" t="n">
        <v>-96.9372698258872</v>
      </c>
      <c r="I46" s="24" t="n">
        <v>1.55830625934888</v>
      </c>
    </row>
    <row r="47" customFormat="false" ht="17.15" hidden="false" customHeight="false" outlineLevel="0" collapsed="false">
      <c r="A47" s="4" t="s">
        <v>1169</v>
      </c>
      <c r="B47" s="0" t="s">
        <v>1170</v>
      </c>
      <c r="C47" s="4" t="s">
        <v>1103</v>
      </c>
      <c r="D47" s="34" t="n">
        <v>27.3650075699408</v>
      </c>
      <c r="E47" s="43" t="n">
        <f aca="false">D47/Val!$B$8-1</f>
        <v>-0.00546779352765314</v>
      </c>
      <c r="F47" s="7" t="s">
        <v>144</v>
      </c>
      <c r="G47" s="4" t="s">
        <v>1104</v>
      </c>
      <c r="H47" s="44" t="n">
        <v>-94.9625256568331</v>
      </c>
      <c r="I47" s="24" t="n">
        <v>1.55830625934888</v>
      </c>
    </row>
    <row r="48" customFormat="false" ht="17.15" hidden="false" customHeight="false" outlineLevel="0" collapsed="false">
      <c r="A48" s="4" t="s">
        <v>1171</v>
      </c>
      <c r="B48" s="0" t="s">
        <v>1170</v>
      </c>
      <c r="C48" s="4" t="s">
        <v>1108</v>
      </c>
      <c r="D48" s="34" t="n">
        <v>27.670548345206</v>
      </c>
      <c r="E48" s="43" t="n">
        <f aca="false">D48/Val!$B$8-1</f>
        <v>0.00563653891644078</v>
      </c>
      <c r="F48" s="7" t="s">
        <v>144</v>
      </c>
      <c r="G48" s="4" t="s">
        <v>1104</v>
      </c>
      <c r="H48" s="44" t="n">
        <v>-98.9179964598842</v>
      </c>
      <c r="I48" s="24" t="n">
        <v>1.55830625934888</v>
      </c>
    </row>
    <row r="49" customFormat="false" ht="17.15" hidden="false" customHeight="false" outlineLevel="0" collapsed="false">
      <c r="A49" s="0" t="s">
        <v>1172</v>
      </c>
      <c r="B49" s="0" t="s">
        <v>1173</v>
      </c>
      <c r="C49" s="4" t="s">
        <v>1108</v>
      </c>
      <c r="D49" s="34" t="n">
        <v>29.2048432470638</v>
      </c>
      <c r="E49" s="43" t="n">
        <f aca="false">D49/Val!$B$8-1</f>
        <v>0.061397740159449</v>
      </c>
      <c r="F49" s="7" t="s">
        <v>146</v>
      </c>
      <c r="G49" s="4" t="s">
        <v>1104</v>
      </c>
      <c r="H49" s="44" t="n">
        <v>-96.9372698258872</v>
      </c>
      <c r="I49" s="24" t="n">
        <v>1.55830625934888</v>
      </c>
    </row>
    <row r="50" customFormat="false" ht="17.15" hidden="false" customHeight="false" outlineLevel="0" collapsed="false">
      <c r="A50" s="0" t="s">
        <v>1174</v>
      </c>
      <c r="B50" s="4" t="s">
        <v>1175</v>
      </c>
      <c r="C50" s="4" t="s">
        <v>1103</v>
      </c>
      <c r="D50" s="34" t="n">
        <v>27.1881082123732</v>
      </c>
      <c r="E50" s="43" t="n">
        <f aca="false">D50/Val!$B$8-1</f>
        <v>-0.0118968839620551</v>
      </c>
      <c r="F50" s="7" t="s">
        <v>216</v>
      </c>
      <c r="G50" s="4" t="s">
        <v>1104</v>
      </c>
      <c r="H50" s="44" t="n">
        <v>-96.9372698258872</v>
      </c>
      <c r="I50" s="24" t="n">
        <v>1.55830625934888</v>
      </c>
    </row>
    <row r="51" customFormat="false" ht="17.15" hidden="false" customHeight="false" outlineLevel="0" collapsed="false">
      <c r="A51" s="0" t="s">
        <v>1176</v>
      </c>
      <c r="B51" s="4" t="s">
        <v>1175</v>
      </c>
      <c r="C51" s="4" t="s">
        <v>1108</v>
      </c>
      <c r="D51" s="34" t="n">
        <v>27.9519206603869</v>
      </c>
      <c r="E51" s="43" t="n">
        <f aca="false">D51/Val!$B$8-1</f>
        <v>0.0158625119494056</v>
      </c>
      <c r="F51" s="7" t="s">
        <v>216</v>
      </c>
      <c r="G51" s="4" t="s">
        <v>1104</v>
      </c>
      <c r="H51" s="44" t="n">
        <v>-96.9372698258872</v>
      </c>
      <c r="I51" s="24" t="n">
        <v>1.55830625934888</v>
      </c>
    </row>
    <row r="52" customFormat="false" ht="17.15" hidden="false" customHeight="false" outlineLevel="0" collapsed="false">
      <c r="A52" s="0" t="s">
        <v>1177</v>
      </c>
      <c r="B52" s="0" t="s">
        <v>1178</v>
      </c>
      <c r="C52" s="4" t="s">
        <v>1103</v>
      </c>
      <c r="D52" s="34" t="n">
        <v>27.3114021001392</v>
      </c>
      <c r="E52" s="43" t="n">
        <f aca="false">D52/Val!$B$8-1</f>
        <v>-0.0074159883536371</v>
      </c>
      <c r="F52" s="7" t="s">
        <v>220</v>
      </c>
      <c r="G52" s="4" t="s">
        <v>1104</v>
      </c>
      <c r="H52" s="44" t="n">
        <v>-96.9372698258872</v>
      </c>
      <c r="I52" s="24" t="n">
        <v>1.55830625934888</v>
      </c>
    </row>
    <row r="53" customFormat="false" ht="17.15" hidden="false" customHeight="false" outlineLevel="0" collapsed="false">
      <c r="A53" s="0" t="s">
        <v>1179</v>
      </c>
      <c r="B53" s="0" t="s">
        <v>1178</v>
      </c>
      <c r="C53" s="4" t="s">
        <v>1108</v>
      </c>
      <c r="D53" s="34" t="n">
        <v>28.1276193170988</v>
      </c>
      <c r="E53" s="43" t="n">
        <f aca="false">D53/Val!$B$8-1</f>
        <v>0.0222479650609135</v>
      </c>
      <c r="F53" s="7" t="s">
        <v>220</v>
      </c>
      <c r="G53" s="4" t="s">
        <v>1104</v>
      </c>
      <c r="H53" s="44" t="n">
        <v>-96.9372698258872</v>
      </c>
      <c r="I53" s="24" t="n">
        <v>1.55830625934888</v>
      </c>
    </row>
    <row r="54" customFormat="false" ht="17.15" hidden="false" customHeight="false" outlineLevel="0" collapsed="false">
      <c r="A54" s="0" t="s">
        <v>1180</v>
      </c>
      <c r="B54" s="0" t="s">
        <v>1181</v>
      </c>
      <c r="C54" s="4" t="s">
        <v>1103</v>
      </c>
      <c r="D54" s="34" t="n">
        <v>30.2582622850454</v>
      </c>
      <c r="E54" s="43" t="n">
        <f aca="false">D54/Val!$B$8-1</f>
        <v>0.0996823690785589</v>
      </c>
      <c r="F54" s="7" t="s">
        <v>168</v>
      </c>
      <c r="G54" s="4" t="s">
        <v>1104</v>
      </c>
      <c r="H54" s="44" t="n">
        <v>-96.9372698258872</v>
      </c>
      <c r="I54" s="24" t="n">
        <v>1.55830625934888</v>
      </c>
    </row>
    <row r="55" customFormat="false" ht="17.15" hidden="false" customHeight="false" outlineLevel="0" collapsed="false">
      <c r="A55" s="0" t="s">
        <v>1182</v>
      </c>
      <c r="B55" s="0" t="s">
        <v>1181</v>
      </c>
      <c r="C55" s="4" t="s">
        <v>1108</v>
      </c>
      <c r="D55" s="34" t="n">
        <v>24.7726505237128</v>
      </c>
      <c r="E55" s="43" t="n">
        <f aca="false">D55/Val!$B$8-1</f>
        <v>-0.0996823690785579</v>
      </c>
      <c r="F55" s="7" t="s">
        <v>168</v>
      </c>
      <c r="G55" s="4" t="s">
        <v>1104</v>
      </c>
      <c r="H55" s="44" t="n">
        <v>-96.9372698258872</v>
      </c>
      <c r="I55" s="24" t="n">
        <v>1.55830625934888</v>
      </c>
    </row>
    <row r="56" customFormat="false" ht="17.15" hidden="false" customHeight="false" outlineLevel="0" collapsed="false">
      <c r="A56" s="4" t="s">
        <v>1183</v>
      </c>
      <c r="B56" s="0" t="s">
        <v>1184</v>
      </c>
      <c r="C56" s="4" t="s">
        <v>1108</v>
      </c>
      <c r="D56" s="34" t="n">
        <v>23.6384841090126</v>
      </c>
      <c r="E56" s="43" t="n">
        <f aca="false">D56/Val!$B$8-1</f>
        <v>-0.140901616836327</v>
      </c>
      <c r="F56" s="7" t="s">
        <v>87</v>
      </c>
      <c r="G56" s="4" t="s">
        <v>1104</v>
      </c>
      <c r="H56" s="44" t="n">
        <v>-96.9372698258872</v>
      </c>
      <c r="I56" s="24" t="n">
        <v>1.55830625934888</v>
      </c>
    </row>
    <row r="57" customFormat="false" ht="17.15" hidden="false" customHeight="false" outlineLevel="0" collapsed="false">
      <c r="A57" s="0" t="s">
        <v>1185</v>
      </c>
      <c r="B57" s="4" t="s">
        <v>1186</v>
      </c>
      <c r="C57" s="4" t="s">
        <v>1108</v>
      </c>
      <c r="D57" s="34" t="n">
        <v>32.7479662583032</v>
      </c>
      <c r="E57" s="43" t="n">
        <f aca="false">D57/Val!$B$8-1</f>
        <v>0.190166202479976</v>
      </c>
      <c r="F57" s="7" t="s">
        <v>186</v>
      </c>
      <c r="G57" s="4" t="s">
        <v>1104</v>
      </c>
      <c r="H57" s="44" t="n">
        <v>-96.9372698258872</v>
      </c>
      <c r="I57" s="24" t="n">
        <v>1.55830625934888</v>
      </c>
    </row>
    <row r="59" customFormat="false" ht="17.15" hidden="false" customHeight="false" outlineLevel="0" collapsed="false">
      <c r="A59" s="4" t="s">
        <v>1187</v>
      </c>
      <c r="D59" s="27" t="n">
        <f aca="false">Val!B8</f>
        <v>27.5154564043791</v>
      </c>
      <c r="H59" s="33" t="n">
        <f aca="false">CF!C6</f>
        <v>-96.9372698258872</v>
      </c>
      <c r="I59" s="17" t="n">
        <f aca="false">Seg!I73</f>
        <v>1.55830625934888</v>
      </c>
    </row>
    <row r="60" customFormat="false" ht="15" hidden="false" customHeight="false" outlineLevel="0" collapsed="false">
      <c r="A60" s="4" t="s">
        <v>1188</v>
      </c>
      <c r="D60" s="34" t="n">
        <v>27.5154564043791</v>
      </c>
      <c r="E60" s="21" t="n">
        <f aca="false">D60-D59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15" hidden="false" customHeight="false" outlineLevel="0" collapsed="false">
      <c r="A1" s="0" t="s">
        <v>1189</v>
      </c>
    </row>
    <row r="3" customFormat="false" ht="15" hidden="false" customHeight="false" outlineLevel="0" collapsed="false">
      <c r="A3" s="3" t="s">
        <v>1190</v>
      </c>
      <c r="B3" s="3" t="s">
        <v>1191</v>
      </c>
      <c r="C3" s="3" t="s">
        <v>1192</v>
      </c>
      <c r="D3" s="3" t="s">
        <v>1193</v>
      </c>
      <c r="E3" s="3" t="s">
        <v>48</v>
      </c>
      <c r="F3" s="3" t="s">
        <v>1194</v>
      </c>
    </row>
    <row r="4" customFormat="false" ht="17.15" hidden="false" customHeight="false" outlineLevel="0" collapsed="false">
      <c r="A4" s="0" t="s">
        <v>1195</v>
      </c>
      <c r="B4" s="0" t="s">
        <v>1196</v>
      </c>
      <c r="C4" s="0" t="s">
        <v>1197</v>
      </c>
      <c r="D4" s="0" t="s">
        <v>1198</v>
      </c>
      <c r="E4" s="0" t="s">
        <v>55</v>
      </c>
      <c r="F4" s="4" t="s">
        <v>1199</v>
      </c>
    </row>
    <row r="5" customFormat="false" ht="17.15" hidden="false" customHeight="false" outlineLevel="0" collapsed="false">
      <c r="A5" s="0" t="s">
        <v>1200</v>
      </c>
      <c r="B5" s="0" t="s">
        <v>1201</v>
      </c>
      <c r="C5" s="0" t="s">
        <v>1202</v>
      </c>
      <c r="D5" s="0" t="s">
        <v>1203</v>
      </c>
      <c r="E5" s="0" t="s">
        <v>179</v>
      </c>
      <c r="F5" s="0" t="s">
        <v>1204</v>
      </c>
    </row>
    <row r="6" customFormat="false" ht="17.15" hidden="false" customHeight="false" outlineLevel="0" collapsed="false">
      <c r="A6" s="0" t="s">
        <v>1205</v>
      </c>
      <c r="B6" s="0" t="s">
        <v>1206</v>
      </c>
      <c r="C6" s="0" t="s">
        <v>1207</v>
      </c>
      <c r="D6" s="0" t="s">
        <v>1203</v>
      </c>
      <c r="E6" s="0" t="s">
        <v>179</v>
      </c>
      <c r="F6" s="0" t="s">
        <v>1208</v>
      </c>
    </row>
    <row r="7" customFormat="false" ht="17.15" hidden="false" customHeight="false" outlineLevel="0" collapsed="false">
      <c r="A7" s="0" t="s">
        <v>1209</v>
      </c>
      <c r="B7" s="4" t="s">
        <v>1210</v>
      </c>
      <c r="C7" s="0" t="s">
        <v>1211</v>
      </c>
      <c r="D7" s="4" t="s">
        <v>1212</v>
      </c>
      <c r="E7" s="4" t="s">
        <v>1213</v>
      </c>
      <c r="F7" s="0" t="s">
        <v>1214</v>
      </c>
    </row>
    <row r="8" customFormat="false" ht="17.15" hidden="false" customHeight="false" outlineLevel="0" collapsed="false">
      <c r="A8" s="0" t="s">
        <v>1215</v>
      </c>
      <c r="B8" s="0" t="s">
        <v>1216</v>
      </c>
      <c r="C8" s="0" t="s">
        <v>1217</v>
      </c>
      <c r="D8" s="0" t="s">
        <v>1218</v>
      </c>
      <c r="E8" s="0" t="s">
        <v>60</v>
      </c>
      <c r="F8" s="0" t="s">
        <v>1219</v>
      </c>
    </row>
    <row r="9" customFormat="false" ht="17.15" hidden="false" customHeight="false" outlineLevel="0" collapsed="false">
      <c r="A9" s="0" t="s">
        <v>1220</v>
      </c>
      <c r="B9" s="0" t="s">
        <v>1221</v>
      </c>
      <c r="C9" s="0" t="s">
        <v>1217</v>
      </c>
      <c r="D9" s="0" t="s">
        <v>1222</v>
      </c>
      <c r="E9" s="0" t="s">
        <v>1223</v>
      </c>
      <c r="F9" s="4" t="s">
        <v>1224</v>
      </c>
    </row>
    <row r="10" customFormat="false" ht="17.15" hidden="false" customHeight="false" outlineLevel="0" collapsed="false">
      <c r="A10" s="0" t="s">
        <v>1225</v>
      </c>
      <c r="B10" s="0" t="s">
        <v>1226</v>
      </c>
      <c r="C10" s="0" t="s">
        <v>1217</v>
      </c>
      <c r="D10" s="0" t="s">
        <v>1227</v>
      </c>
      <c r="E10" s="0" t="s">
        <v>55</v>
      </c>
      <c r="F10" s="0" t="s">
        <v>1228</v>
      </c>
    </row>
    <row r="11" customFormat="false" ht="17.15" hidden="false" customHeight="false" outlineLevel="0" collapsed="false">
      <c r="A11" s="0" t="s">
        <v>1229</v>
      </c>
      <c r="B11" s="0" t="s">
        <v>1230</v>
      </c>
      <c r="C11" s="0" t="s">
        <v>1231</v>
      </c>
      <c r="D11" s="0" t="s">
        <v>1232</v>
      </c>
      <c r="E11" s="0" t="s">
        <v>60</v>
      </c>
      <c r="F11" s="0" t="s">
        <v>1233</v>
      </c>
    </row>
    <row r="12" customFormat="false" ht="17.15" hidden="false" customHeight="false" outlineLevel="0" collapsed="false">
      <c r="A12" s="0" t="s">
        <v>1234</v>
      </c>
      <c r="B12" s="4" t="s">
        <v>1235</v>
      </c>
      <c r="C12" s="0" t="s">
        <v>1236</v>
      </c>
      <c r="D12" s="0" t="s">
        <v>1237</v>
      </c>
      <c r="E12" s="0" t="s">
        <v>55</v>
      </c>
      <c r="F12" s="4" t="s">
        <v>1238</v>
      </c>
    </row>
    <row r="13" customFormat="false" ht="17.15" hidden="false" customHeight="false" outlineLevel="0" collapsed="false">
      <c r="A13" s="0" t="s">
        <v>1239</v>
      </c>
      <c r="B13" s="4" t="s">
        <v>1240</v>
      </c>
      <c r="C13" s="0" t="s">
        <v>1241</v>
      </c>
      <c r="D13" s="0" t="s">
        <v>1242</v>
      </c>
      <c r="E13" s="0" t="s">
        <v>60</v>
      </c>
      <c r="F13" s="0" t="s">
        <v>1243</v>
      </c>
    </row>
    <row r="14" customFormat="false" ht="17.15" hidden="false" customHeight="false" outlineLevel="0" collapsed="false">
      <c r="A14" s="0" t="s">
        <v>1244</v>
      </c>
      <c r="B14" s="4" t="s">
        <v>1245</v>
      </c>
      <c r="C14" s="0" t="s">
        <v>1231</v>
      </c>
      <c r="D14" s="0" t="s">
        <v>1242</v>
      </c>
      <c r="E14" s="0" t="s">
        <v>179</v>
      </c>
      <c r="F14" s="4" t="s">
        <v>1246</v>
      </c>
    </row>
    <row r="15" customFormat="false" ht="17.15" hidden="false" customHeight="false" outlineLevel="0" collapsed="false">
      <c r="A15" s="0" t="s">
        <v>1247</v>
      </c>
      <c r="B15" s="0" t="s">
        <v>1248</v>
      </c>
      <c r="C15" s="0" t="s">
        <v>1231</v>
      </c>
      <c r="D15" s="0" t="s">
        <v>1242</v>
      </c>
      <c r="E15" s="0" t="s">
        <v>600</v>
      </c>
      <c r="F15" s="4" t="s">
        <v>1249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2026-10-30T01:08:42Z</dcterms:created>
  <dc:creator>openpyxl</dc:creator>
  <dc:description/>
  <dc:language>en-US</dc:language>
  <cp:lastModifiedBy/>
  <dcterms:modified xsi:type="dcterms:W3CDTF">2026-10-30T01:08:42Z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