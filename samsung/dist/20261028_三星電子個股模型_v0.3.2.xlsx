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6_hi" vbProcedure="false">In!$F$96</definedName>
    <definedName function="false" hidden="false" name="cqA_16_lo" vbProcedure="false">In!$D$96</definedName>
    <definedName function="false" hidden="false" name="cqA_17" vbProcedure="false">In!$E$97</definedName>
    <definedName function="false" hidden="false" name="cqA_17_hi" vbProcedure="false">In!$F$97</definedName>
    <definedName function="false" hidden="false" name="cqA_17_lo" vbProcedure="false">In!$D$97</definedName>
    <definedName function="false" hidden="false" name="cqA_18" vbProcedure="false">In!$E$98</definedName>
    <definedName function="false" hidden="false" name="cqA_18_hi" vbProcedure="false">In!$F$98</definedName>
    <definedName function="false" hidden="false" name="cqA_18_lo" vbProcedure="false">In!$D$98</definedName>
    <definedName function="false" hidden="false" name="cqA_19" vbProcedure="false">In!$E$99</definedName>
    <definedName function="false" hidden="false" name="cqA_19_hi" vbProcedure="false">In!$F$99</definedName>
    <definedName function="false" hidden="false" name="cqA_19_lo" vbProcedure="false">In!$D$99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6_hi" vbProcedure="false">In!$F$108</definedName>
    <definedName function="false" hidden="false" name="cqB_16_lo" vbProcedure="false">In!$D$108</definedName>
    <definedName function="false" hidden="false" name="cqB_17" vbProcedure="false">In!$E$109</definedName>
    <definedName function="false" hidden="false" name="cqB_17_hi" vbProcedure="false">In!$F$109</definedName>
    <definedName function="false" hidden="false" name="cqB_17_lo" vbProcedure="false">In!$D$109</definedName>
    <definedName function="false" hidden="false" name="cqB_18" vbProcedure="false">In!$E$110</definedName>
    <definedName function="false" hidden="false" name="cqB_18_hi" vbProcedure="false">In!$F$110</definedName>
    <definedName function="false" hidden="false" name="cqB_18_lo" vbProcedure="false">In!$D$110</definedName>
    <definedName function="false" hidden="false" name="cqB_19" vbProcedure="false">In!$E$111</definedName>
    <definedName function="false" hidden="false" name="cqB_19_hi" vbProcedure="false">In!$F$111</definedName>
    <definedName function="false" hidden="false" name="cqB_19_lo" vbProcedure="false">In!$D$111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0_hi" vbProcedure="false">In!$F$114</definedName>
    <definedName function="false" hidden="false" name="cqC_10_lo" vbProcedure="false">In!$D$114</definedName>
    <definedName function="false" hidden="false" name="cqC_11" vbProcedure="false">In!$E$115</definedName>
    <definedName function="false" hidden="false" name="cqC_11_hi" vbProcedure="false">In!$F$115</definedName>
    <definedName function="false" hidden="false" name="cqC_11_lo" vbProcedure="false">In!$D$115</definedName>
    <definedName function="false" hidden="false" name="cqC_12" vbProcedure="false">In!$E$116</definedName>
    <definedName function="false" hidden="false" name="cqC_12_hi" vbProcedure="false">In!$F$116</definedName>
    <definedName function="false" hidden="false" name="cqC_12_lo" vbProcedure="false">In!$D$116</definedName>
    <definedName function="false" hidden="false" name="cqC_13" vbProcedure="false">In!$E$117</definedName>
    <definedName function="false" hidden="false" name="cqC_13_hi" vbProcedure="false">In!$F$117</definedName>
    <definedName function="false" hidden="false" name="cqC_13_lo" vbProcedure="false">In!$D$117</definedName>
    <definedName function="false" hidden="false" name="cqC_14" vbProcedure="false">In!$E$118</definedName>
    <definedName function="false" hidden="false" name="cqC_14_hi" vbProcedure="false">In!$F$118</definedName>
    <definedName function="false" hidden="false" name="cqC_14_lo" vbProcedure="false">In!$D$118</definedName>
    <definedName function="false" hidden="false" name="cqC_15" vbProcedure="false">In!$E$119</definedName>
    <definedName function="false" hidden="false" name="cqC_15_hi" vbProcedure="false">In!$F$119</definedName>
    <definedName function="false" hidden="false" name="cqC_15_lo" vbProcedure="false">In!$D$119</definedName>
    <definedName function="false" hidden="false" name="cqC_16" vbProcedure="false">In!$E$120</definedName>
    <definedName function="false" hidden="false" name="cqC_16_hi" vbProcedure="false">In!$F$120</definedName>
    <definedName function="false" hidden="false" name="cqC_16_lo" vbProcedure="false">In!$D$120</definedName>
    <definedName function="false" hidden="false" name="cqC_17" vbProcedure="false">In!$E$121</definedName>
    <definedName function="false" hidden="false" name="cqC_17_hi" vbProcedure="false">In!$F$121</definedName>
    <definedName function="false" hidden="false" name="cqC_17_lo" vbProcedure="false">In!$D$121</definedName>
    <definedName function="false" hidden="false" name="cqC_18" vbProcedure="false">In!$E$122</definedName>
    <definedName function="false" hidden="false" name="cqC_18_hi" vbProcedure="false">In!$F$122</definedName>
    <definedName function="false" hidden="false" name="cqC_18_lo" vbProcedure="false">In!$D$122</definedName>
    <definedName function="false" hidden="false" name="cqC_19" vbProcedure="false">In!$E$123</definedName>
    <definedName function="false" hidden="false" name="cqC_19_hi" vbProcedure="false">In!$F$123</definedName>
    <definedName function="false" hidden="false" name="cqC_19_lo" vbProcedure="false">In!$D$123</definedName>
    <definedName function="false" hidden="false" name="cqC_8" vbProcedure="false">In!$E$112</definedName>
    <definedName function="false" hidden="false" name="cqC_8_hi" vbProcedure="false">In!$F$112</definedName>
    <definedName function="false" hidden="false" name="cqC_8_lo" vbProcedure="false">In!$D$112</definedName>
    <definedName function="false" hidden="false" name="cqC_9" vbProcedure="false">In!$E$113</definedName>
    <definedName function="false" hidden="false" name="cqC_9_hi" vbProcedure="false">In!$F$113</definedName>
    <definedName function="false" hidden="false" name="cqC_9_lo" vbProcedure="false">In!$D$113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6_hi" vbProcedure="false">In!$F$195</definedName>
    <definedName function="false" hidden="false" name="g_amd_26_lo" vbProcedure="false">In!$D$195</definedName>
    <definedName function="false" hidden="false" name="g_amd_27" vbProcedure="false">In!$E$196</definedName>
    <definedName function="false" hidden="false" name="g_amd_27_hi" vbProcedure="false">In!$F$196</definedName>
    <definedName function="false" hidden="false" name="g_amd_27_lo" vbProcedure="false">In!$D$196</definedName>
    <definedName function="false" hidden="false" name="g_amd_28" vbProcedure="false">In!$E$197</definedName>
    <definedName function="false" hidden="false" name="g_amd_28_hi" vbProcedure="false">In!$F$197</definedName>
    <definedName function="false" hidden="false" name="g_amd_28_lo" vbProcedure="false">In!$D$197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6_hi" vbProcedure="false">In!$F$213</definedName>
    <definedName function="false" hidden="false" name="g_oth_26_lo" vbProcedure="false">In!$D$213</definedName>
    <definedName function="false" hidden="false" name="g_oth_27" vbProcedure="false">In!$E$214</definedName>
    <definedName function="false" hidden="false" name="g_oth_27_hi" vbProcedure="false">In!$F$214</definedName>
    <definedName function="false" hidden="false" name="g_oth_27_lo" vbProcedure="false">In!$D$214</definedName>
    <definedName function="false" hidden="false" name="g_oth_28" vbProcedure="false">In!$E$215</definedName>
    <definedName function="false" hidden="false" name="g_oth_28_hi" vbProcedure="false">In!$F$215</definedName>
    <definedName function="false" hidden="false" name="g_oth_28_lo" vbProcedure="false">In!$D$215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6_hi" vbProcedure="false">In!$F$207</definedName>
    <definedName function="false" hidden="false" name="g_trn_26_lo" vbProcedure="false">In!$D$207</definedName>
    <definedName function="false" hidden="false" name="g_trn_27" vbProcedure="false">In!$E$208</definedName>
    <definedName function="false" hidden="false" name="g_trn_27_hi" vbProcedure="false">In!$F$208</definedName>
    <definedName function="false" hidden="false" name="g_trn_27_lo" vbProcedure="false">In!$D$208</definedName>
    <definedName function="false" hidden="false" name="g_trn_28" vbProcedure="false">In!$E$209</definedName>
    <definedName function="false" hidden="false" name="g_trn_28_hi" vbProcedure="false">In!$F$209</definedName>
    <definedName function="false" hidden="false" name="g_trn_28_lo" vbProcedure="false">In!$D$209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im10" vbProcedure="false">In!$E$254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6_hi" vbProcedure="false">In!$F$139</definedName>
    <definedName function="false" hidden="false" name="nqA_16_lo" vbProcedure="false">In!$D$139</definedName>
    <definedName function="false" hidden="false" name="nqA_17" vbProcedure="false">In!$E$140</definedName>
    <definedName function="false" hidden="false" name="nqA_17_hi" vbProcedure="false">In!$F$140</definedName>
    <definedName function="false" hidden="false" name="nqA_17_lo" vbProcedure="false">In!$D$140</definedName>
    <definedName function="false" hidden="false" name="nqA_18" vbProcedure="false">In!$E$141</definedName>
    <definedName function="false" hidden="false" name="nqA_18_hi" vbProcedure="false">In!$F$141</definedName>
    <definedName function="false" hidden="false" name="nqA_18_lo" vbProcedure="false">In!$D$141</definedName>
    <definedName function="false" hidden="false" name="nqA_19" vbProcedure="false">In!$E$142</definedName>
    <definedName function="false" hidden="false" name="nqA_19_hi" vbProcedure="false">In!$F$142</definedName>
    <definedName function="false" hidden="false" name="nqA_19_lo" vbProcedure="false">In!$D$142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6_hi" vbProcedure="false">In!$F$151</definedName>
    <definedName function="false" hidden="false" name="nqB_16_lo" vbProcedure="false">In!$D$151</definedName>
    <definedName function="false" hidden="false" name="nqB_17" vbProcedure="false">In!$E$152</definedName>
    <definedName function="false" hidden="false" name="nqB_17_hi" vbProcedure="false">In!$F$152</definedName>
    <definedName function="false" hidden="false" name="nqB_17_lo" vbProcedure="false">In!$D$152</definedName>
    <definedName function="false" hidden="false" name="nqB_18" vbProcedure="false">In!$E$153</definedName>
    <definedName function="false" hidden="false" name="nqB_18_hi" vbProcedure="false">In!$F$153</definedName>
    <definedName function="false" hidden="false" name="nqB_18_lo" vbProcedure="false">In!$D$153</definedName>
    <definedName function="false" hidden="false" name="nqB_19" vbProcedure="false">In!$E$154</definedName>
    <definedName function="false" hidden="false" name="nqB_19_hi" vbProcedure="false">In!$F$154</definedName>
    <definedName function="false" hidden="false" name="nqB_19_lo" vbProcedure="false">In!$D$154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0_hi" vbProcedure="false">In!$F$157</definedName>
    <definedName function="false" hidden="false" name="nqC_10_lo" vbProcedure="false">In!$D$157</definedName>
    <definedName function="false" hidden="false" name="nqC_11" vbProcedure="false">In!$E$158</definedName>
    <definedName function="false" hidden="false" name="nqC_11_hi" vbProcedure="false">In!$F$158</definedName>
    <definedName function="false" hidden="false" name="nqC_11_lo" vbProcedure="false">In!$D$158</definedName>
    <definedName function="false" hidden="false" name="nqC_12" vbProcedure="false">In!$E$159</definedName>
    <definedName function="false" hidden="false" name="nqC_12_hi" vbProcedure="false">In!$F$159</definedName>
    <definedName function="false" hidden="false" name="nqC_12_lo" vbProcedure="false">In!$D$159</definedName>
    <definedName function="false" hidden="false" name="nqC_13" vbProcedure="false">In!$E$160</definedName>
    <definedName function="false" hidden="false" name="nqC_13_hi" vbProcedure="false">In!$F$160</definedName>
    <definedName function="false" hidden="false" name="nqC_13_lo" vbProcedure="false">In!$D$160</definedName>
    <definedName function="false" hidden="false" name="nqC_14" vbProcedure="false">In!$E$161</definedName>
    <definedName function="false" hidden="false" name="nqC_14_hi" vbProcedure="false">In!$F$161</definedName>
    <definedName function="false" hidden="false" name="nqC_14_lo" vbProcedure="false">In!$D$161</definedName>
    <definedName function="false" hidden="false" name="nqC_15" vbProcedure="false">In!$E$162</definedName>
    <definedName function="false" hidden="false" name="nqC_15_hi" vbProcedure="false">In!$F$162</definedName>
    <definedName function="false" hidden="false" name="nqC_15_lo" vbProcedure="false">In!$D$162</definedName>
    <definedName function="false" hidden="false" name="nqC_16" vbProcedure="false">In!$E$163</definedName>
    <definedName function="false" hidden="false" name="nqC_16_hi" vbProcedure="false">In!$F$163</definedName>
    <definedName function="false" hidden="false" name="nqC_16_lo" vbProcedure="false">In!$D$163</definedName>
    <definedName function="false" hidden="false" name="nqC_17" vbProcedure="false">In!$E$164</definedName>
    <definedName function="false" hidden="false" name="nqC_17_hi" vbProcedure="false">In!$F$164</definedName>
    <definedName function="false" hidden="false" name="nqC_17_lo" vbProcedure="false">In!$D$164</definedName>
    <definedName function="false" hidden="false" name="nqC_18" vbProcedure="false">In!$E$165</definedName>
    <definedName function="false" hidden="false" name="nqC_18_hi" vbProcedure="false">In!$F$165</definedName>
    <definedName function="false" hidden="false" name="nqC_18_lo" vbProcedure="false">In!$D$165</definedName>
    <definedName function="false" hidden="false" name="nqC_19" vbProcedure="false">In!$E$166</definedName>
    <definedName function="false" hidden="false" name="nqC_19_hi" vbProcedure="false">In!$F$166</definedName>
    <definedName function="false" hidden="false" name="nqC_19_lo" vbProcedure="false">In!$D$166</definedName>
    <definedName function="false" hidden="false" name="nqC_8" vbProcedure="false">In!$E$155</definedName>
    <definedName function="false" hidden="false" name="nqC_8_hi" vbProcedure="false">In!$F$155</definedName>
    <definedName function="false" hidden="false" name="nqC_8_lo" vbProcedure="false">In!$D$155</definedName>
    <definedName function="false" hidden="false" name="nqC_9" vbProcedure="false">In!$E$156</definedName>
    <definedName function="false" hidden="false" name="nqC_9_hi" vbProcedure="false">In!$F$156</definedName>
    <definedName function="false" hidden="false" name="nqC_9_lo" vbProcedure="false">In!$D$156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6_hi" vbProcedure="false">In!$F$192</definedName>
    <definedName function="false" hidden="false" name="u_amd_26_lo" vbProcedure="false">In!$D$192</definedName>
    <definedName function="false" hidden="false" name="u_amd_27" vbProcedure="false">In!$E$193</definedName>
    <definedName function="false" hidden="false" name="u_amd_27_hi" vbProcedure="false">In!$F$193</definedName>
    <definedName function="false" hidden="false" name="u_amd_27_lo" vbProcedure="false">In!$D$193</definedName>
    <definedName function="false" hidden="false" name="u_amd_28" vbProcedure="false">In!$E$194</definedName>
    <definedName function="false" hidden="false" name="u_amd_28_hi" vbProcedure="false">In!$F$194</definedName>
    <definedName function="false" hidden="false" name="u_amd_28_lo" vbProcedure="false">In!$D$194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6_hi" vbProcedure="false">In!$F$210</definedName>
    <definedName function="false" hidden="false" name="u_oth_26_lo" vbProcedure="false">In!$D$210</definedName>
    <definedName function="false" hidden="false" name="u_oth_27" vbProcedure="false">In!$E$211</definedName>
    <definedName function="false" hidden="false" name="u_oth_27_hi" vbProcedure="false">In!$F$211</definedName>
    <definedName function="false" hidden="false" name="u_oth_27_lo" vbProcedure="false">In!$D$211</definedName>
    <definedName function="false" hidden="false" name="u_oth_28" vbProcedure="false">In!$E$212</definedName>
    <definedName function="false" hidden="false" name="u_oth_28_hi" vbProcedure="false">In!$F$212</definedName>
    <definedName function="false" hidden="false" name="u_oth_28_lo" vbProcedure="false">In!$D$212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6_hi" vbProcedure="false">In!$F$180</definedName>
    <definedName function="false" hidden="false" name="u_ru_26_lo" vbProcedure="false">In!$D$180</definedName>
    <definedName function="false" hidden="false" name="u_ru_27" vbProcedure="false">In!$E$181</definedName>
    <definedName function="false" hidden="false" name="u_ru_27_hi" vbProcedure="false">In!$F$181</definedName>
    <definedName function="false" hidden="false" name="u_ru_27_lo" vbProcedure="false">In!$D$181</definedName>
    <definedName function="false" hidden="false" name="u_ru_28" vbProcedure="false">In!$E$182</definedName>
    <definedName function="false" hidden="false" name="u_ru_28_hi" vbProcedure="false">In!$F$182</definedName>
    <definedName function="false" hidden="false" name="u_ru_28_lo" vbProcedure="false">In!$D$182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6_hi" vbProcedure="false">In!$F$204</definedName>
    <definedName function="false" hidden="false" name="u_trn_26_lo" vbProcedure="false">In!$D$204</definedName>
    <definedName function="false" hidden="false" name="u_trn_27" vbProcedure="false">In!$E$205</definedName>
    <definedName function="false" hidden="false" name="u_trn_27_hi" vbProcedure="false">In!$F$205</definedName>
    <definedName function="false" hidden="false" name="u_trn_27_lo" vbProcedure="false">In!$D$205</definedName>
    <definedName function="false" hidden="false" name="u_trn_28" vbProcedure="false">In!$E$206</definedName>
    <definedName function="false" hidden="false" name="u_trn_28_hi" vbProcedure="false">In!$F$206</definedName>
    <definedName function="false" hidden="false" name="u_trn_28_lo" vbProcedure="false">In!$D$206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<sst xmlns="http://schemas.openxmlformats.org/spreadsheetml/2006/main" count="2051" uniqueCount="1078">
  <si>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v0.3.2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</si>
  <si>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</si>
  <si>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</si>
  <si>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</si>
  <si>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</si>
  <si>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</si>
  <si>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</si>
  <si>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</si>
  <si>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</si>
  <si>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</si>
  <si>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</si>
  <si>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</si>
  <si>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</si>
  <si>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</si>
  <si>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</si>
  <si>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</si>
  <si>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</si>
  <si>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</si>
  <si>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</si>
  <si>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</si>
  <si>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215,500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</si>
  <si>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</si>
  <si>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）：分部原則重建。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列起新增官方報告分部 </t>
    </r>
    <r>
      <rPr>
        <sz val="11"/>
        <rFont val="Cambria"/>
        <family val="0"/>
        <charset val="1"/>
      </rPr>
      <t xml:space="preserve">DX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DS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SDC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Harman</t>
    </r>
    <r>
      <rPr>
        <sz val="11"/>
        <rFont val="Noto Sans CJK SC"/>
        <family val="2"/>
      </rPr>
      <t xml:space="preserve">、內部抵銷（差額）與合併營收（</t>
    </r>
    <r>
      <rPr>
        <sz val="11"/>
        <rFont val="Cambria"/>
        <family val="0"/>
        <charset val="1"/>
      </rPr>
      <t xml:space="preserve">2025Q1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2026Q2 </t>
    </r>
    <r>
      <rPr>
        <sz val="11"/>
        <rFont val="Noto Sans CJK SC"/>
        <family val="2"/>
      </rPr>
      <t xml:space="preserve">實績），核對列「分部合計 − 合併營收」；記憶體營收屬 </t>
    </r>
    <r>
      <rPr>
        <sz val="11"/>
        <rFont val="Cambria"/>
        <family val="0"/>
        <charset val="1"/>
      </rPr>
      <t xml:space="preserve">DS</t>
    </r>
    <r>
      <rPr>
        <sz val="11"/>
        <rFont val="Noto Sans CJK SC"/>
        <family val="2"/>
      </rPr>
      <t xml:space="preserve">。損益、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、目標價與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</si>
  <si>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₩</t>
    </r>
    <r>
      <rPr>
        <sz val="11"/>
        <color theme="1"/>
        <rFont val="Calibri"/>
        <family val="2"/>
        <charset val="1"/>
      </rPr>
      <t xml:space="preserve">477,143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486,542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467,744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121.4%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+117.1%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241,105 </t>
    </r>
    <r>
      <rPr>
        <sz val="11"/>
        <color theme="1"/>
        <rFont val="Noto Sans CJK SC"/>
        <family val="2"/>
      </rPr>
      <t xml:space="preserve">只比共識 </t>
    </r>
    <r>
      <rPr>
        <sz val="11"/>
        <color theme="1"/>
        <rFont val="Calibri"/>
        <family val="2"/>
        <charset val="1"/>
      </rPr>
      <t xml:space="preserve">232,055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EPS 78,917 </t>
    </r>
    <r>
      <rPr>
        <sz val="11"/>
        <color theme="1"/>
        <rFont val="Noto Sans CJK SC"/>
        <family val="2"/>
      </rPr>
      <t xml:space="preserve">比共識高 </t>
    </r>
    <r>
      <rPr>
        <sz val="11"/>
        <color theme="1"/>
        <rFont val="Calibri"/>
        <family val="2"/>
        <charset val="1"/>
      </rPr>
      <t xml:space="preserve">5.2%</t>
    </r>
    <r>
      <rPr>
        <sz val="11"/>
        <color theme="1"/>
        <rFont val="Noto Sans CJK SC"/>
        <family val="2"/>
      </rPr>
      <t xml:space="preserve">），但現價只隱含 </t>
    </r>
    <r>
      <rPr>
        <sz val="11"/>
        <color theme="1"/>
        <rFont val="Calibri"/>
        <family val="2"/>
        <charset val="1"/>
      </rPr>
      <t xml:space="preserve">0.89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，記憶體同業中位數 </t>
    </r>
    <r>
      <rPr>
        <sz val="11"/>
        <color theme="1"/>
        <rFont val="Calibri"/>
        <family val="2"/>
        <charset val="1"/>
      </rPr>
      <t xml:space="preserve">1.94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478,906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2.06 </t>
    </r>
    <r>
      <rPr>
        <sz val="11"/>
        <color theme="1"/>
        <rFont val="Noto Sans CJK SC"/>
        <family val="2"/>
      </rPr>
      <t xml:space="preserve">倍；同業倍數未扣三星的集團折價，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偏高估。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</si>
  <si>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A 818,535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394,410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218,882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3.80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倍），對應 </t>
    </r>
    <r>
      <rPr>
        <sz val="11"/>
        <color theme="1"/>
        <rFont val="Calibri"/>
        <family val="2"/>
        <charset val="1"/>
      </rPr>
      <t xml:space="preserve">2028 EPS A 129,982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59,278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36,498</t>
    </r>
    <r>
      <rPr>
        <sz val="11"/>
        <color theme="1"/>
        <rFont val="Noto Sans CJK SC"/>
        <family val="2"/>
      </rPr>
      <t xml:space="preserve">；收斂期用的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，低於折現率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，再投資率約五成，壓低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年後的股東現金流。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</si>
  <si>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±15.2%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±7.3%</t>
    </r>
    <r>
      <rPr>
        <sz val="11"/>
        <color theme="1"/>
        <rFont val="Noto Sans CJK SC"/>
        <family val="2"/>
      </rPr>
      <t xml:space="preserve">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4.1%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確定財報與法說（約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，日期未確認；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初步財報已納入）。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</si>
  <si>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</si>
  <si>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</si>
  <si>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</si>
  <si>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</si>
  <si>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</si>
  <si>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</si>
  <si>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</si>
  <si>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</si>
  <si>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</si>
  <si>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</si>
  <si>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</si>
  <si>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</si>
  <si>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</si>
  <si>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</si>
  <si>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</si>
  <si>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</si>
  <si>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</si>
  <si>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</si>
  <si>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</si>
  <si>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，單一來源）；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（第二來源，本次核對）；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262,000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</si>
  <si>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</si>
  <si>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</si>
  <si>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</si>
  <si>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</si>
  <si>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</si>
  <si>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</si>
  <si>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</si>
  <si>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</si>
  <si>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</si>
  <si>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</si>
  <si>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</si>
  <si>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</si>
  <si>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</si>
  <si>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</si>
  <si>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</si>
  <si>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</si>
  <si>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</si>
  <si>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</si>
  <si>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</si>
  <si>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</si>
  <si>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</si>
  <si>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</si>
  <si>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</si>
  <si>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</si>
  <si>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</si>
  <si>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</si>
  <si>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</si>
  <si>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</si>
  <si>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</si>
  <si>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</si>
  <si>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</si>
  <si>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</si>
  <si>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</si>
  <si>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</si>
  <si>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</si>
  <si>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</si>
  <si>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</si>
  <si>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</si>
  <si>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</si>
  <si>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</si>
  <si>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</si>
  <si>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</si>
  <si>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</si>
  <si>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</si>
  <si>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</si>
  <si>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</si>
  <si>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</si>
  <si>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</si>
  <si>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</si>
  <si>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</si>
  <si>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</si>
  <si>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</si>
  <si>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</si>
  <si>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</si>
  <si>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</si>
  <si>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</si>
  <si>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</si>
  <si>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</si>
  <si>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</si>
  <si>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</si>
  <si>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</si>
  <si>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</si>
  <si>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</si>
  <si>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</si>
  <si>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</si>
  <si>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</si>
  <si>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</si>
  <si>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</si>
  <si>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</si>
  <si>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</si>
  <si>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</si>
  <si>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</si>
  <si>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</si>
  <si>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</si>
  <si>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</si>
  <si>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</si>
  <si>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</si>
  <si>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</si>
  <si>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</si>
  <si>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</si>
  <si>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</si>
  <si>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</si>
  <si>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</si>
  <si>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</si>
  <si>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</si>
  <si>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</si>
  <si>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</si>
  <si>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</si>
  <si>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</si>
  <si>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</si>
  <si>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</si>
  <si>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</si>
  <si>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</si>
  <si>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</si>
  <si>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</si>
  <si>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</si>
  <si>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</si>
  <si>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</si>
  <si>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</si>
  <si>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</si>
  <si>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</si>
  <si>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</si>
  <si>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</si>
  <si>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</si>
  <si>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</si>
  <si>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</si>
  <si>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</si>
  <si>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</si>
  <si>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</si>
  <si>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</si>
  <si>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</si>
  <si>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</si>
  <si>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</si>
  <si>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</si>
  <si>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</si>
  <si>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</si>
  <si>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</si>
  <si>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</si>
  <si>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</si>
  <si>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</si>
  <si>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</si>
  <si>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</si>
  <si>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</si>
  <si>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</si>
  <si>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</si>
  <si>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</si>
  <si>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</si>
  <si>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</si>
  <si>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</si>
  <si>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</si>
  <si>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</si>
  <si>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</si>
  <si>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</si>
  <si>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</si>
  <si>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</si>
  <si>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</si>
  <si>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</si>
  <si>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</si>
  <si>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</si>
  <si>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</si>
  <si>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</si>
  <si>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</si>
  <si>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</si>
  <si>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</si>
  <si>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</si>
  <si>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</si>
  <si>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</si>
  <si>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</si>
  <si>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</si>
  <si>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</si>
  <si>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</si>
  <si>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</si>
  <si>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</si>
  <si>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</si>
  <si>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</si>
  <si>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</si>
  <si>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</si>
  <si>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</si>
  <si>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</si>
  <si>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</si>
  <si>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</si>
  <si>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</si>
  <si>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</si>
  <si>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</si>
  <si>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</si>
  <si>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</si>
  <si>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</si>
  <si>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</si>
  <si>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</si>
  <si>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</si>
  <si>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</si>
  <si>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</si>
  <si>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</si>
  <si>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</si>
  <si>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</si>
  <si>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</si>
  <si>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</si>
  <si>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</si>
  <si>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</si>
  <si>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</si>
  <si>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</si>
  <si>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</si>
  <si>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</si>
  <si>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</si>
  <si>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</si>
  <si>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</si>
  <si>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</si>
  <si>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</si>
  <si>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</si>
  <si>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</si>
  <si>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</si>
  <si>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</si>
  <si>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</si>
  <si>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</si>
  <si>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</si>
  <si>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</si>
  <si>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</si>
  <si>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</si>
  <si>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</si>
  <si>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</si>
  <si>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</si>
  <si>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</si>
  <si>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</si>
  <si>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</si>
  <si>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</si>
  <si>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</si>
  <si>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</si>
  <si>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</si>
  <si>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</si>
  <si>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</si>
  <si>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</si>
  <si>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</si>
  <si>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</si>
  <si>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</si>
  <si>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</si>
  <si>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</si>
  <si>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</si>
  <si>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</si>
  <si>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</si>
  <si>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</si>
  <si>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</si>
  <si>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</si>
  <si>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</si>
  <si>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</si>
  <si>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</si>
  <si>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</si>
  <si>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</si>
  <si>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</si>
  <si>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</si>
  <si>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</si>
  <si>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</si>
  <si>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</si>
  <si>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</si>
  <si>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</si>
  <si>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</si>
  <si>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</si>
  <si>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</si>
  <si>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</si>
  <si>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</si>
  <si>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</si>
  <si>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</si>
  <si>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</si>
  <si>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</si>
  <si>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</si>
  <si>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</si>
  <si>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</si>
  <si>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</si>
  <si>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</si>
  <si>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</si>
  <si>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</si>
  <si>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</si>
  <si>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</si>
  <si>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</si>
  <si>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</si>
  <si>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</si>
  <si>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</si>
  <si>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</si>
  <si>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</si>
  <si>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</si>
  <si>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</si>
  <si>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</si>
  <si>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</si>
  <si>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</si>
  <si>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</si>
  <si>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</si>
  <si>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</si>
  <si>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</si>
  <si>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</si>
  <si>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</si>
  <si>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</si>
  <si>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</si>
  <si>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</si>
  <si>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</si>
  <si>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</si>
  <si>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</si>
  <si>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</si>
  <si>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</si>
  <si>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</si>
  <si>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</si>
  <si>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</si>
  <si>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</si>
  <si>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</si>
  <si>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</si>
  <si>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</si>
  <si>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</si>
  <si>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</si>
  <si>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</si>
  <si>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</si>
  <si>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</si>
  <si>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</si>
  <si>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</si>
  <si>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</si>
  <si>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</si>
  <si>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</si>
  <si>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</si>
  <si>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</si>
  <si>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</si>
  <si>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</si>
  <si>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</si>
  <si>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</si>
  <si>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</si>
  <si>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</si>
  <si>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</si>
  <si>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</si>
  <si>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</si>
  <si>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</si>
  <si>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</si>
  <si>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</si>
  <si>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</si>
  <si>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</si>
  <si>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</si>
  <si>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</si>
  <si>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</si>
  <si>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</si>
  <si>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</si>
  <si>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</si>
  <si>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</si>
  <si>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</si>
  <si>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</si>
  <si>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</si>
  <si>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</si>
  <si>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</si>
  <si>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</si>
  <si>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</si>
  <si>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</si>
  <si>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</si>
  <si>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</si>
  <si>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</si>
  <si>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</si>
  <si>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</si>
  <si>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</si>
  <si>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</si>
  <si>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</si>
  <si>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</si>
  <si>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</si>
  <si>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</si>
  <si>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</si>
  <si>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</si>
  <si>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</si>
  <si>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</si>
  <si>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</si>
  <si>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</si>
  <si>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</si>
  <si>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</si>
  <si>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</si>
  <si>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</si>
  <si>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</si>
  <si>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</si>
  <si>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</si>
  <si>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</si>
  <si>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</si>
  <si>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</si>
  <si>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</si>
  <si>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</si>
  <si>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</si>
  <si>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</si>
  <si>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</si>
  <si>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</si>
  <si>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</si>
  <si>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</si>
  <si>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</si>
  <si>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</si>
  <si>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</si>
  <si>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</si>
  <si>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</si>
  <si>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</si>
  <si>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</si>
  <si>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</si>
  <si>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</si>
  <si>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</si>
  <si>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</si>
  <si>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</si>
  <si>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</si>
  <si>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</si>
  <si>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</si>
  <si>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</si>
  <si>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</si>
  <si>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</si>
  <si>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</si>
  <si>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</si>
  <si>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</si>
  <si>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</si>
  <si>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</si>
  <si>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</si>
  <si>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</si>
  <si>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</si>
  <si>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</si>
  <si>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</si>
  <si>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</si>
  <si>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</si>
  <si>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</si>
  <si>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</si>
  <si>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</si>
  <si>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</si>
  <si>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</si>
  <si>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</si>
  <si>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</si>
  <si>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</si>
  <si>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</si>
  <si>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</si>
  <si>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</si>
  <si>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</si>
  <si>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</si>
  <si>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</si>
  <si>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</si>
  <si>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</si>
  <si>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</si>
  <si>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</si>
  <si>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</si>
  <si>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</si>
  <si>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</si>
  <si>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</si>
  <si>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</si>
  <si>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</si>
  <si>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</si>
  <si>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</si>
  <si>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</si>
  <si>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</si>
  <si>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</si>
  <si>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</si>
  <si>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</si>
  <si>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</si>
  <si>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</si>
  <si>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</si>
  <si>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</si>
  <si>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</si>
  <si>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</si>
  <si>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</si>
  <si>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</si>
  <si>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</si>
  <si>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</si>
  <si>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</si>
  <si>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</si>
  <si>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</si>
  <si>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</si>
  <si>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</si>
  <si>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</si>
  <si>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</si>
  <si>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</si>
  <si>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</si>
  <si>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</si>
  <si>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</si>
  <si>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</si>
  <si>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</si>
  <si>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</si>
  <si>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</si>
  <si>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</si>
  <si>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</si>
  <si>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</si>
  <si>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</si>
  <si>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</si>
  <si>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</si>
  <si>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</si>
  <si>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</si>
  <si>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</si>
  <si>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</si>
  <si>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</si>
  <si>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</si>
  <si>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</si>
  <si>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</si>
  <si>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</si>
  <si>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</si>
  <si>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</si>
  <si>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</si>
  <si>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</si>
  <si>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</si>
  <si>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</si>
  <si>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</si>
  <si>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</si>
  <si>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</si>
  <si>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</si>
  <si>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</si>
  <si>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</si>
  <si>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</si>
  <si>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</si>
  <si>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</si>
  <si>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</si>
  <si>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</si>
  <si>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</si>
  <si>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</si>
  <si>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</si>
  <si>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</si>
  <si>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</si>
  <si>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</si>
  <si>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</si>
  <si>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</si>
  <si>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</si>
  <si>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</si>
  <si>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</si>
  <si>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</si>
  <si>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</si>
  <si>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</si>
  <si>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</si>
  <si>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</si>
  <si>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</si>
  <si>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</si>
  <si>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</si>
  <si>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</si>
  <si>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</si>
  <si>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</si>
  <si>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</si>
  <si>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</si>
  <si>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</si>
  <si>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</si>
  <si>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</si>
  <si>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</si>
  <si>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</si>
  <si>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</si>
  <si>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</si>
  <si>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</si>
  <si>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</si>
  <si>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</si>
  <si>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</si>
  <si>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</si>
  <si>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</si>
  <si>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</si>
  <si>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</si>
  <si>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</si>
  <si>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</si>
  <si>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</si>
  <si>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</si>
  <si>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</si>
  <si>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</si>
  <si>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</si>
  <si>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</si>
  <si>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</si>
  <si>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</si>
  <si>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</si>
  <si>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</si>
  <si>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</si>
  <si>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</si>
  <si>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</si>
  <si>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</si>
  <si>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</si>
  <si>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</si>
  <si>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</si>
  <si>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</si>
  <si>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</si>
  <si>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</si>
  <si>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</si>
  <si>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</si>
  <si>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</si>
  <si>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</si>
  <si>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</si>
  <si>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</si>
  <si>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</si>
  <si>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</si>
  <si>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</si>
  <si>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</si>
  <si>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</si>
  <si>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</si>
  <si>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</si>
  <si>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</si>
  <si>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</si>
  <si>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</si>
  <si>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</si>
  <si>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</si>
  <si>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</si>
  <si>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</si>
  <si>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</si>
  <si>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</si>
  <si>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</si>
  <si>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</si>
  <si>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</si>
  <si>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</si>
  <si>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</si>
  <si>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</si>
  <si>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</si>
  <si>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</si>
  <si>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</si>
  <si>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</si>
  <si>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</si>
  <si>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</si>
  <si>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</si>
  <si>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</si>
  <si>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</si>
  <si>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</si>
  <si>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</si>
  <si>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</si>
  <si>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</si>
  <si>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</si>
  <si>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</si>
  <si>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2023 4.31%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2024 9.00%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2025 10.78%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</si>
  <si>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</si>
  <si>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</si>
  <si>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</si>
  <si>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</si>
  <si>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</si>
  <si>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14.04%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13.27%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：公司年報合併營收與淨利（兆韓元，本次未重新開啟原文，單一來源）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</si>
  <si>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</si>
  <si>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</si>
  <si>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</si>
  <si>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</si>
  <si>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</si>
  <si>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</si>
  <si>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</si>
  <si>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</si>
  <si>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</si>
  <si>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</si>
  <si>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</si>
  <si>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</si>
  <si>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</si>
  <si>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</si>
  <si>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</si>
  <si>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</si>
  <si>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</si>
  <si>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</si>
  <si>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</si>
  <si>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</si>
  <si>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</si>
  <si>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</si>
  <si>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478,906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290,000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725,000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</si>
  <si>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</si>
  <si>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</si>
  <si>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</si>
  <si>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</si>
  <si>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</si>
  <si>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</si>
  <si>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</si>
  <si>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</si>
  <si>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</si>
  <si>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</si>
  <si>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</si>
  <si>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</si>
  <si>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</si>
  <si>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</si>
  <si>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</si>
  <si>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</si>
  <si>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</si>
  <si>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</si>
  <si>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</si>
  <si>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</si>
  <si>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</si>
  <si>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</si>
  <si>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</si>
  <si>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</si>
  <si>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</si>
  <si>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</si>
  <si>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</si>
  <si>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</si>
  <si>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</si>
  <si>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</si>
  <si>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</si>
  <si>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</si>
  <si>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</si>
  <si>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</si>
  <si>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</si>
  <si>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</si>
  <si>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</si>
  <si>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</si>
  <si>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</si>
  <si>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</si>
  <si>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</si>
  <si>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</si>
  <si>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</si>
  <si>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</si>
  <si>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</si>
  <si>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</si>
  <si>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</si>
  <si>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</si>
  <si>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</si>
  <si>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</si>
  <si>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</si>
  <si>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</si>
  <si>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</si>
  <si>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</si>
  <si>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</si>
  <si>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</si>
  <si>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</si>
  <si>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</si>
  <si>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</si>
  <si>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</si>
  <si>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</si>
  <si>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</si>
  <si>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</si>
  <si>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</si>
  <si>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</si>
  <si>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</si>
  <si>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</si>
  <si>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</si>
  <si>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</si>
  <si>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</si>
  <si>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</si>
  <si>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</si>
  <si>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</si>
  <si>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</si>
  <si>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</si>
  <si>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</si>
  <si>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</si>
  <si>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</si>
  <si>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</si>
  <si>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</si>
  <si>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</si>
  <si>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</si>
  <si>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</si>
  <si>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</si>
  <si>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</si>
  <si>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</si>
  <si>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</si>
  <si>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</si>
  <si>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</si>
  <si>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</si>
  <si>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</si>
  <si>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</si>
  <si>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</si>
  <si>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</si>
  <si>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</si>
  <si>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</si>
  <si>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</si>
  <si>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</si>
  <si>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</si>
  <si>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</si>
  <si>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</si>
  <si>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</si>
  <si>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</si>
  <si>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</si>
  <si>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</si>
  <si>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</si>
  <si>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</si>
  <si>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</si>
  <si>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</si>
  <si>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</si>
  <si>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</si>
  <si>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b val="true"/>
        <sz val="11"/>
        <rFont val="Noto Sans CJK SC"/>
        <family val="2"/>
      </rPr>
      <t xml:space="preserve">官方報告分部（兆韓元；分部營收含內部銷售；三星 </t>
    </r>
    <r>
      <rPr>
        <b val="true"/>
        <sz val="11"/>
        <rFont val="Cambria"/>
        <family val="0"/>
        <charset val="1"/>
      </rPr>
      <t xml:space="preserve">IR </t>
    </r>
    <r>
      <rPr>
        <b val="true"/>
        <sz val="11"/>
        <rFont val="Noto Sans CJK SC"/>
        <family val="2"/>
      </rPr>
      <t xml:space="preserve">季度簡報）</t>
    </r>
  </si>
  <si>
    <r>
      <rPr>
        <sz val="11"/>
        <color theme="1"/>
        <rFont val="Calibri"/>
        <family val="2"/>
        <charset val="1"/>
      </rPr>
      <t xml:space="preserve">DX</t>
    </r>
    <r>
      <rPr>
        <sz val="11"/>
        <color theme="1"/>
        <rFont val="Noto Sans CJK SC"/>
        <family val="2"/>
      </rPr>
      <t xml:space="preserve">（裝置體驗：</t>
    </r>
    <r>
      <rPr>
        <sz val="11"/>
        <color theme="1"/>
        <rFont val="Calibri"/>
        <family val="2"/>
        <charset val="1"/>
      </rPr>
      <t xml:space="preserve">MX</t>
    </r>
    <r>
      <rPr>
        <sz val="11"/>
        <color theme="1"/>
        <rFont val="Noto Sans CJK SC"/>
        <family val="2"/>
      </rPr>
      <t xml:space="preserve">／網路、</t>
    </r>
    <r>
      <rPr>
        <sz val="11"/>
        <color theme="1"/>
        <rFont val="Calibri"/>
        <family val="2"/>
        <charset val="1"/>
      </rPr>
      <t xml:space="preserve">VD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</si>
  <si>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（裝置解決方案）</t>
    </r>
  </si>
  <si>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（三星顯示器）</t>
    </r>
  </si>
  <si>
    <t xml:space="preserve">Harman</t>
  </si>
  <si>
    <r>
      <rPr>
        <sz val="11"/>
        <color theme="1"/>
        <rFont val="Noto Sans CJK SC"/>
        <family val="2"/>
      </rPr>
      <t xml:space="preserve">內部抵銷 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＝合併營收 − 四分部合計</t>
    </r>
    <r>
      <rPr>
        <sz val="11"/>
        <color theme="1"/>
        <rFont val="Calibri"/>
        <family val="2"/>
        <charset val="1"/>
      </rPr>
      <t xml:space="preserve">]</t>
    </r>
  </si>
  <si>
    <t xml:space="preserve">合併營收</t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</si>
  <si>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</si>
  <si>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2026Q1 </t>
    </r>
    <r>
      <rPr>
        <sz val="11"/>
        <color theme="1"/>
        <rFont val="Noto Sans CJK SC"/>
        <family val="2"/>
      </rPr>
      <t xml:space="preserve">簡報（韓文版，含 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2025Q4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2026Q2 </t>
    </r>
    <r>
      <rPr>
        <sz val="11"/>
        <color theme="1"/>
        <rFont val="Noto Sans CJK SC"/>
        <family val="2"/>
      </rPr>
      <t xml:space="preserve">簡報（含 </t>
    </r>
    <r>
      <rPr>
        <sz val="11"/>
        <color theme="1"/>
        <rFont val="Calibri"/>
        <family val="2"/>
        <charset val="1"/>
      </rPr>
      <t xml:space="preserve">2025Q2</t>
    </r>
    <r>
      <rPr>
        <sz val="11"/>
        <color theme="1"/>
        <rFont val="Noto Sans CJK SC"/>
        <family val="2"/>
      </rPr>
      <t xml:space="preserve">；第三方轉存 </t>
    </r>
    <r>
      <rPr>
        <sz val="11"/>
        <color theme="1"/>
        <rFont val="Calibri"/>
        <family val="2"/>
        <charset val="1"/>
      </rPr>
      <t xml:space="preserve">gelonghui</t>
    </r>
    <r>
      <rPr>
        <sz val="11"/>
        <color theme="1"/>
        <rFont val="Noto Sans CJK SC"/>
        <family val="2"/>
      </rPr>
      <t xml:space="preserve">，三星官網原檔未取得）、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news.samsungsemiconductor.com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</si>
  <si>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DX </t>
    </r>
    <r>
      <rPr>
        <sz val="11"/>
        <color theme="1"/>
        <rFont val="Noto Sans CJK SC"/>
        <family val="2"/>
      </rPr>
      <t xml:space="preserve">未揭露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2025Q2 DX × 1.11</t>
    </r>
    <r>
      <rPr>
        <sz val="11"/>
        <color theme="1"/>
        <rFont val="Noto Sans CJK SC"/>
        <family val="2"/>
      </rPr>
      <t xml:space="preserve">（新聞稿：季增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Harman </t>
    </r>
    <r>
      <rPr>
        <sz val="11"/>
        <color theme="1"/>
        <rFont val="Noto Sans CJK SC"/>
        <family val="2"/>
      </rPr>
      <t xml:space="preserve">未揭露，該季不計核對。三星不揭露內部抵銷，故抵銷列為差額，核對列只驗證分部表本身。</t>
    </r>
  </si>
  <si>
    <r>
      <rPr>
        <sz val="11"/>
        <color theme="1"/>
        <rFont val="Noto Sans CJK SC"/>
        <family val="2"/>
      </rPr>
      <t xml:space="preserve">記憶體（第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列「記憶體營收」）屬 </t>
    </r>
    <r>
      <rPr>
        <sz val="11"/>
        <color theme="1"/>
        <rFont val="Calibri"/>
        <family val="2"/>
        <charset val="1"/>
      </rPr>
      <t xml:space="preserve">DS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其餘為晶圓代工與 </t>
    </r>
    <r>
      <rPr>
        <sz val="11"/>
        <color theme="1"/>
        <rFont val="Calibri"/>
        <family val="2"/>
        <charset val="1"/>
      </rPr>
      <t xml:space="preserve">System LSI</t>
    </r>
    <r>
      <rPr>
        <sz val="11"/>
        <color theme="1"/>
        <rFont val="Noto Sans CJK SC"/>
        <family val="2"/>
      </rPr>
      <t xml:space="preserve">。推估季不拆分部：非記憶體事業以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nm_rev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nm_op </t>
    </r>
    <r>
      <rPr>
        <sz val="11"/>
        <color theme="1"/>
        <rFont val="Noto Sans CJK SC"/>
        <family val="2"/>
      </rPr>
      <t xml:space="preserve">整體輸入。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</si>
  <si>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</si>
  <si>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</si>
  <si>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</si>
  <si>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</si>
  <si>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</si>
  <si>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</si>
  <si>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</si>
  <si>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</si>
  <si>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</si>
  <si>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</si>
  <si>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</si>
  <si>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</si>
  <si>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</si>
  <si>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</si>
  <si>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</si>
  <si>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</si>
  <si>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</si>
  <si>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</si>
  <si>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</si>
  <si>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</si>
  <si>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</si>
  <si>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</si>
  <si>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</si>
  <si>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</si>
  <si>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</si>
  <si>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</si>
  <si>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</si>
  <si>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</si>
  <si>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</si>
  <si>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</si>
  <si>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</si>
  <si>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</si>
  <si>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</si>
  <si>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</si>
  <si>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</si>
  <si>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</si>
  <si>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</si>
  <si>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</si>
  <si>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</si>
  <si>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</si>
  <si>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</si>
  <si>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</si>
  <si>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</si>
  <si>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</si>
  <si>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</si>
  <si>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</si>
  <si>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</si>
  <si>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</si>
  <si>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</si>
  <si>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</si>
  <si>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</si>
  <si>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</si>
  <si>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</si>
  <si>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</si>
  <si>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</si>
  <si>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</si>
  <si>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</si>
  <si>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</si>
  <si>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</si>
  <si>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</si>
  <si>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</si>
  <si>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</si>
  <si>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</si>
  <si>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</si>
  <si>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</si>
  <si>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</si>
  <si>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</si>
  <si>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</si>
  <si>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</si>
  <si>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</si>
  <si>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</si>
  <si>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</si>
  <si>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</si>
  <si>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</si>
  <si>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</si>
  <si>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</si>
  <si>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</si>
  <si>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</si>
  <si>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</si>
  <si>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</si>
  <si>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</si>
  <si>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</si>
  <si>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</si>
  <si>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</si>
  <si>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</si>
  <si>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</si>
  <si>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</si>
  <si>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</si>
  <si>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</si>
  <si>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</si>
  <si>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</si>
  <si>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</si>
  <si>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</si>
  <si>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</si>
  <si>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</si>
  <si>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</si>
  <si>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</si>
  <si>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</si>
  <si>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</si>
  <si>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</si>
  <si>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</si>
  <si>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</si>
  <si>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</si>
  <si>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</si>
  <si>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</si>
  <si>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</si>
  <si>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</si>
  <si>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</si>
  <si>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</si>
  <si>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</si>
  <si>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</si>
  <si>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</si>
  <si>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</si>
  <si>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</si>
  <si>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</si>
  <si>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</si>
  <si>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</si>
  <si>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</si>
  <si>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</si>
  <si>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</si>
  <si>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</si>
  <si>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</si>
  <si>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</si>
  <si>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</si>
  <si>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</si>
  <si>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</si>
  <si>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</si>
  <si>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</si>
  <si>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</si>
  <si>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</si>
  <si>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</si>
  <si>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</si>
  <si>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</si>
  <si>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</si>
  <si>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</si>
  <si>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</si>
  <si>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</si>
  <si>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</si>
  <si>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</si>
  <si>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</si>
  <si>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</si>
  <si>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</si>
  <si>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</si>
  <si>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</si>
  <si>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</si>
  <si>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</si>
  <si>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</si>
  <si>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</si>
  <si>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</si>
  <si>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</si>
  <si>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</si>
  <si>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</si>
  <si>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</si>
  <si>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</si>
  <si>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</si>
  <si>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</si>
  <si>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</si>
  <si>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</si>
  <si>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</si>
  <si>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</si>
  <si>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</si>
  <si>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</si>
  <si>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</si>
  <si>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</si>
  <si>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</si>
  <si>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</si>
  <si>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</si>
  <si>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</si>
  <si>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</si>
  <si>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月）。三星為集團公司，純記憶體同業倍數未含集團折價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</si>
  <si>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</si>
  <si>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</si>
  <si>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</si>
  <si>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</si>
  <si>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</si>
  <si>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</si>
  <si>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</si>
  <si>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</si>
  <si>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</si>
  <si>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</si>
  <si>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</si>
  <si>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</si>
  <si>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</si>
  <si>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</si>
  <si>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</si>
  <si>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</si>
  <si>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</si>
  <si>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</si>
  <si>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</si>
  <si>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</si>
  <si>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</si>
  <si>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</si>
  <si>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</si>
  <si>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</si>
  <si>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</si>
  <si>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</si>
  <si>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</si>
  <si>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</si>
  <si>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</si>
  <si>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</si>
  <si>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</si>
  <si>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</si>
  <si>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</si>
  <si>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</si>
  <si>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</si>
  <si>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</si>
  <si>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前的低倍數期，且為全公司口徑（含手機、晶圓代工等非記憶體事業的集團折價），偏誤方向為低估。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</si>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</sst>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0.000"/>
    <numFmt numFmtId="172" formatCode="#,##0"/>
    <numFmt numFmtId="173" formatCode="#,##0.0"/>
    <numFmt numFmtId="174" formatCode="0.00\x"/>
    <numFmt numFmtId="175" formatCode="@"/>
    <numFmt numFmtId="176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3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5" hidden="false" customHeight="false" outlineLevel="0" collapsed="false">
      <c r="A27" s="0" t="str">
        <f aca="false">"投資建議："&amp;Val!B185&amp;"（依上檔空間固定規則）"</f>
        <v>投資建議：強力買進（依上檔空間固定規則）</v>
      </c>
    </row>
    <row r="28" customFormat="false" ht="17.15" hidden="false" customHeight="false" outlineLevel="0" collapsed="false">
      <c r="A28" s="4" t="s">
        <v>23</v>
      </c>
    </row>
    <row r="29" customFormat="false" ht="17.15" hidden="false" customHeight="false" outlineLevel="0" collapsed="false">
      <c r="A29" s="4" t="s">
        <v>24</v>
      </c>
    </row>
    <row r="30" customFormat="false" ht="17.15" hidden="false" customHeight="false" outlineLevel="0" collapsed="false">
      <c r="A30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</row>
    <row r="4" customFormat="false" ht="17.15" hidden="false" customHeight="false" outlineLevel="0" collapsed="false">
      <c r="A4" s="6" t="s">
        <v>35</v>
      </c>
    </row>
    <row r="5" customFormat="false" ht="17.15" hidden="false" customHeight="false" outlineLevel="0" collapsed="false">
      <c r="A5" s="0" t="s">
        <v>36</v>
      </c>
      <c r="B5" s="4" t="s">
        <v>37</v>
      </c>
      <c r="C5" s="0" t="s">
        <v>38</v>
      </c>
      <c r="D5" s="7" t="n">
        <v>1350</v>
      </c>
      <c r="E5" s="7" t="n">
        <v>1420</v>
      </c>
      <c r="F5" s="7" t="n">
        <v>1500</v>
      </c>
      <c r="G5" s="8" t="s">
        <v>39</v>
      </c>
      <c r="H5" s="4" t="s">
        <v>40</v>
      </c>
    </row>
    <row r="6" customFormat="false" ht="17.15" hidden="false" customHeight="false" outlineLevel="0" collapsed="false">
      <c r="A6" s="0" t="s">
        <v>41</v>
      </c>
      <c r="B6" s="4" t="s">
        <v>42</v>
      </c>
      <c r="C6" s="0" t="s">
        <v>43</v>
      </c>
      <c r="E6" s="7" t="n">
        <v>215500</v>
      </c>
      <c r="G6" s="8" t="s">
        <v>44</v>
      </c>
      <c r="H6" s="8" t="s">
        <v>45</v>
      </c>
    </row>
    <row r="7" customFormat="false" ht="17.15" hidden="false" customHeight="false" outlineLevel="0" collapsed="false">
      <c r="A7" s="6" t="s">
        <v>46</v>
      </c>
    </row>
    <row r="8" customFormat="false" ht="17.15" hidden="false" customHeight="false" outlineLevel="0" collapsed="false">
      <c r="A8" s="0" t="s">
        <v>47</v>
      </c>
      <c r="B8" s="0" t="s">
        <v>48</v>
      </c>
      <c r="C8" s="0" t="s">
        <v>49</v>
      </c>
      <c r="D8" s="7" t="n">
        <v>0.03</v>
      </c>
      <c r="E8" s="7" t="n">
        <v>0.05</v>
      </c>
      <c r="F8" s="7" t="n">
        <v>0.07</v>
      </c>
      <c r="G8" s="8" t="s">
        <v>44</v>
      </c>
      <c r="H8" s="4" t="s">
        <v>50</v>
      </c>
    </row>
    <row r="9" customFormat="false" ht="17.15" hidden="false" customHeight="false" outlineLevel="0" collapsed="false">
      <c r="A9" s="0" t="s">
        <v>51</v>
      </c>
      <c r="B9" s="0" t="s">
        <v>52</v>
      </c>
      <c r="C9" s="0" t="s">
        <v>49</v>
      </c>
      <c r="D9" s="7" t="n">
        <v>0.08</v>
      </c>
      <c r="E9" s="7" t="n">
        <v>0.1</v>
      </c>
      <c r="F9" s="7" t="n">
        <v>0.15</v>
      </c>
      <c r="G9" s="8" t="s">
        <v>39</v>
      </c>
      <c r="H9" s="4" t="s">
        <v>53</v>
      </c>
    </row>
    <row r="10" customFormat="false" ht="17.15" hidden="false" customHeight="false" outlineLevel="0" collapsed="false">
      <c r="A10" s="0" t="s">
        <v>54</v>
      </c>
      <c r="B10" s="0" t="s">
        <v>55</v>
      </c>
      <c r="C10" s="0" t="s">
        <v>49</v>
      </c>
      <c r="D10" s="7" t="n">
        <v>0.06</v>
      </c>
      <c r="E10" s="7" t="n">
        <v>0.08</v>
      </c>
      <c r="F10" s="7" t="n">
        <v>0.09</v>
      </c>
      <c r="G10" s="8" t="s">
        <v>44</v>
      </c>
      <c r="H10" s="4" t="s">
        <v>56</v>
      </c>
    </row>
    <row r="11" customFormat="false" ht="17.15" hidden="false" customHeight="false" outlineLevel="0" collapsed="false">
      <c r="A11" s="0" t="s">
        <v>57</v>
      </c>
      <c r="B11" s="0" t="s">
        <v>58</v>
      </c>
      <c r="C11" s="0" t="s">
        <v>49</v>
      </c>
      <c r="D11" s="7" t="n">
        <v>0.08</v>
      </c>
      <c r="E11" s="7" t="n">
        <v>0.1</v>
      </c>
      <c r="F11" s="7" t="n">
        <v>0.15</v>
      </c>
      <c r="G11" s="8" t="s">
        <v>39</v>
      </c>
      <c r="H11" s="4" t="s">
        <v>59</v>
      </c>
    </row>
    <row r="12" customFormat="false" ht="17.15" hidden="false" customHeight="false" outlineLevel="0" collapsed="false">
      <c r="A12" s="0" t="s">
        <v>60</v>
      </c>
      <c r="B12" s="0" t="s">
        <v>61</v>
      </c>
      <c r="C12" s="0" t="s">
        <v>49</v>
      </c>
      <c r="D12" s="7" t="n">
        <v>0</v>
      </c>
      <c r="E12" s="7" t="n">
        <v>0.05</v>
      </c>
      <c r="F12" s="7" t="n">
        <v>0.08</v>
      </c>
      <c r="G12" s="8" t="s">
        <v>62</v>
      </c>
      <c r="H12" s="8" t="s">
        <v>63</v>
      </c>
    </row>
    <row r="13" customFormat="false" ht="17.15" hidden="false" customHeight="false" outlineLevel="0" collapsed="false">
      <c r="A13" s="0" t="s">
        <v>64</v>
      </c>
      <c r="B13" s="0" t="s">
        <v>65</v>
      </c>
      <c r="C13" s="0" t="s">
        <v>49</v>
      </c>
      <c r="D13" s="7" t="n">
        <v>0.05</v>
      </c>
      <c r="E13" s="7" t="n">
        <v>0.1</v>
      </c>
      <c r="F13" s="7" t="n">
        <v>0.15</v>
      </c>
      <c r="G13" s="8" t="s">
        <v>66</v>
      </c>
      <c r="H13" s="8" t="s">
        <v>67</v>
      </c>
    </row>
    <row r="14" customFormat="false" ht="17.15" hidden="false" customHeight="false" outlineLevel="0" collapsed="false">
      <c r="A14" s="0" t="s">
        <v>68</v>
      </c>
      <c r="B14" s="0" t="s">
        <v>69</v>
      </c>
      <c r="C14" s="0" t="s">
        <v>49</v>
      </c>
      <c r="D14" s="7" t="n">
        <v>0</v>
      </c>
      <c r="E14" s="7" t="n">
        <v>0.05</v>
      </c>
      <c r="F14" s="7" t="n">
        <v>0.08</v>
      </c>
      <c r="G14" s="8" t="s">
        <v>62</v>
      </c>
    </row>
    <row r="15" customFormat="false" ht="17.15" hidden="false" customHeight="false" outlineLevel="0" collapsed="false">
      <c r="A15" s="0" t="s">
        <v>70</v>
      </c>
      <c r="B15" s="0" t="s">
        <v>71</v>
      </c>
      <c r="C15" s="0" t="s">
        <v>49</v>
      </c>
      <c r="D15" s="7" t="n">
        <v>0.1</v>
      </c>
      <c r="E15" s="7" t="n">
        <v>0.175</v>
      </c>
      <c r="F15" s="7" t="n">
        <v>0.2</v>
      </c>
      <c r="G15" s="8" t="s">
        <v>66</v>
      </c>
      <c r="H15" s="8" t="s">
        <v>72</v>
      </c>
    </row>
    <row r="16" customFormat="false" ht="17.15" hidden="false" customHeight="false" outlineLevel="0" collapsed="false">
      <c r="A16" s="0" t="s">
        <v>73</v>
      </c>
      <c r="B16" s="0" t="s">
        <v>74</v>
      </c>
      <c r="C16" s="4" t="s">
        <v>75</v>
      </c>
      <c r="E16" s="7" t="n">
        <v>6.6</v>
      </c>
      <c r="G16" s="8" t="s">
        <v>62</v>
      </c>
      <c r="H16" s="4" t="s">
        <v>76</v>
      </c>
    </row>
    <row r="17" customFormat="false" ht="17.15" hidden="false" customHeight="false" outlineLevel="0" collapsed="false">
      <c r="A17" s="0" t="s">
        <v>77</v>
      </c>
      <c r="B17" s="0" t="s">
        <v>78</v>
      </c>
      <c r="C17" s="4" t="s">
        <v>75</v>
      </c>
      <c r="E17" s="7" t="n">
        <v>7</v>
      </c>
      <c r="G17" s="8" t="s">
        <v>62</v>
      </c>
    </row>
    <row r="18" customFormat="false" ht="15" hidden="false" customHeight="false" outlineLevel="0" collapsed="false">
      <c r="A18" s="0" t="s">
        <v>79</v>
      </c>
      <c r="B18" s="4" t="s">
        <v>80</v>
      </c>
      <c r="C18" s="0" t="s">
        <v>49</v>
      </c>
      <c r="D18" s="7" t="n">
        <v>0.01</v>
      </c>
      <c r="E18" s="7" t="n">
        <v>0.03</v>
      </c>
      <c r="F18" s="7" t="n">
        <v>0.05</v>
      </c>
      <c r="G18" s="8" t="s">
        <v>62</v>
      </c>
    </row>
    <row r="19" customFormat="false" ht="17.15" hidden="false" customHeight="false" outlineLevel="0" collapsed="false">
      <c r="A19" s="0" t="s">
        <v>81</v>
      </c>
      <c r="B19" s="4" t="s">
        <v>82</v>
      </c>
      <c r="C19" s="4" t="s">
        <v>75</v>
      </c>
      <c r="E19" s="7" t="n">
        <v>1</v>
      </c>
      <c r="G19" s="8" t="s">
        <v>62</v>
      </c>
      <c r="H19" s="4" t="s">
        <v>83</v>
      </c>
    </row>
    <row r="20" customFormat="false" ht="17.15" hidden="false" customHeight="false" outlineLevel="0" collapsed="false">
      <c r="A20" s="0" t="s">
        <v>84</v>
      </c>
      <c r="B20" s="4" t="s">
        <v>85</v>
      </c>
      <c r="C20" s="4" t="s">
        <v>75</v>
      </c>
      <c r="D20" s="7" t="n">
        <v>0.5</v>
      </c>
      <c r="E20" s="7" t="n">
        <v>1.5</v>
      </c>
      <c r="F20" s="7" t="n">
        <v>2.5</v>
      </c>
      <c r="G20" s="8" t="s">
        <v>62</v>
      </c>
      <c r="H20" s="4" t="s">
        <v>86</v>
      </c>
    </row>
    <row r="21" customFormat="false" ht="17.15" hidden="false" customHeight="false" outlineLevel="0" collapsed="false">
      <c r="A21" s="0" t="s">
        <v>87</v>
      </c>
      <c r="B21" s="4" t="s">
        <v>88</v>
      </c>
      <c r="C21" s="4" t="s">
        <v>75</v>
      </c>
      <c r="D21" s="7" t="n">
        <v>-1</v>
      </c>
      <c r="E21" s="7" t="n">
        <v>2</v>
      </c>
      <c r="F21" s="7" t="n">
        <v>4</v>
      </c>
      <c r="G21" s="8" t="s">
        <v>62</v>
      </c>
      <c r="H21" s="8" t="s">
        <v>89</v>
      </c>
    </row>
    <row r="22" customFormat="false" ht="17.15" hidden="false" customHeight="false" outlineLevel="0" collapsed="false">
      <c r="A22" s="6" t="s">
        <v>90</v>
      </c>
    </row>
    <row r="23" customFormat="false" ht="17.15" hidden="false" customHeight="false" outlineLevel="0" collapsed="false">
      <c r="A23" s="0" t="s">
        <v>91</v>
      </c>
      <c r="B23" s="4" t="s">
        <v>92</v>
      </c>
      <c r="C23" s="0" t="s">
        <v>49</v>
      </c>
      <c r="D23" s="7" t="n">
        <v>0.1</v>
      </c>
      <c r="E23" s="7" t="n">
        <v>0.15</v>
      </c>
      <c r="F23" s="7" t="n">
        <v>0.2</v>
      </c>
      <c r="G23" s="8" t="s">
        <v>39</v>
      </c>
      <c r="H23" s="8" t="s">
        <v>93</v>
      </c>
    </row>
    <row r="24" customFormat="false" ht="17.15" hidden="false" customHeight="false" outlineLevel="0" collapsed="false">
      <c r="A24" s="0" t="s">
        <v>94</v>
      </c>
      <c r="B24" s="4" t="s">
        <v>95</v>
      </c>
      <c r="C24" s="0" t="s">
        <v>49</v>
      </c>
      <c r="D24" s="7" t="n">
        <v>0.12</v>
      </c>
      <c r="E24" s="7" t="n">
        <v>0.18</v>
      </c>
      <c r="F24" s="7" t="n">
        <v>0.22</v>
      </c>
      <c r="G24" s="8" t="s">
        <v>39</v>
      </c>
      <c r="H24" s="8" t="s">
        <v>96</v>
      </c>
    </row>
    <row r="25" customFormat="false" ht="17.15" hidden="false" customHeight="false" outlineLevel="0" collapsed="false">
      <c r="A25" s="0" t="s">
        <v>97</v>
      </c>
      <c r="B25" s="4" t="s">
        <v>98</v>
      </c>
      <c r="C25" s="0" t="s">
        <v>49</v>
      </c>
      <c r="D25" s="7" t="n">
        <v>0.1</v>
      </c>
      <c r="E25" s="7" t="n">
        <v>0.15</v>
      </c>
      <c r="F25" s="7" t="n">
        <v>0.2</v>
      </c>
      <c r="G25" s="8" t="s">
        <v>62</v>
      </c>
    </row>
    <row r="26" customFormat="false" ht="17.15" hidden="false" customHeight="false" outlineLevel="0" collapsed="false">
      <c r="A26" s="0" t="s">
        <v>99</v>
      </c>
      <c r="B26" s="0" t="s">
        <v>100</v>
      </c>
      <c r="C26" s="0" t="s">
        <v>49</v>
      </c>
      <c r="D26" s="7" t="n">
        <v>0.1</v>
      </c>
      <c r="E26" s="7" t="n">
        <v>0.15</v>
      </c>
      <c r="F26" s="7" t="n">
        <v>0.2</v>
      </c>
      <c r="G26" s="8" t="s">
        <v>62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0" t="s">
        <v>49</v>
      </c>
      <c r="D27" s="7" t="n">
        <v>0.12</v>
      </c>
      <c r="E27" s="7" t="n">
        <v>0.18</v>
      </c>
      <c r="F27" s="7" t="n">
        <v>0.22</v>
      </c>
      <c r="G27" s="8" t="s">
        <v>62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49</v>
      </c>
      <c r="D28" s="7" t="n">
        <v>0.12</v>
      </c>
      <c r="E28" s="7" t="n">
        <v>0.18</v>
      </c>
      <c r="F28" s="7" t="n">
        <v>0.22</v>
      </c>
      <c r="G28" s="8" t="s">
        <v>62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0" t="s">
        <v>49</v>
      </c>
      <c r="D29" s="7" t="n">
        <v>0.15</v>
      </c>
      <c r="E29" s="7" t="n">
        <v>0.17</v>
      </c>
      <c r="F29" s="7" t="n">
        <v>0.22</v>
      </c>
      <c r="G29" s="8" t="s">
        <v>66</v>
      </c>
      <c r="H29" s="8" t="s">
        <v>107</v>
      </c>
    </row>
    <row r="30" customFormat="false" ht="17.15" hidden="false" customHeight="false" outlineLevel="0" collapsed="false">
      <c r="A30" s="0" t="s">
        <v>108</v>
      </c>
      <c r="B30" s="0" t="s">
        <v>109</v>
      </c>
      <c r="C30" s="0" t="s">
        <v>49</v>
      </c>
      <c r="D30" s="7" t="n">
        <v>0.25</v>
      </c>
      <c r="E30" s="7" t="n">
        <v>0.29</v>
      </c>
      <c r="F30" s="7" t="n">
        <v>0.33</v>
      </c>
      <c r="G30" s="8" t="s">
        <v>66</v>
      </c>
      <c r="H30" s="8" t="s">
        <v>110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0" t="s">
        <v>49</v>
      </c>
      <c r="D31" s="7" t="n">
        <v>0.33</v>
      </c>
      <c r="E31" s="7" t="n">
        <v>0.38</v>
      </c>
      <c r="F31" s="7" t="n">
        <v>0.41</v>
      </c>
      <c r="G31" s="8" t="s">
        <v>66</v>
      </c>
      <c r="H31" s="8" t="s">
        <v>113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49</v>
      </c>
      <c r="D32" s="7" t="n">
        <v>0.35</v>
      </c>
      <c r="E32" s="7" t="n">
        <v>0.4</v>
      </c>
      <c r="F32" s="7" t="n">
        <v>0.45</v>
      </c>
      <c r="G32" s="8" t="s">
        <v>62</v>
      </c>
      <c r="H32" s="4" t="s">
        <v>116</v>
      </c>
    </row>
    <row r="33" customFormat="false" ht="17.15" hidden="false" customHeight="false" outlineLevel="0" collapsed="false">
      <c r="A33" s="0" t="s">
        <v>117</v>
      </c>
      <c r="B33" s="0" t="s">
        <v>118</v>
      </c>
      <c r="C33" s="0" t="s">
        <v>49</v>
      </c>
      <c r="D33" s="7" t="n">
        <v>0.35</v>
      </c>
      <c r="E33" s="7" t="n">
        <v>0.4</v>
      </c>
      <c r="F33" s="7" t="n">
        <v>0.45</v>
      </c>
      <c r="G33" s="8" t="s">
        <v>62</v>
      </c>
    </row>
    <row r="34" customFormat="false" ht="17.15" hidden="false" customHeight="false" outlineLevel="0" collapsed="false">
      <c r="A34" s="0" t="s">
        <v>119</v>
      </c>
      <c r="B34" s="4" t="s">
        <v>120</v>
      </c>
      <c r="C34" s="4" t="s">
        <v>75</v>
      </c>
      <c r="E34" s="7" t="n">
        <v>0</v>
      </c>
      <c r="G34" s="8" t="s">
        <v>39</v>
      </c>
      <c r="H34" s="8" t="s">
        <v>121</v>
      </c>
    </row>
    <row r="35" customFormat="false" ht="17.15" hidden="false" customHeight="false" outlineLevel="0" collapsed="false">
      <c r="A35" s="0" t="s">
        <v>122</v>
      </c>
      <c r="B35" s="4" t="s">
        <v>123</v>
      </c>
      <c r="C35" s="0" t="s">
        <v>49</v>
      </c>
      <c r="E35" s="7" t="n">
        <v>0.55</v>
      </c>
      <c r="G35" s="8" t="s">
        <v>62</v>
      </c>
    </row>
    <row r="36" customFormat="false" ht="17.15" hidden="false" customHeight="false" outlineLevel="0" collapsed="false">
      <c r="A36" s="0" t="s">
        <v>124</v>
      </c>
      <c r="B36" s="4" t="s">
        <v>125</v>
      </c>
      <c r="C36" s="0" t="s">
        <v>49</v>
      </c>
      <c r="E36" s="7" t="n">
        <v>0.15</v>
      </c>
      <c r="G36" s="8" t="s">
        <v>62</v>
      </c>
    </row>
    <row r="37" customFormat="false" ht="17.15" hidden="false" customHeight="false" outlineLevel="0" collapsed="false">
      <c r="A37" s="0" t="s">
        <v>126</v>
      </c>
      <c r="B37" s="4" t="s">
        <v>127</v>
      </c>
      <c r="C37" s="0" t="s">
        <v>49</v>
      </c>
      <c r="E37" s="7" t="n">
        <v>0.3</v>
      </c>
      <c r="G37" s="8" t="s">
        <v>62</v>
      </c>
    </row>
    <row r="38" customFormat="false" ht="15" hidden="false" customHeight="false" outlineLevel="0" collapsed="false">
      <c r="A38" s="0" t="s">
        <v>128</v>
      </c>
      <c r="B38" s="4" t="s">
        <v>129</v>
      </c>
      <c r="C38" s="0" t="s">
        <v>49</v>
      </c>
      <c r="D38" s="7" t="n">
        <v>0.05</v>
      </c>
      <c r="E38" s="7" t="n">
        <v>0.1</v>
      </c>
      <c r="F38" s="7" t="n">
        <v>0.15</v>
      </c>
      <c r="G38" s="8" t="s">
        <v>62</v>
      </c>
    </row>
    <row r="39" customFormat="false" ht="15" hidden="false" customHeight="false" outlineLevel="0" collapsed="false">
      <c r="A39" s="0" t="s">
        <v>130</v>
      </c>
      <c r="B39" s="4" t="s">
        <v>131</v>
      </c>
      <c r="C39" s="4" t="s">
        <v>132</v>
      </c>
      <c r="D39" s="7" t="n">
        <v>4</v>
      </c>
      <c r="E39" s="7" t="n">
        <v>5</v>
      </c>
      <c r="F39" s="7" t="n">
        <v>6</v>
      </c>
      <c r="G39" s="8" t="s">
        <v>62</v>
      </c>
    </row>
    <row r="40" customFormat="false" ht="15" hidden="false" customHeight="false" outlineLevel="0" collapsed="false">
      <c r="A40" s="0" t="s">
        <v>133</v>
      </c>
      <c r="B40" s="4" t="s">
        <v>134</v>
      </c>
      <c r="C40" s="0" t="s">
        <v>49</v>
      </c>
      <c r="E40" s="7" t="n">
        <v>0.9</v>
      </c>
      <c r="G40" s="8" t="s">
        <v>62</v>
      </c>
    </row>
    <row r="41" customFormat="false" ht="15" hidden="false" customHeight="false" outlineLevel="0" collapsed="false">
      <c r="A41" s="0" t="s">
        <v>135</v>
      </c>
      <c r="B41" s="4" t="s">
        <v>136</v>
      </c>
      <c r="C41" s="4" t="s">
        <v>75</v>
      </c>
      <c r="E41" s="7" t="n">
        <v>4</v>
      </c>
      <c r="G41" s="8" t="s">
        <v>62</v>
      </c>
    </row>
    <row r="42" customFormat="false" ht="17.15" hidden="false" customHeight="false" outlineLevel="0" collapsed="false">
      <c r="A42" s="0" t="s">
        <v>137</v>
      </c>
      <c r="B42" s="4" t="s">
        <v>138</v>
      </c>
      <c r="C42" s="0" t="s">
        <v>139</v>
      </c>
      <c r="D42" s="7" t="n">
        <v>0.04</v>
      </c>
      <c r="E42" s="7" t="n">
        <v>0.06</v>
      </c>
      <c r="F42" s="7" t="n">
        <v>0.08</v>
      </c>
      <c r="G42" s="8" t="s">
        <v>62</v>
      </c>
      <c r="H42" s="4" t="s">
        <v>76</v>
      </c>
    </row>
    <row r="43" customFormat="false" ht="15" hidden="false" customHeight="false" outlineLevel="0" collapsed="false">
      <c r="A43" s="0" t="s">
        <v>140</v>
      </c>
      <c r="B43" s="4" t="s">
        <v>141</v>
      </c>
      <c r="C43" s="0" t="s">
        <v>49</v>
      </c>
      <c r="E43" s="7" t="n">
        <v>0.1</v>
      </c>
      <c r="G43" s="8" t="s">
        <v>62</v>
      </c>
    </row>
    <row r="44" customFormat="false" ht="17.15" hidden="false" customHeight="false" outlineLevel="0" collapsed="false">
      <c r="A44" s="0" t="s">
        <v>142</v>
      </c>
      <c r="B44" s="4" t="s">
        <v>143</v>
      </c>
      <c r="C44" s="0" t="s">
        <v>49</v>
      </c>
      <c r="D44" s="7" t="n">
        <v>0.15</v>
      </c>
      <c r="E44" s="7" t="n">
        <v>0.2</v>
      </c>
      <c r="F44" s="7" t="n">
        <v>0.24</v>
      </c>
      <c r="G44" s="8" t="s">
        <v>39</v>
      </c>
      <c r="H44" s="8" t="s">
        <v>144</v>
      </c>
    </row>
    <row r="45" customFormat="false" ht="15" hidden="false" customHeight="false" outlineLevel="0" collapsed="false">
      <c r="A45" s="0" t="s">
        <v>145</v>
      </c>
      <c r="B45" s="4" t="s">
        <v>146</v>
      </c>
      <c r="C45" s="0" t="s">
        <v>49</v>
      </c>
      <c r="E45" s="7" t="n">
        <v>0.03</v>
      </c>
      <c r="G45" s="8" t="s">
        <v>62</v>
      </c>
    </row>
    <row r="46" customFormat="false" ht="17.15" hidden="false" customHeight="false" outlineLevel="0" collapsed="false">
      <c r="A46" s="0" t="s">
        <v>147</v>
      </c>
      <c r="B46" s="4" t="s">
        <v>148</v>
      </c>
      <c r="C46" s="4" t="s">
        <v>75</v>
      </c>
      <c r="D46" s="7" t="n">
        <v>45</v>
      </c>
      <c r="E46" s="7" t="n">
        <v>52.5</v>
      </c>
      <c r="F46" s="7" t="n">
        <v>60</v>
      </c>
      <c r="G46" s="8" t="s">
        <v>149</v>
      </c>
      <c r="H46" s="4" t="s">
        <v>150</v>
      </c>
    </row>
    <row r="47" customFormat="false" ht="17.15" hidden="false" customHeight="false" outlineLevel="0" collapsed="false">
      <c r="A47" s="0" t="s">
        <v>151</v>
      </c>
      <c r="B47" s="4" t="s">
        <v>152</v>
      </c>
      <c r="C47" s="4" t="s">
        <v>75</v>
      </c>
      <c r="D47" s="7" t="n">
        <v>50</v>
      </c>
      <c r="E47" s="7" t="n">
        <v>60</v>
      </c>
      <c r="F47" s="7" t="n">
        <v>75</v>
      </c>
      <c r="G47" s="8" t="s">
        <v>62</v>
      </c>
      <c r="H47" s="8" t="s">
        <v>153</v>
      </c>
    </row>
    <row r="48" customFormat="false" ht="17.15" hidden="false" customHeight="false" outlineLevel="0" collapsed="false">
      <c r="A48" s="0" t="s">
        <v>154</v>
      </c>
      <c r="B48" s="4" t="s">
        <v>155</v>
      </c>
      <c r="C48" s="4" t="s">
        <v>75</v>
      </c>
      <c r="D48" s="7" t="n">
        <v>55</v>
      </c>
      <c r="E48" s="7" t="n">
        <v>66</v>
      </c>
      <c r="F48" s="7" t="n">
        <v>80</v>
      </c>
      <c r="G48" s="8" t="s">
        <v>62</v>
      </c>
    </row>
    <row r="49" customFormat="false" ht="17.15" hidden="false" customHeight="false" outlineLevel="0" collapsed="false">
      <c r="A49" s="0" t="s">
        <v>156</v>
      </c>
      <c r="B49" s="4" t="s">
        <v>157</v>
      </c>
      <c r="C49" s="4" t="s">
        <v>75</v>
      </c>
      <c r="D49" s="7" t="n">
        <v>55</v>
      </c>
      <c r="E49" s="7" t="n">
        <v>66</v>
      </c>
      <c r="F49" s="7" t="n">
        <v>80</v>
      </c>
      <c r="G49" s="8" t="s">
        <v>62</v>
      </c>
    </row>
    <row r="50" customFormat="false" ht="17.15" hidden="false" customHeight="false" outlineLevel="0" collapsed="false">
      <c r="A50" s="0" t="s">
        <v>158</v>
      </c>
      <c r="B50" s="4" t="s">
        <v>159</v>
      </c>
      <c r="C50" s="4" t="s">
        <v>75</v>
      </c>
      <c r="E50" s="7" t="n">
        <v>224.8</v>
      </c>
      <c r="G50" s="8" t="s">
        <v>149</v>
      </c>
      <c r="H50" s="4" t="s">
        <v>160</v>
      </c>
    </row>
    <row r="51" customFormat="false" ht="17.15" hidden="false" customHeight="false" outlineLevel="0" collapsed="false">
      <c r="A51" s="0" t="s">
        <v>161</v>
      </c>
      <c r="B51" s="4" t="s">
        <v>162</v>
      </c>
      <c r="C51" s="4" t="s">
        <v>75</v>
      </c>
      <c r="E51" s="7" t="n">
        <v>3.8</v>
      </c>
      <c r="G51" s="8" t="s">
        <v>149</v>
      </c>
      <c r="H51" s="8" t="s">
        <v>163</v>
      </c>
    </row>
    <row r="52" customFormat="false" ht="17.15" hidden="false" customHeight="false" outlineLevel="0" collapsed="false">
      <c r="A52" s="0" t="s">
        <v>164</v>
      </c>
      <c r="B52" s="4" t="s">
        <v>165</v>
      </c>
      <c r="C52" s="4" t="s">
        <v>75</v>
      </c>
      <c r="E52" s="7" t="n">
        <v>230</v>
      </c>
      <c r="G52" s="8" t="s">
        <v>62</v>
      </c>
    </row>
    <row r="53" customFormat="false" ht="17.15" hidden="false" customHeight="false" outlineLevel="0" collapsed="false">
      <c r="A53" s="0" t="s">
        <v>166</v>
      </c>
      <c r="B53" s="4" t="s">
        <v>167</v>
      </c>
      <c r="C53" s="4" t="s">
        <v>75</v>
      </c>
      <c r="D53" s="7" t="n">
        <v>0</v>
      </c>
      <c r="E53" s="7" t="n">
        <v>6</v>
      </c>
      <c r="F53" s="7" t="n">
        <v>12</v>
      </c>
      <c r="G53" s="8" t="s">
        <v>62</v>
      </c>
      <c r="H53" s="4" t="s">
        <v>168</v>
      </c>
    </row>
    <row r="54" customFormat="false" ht="17.15" hidden="false" customHeight="false" outlineLevel="0" collapsed="false">
      <c r="A54" s="0" t="s">
        <v>169</v>
      </c>
      <c r="B54" s="4" t="s">
        <v>170</v>
      </c>
      <c r="C54" s="4" t="s">
        <v>75</v>
      </c>
      <c r="E54" s="7" t="n">
        <v>240</v>
      </c>
      <c r="G54" s="8" t="s">
        <v>62</v>
      </c>
    </row>
    <row r="55" customFormat="false" ht="17.15" hidden="false" customHeight="false" outlineLevel="0" collapsed="false">
      <c r="A55" s="0" t="s">
        <v>171</v>
      </c>
      <c r="B55" s="4" t="s">
        <v>172</v>
      </c>
      <c r="C55" s="4" t="s">
        <v>75</v>
      </c>
      <c r="D55" s="7" t="n">
        <v>0</v>
      </c>
      <c r="E55" s="7" t="n">
        <v>8</v>
      </c>
      <c r="F55" s="7" t="n">
        <v>15</v>
      </c>
      <c r="G55" s="8" t="s">
        <v>62</v>
      </c>
      <c r="H55" s="4" t="s">
        <v>173</v>
      </c>
    </row>
    <row r="56" customFormat="false" ht="17.15" hidden="false" customHeight="false" outlineLevel="0" collapsed="false">
      <c r="A56" s="0" t="s">
        <v>174</v>
      </c>
      <c r="B56" s="4" t="s">
        <v>175</v>
      </c>
      <c r="C56" s="4" t="s">
        <v>75</v>
      </c>
      <c r="E56" s="7" t="n">
        <v>250</v>
      </c>
      <c r="G56" s="8" t="s">
        <v>62</v>
      </c>
    </row>
    <row r="57" customFormat="false" ht="17.15" hidden="false" customHeight="false" outlineLevel="0" collapsed="false">
      <c r="A57" s="0" t="s">
        <v>176</v>
      </c>
      <c r="B57" s="4" t="s">
        <v>177</v>
      </c>
      <c r="C57" s="4" t="s">
        <v>75</v>
      </c>
      <c r="D57" s="7" t="n">
        <v>0</v>
      </c>
      <c r="E57" s="7" t="n">
        <v>8</v>
      </c>
      <c r="F57" s="7" t="n">
        <v>15</v>
      </c>
      <c r="G57" s="8" t="s">
        <v>62</v>
      </c>
    </row>
    <row r="58" customFormat="false" ht="17.15" hidden="false" customHeight="false" outlineLevel="0" collapsed="false">
      <c r="A58" s="6" t="s">
        <v>178</v>
      </c>
    </row>
    <row r="59" customFormat="false" ht="17.15" hidden="false" customHeight="false" outlineLevel="0" collapsed="false">
      <c r="A59" s="0" t="s">
        <v>179</v>
      </c>
      <c r="B59" s="4" t="s">
        <v>180</v>
      </c>
      <c r="C59" s="4" t="s">
        <v>75</v>
      </c>
      <c r="E59" s="7" t="n">
        <v>565.06</v>
      </c>
      <c r="G59" s="8" t="s">
        <v>44</v>
      </c>
      <c r="H59" s="8" t="s">
        <v>181</v>
      </c>
    </row>
    <row r="60" customFormat="false" ht="17.15" hidden="false" customHeight="false" outlineLevel="0" collapsed="false">
      <c r="A60" s="0" t="s">
        <v>182</v>
      </c>
      <c r="B60" s="4" t="s">
        <v>183</v>
      </c>
      <c r="C60" s="4" t="s">
        <v>75</v>
      </c>
      <c r="E60" s="7" t="n">
        <v>167.59</v>
      </c>
      <c r="G60" s="8" t="s">
        <v>39</v>
      </c>
      <c r="H60" s="4" t="s">
        <v>184</v>
      </c>
    </row>
    <row r="61" customFormat="false" ht="17.15" hidden="false" customHeight="false" outlineLevel="0" collapsed="false">
      <c r="A61" s="0" t="s">
        <v>185</v>
      </c>
      <c r="B61" s="4" t="s">
        <v>186</v>
      </c>
      <c r="C61" s="4" t="s">
        <v>187</v>
      </c>
      <c r="E61" s="7" t="n">
        <v>6566.56</v>
      </c>
      <c r="G61" s="8" t="s">
        <v>44</v>
      </c>
      <c r="H61" s="4" t="s">
        <v>188</v>
      </c>
    </row>
    <row r="62" customFormat="false" ht="15" hidden="false" customHeight="false" outlineLevel="0" collapsed="false">
      <c r="A62" s="0" t="s">
        <v>189</v>
      </c>
      <c r="B62" s="4" t="s">
        <v>190</v>
      </c>
      <c r="C62" s="4" t="s">
        <v>75</v>
      </c>
      <c r="E62" s="7" t="n">
        <v>0</v>
      </c>
      <c r="G62" s="8" t="s">
        <v>44</v>
      </c>
    </row>
    <row r="63" customFormat="false" ht="15" hidden="false" customHeight="false" outlineLevel="0" collapsed="false">
      <c r="A63" s="0" t="s">
        <v>191</v>
      </c>
      <c r="B63" s="4" t="s">
        <v>192</v>
      </c>
      <c r="C63" s="4" t="s">
        <v>187</v>
      </c>
      <c r="E63" s="7" t="n">
        <v>0</v>
      </c>
      <c r="G63" s="8" t="s">
        <v>44</v>
      </c>
    </row>
    <row r="64" customFormat="false" ht="17.15" hidden="false" customHeight="false" outlineLevel="0" collapsed="false">
      <c r="A64" s="0" t="s">
        <v>193</v>
      </c>
      <c r="B64" s="0" t="s">
        <v>194</v>
      </c>
      <c r="C64" s="4" t="s">
        <v>75</v>
      </c>
      <c r="E64" s="7" t="n">
        <v>15</v>
      </c>
      <c r="G64" s="8" t="s">
        <v>44</v>
      </c>
      <c r="H64" s="8" t="s">
        <v>195</v>
      </c>
    </row>
    <row r="65" customFormat="false" ht="17.15" hidden="false" customHeight="false" outlineLevel="0" collapsed="false">
      <c r="A65" s="0" t="s">
        <v>196</v>
      </c>
      <c r="B65" s="0" t="s">
        <v>197</v>
      </c>
      <c r="C65" s="4" t="s">
        <v>187</v>
      </c>
      <c r="E65" s="7" t="n">
        <v>57.3</v>
      </c>
      <c r="G65" s="8" t="s">
        <v>39</v>
      </c>
      <c r="H65" s="8" t="s">
        <v>198</v>
      </c>
    </row>
    <row r="66" customFormat="false" ht="17.15" hidden="false" customHeight="false" outlineLevel="0" collapsed="false">
      <c r="A66" s="0" t="s">
        <v>199</v>
      </c>
      <c r="B66" s="0" t="s">
        <v>200</v>
      </c>
      <c r="C66" s="4" t="s">
        <v>75</v>
      </c>
      <c r="E66" s="7" t="n">
        <v>32.5</v>
      </c>
      <c r="G66" s="8" t="s">
        <v>201</v>
      </c>
      <c r="H66" s="8" t="s">
        <v>202</v>
      </c>
    </row>
    <row r="67" customFormat="false" ht="17.15" hidden="false" customHeight="false" outlineLevel="0" collapsed="false">
      <c r="A67" s="0" t="s">
        <v>203</v>
      </c>
      <c r="B67" s="0" t="s">
        <v>204</v>
      </c>
      <c r="C67" s="4" t="s">
        <v>75</v>
      </c>
      <c r="E67" s="7" t="n">
        <v>31.4</v>
      </c>
      <c r="G67" s="8" t="s">
        <v>39</v>
      </c>
      <c r="H67" s="4" t="s">
        <v>205</v>
      </c>
    </row>
    <row r="68" customFormat="false" ht="17.15" hidden="false" customHeight="false" outlineLevel="0" collapsed="false">
      <c r="A68" s="0" t="s">
        <v>206</v>
      </c>
      <c r="B68" s="4" t="s">
        <v>207</v>
      </c>
      <c r="C68" s="0" t="s">
        <v>43</v>
      </c>
      <c r="E68" s="7" t="n">
        <v>1500</v>
      </c>
      <c r="G68" s="8" t="s">
        <v>44</v>
      </c>
      <c r="H68" s="4" t="s">
        <v>208</v>
      </c>
    </row>
    <row r="69" customFormat="false" ht="17.15" hidden="false" customHeight="false" outlineLevel="0" collapsed="false">
      <c r="A69" s="0" t="s">
        <v>209</v>
      </c>
      <c r="B69" s="4" t="s">
        <v>210</v>
      </c>
      <c r="C69" s="0" t="s">
        <v>43</v>
      </c>
      <c r="E69" s="7" t="n">
        <v>1500</v>
      </c>
      <c r="G69" s="8" t="s">
        <v>44</v>
      </c>
      <c r="H69" s="4" t="s">
        <v>211</v>
      </c>
    </row>
    <row r="70" customFormat="false" ht="17.15" hidden="false" customHeight="false" outlineLevel="0" collapsed="false">
      <c r="A70" s="0" t="s">
        <v>212</v>
      </c>
      <c r="B70" s="4" t="s">
        <v>213</v>
      </c>
      <c r="C70" s="0" t="s">
        <v>43</v>
      </c>
      <c r="E70" s="7" t="n">
        <v>1500</v>
      </c>
      <c r="G70" s="8" t="s">
        <v>62</v>
      </c>
    </row>
    <row r="71" customFormat="false" ht="17.15" hidden="false" customHeight="false" outlineLevel="0" collapsed="false">
      <c r="A71" s="0" t="s">
        <v>214</v>
      </c>
      <c r="B71" s="4" t="s">
        <v>215</v>
      </c>
      <c r="C71" s="0" t="s">
        <v>49</v>
      </c>
      <c r="D71" s="7" t="n">
        <v>0.3</v>
      </c>
      <c r="E71" s="7" t="n">
        <v>0.5</v>
      </c>
      <c r="F71" s="7" t="n">
        <v>0.7</v>
      </c>
      <c r="G71" s="8" t="s">
        <v>39</v>
      </c>
      <c r="H71" s="8" t="s">
        <v>216</v>
      </c>
    </row>
    <row r="72" customFormat="false" ht="15" hidden="false" customHeight="false" outlineLevel="0" collapsed="false">
      <c r="A72" s="0" t="s">
        <v>217</v>
      </c>
      <c r="B72" s="4" t="s">
        <v>218</v>
      </c>
      <c r="C72" s="0" t="s">
        <v>43</v>
      </c>
      <c r="E72" s="7" t="n">
        <v>262000</v>
      </c>
      <c r="G72" s="8" t="s">
        <v>62</v>
      </c>
      <c r="H72" s="4" t="s">
        <v>219</v>
      </c>
    </row>
    <row r="73" customFormat="false" ht="17.15" hidden="false" customHeight="false" outlineLevel="0" collapsed="false">
      <c r="A73" s="6" t="s">
        <v>220</v>
      </c>
    </row>
    <row r="74" customFormat="false" ht="17.15" hidden="false" customHeight="false" outlineLevel="0" collapsed="false">
      <c r="A74" s="0" t="s">
        <v>221</v>
      </c>
      <c r="B74" s="0" t="s">
        <v>222</v>
      </c>
      <c r="C74" s="0" t="s">
        <v>223</v>
      </c>
      <c r="E74" s="7" t="n">
        <v>1</v>
      </c>
      <c r="G74" s="8" t="s">
        <v>66</v>
      </c>
      <c r="H74" s="8" t="s">
        <v>224</v>
      </c>
    </row>
    <row r="75" customFormat="false" ht="17.15" hidden="false" customHeight="false" outlineLevel="0" collapsed="false">
      <c r="A75" s="0" t="s">
        <v>225</v>
      </c>
      <c r="B75" s="0" t="s">
        <v>226</v>
      </c>
      <c r="C75" s="0" t="s">
        <v>223</v>
      </c>
      <c r="E75" s="7" t="n">
        <v>1.4</v>
      </c>
      <c r="G75" s="8" t="s">
        <v>66</v>
      </c>
      <c r="H75" s="8" t="s">
        <v>227</v>
      </c>
    </row>
    <row r="76" customFormat="false" ht="17.15" hidden="false" customHeight="false" outlineLevel="0" collapsed="false">
      <c r="A76" s="0" t="s">
        <v>228</v>
      </c>
      <c r="B76" s="0" t="s">
        <v>229</v>
      </c>
      <c r="C76" s="0" t="s">
        <v>223</v>
      </c>
      <c r="E76" s="7" t="n">
        <v>2</v>
      </c>
      <c r="G76" s="8" t="s">
        <v>66</v>
      </c>
      <c r="H76" s="8" t="s">
        <v>230</v>
      </c>
    </row>
    <row r="77" customFormat="false" ht="17.15" hidden="false" customHeight="false" outlineLevel="0" collapsed="false">
      <c r="A77" s="0" t="s">
        <v>231</v>
      </c>
      <c r="B77" s="0" t="s">
        <v>232</v>
      </c>
      <c r="C77" s="0" t="s">
        <v>223</v>
      </c>
      <c r="E77" s="7" t="n">
        <v>4</v>
      </c>
      <c r="G77" s="8" t="s">
        <v>62</v>
      </c>
      <c r="H77" s="4" t="s">
        <v>233</v>
      </c>
    </row>
    <row r="78" customFormat="false" ht="15" hidden="false" customHeight="false" outlineLevel="0" collapsed="false">
      <c r="A78" s="0" t="s">
        <v>234</v>
      </c>
      <c r="B78" s="0" t="s">
        <v>235</v>
      </c>
      <c r="C78" s="0" t="s">
        <v>223</v>
      </c>
      <c r="E78" s="7" t="n">
        <v>8</v>
      </c>
      <c r="G78" s="8" t="s">
        <v>62</v>
      </c>
    </row>
    <row r="79" customFormat="false" ht="15" hidden="false" customHeight="false" outlineLevel="0" collapsed="false">
      <c r="A79" s="0" t="s">
        <v>236</v>
      </c>
      <c r="B79" s="0" t="s">
        <v>237</v>
      </c>
      <c r="C79" s="0" t="s">
        <v>223</v>
      </c>
      <c r="E79" s="7" t="n">
        <v>12</v>
      </c>
      <c r="G79" s="8" t="s">
        <v>62</v>
      </c>
    </row>
    <row r="80" customFormat="false" ht="17.15" hidden="false" customHeight="false" outlineLevel="0" collapsed="false">
      <c r="A80" s="6" t="s">
        <v>238</v>
      </c>
    </row>
    <row r="81" customFormat="false" ht="17.15" hidden="false" customHeight="false" outlineLevel="0" collapsed="false">
      <c r="A81" s="0" t="s">
        <v>239</v>
      </c>
      <c r="B81" s="4" t="s">
        <v>240</v>
      </c>
      <c r="C81" s="0" t="s">
        <v>49</v>
      </c>
      <c r="E81" s="7" t="n">
        <v>-0.025</v>
      </c>
      <c r="G81" s="8" t="s">
        <v>66</v>
      </c>
      <c r="H81" s="8" t="s">
        <v>241</v>
      </c>
    </row>
    <row r="82" customFormat="false" ht="17.15" hidden="false" customHeight="false" outlineLevel="0" collapsed="false">
      <c r="A82" s="0" t="s">
        <v>242</v>
      </c>
      <c r="B82" s="4" t="s">
        <v>243</v>
      </c>
      <c r="C82" s="0" t="s">
        <v>49</v>
      </c>
      <c r="E82" s="7" t="n">
        <v>0.125</v>
      </c>
      <c r="G82" s="8" t="s">
        <v>66</v>
      </c>
      <c r="H82" s="4" t="s">
        <v>211</v>
      </c>
    </row>
    <row r="83" customFormat="false" ht="17.15" hidden="false" customHeight="false" outlineLevel="0" collapsed="false">
      <c r="A83" s="0" t="s">
        <v>244</v>
      </c>
      <c r="B83" s="4" t="s">
        <v>245</v>
      </c>
      <c r="C83" s="0" t="s">
        <v>49</v>
      </c>
      <c r="E83" s="7" t="n">
        <v>0.475</v>
      </c>
      <c r="G83" s="8" t="s">
        <v>66</v>
      </c>
      <c r="H83" s="4" t="s">
        <v>211</v>
      </c>
    </row>
    <row r="84" customFormat="false" ht="17.15" hidden="false" customHeight="false" outlineLevel="0" collapsed="false">
      <c r="A84" s="0" t="s">
        <v>246</v>
      </c>
      <c r="B84" s="4" t="s">
        <v>247</v>
      </c>
      <c r="C84" s="0" t="s">
        <v>49</v>
      </c>
      <c r="E84" s="7" t="n">
        <v>0.95</v>
      </c>
      <c r="G84" s="8" t="s">
        <v>66</v>
      </c>
      <c r="H84" s="4" t="s">
        <v>211</v>
      </c>
    </row>
    <row r="85" customFormat="false" ht="17.15" hidden="false" customHeight="false" outlineLevel="0" collapsed="false">
      <c r="A85" s="0" t="s">
        <v>248</v>
      </c>
      <c r="B85" s="4" t="s">
        <v>249</v>
      </c>
      <c r="C85" s="0" t="s">
        <v>49</v>
      </c>
      <c r="E85" s="7" t="n">
        <v>0.605</v>
      </c>
      <c r="G85" s="8" t="s">
        <v>66</v>
      </c>
      <c r="H85" s="4" t="s">
        <v>211</v>
      </c>
    </row>
    <row r="86" customFormat="false" ht="17.15" hidden="false" customHeight="false" outlineLevel="0" collapsed="false">
      <c r="A86" s="0" t="s">
        <v>250</v>
      </c>
      <c r="B86" s="4" t="s">
        <v>251</v>
      </c>
      <c r="C86" s="0" t="s">
        <v>49</v>
      </c>
      <c r="E86" s="7" t="n">
        <v>0.155</v>
      </c>
      <c r="G86" s="8" t="s">
        <v>66</v>
      </c>
      <c r="H86" s="4" t="s">
        <v>211</v>
      </c>
    </row>
    <row r="87" customFormat="false" ht="17.15" hidden="false" customHeight="false" outlineLevel="0" collapsed="false">
      <c r="A87" s="0" t="s">
        <v>252</v>
      </c>
      <c r="B87" s="4" t="s">
        <v>253</v>
      </c>
      <c r="C87" s="0" t="s">
        <v>49</v>
      </c>
      <c r="E87" s="7" t="n">
        <v>0.125</v>
      </c>
      <c r="G87" s="8" t="s">
        <v>66</v>
      </c>
      <c r="H87" s="4" t="s">
        <v>211</v>
      </c>
    </row>
    <row r="88" customFormat="false" ht="17.15" hidden="false" customHeight="false" outlineLevel="0" collapsed="false">
      <c r="A88" s="0" t="s">
        <v>254</v>
      </c>
      <c r="B88" s="4" t="s">
        <v>255</v>
      </c>
      <c r="C88" s="0" t="s">
        <v>49</v>
      </c>
      <c r="E88" s="7" t="n">
        <v>0.03</v>
      </c>
      <c r="G88" s="8" t="s">
        <v>39</v>
      </c>
      <c r="H88" s="4" t="s">
        <v>256</v>
      </c>
    </row>
    <row r="89" customFormat="false" ht="17.15" hidden="false" customHeight="false" outlineLevel="0" collapsed="false">
      <c r="A89" s="0" t="s">
        <v>257</v>
      </c>
      <c r="B89" s="4" t="s">
        <v>258</v>
      </c>
      <c r="C89" s="0" t="s">
        <v>49</v>
      </c>
      <c r="E89" s="7" t="n">
        <v>0</v>
      </c>
      <c r="G89" s="8" t="s">
        <v>39</v>
      </c>
      <c r="H89" s="4" t="s">
        <v>211</v>
      </c>
    </row>
    <row r="90" customFormat="false" ht="17.15" hidden="false" customHeight="false" outlineLevel="0" collapsed="false">
      <c r="A90" s="0" t="s">
        <v>259</v>
      </c>
      <c r="B90" s="4" t="s">
        <v>260</v>
      </c>
      <c r="C90" s="0" t="s">
        <v>49</v>
      </c>
      <c r="E90" s="7" t="n">
        <v>-0.02</v>
      </c>
      <c r="G90" s="8" t="s">
        <v>39</v>
      </c>
      <c r="H90" s="4" t="s">
        <v>211</v>
      </c>
    </row>
    <row r="91" customFormat="false" ht="17.15" hidden="false" customHeight="false" outlineLevel="0" collapsed="false">
      <c r="A91" s="0" t="s">
        <v>261</v>
      </c>
      <c r="B91" s="4" t="s">
        <v>262</v>
      </c>
      <c r="C91" s="0" t="s">
        <v>49</v>
      </c>
      <c r="E91" s="7" t="n">
        <v>-0.03</v>
      </c>
      <c r="G91" s="8" t="s">
        <v>39</v>
      </c>
      <c r="H91" s="4" t="s">
        <v>211</v>
      </c>
    </row>
    <row r="92" customFormat="false" ht="17.15" hidden="false" customHeight="false" outlineLevel="0" collapsed="false">
      <c r="A92" s="0" t="s">
        <v>263</v>
      </c>
      <c r="B92" s="4" t="s">
        <v>264</v>
      </c>
      <c r="C92" s="0" t="s">
        <v>49</v>
      </c>
      <c r="E92" s="7" t="n">
        <v>-0.03</v>
      </c>
      <c r="G92" s="8" t="s">
        <v>39</v>
      </c>
      <c r="H92" s="4" t="s">
        <v>211</v>
      </c>
    </row>
    <row r="93" customFormat="false" ht="17.15" hidden="false" customHeight="false" outlineLevel="0" collapsed="false">
      <c r="A93" s="0" t="s">
        <v>265</v>
      </c>
      <c r="B93" s="4" t="s">
        <v>266</v>
      </c>
      <c r="C93" s="0" t="s">
        <v>49</v>
      </c>
      <c r="E93" s="7" t="n">
        <v>-0.03</v>
      </c>
      <c r="G93" s="8" t="s">
        <v>39</v>
      </c>
      <c r="H93" s="4" t="s">
        <v>211</v>
      </c>
    </row>
    <row r="94" customFormat="false" ht="17.15" hidden="false" customHeight="false" outlineLevel="0" collapsed="false">
      <c r="A94" s="0" t="s">
        <v>267</v>
      </c>
      <c r="B94" s="4" t="s">
        <v>268</v>
      </c>
      <c r="C94" s="0" t="s">
        <v>49</v>
      </c>
      <c r="E94" s="7" t="n">
        <v>-0.02</v>
      </c>
      <c r="G94" s="8" t="s">
        <v>39</v>
      </c>
      <c r="H94" s="4" t="s">
        <v>211</v>
      </c>
    </row>
    <row r="95" customFormat="false" ht="17.15" hidden="false" customHeight="false" outlineLevel="0" collapsed="false">
      <c r="A95" s="0" t="s">
        <v>269</v>
      </c>
      <c r="B95" s="4" t="s">
        <v>270</v>
      </c>
      <c r="C95" s="0" t="s">
        <v>49</v>
      </c>
      <c r="E95" s="7" t="n">
        <v>-0.02</v>
      </c>
      <c r="G95" s="8" t="s">
        <v>39</v>
      </c>
      <c r="H95" s="4" t="s">
        <v>211</v>
      </c>
    </row>
    <row r="96" customFormat="false" ht="17.15" hidden="false" customHeight="false" outlineLevel="0" collapsed="false">
      <c r="A96" s="0" t="s">
        <v>271</v>
      </c>
      <c r="B96" s="4" t="s">
        <v>272</v>
      </c>
      <c r="C96" s="0" t="s">
        <v>49</v>
      </c>
      <c r="D96" s="7" t="n">
        <v>-0.03</v>
      </c>
      <c r="E96" s="7" t="n">
        <v>-0.03</v>
      </c>
      <c r="F96" s="7" t="n">
        <v>0.05</v>
      </c>
      <c r="G96" s="8" t="s">
        <v>62</v>
      </c>
      <c r="H96" s="8" t="s">
        <v>273</v>
      </c>
    </row>
    <row r="97" customFormat="false" ht="17.15" hidden="false" customHeight="false" outlineLevel="0" collapsed="false">
      <c r="A97" s="0" t="s">
        <v>274</v>
      </c>
      <c r="B97" s="4" t="s">
        <v>275</v>
      </c>
      <c r="C97" s="0" t="s">
        <v>49</v>
      </c>
      <c r="D97" s="7" t="n">
        <v>-0.03</v>
      </c>
      <c r="E97" s="7" t="n">
        <v>-0.03</v>
      </c>
      <c r="F97" s="7" t="n">
        <v>0.05</v>
      </c>
      <c r="G97" s="8" t="s">
        <v>62</v>
      </c>
      <c r="H97" s="4" t="s">
        <v>211</v>
      </c>
    </row>
    <row r="98" customFormat="false" ht="17.15" hidden="false" customHeight="false" outlineLevel="0" collapsed="false">
      <c r="A98" s="0" t="s">
        <v>276</v>
      </c>
      <c r="B98" s="4" t="s">
        <v>277</v>
      </c>
      <c r="C98" s="0" t="s">
        <v>49</v>
      </c>
      <c r="D98" s="7" t="n">
        <v>-0.02</v>
      </c>
      <c r="E98" s="7" t="n">
        <v>-0.02</v>
      </c>
      <c r="F98" s="7" t="n">
        <v>0.03</v>
      </c>
      <c r="G98" s="8" t="s">
        <v>62</v>
      </c>
      <c r="H98" s="4" t="s">
        <v>211</v>
      </c>
    </row>
    <row r="99" customFormat="false" ht="17.15" hidden="false" customHeight="false" outlineLevel="0" collapsed="false">
      <c r="A99" s="0" t="s">
        <v>278</v>
      </c>
      <c r="B99" s="4" t="s">
        <v>279</v>
      </c>
      <c r="C99" s="0" t="s">
        <v>49</v>
      </c>
      <c r="D99" s="7" t="n">
        <v>-0.02</v>
      </c>
      <c r="E99" s="7" t="n">
        <v>-0.02</v>
      </c>
      <c r="F99" s="7" t="n">
        <v>0.03</v>
      </c>
      <c r="G99" s="8" t="s">
        <v>62</v>
      </c>
      <c r="H99" s="4" t="s">
        <v>211</v>
      </c>
    </row>
    <row r="100" customFormat="false" ht="17.15" hidden="false" customHeight="false" outlineLevel="0" collapsed="false">
      <c r="A100" s="0" t="s">
        <v>280</v>
      </c>
      <c r="B100" s="4" t="s">
        <v>281</v>
      </c>
      <c r="C100" s="0" t="s">
        <v>49</v>
      </c>
      <c r="E100" s="7" t="n">
        <v>0.05</v>
      </c>
      <c r="G100" s="8" t="s">
        <v>39</v>
      </c>
      <c r="H100" s="4" t="s">
        <v>282</v>
      </c>
    </row>
    <row r="101" customFormat="false" ht="17.15" hidden="false" customHeight="false" outlineLevel="0" collapsed="false">
      <c r="A101" s="0" t="s">
        <v>283</v>
      </c>
      <c r="B101" s="4" t="s">
        <v>284</v>
      </c>
      <c r="C101" s="0" t="s">
        <v>49</v>
      </c>
      <c r="E101" s="7" t="n">
        <v>0.02</v>
      </c>
      <c r="G101" s="8" t="s">
        <v>39</v>
      </c>
      <c r="H101" s="4" t="s">
        <v>211</v>
      </c>
    </row>
    <row r="102" customFormat="false" ht="17.15" hidden="false" customHeight="false" outlineLevel="0" collapsed="false">
      <c r="A102" s="0" t="s">
        <v>285</v>
      </c>
      <c r="B102" s="4" t="s">
        <v>286</v>
      </c>
      <c r="C102" s="0" t="s">
        <v>49</v>
      </c>
      <c r="E102" s="7" t="n">
        <v>-0.08</v>
      </c>
      <c r="G102" s="8" t="s">
        <v>39</v>
      </c>
      <c r="H102" s="4" t="s">
        <v>211</v>
      </c>
    </row>
    <row r="103" customFormat="false" ht="17.15" hidden="false" customHeight="false" outlineLevel="0" collapsed="false">
      <c r="A103" s="0" t="s">
        <v>287</v>
      </c>
      <c r="B103" s="4" t="s">
        <v>288</v>
      </c>
      <c r="C103" s="0" t="s">
        <v>49</v>
      </c>
      <c r="E103" s="7" t="n">
        <v>-0.15</v>
      </c>
      <c r="G103" s="8" t="s">
        <v>39</v>
      </c>
      <c r="H103" s="4" t="s">
        <v>211</v>
      </c>
    </row>
    <row r="104" customFormat="false" ht="17.15" hidden="false" customHeight="false" outlineLevel="0" collapsed="false">
      <c r="A104" s="0" t="s">
        <v>289</v>
      </c>
      <c r="B104" s="4" t="s">
        <v>290</v>
      </c>
      <c r="C104" s="0" t="s">
        <v>49</v>
      </c>
      <c r="E104" s="7" t="n">
        <v>-0.25</v>
      </c>
      <c r="G104" s="8" t="s">
        <v>39</v>
      </c>
      <c r="H104" s="4" t="s">
        <v>211</v>
      </c>
    </row>
    <row r="105" customFormat="false" ht="17.15" hidden="false" customHeight="false" outlineLevel="0" collapsed="false">
      <c r="A105" s="0" t="s">
        <v>291</v>
      </c>
      <c r="B105" s="4" t="s">
        <v>292</v>
      </c>
      <c r="C105" s="0" t="s">
        <v>49</v>
      </c>
      <c r="E105" s="7" t="n">
        <v>-0.15</v>
      </c>
      <c r="G105" s="8" t="s">
        <v>39</v>
      </c>
      <c r="H105" s="4" t="s">
        <v>211</v>
      </c>
    </row>
    <row r="106" customFormat="false" ht="17.15" hidden="false" customHeight="false" outlineLevel="0" collapsed="false">
      <c r="A106" s="0" t="s">
        <v>293</v>
      </c>
      <c r="B106" s="4" t="s">
        <v>294</v>
      </c>
      <c r="C106" s="0" t="s">
        <v>49</v>
      </c>
      <c r="E106" s="7" t="n">
        <v>-0.1</v>
      </c>
      <c r="G106" s="8" t="s">
        <v>39</v>
      </c>
      <c r="H106" s="4" t="s">
        <v>211</v>
      </c>
    </row>
    <row r="107" customFormat="false" ht="17.15" hidden="false" customHeight="false" outlineLevel="0" collapsed="false">
      <c r="A107" s="0" t="s">
        <v>295</v>
      </c>
      <c r="B107" s="4" t="s">
        <v>296</v>
      </c>
      <c r="C107" s="0" t="s">
        <v>49</v>
      </c>
      <c r="E107" s="7" t="n">
        <v>-0.05</v>
      </c>
      <c r="G107" s="8" t="s">
        <v>39</v>
      </c>
      <c r="H107" s="4" t="s">
        <v>211</v>
      </c>
    </row>
    <row r="108" customFormat="false" ht="17.15" hidden="false" customHeight="false" outlineLevel="0" collapsed="false">
      <c r="A108" s="0" t="s">
        <v>297</v>
      </c>
      <c r="B108" s="4" t="s">
        <v>298</v>
      </c>
      <c r="C108" s="0" t="s">
        <v>49</v>
      </c>
      <c r="D108" s="7" t="n">
        <v>-0.03</v>
      </c>
      <c r="E108" s="7" t="n">
        <v>0.05</v>
      </c>
      <c r="F108" s="7" t="n">
        <v>0.05</v>
      </c>
      <c r="G108" s="8" t="s">
        <v>62</v>
      </c>
      <c r="H108" s="8" t="s">
        <v>273</v>
      </c>
    </row>
    <row r="109" customFormat="false" ht="17.15" hidden="false" customHeight="false" outlineLevel="0" collapsed="false">
      <c r="A109" s="0" t="s">
        <v>299</v>
      </c>
      <c r="B109" s="4" t="s">
        <v>300</v>
      </c>
      <c r="C109" s="0" t="s">
        <v>49</v>
      </c>
      <c r="D109" s="7" t="n">
        <v>-0.03</v>
      </c>
      <c r="E109" s="7" t="n">
        <v>0.05</v>
      </c>
      <c r="F109" s="7" t="n">
        <v>0.05</v>
      </c>
      <c r="G109" s="8" t="s">
        <v>62</v>
      </c>
      <c r="H109" s="4" t="s">
        <v>211</v>
      </c>
    </row>
    <row r="110" customFormat="false" ht="17.15" hidden="false" customHeight="false" outlineLevel="0" collapsed="false">
      <c r="A110" s="0" t="s">
        <v>301</v>
      </c>
      <c r="B110" s="4" t="s">
        <v>302</v>
      </c>
      <c r="C110" s="0" t="s">
        <v>49</v>
      </c>
      <c r="D110" s="7" t="n">
        <v>-0.02</v>
      </c>
      <c r="E110" s="7" t="n">
        <v>0.03</v>
      </c>
      <c r="F110" s="7" t="n">
        <v>0.03</v>
      </c>
      <c r="G110" s="8" t="s">
        <v>62</v>
      </c>
      <c r="H110" s="4" t="s">
        <v>211</v>
      </c>
    </row>
    <row r="111" customFormat="false" ht="17.15" hidden="false" customHeight="false" outlineLevel="0" collapsed="false">
      <c r="A111" s="0" t="s">
        <v>303</v>
      </c>
      <c r="B111" s="4" t="s">
        <v>304</v>
      </c>
      <c r="C111" s="0" t="s">
        <v>49</v>
      </c>
      <c r="D111" s="7" t="n">
        <v>-0.02</v>
      </c>
      <c r="E111" s="7" t="n">
        <v>0.03</v>
      </c>
      <c r="F111" s="7" t="n">
        <v>0.03</v>
      </c>
      <c r="G111" s="8" t="s">
        <v>62</v>
      </c>
      <c r="H111" s="4" t="s">
        <v>211</v>
      </c>
    </row>
    <row r="112" customFormat="false" ht="17.15" hidden="false" customHeight="false" outlineLevel="0" collapsed="false">
      <c r="A112" s="0" t="s">
        <v>305</v>
      </c>
      <c r="B112" s="4" t="s">
        <v>306</v>
      </c>
      <c r="C112" s="0" t="s">
        <v>49</v>
      </c>
      <c r="D112" s="7" t="n">
        <v>0</v>
      </c>
      <c r="E112" s="7" t="n">
        <v>0.05</v>
      </c>
      <c r="F112" s="7" t="n">
        <v>0.1</v>
      </c>
      <c r="G112" s="8" t="s">
        <v>62</v>
      </c>
      <c r="H112" s="8" t="s">
        <v>307</v>
      </c>
    </row>
    <row r="113" customFormat="false" ht="17.15" hidden="false" customHeight="false" outlineLevel="0" collapsed="false">
      <c r="A113" s="0" t="s">
        <v>308</v>
      </c>
      <c r="B113" s="4" t="s">
        <v>309</v>
      </c>
      <c r="C113" s="0" t="s">
        <v>49</v>
      </c>
      <c r="D113" s="7" t="n">
        <v>-0.03</v>
      </c>
      <c r="E113" s="7" t="n">
        <v>0.02</v>
      </c>
      <c r="F113" s="7" t="n">
        <v>0.07</v>
      </c>
      <c r="G113" s="8" t="s">
        <v>62</v>
      </c>
      <c r="H113" s="4" t="s">
        <v>211</v>
      </c>
    </row>
    <row r="114" customFormat="false" ht="17.15" hidden="false" customHeight="false" outlineLevel="0" collapsed="false">
      <c r="A114" s="0" t="s">
        <v>310</v>
      </c>
      <c r="B114" s="4" t="s">
        <v>311</v>
      </c>
      <c r="C114" s="0" t="s">
        <v>49</v>
      </c>
      <c r="D114" s="7" t="n">
        <v>-0.13</v>
      </c>
      <c r="E114" s="7" t="n">
        <v>-0.08</v>
      </c>
      <c r="F114" s="7" t="n">
        <v>-0.03</v>
      </c>
      <c r="G114" s="8" t="s">
        <v>62</v>
      </c>
      <c r="H114" s="4" t="s">
        <v>211</v>
      </c>
    </row>
    <row r="115" customFormat="false" ht="17.15" hidden="false" customHeight="false" outlineLevel="0" collapsed="false">
      <c r="A115" s="0" t="s">
        <v>312</v>
      </c>
      <c r="B115" s="4" t="s">
        <v>313</v>
      </c>
      <c r="C115" s="0" t="s">
        <v>49</v>
      </c>
      <c r="D115" s="7" t="n">
        <v>-0.2</v>
      </c>
      <c r="E115" s="7" t="n">
        <v>-0.15</v>
      </c>
      <c r="F115" s="7" t="n">
        <v>-0.1</v>
      </c>
      <c r="G115" s="8" t="s">
        <v>62</v>
      </c>
      <c r="H115" s="4" t="s">
        <v>211</v>
      </c>
    </row>
    <row r="116" customFormat="false" ht="17.15" hidden="false" customHeight="false" outlineLevel="0" collapsed="false">
      <c r="A116" s="0" t="s">
        <v>314</v>
      </c>
      <c r="B116" s="4" t="s">
        <v>315</v>
      </c>
      <c r="C116" s="0" t="s">
        <v>49</v>
      </c>
      <c r="D116" s="7" t="n">
        <v>-0.45</v>
      </c>
      <c r="E116" s="7" t="n">
        <v>-0.35</v>
      </c>
      <c r="F116" s="7" t="n">
        <v>-0.25</v>
      </c>
      <c r="G116" s="8" t="s">
        <v>62</v>
      </c>
      <c r="H116" s="4" t="s">
        <v>211</v>
      </c>
    </row>
    <row r="117" customFormat="false" ht="17.15" hidden="false" customHeight="false" outlineLevel="0" collapsed="false">
      <c r="A117" s="0" t="s">
        <v>316</v>
      </c>
      <c r="B117" s="4" t="s">
        <v>317</v>
      </c>
      <c r="C117" s="0" t="s">
        <v>49</v>
      </c>
      <c r="D117" s="7" t="n">
        <v>-0.4</v>
      </c>
      <c r="E117" s="7" t="n">
        <v>-0.3</v>
      </c>
      <c r="F117" s="7" t="n">
        <v>-0.2</v>
      </c>
      <c r="G117" s="8" t="s">
        <v>62</v>
      </c>
      <c r="H117" s="4" t="s">
        <v>211</v>
      </c>
    </row>
    <row r="118" customFormat="false" ht="17.15" hidden="false" customHeight="false" outlineLevel="0" collapsed="false">
      <c r="A118" s="0" t="s">
        <v>318</v>
      </c>
      <c r="B118" s="4" t="s">
        <v>319</v>
      </c>
      <c r="C118" s="0" t="s">
        <v>49</v>
      </c>
      <c r="D118" s="7" t="n">
        <v>-0.35</v>
      </c>
      <c r="E118" s="7" t="n">
        <v>-0.25</v>
      </c>
      <c r="F118" s="7" t="n">
        <v>-0.15</v>
      </c>
      <c r="G118" s="8" t="s">
        <v>62</v>
      </c>
      <c r="H118" s="4" t="s">
        <v>211</v>
      </c>
    </row>
    <row r="119" customFormat="false" ht="17.15" hidden="false" customHeight="false" outlineLevel="0" collapsed="false">
      <c r="A119" s="0" t="s">
        <v>320</v>
      </c>
      <c r="B119" s="4" t="s">
        <v>321</v>
      </c>
      <c r="C119" s="0" t="s">
        <v>49</v>
      </c>
      <c r="D119" s="7" t="n">
        <v>-0.3</v>
      </c>
      <c r="E119" s="7" t="n">
        <v>-0.2</v>
      </c>
      <c r="F119" s="7" t="n">
        <v>-0.1</v>
      </c>
      <c r="G119" s="8" t="s">
        <v>62</v>
      </c>
      <c r="H119" s="4" t="s">
        <v>211</v>
      </c>
    </row>
    <row r="120" customFormat="false" ht="17.15" hidden="false" customHeight="false" outlineLevel="0" collapsed="false">
      <c r="A120" s="0" t="s">
        <v>322</v>
      </c>
      <c r="B120" s="4" t="s">
        <v>323</v>
      </c>
      <c r="C120" s="0" t="s">
        <v>49</v>
      </c>
      <c r="D120" s="7" t="n">
        <v>-0.1</v>
      </c>
      <c r="E120" s="7" t="n">
        <v>0</v>
      </c>
      <c r="F120" s="7" t="n">
        <v>0.1</v>
      </c>
      <c r="G120" s="8" t="s">
        <v>62</v>
      </c>
      <c r="H120" s="4" t="s">
        <v>211</v>
      </c>
    </row>
    <row r="121" customFormat="false" ht="17.15" hidden="false" customHeight="false" outlineLevel="0" collapsed="false">
      <c r="A121" s="0" t="s">
        <v>324</v>
      </c>
      <c r="B121" s="4" t="s">
        <v>325</v>
      </c>
      <c r="C121" s="0" t="s">
        <v>49</v>
      </c>
      <c r="D121" s="7" t="n">
        <v>-0.05</v>
      </c>
      <c r="E121" s="7" t="n">
        <v>0.05</v>
      </c>
      <c r="F121" s="7" t="n">
        <v>0.15</v>
      </c>
      <c r="G121" s="8" t="s">
        <v>62</v>
      </c>
      <c r="H121" s="4" t="s">
        <v>211</v>
      </c>
    </row>
    <row r="122" customFormat="false" ht="17.15" hidden="false" customHeight="false" outlineLevel="0" collapsed="false">
      <c r="A122" s="0" t="s">
        <v>326</v>
      </c>
      <c r="B122" s="4" t="s">
        <v>327</v>
      </c>
      <c r="C122" s="0" t="s">
        <v>49</v>
      </c>
      <c r="D122" s="7" t="n">
        <v>-0.02</v>
      </c>
      <c r="E122" s="7" t="n">
        <v>0.08</v>
      </c>
      <c r="F122" s="7" t="n">
        <v>0.18</v>
      </c>
      <c r="G122" s="8" t="s">
        <v>62</v>
      </c>
      <c r="H122" s="4" t="s">
        <v>211</v>
      </c>
    </row>
    <row r="123" customFormat="false" ht="17.15" hidden="false" customHeight="false" outlineLevel="0" collapsed="false">
      <c r="A123" s="0" t="s">
        <v>328</v>
      </c>
      <c r="B123" s="4" t="s">
        <v>329</v>
      </c>
      <c r="C123" s="0" t="s">
        <v>49</v>
      </c>
      <c r="D123" s="7" t="n">
        <v>0</v>
      </c>
      <c r="E123" s="7" t="n">
        <v>0.1</v>
      </c>
      <c r="F123" s="7" t="n">
        <v>0.2</v>
      </c>
      <c r="G123" s="8" t="s">
        <v>62</v>
      </c>
      <c r="H123" s="4" t="s">
        <v>211</v>
      </c>
    </row>
    <row r="124" customFormat="false" ht="17.15" hidden="false" customHeight="false" outlineLevel="0" collapsed="false">
      <c r="A124" s="0" t="s">
        <v>330</v>
      </c>
      <c r="B124" s="0" t="s">
        <v>331</v>
      </c>
      <c r="C124" s="0" t="s">
        <v>49</v>
      </c>
      <c r="E124" s="7" t="n">
        <v>0</v>
      </c>
      <c r="G124" s="8" t="s">
        <v>66</v>
      </c>
      <c r="H124" s="8" t="s">
        <v>332</v>
      </c>
    </row>
    <row r="125" customFormat="false" ht="17.15" hidden="false" customHeight="false" outlineLevel="0" collapsed="false">
      <c r="A125" s="0" t="s">
        <v>333</v>
      </c>
      <c r="B125" s="0" t="s">
        <v>334</v>
      </c>
      <c r="C125" s="0" t="s">
        <v>49</v>
      </c>
      <c r="E125" s="7" t="n">
        <v>0.05</v>
      </c>
      <c r="G125" s="8" t="s">
        <v>66</v>
      </c>
      <c r="H125" s="4" t="s">
        <v>211</v>
      </c>
    </row>
    <row r="126" customFormat="false" ht="17.15" hidden="false" customHeight="false" outlineLevel="0" collapsed="false">
      <c r="A126" s="0" t="s">
        <v>335</v>
      </c>
      <c r="B126" s="0" t="s">
        <v>336</v>
      </c>
      <c r="C126" s="0" t="s">
        <v>49</v>
      </c>
      <c r="E126" s="7" t="n">
        <v>0.3</v>
      </c>
      <c r="G126" s="8" t="s">
        <v>66</v>
      </c>
      <c r="H126" s="4" t="s">
        <v>211</v>
      </c>
    </row>
    <row r="127" customFormat="false" ht="17.15" hidden="false" customHeight="false" outlineLevel="0" collapsed="false">
      <c r="A127" s="0" t="s">
        <v>337</v>
      </c>
      <c r="B127" s="0" t="s">
        <v>338</v>
      </c>
      <c r="C127" s="0" t="s">
        <v>49</v>
      </c>
      <c r="E127" s="7" t="n">
        <v>0.875</v>
      </c>
      <c r="G127" s="8" t="s">
        <v>66</v>
      </c>
      <c r="H127" s="4" t="s">
        <v>211</v>
      </c>
    </row>
    <row r="128" customFormat="false" ht="17.15" hidden="false" customHeight="false" outlineLevel="0" collapsed="false">
      <c r="A128" s="0" t="s">
        <v>339</v>
      </c>
      <c r="B128" s="0" t="s">
        <v>340</v>
      </c>
      <c r="C128" s="0" t="s">
        <v>49</v>
      </c>
      <c r="E128" s="7" t="n">
        <v>0.725</v>
      </c>
      <c r="G128" s="8" t="s">
        <v>66</v>
      </c>
      <c r="H128" s="4" t="s">
        <v>211</v>
      </c>
    </row>
    <row r="129" customFormat="false" ht="17.15" hidden="false" customHeight="false" outlineLevel="0" collapsed="false">
      <c r="A129" s="0" t="s">
        <v>341</v>
      </c>
      <c r="B129" s="0" t="s">
        <v>342</v>
      </c>
      <c r="C129" s="0" t="s">
        <v>49</v>
      </c>
      <c r="E129" s="7" t="n">
        <v>0.15</v>
      </c>
      <c r="G129" s="8" t="s">
        <v>66</v>
      </c>
      <c r="H129" s="4" t="s">
        <v>211</v>
      </c>
    </row>
    <row r="130" customFormat="false" ht="17.15" hidden="false" customHeight="false" outlineLevel="0" collapsed="false">
      <c r="A130" s="0" t="s">
        <v>343</v>
      </c>
      <c r="B130" s="0" t="s">
        <v>344</v>
      </c>
      <c r="C130" s="0" t="s">
        <v>49</v>
      </c>
      <c r="E130" s="7" t="n">
        <v>0.175</v>
      </c>
      <c r="G130" s="8" t="s">
        <v>66</v>
      </c>
      <c r="H130" s="4" t="s">
        <v>211</v>
      </c>
    </row>
    <row r="131" customFormat="false" ht="17.15" hidden="false" customHeight="false" outlineLevel="0" collapsed="false">
      <c r="A131" s="0" t="s">
        <v>345</v>
      </c>
      <c r="B131" s="0" t="s">
        <v>346</v>
      </c>
      <c r="C131" s="0" t="s">
        <v>49</v>
      </c>
      <c r="E131" s="7" t="n">
        <v>0.03</v>
      </c>
      <c r="G131" s="8" t="s">
        <v>39</v>
      </c>
      <c r="H131" s="4" t="s">
        <v>347</v>
      </c>
    </row>
    <row r="132" customFormat="false" ht="17.15" hidden="false" customHeight="false" outlineLevel="0" collapsed="false">
      <c r="A132" s="0" t="s">
        <v>348</v>
      </c>
      <c r="B132" s="0" t="s">
        <v>349</v>
      </c>
      <c r="C132" s="0" t="s">
        <v>49</v>
      </c>
      <c r="E132" s="7" t="n">
        <v>0</v>
      </c>
      <c r="G132" s="8" t="s">
        <v>39</v>
      </c>
      <c r="H132" s="4" t="s">
        <v>211</v>
      </c>
    </row>
    <row r="133" customFormat="false" ht="17.15" hidden="false" customHeight="false" outlineLevel="0" collapsed="false">
      <c r="A133" s="0" t="s">
        <v>350</v>
      </c>
      <c r="B133" s="0" t="s">
        <v>351</v>
      </c>
      <c r="C133" s="0" t="s">
        <v>49</v>
      </c>
      <c r="E133" s="7" t="n">
        <v>-0.05</v>
      </c>
      <c r="G133" s="8" t="s">
        <v>39</v>
      </c>
      <c r="H133" s="4" t="s">
        <v>211</v>
      </c>
    </row>
    <row r="134" customFormat="false" ht="17.15" hidden="false" customHeight="false" outlineLevel="0" collapsed="false">
      <c r="A134" s="0" t="s">
        <v>352</v>
      </c>
      <c r="B134" s="0" t="s">
        <v>353</v>
      </c>
      <c r="C134" s="0" t="s">
        <v>49</v>
      </c>
      <c r="E134" s="7" t="n">
        <v>-0.07</v>
      </c>
      <c r="G134" s="8" t="s">
        <v>39</v>
      </c>
      <c r="H134" s="4" t="s">
        <v>211</v>
      </c>
    </row>
    <row r="135" customFormat="false" ht="17.15" hidden="false" customHeight="false" outlineLevel="0" collapsed="false">
      <c r="A135" s="0" t="s">
        <v>354</v>
      </c>
      <c r="B135" s="0" t="s">
        <v>355</v>
      </c>
      <c r="C135" s="0" t="s">
        <v>49</v>
      </c>
      <c r="E135" s="7" t="n">
        <v>-0.05</v>
      </c>
      <c r="G135" s="8" t="s">
        <v>39</v>
      </c>
      <c r="H135" s="4" t="s">
        <v>211</v>
      </c>
    </row>
    <row r="136" customFormat="false" ht="17.15" hidden="false" customHeight="false" outlineLevel="0" collapsed="false">
      <c r="A136" s="0" t="s">
        <v>356</v>
      </c>
      <c r="B136" s="0" t="s">
        <v>357</v>
      </c>
      <c r="C136" s="0" t="s">
        <v>49</v>
      </c>
      <c r="E136" s="7" t="n">
        <v>-0.05</v>
      </c>
      <c r="G136" s="8" t="s">
        <v>39</v>
      </c>
      <c r="H136" s="4" t="s">
        <v>211</v>
      </c>
    </row>
    <row r="137" customFormat="false" ht="17.15" hidden="false" customHeight="false" outlineLevel="0" collapsed="false">
      <c r="A137" s="0" t="s">
        <v>358</v>
      </c>
      <c r="B137" s="0" t="s">
        <v>359</v>
      </c>
      <c r="C137" s="0" t="s">
        <v>49</v>
      </c>
      <c r="E137" s="7" t="n">
        <v>-0.05</v>
      </c>
      <c r="G137" s="8" t="s">
        <v>39</v>
      </c>
      <c r="H137" s="4" t="s">
        <v>211</v>
      </c>
    </row>
    <row r="138" customFormat="false" ht="17.15" hidden="false" customHeight="false" outlineLevel="0" collapsed="false">
      <c r="A138" s="0" t="s">
        <v>360</v>
      </c>
      <c r="B138" s="0" t="s">
        <v>361</v>
      </c>
      <c r="C138" s="0" t="s">
        <v>49</v>
      </c>
      <c r="E138" s="7" t="n">
        <v>-0.05</v>
      </c>
      <c r="G138" s="8" t="s">
        <v>39</v>
      </c>
      <c r="H138" s="4" t="s">
        <v>211</v>
      </c>
    </row>
    <row r="139" customFormat="false" ht="17.15" hidden="false" customHeight="false" outlineLevel="0" collapsed="false">
      <c r="A139" s="0" t="s">
        <v>362</v>
      </c>
      <c r="B139" s="0" t="s">
        <v>363</v>
      </c>
      <c r="C139" s="0" t="s">
        <v>49</v>
      </c>
      <c r="D139" s="7" t="n">
        <v>-0.03</v>
      </c>
      <c r="E139" s="7" t="n">
        <v>-0.03</v>
      </c>
      <c r="F139" s="7" t="n">
        <v>0.05</v>
      </c>
      <c r="G139" s="8" t="s">
        <v>62</v>
      </c>
      <c r="H139" s="8" t="s">
        <v>273</v>
      </c>
    </row>
    <row r="140" customFormat="false" ht="17.15" hidden="false" customHeight="false" outlineLevel="0" collapsed="false">
      <c r="A140" s="0" t="s">
        <v>364</v>
      </c>
      <c r="B140" s="0" t="s">
        <v>365</v>
      </c>
      <c r="C140" s="0" t="s">
        <v>49</v>
      </c>
      <c r="D140" s="7" t="n">
        <v>-0.03</v>
      </c>
      <c r="E140" s="7" t="n">
        <v>-0.03</v>
      </c>
      <c r="F140" s="7" t="n">
        <v>0.05</v>
      </c>
      <c r="G140" s="8" t="s">
        <v>62</v>
      </c>
      <c r="H140" s="4" t="s">
        <v>211</v>
      </c>
    </row>
    <row r="141" customFormat="false" ht="17.15" hidden="false" customHeight="false" outlineLevel="0" collapsed="false">
      <c r="A141" s="0" t="s">
        <v>366</v>
      </c>
      <c r="B141" s="0" t="s">
        <v>367</v>
      </c>
      <c r="C141" s="0" t="s">
        <v>49</v>
      </c>
      <c r="D141" s="7" t="n">
        <v>-0.03</v>
      </c>
      <c r="E141" s="7" t="n">
        <v>-0.03</v>
      </c>
      <c r="F141" s="7" t="n">
        <v>0.03</v>
      </c>
      <c r="G141" s="8" t="s">
        <v>62</v>
      </c>
      <c r="H141" s="4" t="s">
        <v>211</v>
      </c>
    </row>
    <row r="142" customFormat="false" ht="17.15" hidden="false" customHeight="false" outlineLevel="0" collapsed="false">
      <c r="A142" s="0" t="s">
        <v>368</v>
      </c>
      <c r="B142" s="0" t="s">
        <v>369</v>
      </c>
      <c r="C142" s="0" t="s">
        <v>49</v>
      </c>
      <c r="D142" s="7" t="n">
        <v>-0.03</v>
      </c>
      <c r="E142" s="7" t="n">
        <v>-0.03</v>
      </c>
      <c r="F142" s="7" t="n">
        <v>0.03</v>
      </c>
      <c r="G142" s="8" t="s">
        <v>62</v>
      </c>
      <c r="H142" s="4" t="s">
        <v>211</v>
      </c>
    </row>
    <row r="143" customFormat="false" ht="17.15" hidden="false" customHeight="false" outlineLevel="0" collapsed="false">
      <c r="A143" s="0" t="s">
        <v>370</v>
      </c>
      <c r="B143" s="0" t="s">
        <v>371</v>
      </c>
      <c r="C143" s="0" t="s">
        <v>49</v>
      </c>
      <c r="E143" s="7" t="n">
        <v>0.05</v>
      </c>
      <c r="G143" s="8" t="s">
        <v>39</v>
      </c>
      <c r="H143" s="4" t="s">
        <v>372</v>
      </c>
    </row>
    <row r="144" customFormat="false" ht="17.15" hidden="false" customHeight="false" outlineLevel="0" collapsed="false">
      <c r="A144" s="0" t="s">
        <v>373</v>
      </c>
      <c r="B144" s="0" t="s">
        <v>374</v>
      </c>
      <c r="C144" s="0" t="s">
        <v>49</v>
      </c>
      <c r="E144" s="7" t="n">
        <v>0.02</v>
      </c>
      <c r="G144" s="8" t="s">
        <v>39</v>
      </c>
      <c r="H144" s="4" t="s">
        <v>211</v>
      </c>
    </row>
    <row r="145" customFormat="false" ht="17.15" hidden="false" customHeight="false" outlineLevel="0" collapsed="false">
      <c r="A145" s="0" t="s">
        <v>375</v>
      </c>
      <c r="B145" s="0" t="s">
        <v>376</v>
      </c>
      <c r="C145" s="0" t="s">
        <v>49</v>
      </c>
      <c r="E145" s="7" t="n">
        <v>-0.1</v>
      </c>
      <c r="G145" s="8" t="s">
        <v>39</v>
      </c>
      <c r="H145" s="4" t="s">
        <v>211</v>
      </c>
    </row>
    <row r="146" customFormat="false" ht="17.15" hidden="false" customHeight="false" outlineLevel="0" collapsed="false">
      <c r="A146" s="0" t="s">
        <v>377</v>
      </c>
      <c r="B146" s="0" t="s">
        <v>378</v>
      </c>
      <c r="C146" s="0" t="s">
        <v>49</v>
      </c>
      <c r="E146" s="7" t="n">
        <v>-0.2</v>
      </c>
      <c r="G146" s="8" t="s">
        <v>39</v>
      </c>
      <c r="H146" s="4" t="s">
        <v>211</v>
      </c>
    </row>
    <row r="147" customFormat="false" ht="17.15" hidden="false" customHeight="false" outlineLevel="0" collapsed="false">
      <c r="A147" s="0" t="s">
        <v>379</v>
      </c>
      <c r="B147" s="0" t="s">
        <v>380</v>
      </c>
      <c r="C147" s="0" t="s">
        <v>49</v>
      </c>
      <c r="E147" s="7" t="n">
        <v>-0.3</v>
      </c>
      <c r="G147" s="8" t="s">
        <v>39</v>
      </c>
      <c r="H147" s="4" t="s">
        <v>211</v>
      </c>
    </row>
    <row r="148" customFormat="false" ht="17.15" hidden="false" customHeight="false" outlineLevel="0" collapsed="false">
      <c r="A148" s="0" t="s">
        <v>381</v>
      </c>
      <c r="B148" s="0" t="s">
        <v>382</v>
      </c>
      <c r="C148" s="0" t="s">
        <v>49</v>
      </c>
      <c r="E148" s="7" t="n">
        <v>-0.25</v>
      </c>
      <c r="G148" s="8" t="s">
        <v>39</v>
      </c>
      <c r="H148" s="4" t="s">
        <v>211</v>
      </c>
    </row>
    <row r="149" customFormat="false" ht="17.15" hidden="false" customHeight="false" outlineLevel="0" collapsed="false">
      <c r="A149" s="0" t="s">
        <v>383</v>
      </c>
      <c r="B149" s="0" t="s">
        <v>384</v>
      </c>
      <c r="C149" s="0" t="s">
        <v>49</v>
      </c>
      <c r="E149" s="7" t="n">
        <v>-0.2</v>
      </c>
      <c r="G149" s="8" t="s">
        <v>39</v>
      </c>
      <c r="H149" s="4" t="s">
        <v>211</v>
      </c>
    </row>
    <row r="150" customFormat="false" ht="17.15" hidden="false" customHeight="false" outlineLevel="0" collapsed="false">
      <c r="A150" s="0" t="s">
        <v>385</v>
      </c>
      <c r="B150" s="0" t="s">
        <v>386</v>
      </c>
      <c r="C150" s="0" t="s">
        <v>49</v>
      </c>
      <c r="E150" s="7" t="n">
        <v>-0.1</v>
      </c>
      <c r="G150" s="8" t="s">
        <v>39</v>
      </c>
      <c r="H150" s="4" t="s">
        <v>211</v>
      </c>
    </row>
    <row r="151" customFormat="false" ht="17.15" hidden="false" customHeight="false" outlineLevel="0" collapsed="false">
      <c r="A151" s="0" t="s">
        <v>387</v>
      </c>
      <c r="B151" s="0" t="s">
        <v>388</v>
      </c>
      <c r="C151" s="0" t="s">
        <v>49</v>
      </c>
      <c r="D151" s="7" t="n">
        <v>-0.03</v>
      </c>
      <c r="E151" s="7" t="n">
        <v>0.05</v>
      </c>
      <c r="F151" s="7" t="n">
        <v>0.05</v>
      </c>
      <c r="G151" s="8" t="s">
        <v>62</v>
      </c>
      <c r="H151" s="8" t="s">
        <v>273</v>
      </c>
    </row>
    <row r="152" customFormat="false" ht="17.15" hidden="false" customHeight="false" outlineLevel="0" collapsed="false">
      <c r="A152" s="0" t="s">
        <v>389</v>
      </c>
      <c r="B152" s="0" t="s">
        <v>390</v>
      </c>
      <c r="C152" s="0" t="s">
        <v>49</v>
      </c>
      <c r="D152" s="7" t="n">
        <v>-0.03</v>
      </c>
      <c r="E152" s="7" t="n">
        <v>0.05</v>
      </c>
      <c r="F152" s="7" t="n">
        <v>0.05</v>
      </c>
      <c r="G152" s="8" t="s">
        <v>62</v>
      </c>
      <c r="H152" s="4" t="s">
        <v>211</v>
      </c>
    </row>
    <row r="153" customFormat="false" ht="17.15" hidden="false" customHeight="false" outlineLevel="0" collapsed="false">
      <c r="A153" s="0" t="s">
        <v>391</v>
      </c>
      <c r="B153" s="0" t="s">
        <v>392</v>
      </c>
      <c r="C153" s="0" t="s">
        <v>49</v>
      </c>
      <c r="D153" s="7" t="n">
        <v>-0.03</v>
      </c>
      <c r="E153" s="7" t="n">
        <v>0.03</v>
      </c>
      <c r="F153" s="7" t="n">
        <v>0.03</v>
      </c>
      <c r="G153" s="8" t="s">
        <v>62</v>
      </c>
      <c r="H153" s="4" t="s">
        <v>211</v>
      </c>
    </row>
    <row r="154" customFormat="false" ht="17.15" hidden="false" customHeight="false" outlineLevel="0" collapsed="false">
      <c r="A154" s="0" t="s">
        <v>393</v>
      </c>
      <c r="B154" s="0" t="s">
        <v>394</v>
      </c>
      <c r="C154" s="0" t="s">
        <v>49</v>
      </c>
      <c r="D154" s="7" t="n">
        <v>-0.03</v>
      </c>
      <c r="E154" s="7" t="n">
        <v>0.03</v>
      </c>
      <c r="F154" s="7" t="n">
        <v>0.03</v>
      </c>
      <c r="G154" s="8" t="s">
        <v>62</v>
      </c>
      <c r="H154" s="4" t="s">
        <v>211</v>
      </c>
    </row>
    <row r="155" customFormat="false" ht="17.15" hidden="false" customHeight="false" outlineLevel="0" collapsed="false">
      <c r="A155" s="0" t="s">
        <v>395</v>
      </c>
      <c r="B155" s="0" t="s">
        <v>396</v>
      </c>
      <c r="C155" s="0" t="s">
        <v>49</v>
      </c>
      <c r="D155" s="7" t="n">
        <v>0</v>
      </c>
      <c r="E155" s="7" t="n">
        <v>0.05</v>
      </c>
      <c r="F155" s="7" t="n">
        <v>0.1</v>
      </c>
      <c r="G155" s="8" t="s">
        <v>62</v>
      </c>
      <c r="H155" s="8" t="s">
        <v>397</v>
      </c>
    </row>
    <row r="156" customFormat="false" ht="17.15" hidden="false" customHeight="false" outlineLevel="0" collapsed="false">
      <c r="A156" s="0" t="s">
        <v>398</v>
      </c>
      <c r="B156" s="0" t="s">
        <v>399</v>
      </c>
      <c r="C156" s="0" t="s">
        <v>49</v>
      </c>
      <c r="D156" s="7" t="n">
        <v>-0.03</v>
      </c>
      <c r="E156" s="7" t="n">
        <v>0.02</v>
      </c>
      <c r="F156" s="7" t="n">
        <v>0.07</v>
      </c>
      <c r="G156" s="8" t="s">
        <v>62</v>
      </c>
      <c r="H156" s="4" t="s">
        <v>211</v>
      </c>
    </row>
    <row r="157" customFormat="false" ht="17.15" hidden="false" customHeight="false" outlineLevel="0" collapsed="false">
      <c r="A157" s="0" t="s">
        <v>400</v>
      </c>
      <c r="B157" s="0" t="s">
        <v>401</v>
      </c>
      <c r="C157" s="0" t="s">
        <v>49</v>
      </c>
      <c r="D157" s="7" t="n">
        <v>-0.15</v>
      </c>
      <c r="E157" s="7" t="n">
        <v>-0.1</v>
      </c>
      <c r="F157" s="7" t="n">
        <v>-0.05</v>
      </c>
      <c r="G157" s="8" t="s">
        <v>62</v>
      </c>
      <c r="H157" s="4" t="s">
        <v>211</v>
      </c>
    </row>
    <row r="158" customFormat="false" ht="17.15" hidden="false" customHeight="false" outlineLevel="0" collapsed="false">
      <c r="A158" s="0" t="s">
        <v>402</v>
      </c>
      <c r="B158" s="0" t="s">
        <v>403</v>
      </c>
      <c r="C158" s="0" t="s">
        <v>49</v>
      </c>
      <c r="D158" s="7" t="n">
        <v>-0.25</v>
      </c>
      <c r="E158" s="7" t="n">
        <v>-0.2</v>
      </c>
      <c r="F158" s="7" t="n">
        <v>-0.15</v>
      </c>
      <c r="G158" s="8" t="s">
        <v>62</v>
      </c>
      <c r="H158" s="4" t="s">
        <v>211</v>
      </c>
    </row>
    <row r="159" customFormat="false" ht="17.15" hidden="false" customHeight="false" outlineLevel="0" collapsed="false">
      <c r="A159" s="0" t="s">
        <v>404</v>
      </c>
      <c r="B159" s="0" t="s">
        <v>405</v>
      </c>
      <c r="C159" s="0" t="s">
        <v>49</v>
      </c>
      <c r="D159" s="7" t="n">
        <v>-0.45</v>
      </c>
      <c r="E159" s="7" t="n">
        <v>-0.35</v>
      </c>
      <c r="F159" s="7" t="n">
        <v>-0.25</v>
      </c>
      <c r="G159" s="8" t="s">
        <v>62</v>
      </c>
      <c r="H159" s="4" t="s">
        <v>211</v>
      </c>
    </row>
    <row r="160" customFormat="false" ht="17.15" hidden="false" customHeight="false" outlineLevel="0" collapsed="false">
      <c r="A160" s="0" t="s">
        <v>406</v>
      </c>
      <c r="B160" s="0" t="s">
        <v>407</v>
      </c>
      <c r="C160" s="0" t="s">
        <v>49</v>
      </c>
      <c r="D160" s="7" t="n">
        <v>-0.45</v>
      </c>
      <c r="E160" s="7" t="n">
        <v>-0.35</v>
      </c>
      <c r="F160" s="7" t="n">
        <v>-0.25</v>
      </c>
      <c r="G160" s="8" t="s">
        <v>62</v>
      </c>
      <c r="H160" s="4" t="s">
        <v>211</v>
      </c>
    </row>
    <row r="161" customFormat="false" ht="17.15" hidden="false" customHeight="false" outlineLevel="0" collapsed="false">
      <c r="A161" s="0" t="s">
        <v>408</v>
      </c>
      <c r="B161" s="0" t="s">
        <v>409</v>
      </c>
      <c r="C161" s="0" t="s">
        <v>49</v>
      </c>
      <c r="D161" s="7" t="n">
        <v>-0.35</v>
      </c>
      <c r="E161" s="7" t="n">
        <v>-0.25</v>
      </c>
      <c r="F161" s="7" t="n">
        <v>-0.15</v>
      </c>
      <c r="G161" s="8" t="s">
        <v>62</v>
      </c>
      <c r="H161" s="4" t="s">
        <v>211</v>
      </c>
    </row>
    <row r="162" customFormat="false" ht="17.15" hidden="false" customHeight="false" outlineLevel="0" collapsed="false">
      <c r="A162" s="0" t="s">
        <v>410</v>
      </c>
      <c r="B162" s="0" t="s">
        <v>411</v>
      </c>
      <c r="C162" s="0" t="s">
        <v>49</v>
      </c>
      <c r="D162" s="7" t="n">
        <v>-0.3</v>
      </c>
      <c r="E162" s="7" t="n">
        <v>-0.2</v>
      </c>
      <c r="F162" s="7" t="n">
        <v>-0.1</v>
      </c>
      <c r="G162" s="8" t="s">
        <v>62</v>
      </c>
      <c r="H162" s="4" t="s">
        <v>211</v>
      </c>
    </row>
    <row r="163" customFormat="false" ht="17.15" hidden="false" customHeight="false" outlineLevel="0" collapsed="false">
      <c r="A163" s="0" t="s">
        <v>412</v>
      </c>
      <c r="B163" s="0" t="s">
        <v>413</v>
      </c>
      <c r="C163" s="0" t="s">
        <v>49</v>
      </c>
      <c r="D163" s="7" t="n">
        <v>-0.1</v>
      </c>
      <c r="E163" s="7" t="n">
        <v>0</v>
      </c>
      <c r="F163" s="7" t="n">
        <v>0.1</v>
      </c>
      <c r="G163" s="8" t="s">
        <v>62</v>
      </c>
      <c r="H163" s="4" t="s">
        <v>211</v>
      </c>
    </row>
    <row r="164" customFormat="false" ht="17.15" hidden="false" customHeight="false" outlineLevel="0" collapsed="false">
      <c r="A164" s="0" t="s">
        <v>414</v>
      </c>
      <c r="B164" s="0" t="s">
        <v>415</v>
      </c>
      <c r="C164" s="0" t="s">
        <v>49</v>
      </c>
      <c r="D164" s="7" t="n">
        <v>-0.05</v>
      </c>
      <c r="E164" s="7" t="n">
        <v>0.05</v>
      </c>
      <c r="F164" s="7" t="n">
        <v>0.15</v>
      </c>
      <c r="G164" s="8" t="s">
        <v>62</v>
      </c>
      <c r="H164" s="4" t="s">
        <v>211</v>
      </c>
    </row>
    <row r="165" customFormat="false" ht="17.15" hidden="false" customHeight="false" outlineLevel="0" collapsed="false">
      <c r="A165" s="0" t="s">
        <v>416</v>
      </c>
      <c r="B165" s="0" t="s">
        <v>417</v>
      </c>
      <c r="C165" s="0" t="s">
        <v>49</v>
      </c>
      <c r="D165" s="7" t="n">
        <v>-0.02</v>
      </c>
      <c r="E165" s="7" t="n">
        <v>0.08</v>
      </c>
      <c r="F165" s="7" t="n">
        <v>0.18</v>
      </c>
      <c r="G165" s="8" t="s">
        <v>62</v>
      </c>
      <c r="H165" s="4" t="s">
        <v>211</v>
      </c>
    </row>
    <row r="166" customFormat="false" ht="17.15" hidden="false" customHeight="false" outlineLevel="0" collapsed="false">
      <c r="A166" s="0" t="s">
        <v>418</v>
      </c>
      <c r="B166" s="0" t="s">
        <v>419</v>
      </c>
      <c r="C166" s="0" t="s">
        <v>49</v>
      </c>
      <c r="D166" s="7" t="n">
        <v>0</v>
      </c>
      <c r="E166" s="7" t="n">
        <v>0.1</v>
      </c>
      <c r="F166" s="7" t="n">
        <v>0.2</v>
      </c>
      <c r="G166" s="8" t="s">
        <v>62</v>
      </c>
      <c r="H166" s="4" t="s">
        <v>211</v>
      </c>
    </row>
    <row r="167" customFormat="false" ht="17.15" hidden="false" customHeight="false" outlineLevel="0" collapsed="false">
      <c r="A167" s="6" t="s">
        <v>420</v>
      </c>
    </row>
    <row r="168" customFormat="false" ht="17.15" hidden="false" customHeight="false" outlineLevel="0" collapsed="false">
      <c r="A168" s="0" t="s">
        <v>421</v>
      </c>
      <c r="B168" s="0" t="s">
        <v>422</v>
      </c>
      <c r="C168" s="4" t="s">
        <v>423</v>
      </c>
      <c r="E168" s="7" t="n">
        <v>5.4</v>
      </c>
      <c r="G168" s="8" t="s">
        <v>66</v>
      </c>
      <c r="H168" s="4" t="s">
        <v>424</v>
      </c>
    </row>
    <row r="169" customFormat="false" ht="17.15" hidden="false" customHeight="false" outlineLevel="0" collapsed="false">
      <c r="A169" s="0" t="s">
        <v>425</v>
      </c>
      <c r="B169" s="0" t="s">
        <v>426</v>
      </c>
      <c r="C169" s="4" t="s">
        <v>423</v>
      </c>
      <c r="E169" s="7" t="n">
        <v>2.4</v>
      </c>
      <c r="G169" s="8" t="s">
        <v>66</v>
      </c>
      <c r="H169" s="4" t="s">
        <v>211</v>
      </c>
    </row>
    <row r="170" customFormat="false" ht="17.15" hidden="false" customHeight="false" outlineLevel="0" collapsed="false">
      <c r="A170" s="0" t="s">
        <v>427</v>
      </c>
      <c r="B170" s="0" t="s">
        <v>428</v>
      </c>
      <c r="C170" s="4" t="s">
        <v>423</v>
      </c>
      <c r="E170" s="7" t="n">
        <v>0.5</v>
      </c>
      <c r="G170" s="8" t="s">
        <v>66</v>
      </c>
      <c r="H170" s="4" t="s">
        <v>211</v>
      </c>
    </row>
    <row r="171" customFormat="false" ht="17.15" hidden="false" customHeight="false" outlineLevel="0" collapsed="false">
      <c r="A171" s="0" t="s">
        <v>429</v>
      </c>
      <c r="B171" s="0" t="s">
        <v>430</v>
      </c>
      <c r="C171" s="0" t="s">
        <v>431</v>
      </c>
      <c r="E171" s="7" t="n">
        <v>260</v>
      </c>
      <c r="G171" s="8" t="s">
        <v>66</v>
      </c>
      <c r="H171" s="4" t="s">
        <v>211</v>
      </c>
    </row>
    <row r="172" customFormat="false" ht="17.15" hidden="false" customHeight="false" outlineLevel="0" collapsed="false">
      <c r="A172" s="0" t="s">
        <v>432</v>
      </c>
      <c r="B172" s="0" t="s">
        <v>433</v>
      </c>
      <c r="C172" s="0" t="s">
        <v>431</v>
      </c>
      <c r="E172" s="7" t="n">
        <v>280</v>
      </c>
      <c r="G172" s="8" t="s">
        <v>66</v>
      </c>
      <c r="H172" s="4" t="s">
        <v>211</v>
      </c>
    </row>
    <row r="173" customFormat="false" ht="17.15" hidden="false" customHeight="false" outlineLevel="0" collapsed="false">
      <c r="A173" s="0" t="s">
        <v>434</v>
      </c>
      <c r="B173" s="0" t="s">
        <v>435</v>
      </c>
      <c r="C173" s="0" t="s">
        <v>431</v>
      </c>
      <c r="E173" s="7" t="n">
        <v>288</v>
      </c>
      <c r="G173" s="8" t="s">
        <v>66</v>
      </c>
      <c r="H173" s="4" t="s">
        <v>211</v>
      </c>
    </row>
    <row r="174" customFormat="false" ht="17.15" hidden="false" customHeight="false" outlineLevel="0" collapsed="false">
      <c r="A174" s="0" t="s">
        <v>436</v>
      </c>
      <c r="B174" s="0" t="s">
        <v>437</v>
      </c>
      <c r="C174" s="4" t="s">
        <v>423</v>
      </c>
      <c r="E174" s="7" t="n">
        <v>1.7</v>
      </c>
      <c r="G174" s="8" t="s">
        <v>66</v>
      </c>
      <c r="H174" s="8" t="s">
        <v>438</v>
      </c>
    </row>
    <row r="175" customFormat="false" ht="17.15" hidden="false" customHeight="false" outlineLevel="0" collapsed="false">
      <c r="A175" s="0" t="s">
        <v>439</v>
      </c>
      <c r="B175" s="0" t="s">
        <v>440</v>
      </c>
      <c r="C175" s="4" t="s">
        <v>423</v>
      </c>
      <c r="E175" s="7" t="n">
        <v>7</v>
      </c>
      <c r="G175" s="8" t="s">
        <v>66</v>
      </c>
      <c r="H175" s="4" t="s">
        <v>211</v>
      </c>
    </row>
    <row r="176" customFormat="false" ht="17.15" hidden="false" customHeight="false" outlineLevel="0" collapsed="false">
      <c r="A176" s="0" t="s">
        <v>441</v>
      </c>
      <c r="B176" s="0" t="s">
        <v>442</v>
      </c>
      <c r="C176" s="4" t="s">
        <v>423</v>
      </c>
      <c r="E176" s="7" t="n">
        <v>7</v>
      </c>
      <c r="G176" s="8" t="s">
        <v>66</v>
      </c>
      <c r="H176" s="4" t="s">
        <v>211</v>
      </c>
    </row>
    <row r="177" customFormat="false" ht="17.15" hidden="false" customHeight="false" outlineLevel="0" collapsed="false">
      <c r="A177" s="0" t="s">
        <v>443</v>
      </c>
      <c r="B177" s="0" t="s">
        <v>444</v>
      </c>
      <c r="C177" s="0" t="s">
        <v>431</v>
      </c>
      <c r="E177" s="7" t="n">
        <v>288</v>
      </c>
      <c r="G177" s="8" t="s">
        <v>66</v>
      </c>
      <c r="H177" s="4" t="s">
        <v>211</v>
      </c>
    </row>
    <row r="178" customFormat="false" ht="17.15" hidden="false" customHeight="false" outlineLevel="0" collapsed="false">
      <c r="A178" s="0" t="s">
        <v>445</v>
      </c>
      <c r="B178" s="0" t="s">
        <v>446</v>
      </c>
      <c r="C178" s="0" t="s">
        <v>431</v>
      </c>
      <c r="E178" s="7" t="n">
        <v>288</v>
      </c>
      <c r="G178" s="8" t="s">
        <v>66</v>
      </c>
      <c r="H178" s="4" t="s">
        <v>211</v>
      </c>
    </row>
    <row r="179" customFormat="false" ht="17.15" hidden="false" customHeight="false" outlineLevel="0" collapsed="false">
      <c r="A179" s="0" t="s">
        <v>447</v>
      </c>
      <c r="B179" s="0" t="s">
        <v>448</v>
      </c>
      <c r="C179" s="0" t="s">
        <v>431</v>
      </c>
      <c r="E179" s="7" t="n">
        <v>288</v>
      </c>
      <c r="G179" s="8" t="s">
        <v>66</v>
      </c>
      <c r="H179" s="4" t="s">
        <v>211</v>
      </c>
    </row>
    <row r="180" customFormat="false" ht="17.15" hidden="false" customHeight="false" outlineLevel="0" collapsed="false">
      <c r="A180" s="0" t="s">
        <v>449</v>
      </c>
      <c r="B180" s="0" t="s">
        <v>450</v>
      </c>
      <c r="C180" s="4" t="s">
        <v>423</v>
      </c>
      <c r="D180" s="7" t="n">
        <v>0</v>
      </c>
      <c r="E180" s="7" t="n">
        <v>0</v>
      </c>
      <c r="F180" s="7" t="n">
        <v>0</v>
      </c>
      <c r="G180" s="8" t="s">
        <v>62</v>
      </c>
      <c r="H180" s="4" t="s">
        <v>451</v>
      </c>
    </row>
    <row r="181" customFormat="false" ht="17.15" hidden="false" customHeight="false" outlineLevel="0" collapsed="false">
      <c r="A181" s="0" t="s">
        <v>452</v>
      </c>
      <c r="B181" s="0" t="s">
        <v>453</v>
      </c>
      <c r="C181" s="4" t="s">
        <v>423</v>
      </c>
      <c r="D181" s="7" t="n">
        <v>0</v>
      </c>
      <c r="E181" s="7" t="n">
        <v>0.3</v>
      </c>
      <c r="F181" s="7" t="n">
        <v>0.6</v>
      </c>
      <c r="G181" s="8" t="s">
        <v>62</v>
      </c>
      <c r="H181" s="4" t="s">
        <v>211</v>
      </c>
    </row>
    <row r="182" customFormat="false" ht="17.15" hidden="false" customHeight="false" outlineLevel="0" collapsed="false">
      <c r="A182" s="0" t="s">
        <v>454</v>
      </c>
      <c r="B182" s="0" t="s">
        <v>455</v>
      </c>
      <c r="C182" s="4" t="s">
        <v>423</v>
      </c>
      <c r="D182" s="7" t="n">
        <v>1</v>
      </c>
      <c r="E182" s="7" t="n">
        <v>2</v>
      </c>
      <c r="F182" s="7" t="n">
        <v>3</v>
      </c>
      <c r="G182" s="8" t="s">
        <v>62</v>
      </c>
      <c r="H182" s="4" t="s">
        <v>211</v>
      </c>
    </row>
    <row r="183" customFormat="false" ht="17.15" hidden="false" customHeight="false" outlineLevel="0" collapsed="false">
      <c r="A183" s="0" t="s">
        <v>456</v>
      </c>
      <c r="B183" s="0" t="s">
        <v>457</v>
      </c>
      <c r="C183" s="0" t="s">
        <v>431</v>
      </c>
      <c r="E183" s="7" t="n">
        <v>1024</v>
      </c>
      <c r="G183" s="8" t="s">
        <v>66</v>
      </c>
      <c r="H183" s="8" t="s">
        <v>458</v>
      </c>
    </row>
    <row r="184" customFormat="false" ht="17.15" hidden="false" customHeight="false" outlineLevel="0" collapsed="false">
      <c r="A184" s="0" t="s">
        <v>459</v>
      </c>
      <c r="B184" s="0" t="s">
        <v>460</v>
      </c>
      <c r="C184" s="0" t="s">
        <v>431</v>
      </c>
      <c r="E184" s="7" t="n">
        <v>1024</v>
      </c>
      <c r="G184" s="8" t="s">
        <v>66</v>
      </c>
      <c r="H184" s="4" t="s">
        <v>211</v>
      </c>
    </row>
    <row r="185" customFormat="false" ht="17.15" hidden="false" customHeight="false" outlineLevel="0" collapsed="false">
      <c r="A185" s="0" t="s">
        <v>461</v>
      </c>
      <c r="B185" s="0" t="s">
        <v>462</v>
      </c>
      <c r="C185" s="0" t="s">
        <v>431</v>
      </c>
      <c r="E185" s="7" t="n">
        <v>1024</v>
      </c>
      <c r="G185" s="8" t="s">
        <v>66</v>
      </c>
      <c r="H185" s="4" t="s">
        <v>211</v>
      </c>
    </row>
    <row r="186" customFormat="false" ht="17.15" hidden="false" customHeight="false" outlineLevel="0" collapsed="false">
      <c r="A186" s="0" t="s">
        <v>463</v>
      </c>
      <c r="B186" s="0" t="s">
        <v>464</v>
      </c>
      <c r="C186" s="4" t="s">
        <v>423</v>
      </c>
      <c r="E186" s="7" t="n">
        <v>0.5</v>
      </c>
      <c r="G186" s="8" t="s">
        <v>66</v>
      </c>
      <c r="H186" s="8" t="s">
        <v>465</v>
      </c>
    </row>
    <row r="187" customFormat="false" ht="17.15" hidden="false" customHeight="false" outlineLevel="0" collapsed="false">
      <c r="A187" s="0" t="s">
        <v>466</v>
      </c>
      <c r="B187" s="0" t="s">
        <v>467</v>
      </c>
      <c r="C187" s="4" t="s">
        <v>423</v>
      </c>
      <c r="E187" s="7" t="n">
        <v>0</v>
      </c>
      <c r="G187" s="8" t="s">
        <v>66</v>
      </c>
      <c r="H187" s="4" t="s">
        <v>211</v>
      </c>
    </row>
    <row r="188" customFormat="false" ht="17.15" hidden="false" customHeight="false" outlineLevel="0" collapsed="false">
      <c r="A188" s="0" t="s">
        <v>468</v>
      </c>
      <c r="B188" s="0" t="s">
        <v>469</v>
      </c>
      <c r="C188" s="4" t="s">
        <v>423</v>
      </c>
      <c r="E188" s="7" t="n">
        <v>0</v>
      </c>
      <c r="G188" s="8" t="s">
        <v>66</v>
      </c>
      <c r="H188" s="4" t="s">
        <v>211</v>
      </c>
    </row>
    <row r="189" customFormat="false" ht="17.15" hidden="false" customHeight="false" outlineLevel="0" collapsed="false">
      <c r="A189" s="0" t="s">
        <v>470</v>
      </c>
      <c r="B189" s="0" t="s">
        <v>471</v>
      </c>
      <c r="C189" s="0" t="s">
        <v>431</v>
      </c>
      <c r="E189" s="7" t="n">
        <v>141</v>
      </c>
      <c r="G189" s="8" t="s">
        <v>66</v>
      </c>
      <c r="H189" s="4" t="s">
        <v>211</v>
      </c>
    </row>
    <row r="190" customFormat="false" ht="17.15" hidden="false" customHeight="false" outlineLevel="0" collapsed="false">
      <c r="A190" s="0" t="s">
        <v>472</v>
      </c>
      <c r="B190" s="0" t="s">
        <v>473</v>
      </c>
      <c r="C190" s="0" t="s">
        <v>431</v>
      </c>
      <c r="E190" s="7" t="n">
        <v>141</v>
      </c>
      <c r="G190" s="8" t="s">
        <v>66</v>
      </c>
      <c r="H190" s="4" t="s">
        <v>211</v>
      </c>
    </row>
    <row r="191" customFormat="false" ht="17.15" hidden="false" customHeight="false" outlineLevel="0" collapsed="false">
      <c r="A191" s="0" t="s">
        <v>474</v>
      </c>
      <c r="B191" s="0" t="s">
        <v>475</v>
      </c>
      <c r="C191" s="0" t="s">
        <v>431</v>
      </c>
      <c r="E191" s="7" t="n">
        <v>141</v>
      </c>
      <c r="G191" s="8" t="s">
        <v>66</v>
      </c>
      <c r="H191" s="4" t="s">
        <v>211</v>
      </c>
    </row>
    <row r="192" customFormat="false" ht="17.15" hidden="false" customHeight="false" outlineLevel="0" collapsed="false">
      <c r="A192" s="0" t="s">
        <v>476</v>
      </c>
      <c r="B192" s="0" t="s">
        <v>477</v>
      </c>
      <c r="C192" s="4" t="s">
        <v>423</v>
      </c>
      <c r="D192" s="7" t="n">
        <v>0.6</v>
      </c>
      <c r="E192" s="7" t="n">
        <v>0.75</v>
      </c>
      <c r="F192" s="7" t="n">
        <v>0.9</v>
      </c>
      <c r="G192" s="8" t="s">
        <v>478</v>
      </c>
      <c r="H192" s="8" t="s">
        <v>479</v>
      </c>
    </row>
    <row r="193" customFormat="false" ht="17.15" hidden="false" customHeight="false" outlineLevel="0" collapsed="false">
      <c r="A193" s="0" t="s">
        <v>480</v>
      </c>
      <c r="B193" s="0" t="s">
        <v>481</v>
      </c>
      <c r="C193" s="4" t="s">
        <v>423</v>
      </c>
      <c r="D193" s="7" t="n">
        <v>1.2</v>
      </c>
      <c r="E193" s="7" t="n">
        <v>1.5</v>
      </c>
      <c r="F193" s="7" t="n">
        <v>1.8</v>
      </c>
      <c r="G193" s="8" t="s">
        <v>478</v>
      </c>
      <c r="H193" s="4" t="s">
        <v>211</v>
      </c>
    </row>
    <row r="194" customFormat="false" ht="17.15" hidden="false" customHeight="false" outlineLevel="0" collapsed="false">
      <c r="A194" s="0" t="s">
        <v>482</v>
      </c>
      <c r="B194" s="0" t="s">
        <v>483</v>
      </c>
      <c r="C194" s="4" t="s">
        <v>423</v>
      </c>
      <c r="D194" s="7" t="n">
        <v>1.5</v>
      </c>
      <c r="E194" s="7" t="n">
        <v>2</v>
      </c>
      <c r="F194" s="7" t="n">
        <v>2.5</v>
      </c>
      <c r="G194" s="8" t="s">
        <v>478</v>
      </c>
      <c r="H194" s="4" t="s">
        <v>211</v>
      </c>
    </row>
    <row r="195" customFormat="false" ht="17.15" hidden="false" customHeight="false" outlineLevel="0" collapsed="false">
      <c r="A195" s="0" t="s">
        <v>484</v>
      </c>
      <c r="B195" s="0" t="s">
        <v>485</v>
      </c>
      <c r="C195" s="0" t="s">
        <v>431</v>
      </c>
      <c r="D195" s="7" t="n">
        <v>288</v>
      </c>
      <c r="E195" s="7" t="n">
        <v>288</v>
      </c>
      <c r="F195" s="7" t="n">
        <v>288</v>
      </c>
      <c r="G195" s="8" t="s">
        <v>478</v>
      </c>
      <c r="H195" s="4" t="s">
        <v>211</v>
      </c>
    </row>
    <row r="196" customFormat="false" ht="17.15" hidden="false" customHeight="false" outlineLevel="0" collapsed="false">
      <c r="A196" s="0" t="s">
        <v>486</v>
      </c>
      <c r="B196" s="0" t="s">
        <v>487</v>
      </c>
      <c r="C196" s="0" t="s">
        <v>431</v>
      </c>
      <c r="D196" s="7" t="n">
        <v>288</v>
      </c>
      <c r="E196" s="7" t="n">
        <v>360</v>
      </c>
      <c r="F196" s="7" t="n">
        <v>432</v>
      </c>
      <c r="G196" s="8" t="s">
        <v>478</v>
      </c>
      <c r="H196" s="4" t="s">
        <v>211</v>
      </c>
    </row>
    <row r="197" customFormat="false" ht="17.15" hidden="false" customHeight="false" outlineLevel="0" collapsed="false">
      <c r="A197" s="0" t="s">
        <v>488</v>
      </c>
      <c r="B197" s="0" t="s">
        <v>489</v>
      </c>
      <c r="C197" s="0" t="s">
        <v>431</v>
      </c>
      <c r="D197" s="7" t="n">
        <v>432</v>
      </c>
      <c r="E197" s="7" t="n">
        <v>432</v>
      </c>
      <c r="F197" s="7" t="n">
        <v>432</v>
      </c>
      <c r="G197" s="8" t="s">
        <v>478</v>
      </c>
      <c r="H197" s="4" t="s">
        <v>211</v>
      </c>
    </row>
    <row r="198" customFormat="false" ht="17.15" hidden="false" customHeight="false" outlineLevel="0" collapsed="false">
      <c r="A198" s="0" t="s">
        <v>490</v>
      </c>
      <c r="B198" s="0" t="s">
        <v>491</v>
      </c>
      <c r="C198" s="4" t="s">
        <v>423</v>
      </c>
      <c r="E198" s="7" t="n">
        <v>3.85</v>
      </c>
      <c r="G198" s="8" t="s">
        <v>66</v>
      </c>
      <c r="H198" s="8" t="s">
        <v>492</v>
      </c>
    </row>
    <row r="199" customFormat="false" ht="17.15" hidden="false" customHeight="false" outlineLevel="0" collapsed="false">
      <c r="A199" s="0" t="s">
        <v>493</v>
      </c>
      <c r="B199" s="0" t="s">
        <v>494</v>
      </c>
      <c r="C199" s="4" t="s">
        <v>423</v>
      </c>
      <c r="E199" s="7" t="n">
        <v>5.5</v>
      </c>
      <c r="G199" s="8" t="s">
        <v>66</v>
      </c>
      <c r="H199" s="4" t="s">
        <v>211</v>
      </c>
    </row>
    <row r="200" customFormat="false" ht="17.15" hidden="false" customHeight="false" outlineLevel="0" collapsed="false">
      <c r="A200" s="0" t="s">
        <v>495</v>
      </c>
      <c r="B200" s="0" t="s">
        <v>496</v>
      </c>
      <c r="C200" s="4" t="s">
        <v>423</v>
      </c>
      <c r="E200" s="7" t="n">
        <v>7</v>
      </c>
      <c r="G200" s="8" t="s">
        <v>66</v>
      </c>
      <c r="H200" s="4" t="s">
        <v>211</v>
      </c>
    </row>
    <row r="201" customFormat="false" ht="17.15" hidden="false" customHeight="false" outlineLevel="0" collapsed="false">
      <c r="A201" s="0" t="s">
        <v>497</v>
      </c>
      <c r="B201" s="0" t="s">
        <v>498</v>
      </c>
      <c r="C201" s="0" t="s">
        <v>431</v>
      </c>
      <c r="E201" s="7" t="n">
        <v>192</v>
      </c>
      <c r="G201" s="8" t="s">
        <v>66</v>
      </c>
      <c r="H201" s="4" t="s">
        <v>211</v>
      </c>
    </row>
    <row r="202" customFormat="false" ht="17.15" hidden="false" customHeight="false" outlineLevel="0" collapsed="false">
      <c r="A202" s="0" t="s">
        <v>499</v>
      </c>
      <c r="B202" s="0" t="s">
        <v>500</v>
      </c>
      <c r="C202" s="0" t="s">
        <v>431</v>
      </c>
      <c r="E202" s="7" t="n">
        <v>250</v>
      </c>
      <c r="G202" s="8" t="s">
        <v>66</v>
      </c>
      <c r="H202" s="4" t="s">
        <v>211</v>
      </c>
    </row>
    <row r="203" customFormat="false" ht="17.15" hidden="false" customHeight="false" outlineLevel="0" collapsed="false">
      <c r="A203" s="0" t="s">
        <v>501</v>
      </c>
      <c r="B203" s="0" t="s">
        <v>502</v>
      </c>
      <c r="C203" s="0" t="s">
        <v>431</v>
      </c>
      <c r="E203" s="7" t="n">
        <v>288</v>
      </c>
      <c r="G203" s="8" t="s">
        <v>66</v>
      </c>
      <c r="H203" s="4" t="s">
        <v>211</v>
      </c>
    </row>
    <row r="204" customFormat="false" ht="17.15" hidden="false" customHeight="false" outlineLevel="0" collapsed="false">
      <c r="A204" s="0" t="s">
        <v>503</v>
      </c>
      <c r="B204" s="0" t="s">
        <v>504</v>
      </c>
      <c r="C204" s="4" t="s">
        <v>423</v>
      </c>
      <c r="D204" s="7" t="n">
        <v>1.5</v>
      </c>
      <c r="E204" s="7" t="n">
        <v>2</v>
      </c>
      <c r="F204" s="7" t="n">
        <v>2.5</v>
      </c>
      <c r="G204" s="8" t="s">
        <v>62</v>
      </c>
      <c r="H204" s="4" t="s">
        <v>505</v>
      </c>
    </row>
    <row r="205" customFormat="false" ht="17.15" hidden="false" customHeight="false" outlineLevel="0" collapsed="false">
      <c r="A205" s="0" t="s">
        <v>506</v>
      </c>
      <c r="B205" s="0" t="s">
        <v>507</v>
      </c>
      <c r="C205" s="4" t="s">
        <v>423</v>
      </c>
      <c r="D205" s="7" t="n">
        <v>2</v>
      </c>
      <c r="E205" s="7" t="n">
        <v>2.5</v>
      </c>
      <c r="F205" s="7" t="n">
        <v>3.5</v>
      </c>
      <c r="G205" s="8" t="s">
        <v>62</v>
      </c>
      <c r="H205" s="4" t="s">
        <v>211</v>
      </c>
    </row>
    <row r="206" customFormat="false" ht="17.15" hidden="false" customHeight="false" outlineLevel="0" collapsed="false">
      <c r="A206" s="0" t="s">
        <v>508</v>
      </c>
      <c r="B206" s="0" t="s">
        <v>509</v>
      </c>
      <c r="C206" s="4" t="s">
        <v>423</v>
      </c>
      <c r="D206" s="7" t="n">
        <v>2</v>
      </c>
      <c r="E206" s="7" t="n">
        <v>3</v>
      </c>
      <c r="F206" s="7" t="n">
        <v>4</v>
      </c>
      <c r="G206" s="8" t="s">
        <v>62</v>
      </c>
      <c r="H206" s="4" t="s">
        <v>211</v>
      </c>
    </row>
    <row r="207" customFormat="false" ht="17.15" hidden="false" customHeight="false" outlineLevel="0" collapsed="false">
      <c r="A207" s="0" t="s">
        <v>510</v>
      </c>
      <c r="B207" s="0" t="s">
        <v>511</v>
      </c>
      <c r="C207" s="0" t="s">
        <v>431</v>
      </c>
      <c r="D207" s="7" t="n">
        <v>96</v>
      </c>
      <c r="E207" s="7" t="n">
        <v>110</v>
      </c>
      <c r="F207" s="7" t="n">
        <v>144</v>
      </c>
      <c r="G207" s="8" t="s">
        <v>62</v>
      </c>
      <c r="H207" s="4" t="s">
        <v>211</v>
      </c>
    </row>
    <row r="208" customFormat="false" ht="17.15" hidden="false" customHeight="false" outlineLevel="0" collapsed="false">
      <c r="A208" s="0" t="s">
        <v>512</v>
      </c>
      <c r="B208" s="0" t="s">
        <v>513</v>
      </c>
      <c r="C208" s="0" t="s">
        <v>431</v>
      </c>
      <c r="D208" s="7" t="n">
        <v>120</v>
      </c>
      <c r="E208" s="7" t="n">
        <v>144</v>
      </c>
      <c r="F208" s="7" t="n">
        <v>144</v>
      </c>
      <c r="G208" s="8" t="s">
        <v>62</v>
      </c>
      <c r="H208" s="4" t="s">
        <v>211</v>
      </c>
    </row>
    <row r="209" customFormat="false" ht="17.15" hidden="false" customHeight="false" outlineLevel="0" collapsed="false">
      <c r="A209" s="0" t="s">
        <v>514</v>
      </c>
      <c r="B209" s="0" t="s">
        <v>515</v>
      </c>
      <c r="C209" s="0" t="s">
        <v>431</v>
      </c>
      <c r="D209" s="7" t="n">
        <v>144</v>
      </c>
      <c r="E209" s="7" t="n">
        <v>200</v>
      </c>
      <c r="F209" s="7" t="n">
        <v>256</v>
      </c>
      <c r="G209" s="8" t="s">
        <v>62</v>
      </c>
      <c r="H209" s="4" t="s">
        <v>211</v>
      </c>
    </row>
    <row r="210" customFormat="false" ht="17.15" hidden="false" customHeight="false" outlineLevel="0" collapsed="false">
      <c r="A210" s="0" t="s">
        <v>516</v>
      </c>
      <c r="B210" s="4" t="s">
        <v>517</v>
      </c>
      <c r="C210" s="4" t="s">
        <v>423</v>
      </c>
      <c r="D210" s="7" t="n">
        <v>0.5</v>
      </c>
      <c r="E210" s="7" t="n">
        <v>1</v>
      </c>
      <c r="F210" s="7" t="n">
        <v>1.5</v>
      </c>
      <c r="G210" s="8" t="s">
        <v>149</v>
      </c>
      <c r="H210" s="8" t="s">
        <v>518</v>
      </c>
    </row>
    <row r="211" customFormat="false" ht="17.15" hidden="false" customHeight="false" outlineLevel="0" collapsed="false">
      <c r="A211" s="0" t="s">
        <v>519</v>
      </c>
      <c r="B211" s="4" t="s">
        <v>520</v>
      </c>
      <c r="C211" s="4" t="s">
        <v>423</v>
      </c>
      <c r="D211" s="7" t="n">
        <v>3</v>
      </c>
      <c r="E211" s="7" t="n">
        <v>4.5</v>
      </c>
      <c r="F211" s="7" t="n">
        <v>6</v>
      </c>
      <c r="G211" s="8" t="s">
        <v>149</v>
      </c>
      <c r="H211" s="4" t="s">
        <v>211</v>
      </c>
    </row>
    <row r="212" customFormat="false" ht="17.15" hidden="false" customHeight="false" outlineLevel="0" collapsed="false">
      <c r="A212" s="0" t="s">
        <v>521</v>
      </c>
      <c r="B212" s="4" t="s">
        <v>522</v>
      </c>
      <c r="C212" s="4" t="s">
        <v>423</v>
      </c>
      <c r="D212" s="7" t="n">
        <v>3.5</v>
      </c>
      <c r="E212" s="7" t="n">
        <v>5</v>
      </c>
      <c r="F212" s="7" t="n">
        <v>7</v>
      </c>
      <c r="G212" s="8" t="s">
        <v>149</v>
      </c>
      <c r="H212" s="4" t="s">
        <v>211</v>
      </c>
    </row>
    <row r="213" customFormat="false" ht="17.15" hidden="false" customHeight="false" outlineLevel="0" collapsed="false">
      <c r="A213" s="0" t="s">
        <v>523</v>
      </c>
      <c r="B213" s="4" t="s">
        <v>524</v>
      </c>
      <c r="C213" s="0" t="s">
        <v>431</v>
      </c>
      <c r="D213" s="7" t="n">
        <v>100</v>
      </c>
      <c r="E213" s="7" t="n">
        <v>150</v>
      </c>
      <c r="F213" s="7" t="n">
        <v>200</v>
      </c>
      <c r="G213" s="8" t="s">
        <v>149</v>
      </c>
      <c r="H213" s="4" t="s">
        <v>211</v>
      </c>
    </row>
    <row r="214" customFormat="false" ht="17.15" hidden="false" customHeight="false" outlineLevel="0" collapsed="false">
      <c r="A214" s="0" t="s">
        <v>525</v>
      </c>
      <c r="B214" s="4" t="s">
        <v>526</v>
      </c>
      <c r="C214" s="0" t="s">
        <v>431</v>
      </c>
      <c r="D214" s="7" t="n">
        <v>150</v>
      </c>
      <c r="E214" s="7" t="n">
        <v>200</v>
      </c>
      <c r="F214" s="7" t="n">
        <v>250</v>
      </c>
      <c r="G214" s="8" t="s">
        <v>149</v>
      </c>
      <c r="H214" s="4" t="s">
        <v>211</v>
      </c>
    </row>
    <row r="215" customFormat="false" ht="17.15" hidden="false" customHeight="false" outlineLevel="0" collapsed="false">
      <c r="A215" s="0" t="s">
        <v>527</v>
      </c>
      <c r="B215" s="4" t="s">
        <v>528</v>
      </c>
      <c r="C215" s="0" t="s">
        <v>431</v>
      </c>
      <c r="D215" s="7" t="n">
        <v>200</v>
      </c>
      <c r="E215" s="7" t="n">
        <v>250</v>
      </c>
      <c r="F215" s="7" t="n">
        <v>300</v>
      </c>
      <c r="G215" s="8" t="s">
        <v>149</v>
      </c>
      <c r="H215" s="4" t="s">
        <v>211</v>
      </c>
    </row>
    <row r="216" customFormat="false" ht="17.15" hidden="false" customHeight="false" outlineLevel="0" collapsed="false">
      <c r="A216" s="6" t="s">
        <v>529</v>
      </c>
    </row>
    <row r="217" customFormat="false" ht="17.15" hidden="false" customHeight="false" outlineLevel="0" collapsed="false">
      <c r="A217" s="0" t="s">
        <v>530</v>
      </c>
      <c r="B217" s="4" t="s">
        <v>531</v>
      </c>
      <c r="C217" s="0" t="s">
        <v>223</v>
      </c>
      <c r="E217" s="7" t="n">
        <v>1</v>
      </c>
      <c r="G217" s="8" t="s">
        <v>39</v>
      </c>
      <c r="H217" s="8" t="s">
        <v>532</v>
      </c>
    </row>
    <row r="218" customFormat="false" ht="17.15" hidden="false" customHeight="false" outlineLevel="0" collapsed="false">
      <c r="A218" s="0" t="s">
        <v>533</v>
      </c>
      <c r="B218" s="4" t="s">
        <v>534</v>
      </c>
      <c r="C218" s="0" t="s">
        <v>223</v>
      </c>
      <c r="E218" s="7" t="n">
        <v>1</v>
      </c>
      <c r="G218" s="8" t="s">
        <v>39</v>
      </c>
      <c r="H218" s="4" t="s">
        <v>211</v>
      </c>
    </row>
    <row r="219" customFormat="false" ht="17.15" hidden="false" customHeight="false" outlineLevel="0" collapsed="false">
      <c r="A219" s="0" t="s">
        <v>535</v>
      </c>
      <c r="B219" s="4" t="s">
        <v>536</v>
      </c>
      <c r="C219" s="0" t="s">
        <v>223</v>
      </c>
      <c r="D219" s="7" t="n">
        <v>0.7</v>
      </c>
      <c r="E219" s="7" t="n">
        <v>0.8</v>
      </c>
      <c r="F219" s="7" t="n">
        <v>0.9</v>
      </c>
      <c r="G219" s="8" t="s">
        <v>62</v>
      </c>
      <c r="H219" s="4" t="s">
        <v>211</v>
      </c>
    </row>
    <row r="220" customFormat="false" ht="17.15" hidden="false" customHeight="false" outlineLevel="0" collapsed="false">
      <c r="A220" s="0" t="s">
        <v>537</v>
      </c>
      <c r="B220" s="4" t="s">
        <v>538</v>
      </c>
      <c r="C220" s="0" t="s">
        <v>223</v>
      </c>
      <c r="D220" s="7" t="n">
        <v>0.75</v>
      </c>
      <c r="E220" s="7" t="n">
        <v>0.85</v>
      </c>
      <c r="F220" s="7" t="n">
        <v>0.95</v>
      </c>
      <c r="G220" s="8" t="s">
        <v>62</v>
      </c>
      <c r="H220" s="4" t="s">
        <v>211</v>
      </c>
    </row>
    <row r="221" customFormat="false" ht="17.15" hidden="false" customHeight="false" outlineLevel="0" collapsed="false">
      <c r="A221" s="0" t="s">
        <v>539</v>
      </c>
      <c r="B221" s="4" t="s">
        <v>540</v>
      </c>
      <c r="C221" s="0" t="s">
        <v>223</v>
      </c>
      <c r="D221" s="7" t="n">
        <v>0.5</v>
      </c>
      <c r="E221" s="7" t="n">
        <v>0.6</v>
      </c>
      <c r="F221" s="7" t="n">
        <v>0.7</v>
      </c>
      <c r="G221" s="8" t="s">
        <v>62</v>
      </c>
      <c r="H221" s="4" t="s">
        <v>211</v>
      </c>
    </row>
    <row r="222" customFormat="false" ht="17.15" hidden="false" customHeight="false" outlineLevel="0" collapsed="false">
      <c r="A222" s="0" t="s">
        <v>541</v>
      </c>
      <c r="B222" s="4" t="s">
        <v>542</v>
      </c>
      <c r="C222" s="0" t="s">
        <v>223</v>
      </c>
      <c r="D222" s="7" t="n">
        <v>0.5</v>
      </c>
      <c r="E222" s="7" t="n">
        <v>0.6</v>
      </c>
      <c r="F222" s="7" t="n">
        <v>0.7</v>
      </c>
      <c r="G222" s="8" t="s">
        <v>62</v>
      </c>
      <c r="H222" s="4" t="s">
        <v>211</v>
      </c>
    </row>
    <row r="223" customFormat="false" ht="17.15" hidden="false" customHeight="false" outlineLevel="0" collapsed="false">
      <c r="A223" s="6" t="s">
        <v>543</v>
      </c>
    </row>
    <row r="224" customFormat="false" ht="17.15" hidden="false" customHeight="false" outlineLevel="0" collapsed="false">
      <c r="A224" s="0" t="s">
        <v>544</v>
      </c>
      <c r="B224" s="0" t="s">
        <v>545</v>
      </c>
      <c r="C224" s="0" t="s">
        <v>546</v>
      </c>
      <c r="D224" s="7" t="n">
        <v>34</v>
      </c>
      <c r="E224" s="7" t="n">
        <v>35</v>
      </c>
      <c r="F224" s="7" t="n">
        <v>35</v>
      </c>
      <c r="G224" s="8" t="s">
        <v>44</v>
      </c>
      <c r="H224" s="8" t="s">
        <v>547</v>
      </c>
    </row>
    <row r="225" customFormat="false" ht="17.15" hidden="false" customHeight="false" outlineLevel="0" collapsed="false">
      <c r="A225" s="0" t="s">
        <v>548</v>
      </c>
      <c r="B225" s="0" t="s">
        <v>549</v>
      </c>
      <c r="C225" s="0" t="s">
        <v>49</v>
      </c>
      <c r="D225" s="7" t="n">
        <v>0.6</v>
      </c>
      <c r="E225" s="7" t="n">
        <v>0.7</v>
      </c>
      <c r="F225" s="7" t="n">
        <v>0.8</v>
      </c>
      <c r="G225" s="8" t="s">
        <v>66</v>
      </c>
      <c r="H225" s="8" t="s">
        <v>550</v>
      </c>
    </row>
    <row r="226" customFormat="false" ht="17.15" hidden="false" customHeight="false" outlineLevel="0" collapsed="false">
      <c r="A226" s="0" t="s">
        <v>551</v>
      </c>
      <c r="B226" s="4" t="s">
        <v>552</v>
      </c>
      <c r="C226" s="0" t="s">
        <v>223</v>
      </c>
      <c r="D226" s="7" t="n">
        <v>1</v>
      </c>
      <c r="E226" s="7" t="n">
        <v>1.15</v>
      </c>
      <c r="F226" s="7" t="n">
        <v>1.3</v>
      </c>
      <c r="G226" s="8" t="s">
        <v>62</v>
      </c>
      <c r="H226" s="4" t="s">
        <v>553</v>
      </c>
    </row>
    <row r="227" customFormat="false" ht="17.15" hidden="false" customHeight="false" outlineLevel="0" collapsed="false">
      <c r="A227" s="0" t="s">
        <v>554</v>
      </c>
      <c r="B227" s="0" t="s">
        <v>555</v>
      </c>
      <c r="C227" s="0" t="s">
        <v>49</v>
      </c>
      <c r="D227" s="7" t="n">
        <v>0.5</v>
      </c>
      <c r="E227" s="7" t="n">
        <v>0.55</v>
      </c>
      <c r="F227" s="7" t="n">
        <v>0.63</v>
      </c>
      <c r="G227" s="8" t="s">
        <v>66</v>
      </c>
      <c r="H227" s="8" t="s">
        <v>556</v>
      </c>
    </row>
    <row r="228" customFormat="false" ht="17.15" hidden="false" customHeight="false" outlineLevel="0" collapsed="false">
      <c r="A228" s="0" t="s">
        <v>557</v>
      </c>
      <c r="B228" s="0" t="s">
        <v>558</v>
      </c>
      <c r="C228" s="0" t="s">
        <v>49</v>
      </c>
      <c r="D228" s="7" t="n">
        <v>0.3</v>
      </c>
      <c r="E228" s="7" t="n">
        <v>0.45</v>
      </c>
      <c r="F228" s="7" t="n">
        <v>0.63</v>
      </c>
      <c r="G228" s="8" t="s">
        <v>62</v>
      </c>
      <c r="H228" s="4" t="s">
        <v>559</v>
      </c>
    </row>
    <row r="229" customFormat="false" ht="17.15" hidden="false" customHeight="false" outlineLevel="0" collapsed="false">
      <c r="A229" s="0" t="s">
        <v>560</v>
      </c>
      <c r="B229" s="0" t="s">
        <v>561</v>
      </c>
      <c r="C229" s="0" t="s">
        <v>562</v>
      </c>
      <c r="D229" s="7" t="n">
        <v>12.5</v>
      </c>
      <c r="E229" s="7" t="n">
        <v>14.6</v>
      </c>
      <c r="F229" s="7" t="n">
        <v>16</v>
      </c>
      <c r="G229" s="8" t="s">
        <v>66</v>
      </c>
      <c r="H229" s="8" t="s">
        <v>563</v>
      </c>
    </row>
    <row r="230" customFormat="false" ht="17.15" hidden="false" customHeight="false" outlineLevel="0" collapsed="false">
      <c r="A230" s="0" t="s">
        <v>564</v>
      </c>
      <c r="B230" s="0" t="s">
        <v>565</v>
      </c>
      <c r="C230" s="0" t="s">
        <v>49</v>
      </c>
      <c r="D230" s="7" t="n">
        <v>0.38</v>
      </c>
      <c r="E230" s="7" t="n">
        <v>0.8</v>
      </c>
      <c r="F230" s="7" t="n">
        <v>1.21</v>
      </c>
      <c r="G230" s="8" t="s">
        <v>66</v>
      </c>
      <c r="H230" s="8" t="s">
        <v>566</v>
      </c>
    </row>
    <row r="231" customFormat="false" ht="17.15" hidden="false" customHeight="false" outlineLevel="0" collapsed="false">
      <c r="A231" s="0" t="s">
        <v>567</v>
      </c>
      <c r="B231" s="0" t="s">
        <v>568</v>
      </c>
      <c r="C231" s="0" t="s">
        <v>49</v>
      </c>
      <c r="D231" s="7" t="n">
        <v>0</v>
      </c>
      <c r="E231" s="7" t="n">
        <v>0.1</v>
      </c>
      <c r="F231" s="7" t="n">
        <v>0.25</v>
      </c>
      <c r="G231" s="8" t="s">
        <v>66</v>
      </c>
      <c r="H231" s="8" t="s">
        <v>569</v>
      </c>
    </row>
    <row r="232" customFormat="false" ht="17.15" hidden="false" customHeight="false" outlineLevel="0" collapsed="false">
      <c r="A232" s="0" t="s">
        <v>570</v>
      </c>
      <c r="B232" s="0" t="s">
        <v>571</v>
      </c>
      <c r="C232" s="0" t="s">
        <v>49</v>
      </c>
      <c r="D232" s="7" t="n">
        <v>-0.4</v>
      </c>
      <c r="E232" s="7" t="n">
        <v>-0.25</v>
      </c>
      <c r="F232" s="7" t="n">
        <v>-0.1</v>
      </c>
      <c r="G232" s="8" t="s">
        <v>62</v>
      </c>
      <c r="H232" s="4" t="s">
        <v>572</v>
      </c>
    </row>
    <row r="233" customFormat="false" ht="17.15" hidden="false" customHeight="false" outlineLevel="0" collapsed="false">
      <c r="A233" s="0" t="s">
        <v>573</v>
      </c>
      <c r="B233" s="0" t="s">
        <v>574</v>
      </c>
      <c r="C233" s="0" t="s">
        <v>49</v>
      </c>
      <c r="D233" s="7" t="n">
        <v>-0.55</v>
      </c>
      <c r="E233" s="7" t="n">
        <v>-0.4</v>
      </c>
      <c r="F233" s="7" t="n">
        <v>-0.25</v>
      </c>
      <c r="G233" s="8" t="s">
        <v>62</v>
      </c>
      <c r="H233" s="4" t="s">
        <v>575</v>
      </c>
    </row>
    <row r="234" customFormat="false" ht="17.15" hidden="false" customHeight="false" outlineLevel="0" collapsed="false">
      <c r="A234" s="0" t="s">
        <v>576</v>
      </c>
      <c r="B234" s="0" t="s">
        <v>577</v>
      </c>
      <c r="C234" s="0" t="s">
        <v>49</v>
      </c>
      <c r="D234" s="7" t="n">
        <v>0.2</v>
      </c>
      <c r="E234" s="7" t="n">
        <v>0.3</v>
      </c>
      <c r="F234" s="7" t="n">
        <v>0.45</v>
      </c>
      <c r="G234" s="8" t="s">
        <v>62</v>
      </c>
      <c r="H234" s="8" t="s">
        <v>578</v>
      </c>
    </row>
    <row r="235" customFormat="false" ht="17.15" hidden="false" customHeight="false" outlineLevel="0" collapsed="false">
      <c r="A235" s="0" t="s">
        <v>579</v>
      </c>
      <c r="B235" s="0" t="s">
        <v>580</v>
      </c>
      <c r="C235" s="0" t="s">
        <v>49</v>
      </c>
      <c r="D235" s="7" t="n">
        <v>0.25</v>
      </c>
      <c r="E235" s="7" t="n">
        <v>0.35</v>
      </c>
      <c r="F235" s="7" t="n">
        <v>0.5</v>
      </c>
      <c r="G235" s="8" t="s">
        <v>62</v>
      </c>
      <c r="H235" s="8" t="s">
        <v>581</v>
      </c>
    </row>
    <row r="236" customFormat="false" ht="17.15" hidden="false" customHeight="false" outlineLevel="0" collapsed="false">
      <c r="A236" s="0" t="s">
        <v>582</v>
      </c>
      <c r="B236" s="0" t="s">
        <v>583</v>
      </c>
      <c r="C236" s="0" t="s">
        <v>49</v>
      </c>
      <c r="D236" s="7" t="n">
        <v>-0.15</v>
      </c>
      <c r="E236" s="7" t="n">
        <v>-0.05</v>
      </c>
      <c r="F236" s="7" t="n">
        <v>0.05</v>
      </c>
      <c r="G236" s="8" t="s">
        <v>62</v>
      </c>
      <c r="H236" s="8" t="s">
        <v>584</v>
      </c>
    </row>
    <row r="237" customFormat="false" ht="17.15" hidden="false" customHeight="false" outlineLevel="0" collapsed="false">
      <c r="A237" s="0" t="s">
        <v>585</v>
      </c>
      <c r="B237" s="0" t="s">
        <v>586</v>
      </c>
      <c r="C237" s="0" t="s">
        <v>49</v>
      </c>
      <c r="D237" s="7" t="n">
        <v>-0.1</v>
      </c>
      <c r="E237" s="7" t="n">
        <v>0</v>
      </c>
      <c r="F237" s="7" t="n">
        <v>0.1</v>
      </c>
      <c r="G237" s="8" t="s">
        <v>62</v>
      </c>
      <c r="H237" s="8" t="s">
        <v>587</v>
      </c>
    </row>
    <row r="238" customFormat="false" ht="17.15" hidden="false" customHeight="false" outlineLevel="0" collapsed="false">
      <c r="A238" s="0" t="s">
        <v>588</v>
      </c>
      <c r="B238" s="0" t="s">
        <v>589</v>
      </c>
      <c r="C238" s="0" t="s">
        <v>49</v>
      </c>
      <c r="D238" s="7" t="n">
        <v>-0.1</v>
      </c>
      <c r="E238" s="7" t="n">
        <v>0.05</v>
      </c>
      <c r="F238" s="7" t="n">
        <v>0.15</v>
      </c>
      <c r="G238" s="8" t="s">
        <v>62</v>
      </c>
      <c r="H238" s="4" t="s">
        <v>590</v>
      </c>
    </row>
    <row r="239" customFormat="false" ht="17.15" hidden="false" customHeight="false" outlineLevel="0" collapsed="false">
      <c r="A239" s="6" t="s">
        <v>591</v>
      </c>
    </row>
    <row r="240" customFormat="false" ht="17.15" hidden="false" customHeight="false" outlineLevel="0" collapsed="false">
      <c r="A240" s="0" t="s">
        <v>592</v>
      </c>
      <c r="B240" s="0" t="s">
        <v>593</v>
      </c>
      <c r="C240" s="0" t="s">
        <v>546</v>
      </c>
      <c r="D240" s="7" t="n">
        <v>340</v>
      </c>
      <c r="E240" s="7" t="n">
        <v>374</v>
      </c>
      <c r="F240" s="7" t="n">
        <v>400</v>
      </c>
      <c r="G240" s="8" t="s">
        <v>594</v>
      </c>
      <c r="H240" s="8" t="s">
        <v>595</v>
      </c>
    </row>
    <row r="241" customFormat="false" ht="17.15" hidden="false" customHeight="false" outlineLevel="0" collapsed="false">
      <c r="A241" s="0" t="s">
        <v>596</v>
      </c>
      <c r="B241" s="4" t="s">
        <v>597</v>
      </c>
      <c r="C241" s="0" t="s">
        <v>598</v>
      </c>
      <c r="D241" s="7" t="n">
        <v>38</v>
      </c>
      <c r="E241" s="7" t="n">
        <v>42.8</v>
      </c>
      <c r="F241" s="7" t="n">
        <v>48</v>
      </c>
      <c r="G241" s="8" t="s">
        <v>39</v>
      </c>
      <c r="H241" s="8" t="s">
        <v>599</v>
      </c>
    </row>
    <row r="242" customFormat="false" ht="17.15" hidden="false" customHeight="false" outlineLevel="0" collapsed="false">
      <c r="A242" s="0" t="s">
        <v>600</v>
      </c>
      <c r="B242" s="4" t="s">
        <v>601</v>
      </c>
      <c r="C242" s="0" t="s">
        <v>598</v>
      </c>
      <c r="D242" s="7" t="n">
        <v>3.5</v>
      </c>
      <c r="E242" s="7" t="n">
        <v>4.46</v>
      </c>
      <c r="F242" s="7" t="n">
        <v>4.9</v>
      </c>
      <c r="G242" s="8" t="s">
        <v>39</v>
      </c>
      <c r="H242" s="8" t="s">
        <v>602</v>
      </c>
    </row>
    <row r="243" customFormat="false" ht="17.15" hidden="false" customHeight="false" outlineLevel="0" collapsed="false">
      <c r="A243" s="0" t="s">
        <v>603</v>
      </c>
      <c r="B243" s="4" t="s">
        <v>604</v>
      </c>
      <c r="C243" s="0" t="s">
        <v>546</v>
      </c>
      <c r="E243" s="7" t="n">
        <v>54.6</v>
      </c>
      <c r="G243" s="8" t="s">
        <v>66</v>
      </c>
      <c r="H243" s="8" t="s">
        <v>605</v>
      </c>
    </row>
    <row r="244" customFormat="false" ht="17.15" hidden="false" customHeight="false" outlineLevel="0" collapsed="false">
      <c r="A244" s="0" t="s">
        <v>606</v>
      </c>
      <c r="B244" s="4" t="s">
        <v>607</v>
      </c>
      <c r="C244" s="0" t="s">
        <v>546</v>
      </c>
      <c r="E244" s="7" t="n">
        <v>77.4</v>
      </c>
      <c r="G244" s="8" t="s">
        <v>66</v>
      </c>
      <c r="H244" s="8" t="s">
        <v>608</v>
      </c>
    </row>
    <row r="245" customFormat="false" ht="17.15" hidden="false" customHeight="false" outlineLevel="0" collapsed="false">
      <c r="A245" s="0" t="s">
        <v>609</v>
      </c>
      <c r="B245" s="4" t="s">
        <v>610</v>
      </c>
      <c r="C245" s="0" t="s">
        <v>546</v>
      </c>
      <c r="E245" s="7" t="n">
        <v>152.8</v>
      </c>
      <c r="G245" s="8" t="s">
        <v>66</v>
      </c>
      <c r="H245" s="8" t="s">
        <v>611</v>
      </c>
    </row>
    <row r="246" customFormat="false" ht="17.15" hidden="false" customHeight="false" outlineLevel="0" collapsed="false">
      <c r="A246" s="1" t="s">
        <v>612</v>
      </c>
    </row>
    <row r="247" customFormat="false" ht="17.15" hidden="false" customHeight="false" outlineLevel="0" collapsed="false">
      <c r="A247" s="9" t="s">
        <v>613</v>
      </c>
      <c r="B247" s="10" t="s">
        <v>614</v>
      </c>
      <c r="C247" s="9" t="s">
        <v>49</v>
      </c>
      <c r="D247" s="9"/>
      <c r="E247" s="11" t="n">
        <v>0.3</v>
      </c>
      <c r="F247" s="9"/>
      <c r="G247" s="9" t="s">
        <v>62</v>
      </c>
      <c r="H247" s="9" t="s">
        <v>615</v>
      </c>
    </row>
    <row r="248" customFormat="false" ht="17.15" hidden="false" customHeight="false" outlineLevel="0" collapsed="false">
      <c r="A248" s="9" t="s">
        <v>616</v>
      </c>
      <c r="B248" s="10" t="s">
        <v>617</v>
      </c>
      <c r="C248" s="9" t="s">
        <v>49</v>
      </c>
      <c r="D248" s="9"/>
      <c r="E248" s="11" t="n">
        <v>0.5</v>
      </c>
      <c r="F248" s="9"/>
      <c r="G248" s="9" t="s">
        <v>62</v>
      </c>
      <c r="H248" s="9" t="s">
        <v>615</v>
      </c>
    </row>
    <row r="249" customFormat="false" ht="17.15" hidden="false" customHeight="false" outlineLevel="0" collapsed="false">
      <c r="A249" s="9" t="s">
        <v>618</v>
      </c>
      <c r="B249" s="10" t="s">
        <v>619</v>
      </c>
      <c r="C249" s="9" t="s">
        <v>49</v>
      </c>
      <c r="D249" s="9"/>
      <c r="E249" s="11" t="n">
        <v>0.2</v>
      </c>
      <c r="F249" s="9"/>
      <c r="G249" s="9" t="s">
        <v>62</v>
      </c>
      <c r="H249" s="9" t="s">
        <v>615</v>
      </c>
    </row>
    <row r="250" customFormat="false" ht="17.15" hidden="false" customHeight="false" outlineLevel="0" collapsed="false">
      <c r="A250" s="9" t="s">
        <v>620</v>
      </c>
      <c r="B250" s="10" t="s">
        <v>621</v>
      </c>
      <c r="C250" s="9" t="s">
        <v>49</v>
      </c>
      <c r="D250" s="9"/>
      <c r="E250" s="11" t="n">
        <v>0.1</v>
      </c>
      <c r="F250" s="9"/>
      <c r="G250" s="9" t="s">
        <v>62</v>
      </c>
      <c r="H250" s="9" t="s">
        <v>622</v>
      </c>
    </row>
    <row r="251" customFormat="false" ht="17.15" hidden="false" customHeight="false" outlineLevel="0" collapsed="false">
      <c r="A251" s="9" t="s">
        <v>623</v>
      </c>
      <c r="B251" s="10" t="s">
        <v>624</v>
      </c>
      <c r="C251" s="9" t="s">
        <v>49</v>
      </c>
      <c r="D251" s="9"/>
      <c r="E251" s="11" t="n">
        <v>0.04</v>
      </c>
      <c r="F251" s="9"/>
      <c r="G251" s="9" t="s">
        <v>62</v>
      </c>
      <c r="H251" s="9" t="s">
        <v>625</v>
      </c>
    </row>
    <row r="252" customFormat="false" ht="17.15" hidden="false" customHeight="false" outlineLevel="0" collapsed="false">
      <c r="A252" s="9" t="s">
        <v>626</v>
      </c>
      <c r="B252" s="9" t="s">
        <v>627</v>
      </c>
      <c r="C252" s="9" t="s">
        <v>49</v>
      </c>
      <c r="D252" s="9"/>
      <c r="E252" s="12" t="n">
        <f aca="false">AVERAGE(0.0431,0.09,0.1078)</f>
        <v>0.0803</v>
      </c>
      <c r="F252" s="9"/>
      <c r="G252" s="9" t="s">
        <v>39</v>
      </c>
      <c r="H252" s="9" t="s">
        <v>628</v>
      </c>
    </row>
    <row r="253" customFormat="false" ht="17.15" hidden="false" customHeight="false" outlineLevel="0" collapsed="false">
      <c r="A253" s="9" t="s">
        <v>629</v>
      </c>
      <c r="B253" s="10" t="s">
        <v>630</v>
      </c>
      <c r="C253" s="9" t="s">
        <v>49</v>
      </c>
      <c r="D253" s="9"/>
      <c r="E253" s="11" t="n">
        <v>0.5</v>
      </c>
      <c r="F253" s="9"/>
      <c r="G253" s="9" t="s">
        <v>62</v>
      </c>
      <c r="H253" s="9" t="s">
        <v>631</v>
      </c>
    </row>
    <row r="254" customFormat="false" ht="17.15" hidden="false" customHeight="false" outlineLevel="0" collapsed="false">
      <c r="A254" s="9" t="s">
        <v>632</v>
      </c>
      <c r="B254" s="10" t="s">
        <v>633</v>
      </c>
      <c r="C254" s="9" t="s">
        <v>49</v>
      </c>
      <c r="D254" s="9"/>
      <c r="E254" s="12" t="n">
        <f aca="false">AVERAGE(22.726/201.867,42.187/239.575,44.345/243.771,21.739/230.401,26.408/236.807,0.1404,0.1811,0.0559,0.1118,0.1327)</f>
        <v>0.129835246430572</v>
      </c>
      <c r="F254" s="9"/>
      <c r="G254" s="9" t="s">
        <v>39</v>
      </c>
      <c r="H254" s="9" t="s">
        <v>634</v>
      </c>
    </row>
    <row r="255" customFormat="false" ht="17.15" hidden="false" customHeight="false" outlineLevel="0" collapsed="false">
      <c r="A255" s="9" t="s">
        <v>635</v>
      </c>
      <c r="B255" s="10" t="s">
        <v>636</v>
      </c>
      <c r="C255" s="9" t="s">
        <v>49</v>
      </c>
      <c r="D255" s="9"/>
      <c r="E255" s="12" t="n">
        <f aca="false">tp_g+0.02</f>
        <v>0.06</v>
      </c>
      <c r="F255" s="9"/>
      <c r="G255" s="9" t="s">
        <v>62</v>
      </c>
      <c r="H255" s="10" t="s">
        <v>637</v>
      </c>
    </row>
    <row r="256" customFormat="false" ht="17.15" hidden="false" customHeight="false" outlineLevel="0" collapsed="false">
      <c r="A256" s="9" t="s">
        <v>638</v>
      </c>
      <c r="B256" s="10" t="s">
        <v>639</v>
      </c>
      <c r="C256" s="9" t="s">
        <v>49</v>
      </c>
      <c r="D256" s="9"/>
      <c r="E256" s="12" t="n">
        <f aca="false">tp_g</f>
        <v>0.04</v>
      </c>
      <c r="F256" s="9"/>
      <c r="G256" s="9" t="s">
        <v>62</v>
      </c>
      <c r="H256" s="10" t="s">
        <v>637</v>
      </c>
    </row>
    <row r="257" customFormat="false" ht="17.15" hidden="false" customHeight="false" outlineLevel="0" collapsed="false">
      <c r="A257" s="9" t="s">
        <v>640</v>
      </c>
      <c r="B257" s="10" t="s">
        <v>641</v>
      </c>
      <c r="C257" s="9" t="s">
        <v>49</v>
      </c>
      <c r="D257" s="9"/>
      <c r="E257" s="12" t="n">
        <f aca="false">tp_g-0.02</f>
        <v>0.02</v>
      </c>
      <c r="F257" s="9"/>
      <c r="G257" s="9" t="s">
        <v>62</v>
      </c>
      <c r="H257" s="10" t="s">
        <v>637</v>
      </c>
    </row>
    <row r="258" customFormat="false" ht="17.15" hidden="false" customHeight="false" outlineLevel="0" collapsed="false">
      <c r="A258" s="9" t="s">
        <v>642</v>
      </c>
      <c r="B258" s="10" t="s">
        <v>643</v>
      </c>
      <c r="C258" s="9" t="s">
        <v>223</v>
      </c>
      <c r="D258" s="9"/>
      <c r="E258" s="11" t="n">
        <v>1.2</v>
      </c>
      <c r="F258" s="9"/>
      <c r="G258" s="9" t="s">
        <v>62</v>
      </c>
      <c r="H258" s="9" t="s">
        <v>644</v>
      </c>
    </row>
    <row r="259" customFormat="false" ht="17.15" hidden="false" customHeight="false" outlineLevel="0" collapsed="false">
      <c r="A259" s="9" t="s">
        <v>645</v>
      </c>
      <c r="B259" s="10" t="s">
        <v>646</v>
      </c>
      <c r="C259" s="9" t="s">
        <v>223</v>
      </c>
      <c r="D259" s="9"/>
      <c r="E259" s="11" t="n">
        <v>0.8</v>
      </c>
      <c r="F259" s="9"/>
      <c r="G259" s="9" t="s">
        <v>62</v>
      </c>
      <c r="H259" s="9" t="s">
        <v>647</v>
      </c>
    </row>
    <row r="260" customFormat="false" ht="17.15" hidden="false" customHeight="false" outlineLevel="0" collapsed="false">
      <c r="A260" s="9" t="s">
        <v>648</v>
      </c>
      <c r="B260" s="10" t="s">
        <v>649</v>
      </c>
      <c r="C260" s="9" t="s">
        <v>49</v>
      </c>
      <c r="D260" s="9"/>
      <c r="E260" s="12" t="n">
        <f aca="false">nim10*cyc_mA</f>
        <v>0.155802295716687</v>
      </c>
      <c r="F260" s="9"/>
      <c r="G260" s="9" t="s">
        <v>39</v>
      </c>
      <c r="H260" s="9" t="s">
        <v>650</v>
      </c>
    </row>
    <row r="261" customFormat="false" ht="17.15" hidden="false" customHeight="false" outlineLevel="0" collapsed="false">
      <c r="A261" s="9" t="s">
        <v>651</v>
      </c>
      <c r="B261" s="10" t="s">
        <v>652</v>
      </c>
      <c r="C261" s="9" t="s">
        <v>49</v>
      </c>
      <c r="D261" s="9"/>
      <c r="E261" s="12" t="n">
        <f aca="false">nim10</f>
        <v>0.129835246430572</v>
      </c>
      <c r="F261" s="9"/>
      <c r="G261" s="9" t="s">
        <v>39</v>
      </c>
      <c r="H261" s="9" t="s">
        <v>650</v>
      </c>
    </row>
    <row r="262" customFormat="false" ht="17.15" hidden="false" customHeight="false" outlineLevel="0" collapsed="false">
      <c r="A262" s="9" t="s">
        <v>653</v>
      </c>
      <c r="B262" s="10" t="s">
        <v>654</v>
      </c>
      <c r="C262" s="9" t="s">
        <v>49</v>
      </c>
      <c r="D262" s="9"/>
      <c r="E262" s="12" t="n">
        <f aca="false">nim10*cyc_mC</f>
        <v>0.103868197144458</v>
      </c>
      <c r="F262" s="9"/>
      <c r="G262" s="9" t="s">
        <v>39</v>
      </c>
      <c r="H262" s="9" t="s">
        <v>650</v>
      </c>
    </row>
    <row r="263" customFormat="false" ht="17.15" hidden="false" customHeight="false" outlineLevel="0" collapsed="false">
      <c r="A263" s="9" t="s">
        <v>655</v>
      </c>
      <c r="B263" s="10" t="s">
        <v>656</v>
      </c>
      <c r="C263" s="9" t="s">
        <v>43</v>
      </c>
      <c r="D263" s="11" t="n">
        <v>290000</v>
      </c>
      <c r="E263" s="11" t="n">
        <v>478906</v>
      </c>
      <c r="F263" s="11" t="n">
        <v>725000</v>
      </c>
      <c r="G263" s="9" t="s">
        <v>66</v>
      </c>
      <c r="H263" s="9" t="s">
        <v>657</v>
      </c>
    </row>
    <row r="264" customFormat="false" ht="17.15" hidden="false" customHeight="false" outlineLevel="0" collapsed="false">
      <c r="A264" s="9" t="s">
        <v>658</v>
      </c>
      <c r="B264" s="10" t="s">
        <v>659</v>
      </c>
      <c r="C264" s="9" t="s">
        <v>43</v>
      </c>
      <c r="D264" s="9"/>
      <c r="E264" s="11" t="n">
        <v>72279</v>
      </c>
      <c r="F264" s="9"/>
      <c r="G264" s="9" t="s">
        <v>66</v>
      </c>
      <c r="H264" s="9" t="s">
        <v>660</v>
      </c>
    </row>
    <row r="265" customFormat="false" ht="17.15" hidden="false" customHeight="false" outlineLevel="0" collapsed="false">
      <c r="A265" s="9" t="s">
        <v>661</v>
      </c>
      <c r="B265" s="10" t="s">
        <v>662</v>
      </c>
      <c r="C265" s="9" t="s">
        <v>43</v>
      </c>
      <c r="D265" s="9"/>
      <c r="E265" s="11" t="n">
        <v>75531</v>
      </c>
      <c r="F265" s="9"/>
      <c r="G265" s="9" t="s">
        <v>66</v>
      </c>
      <c r="H265" s="9" t="s">
        <v>660</v>
      </c>
    </row>
    <row r="266" customFormat="false" ht="17.15" hidden="false" customHeight="false" outlineLevel="0" collapsed="false">
      <c r="A266" s="9" t="s">
        <v>663</v>
      </c>
      <c r="B266" s="10" t="s">
        <v>664</v>
      </c>
      <c r="C266" s="9" t="s">
        <v>43</v>
      </c>
      <c r="D266" s="9"/>
      <c r="E266" s="11" t="n">
        <v>232055</v>
      </c>
      <c r="F266" s="9"/>
      <c r="G266" s="9" t="s">
        <v>66</v>
      </c>
      <c r="H266" s="9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665</v>
      </c>
    </row>
    <row r="3" customFormat="false" ht="15" hidden="false" customHeight="false" outlineLevel="0" collapsed="false">
      <c r="A3" s="5" t="s">
        <v>666</v>
      </c>
      <c r="B3" s="5" t="s">
        <v>667</v>
      </c>
      <c r="C3" s="13" t="s">
        <v>668</v>
      </c>
      <c r="D3" s="13" t="s">
        <v>669</v>
      </c>
      <c r="E3" s="13" t="s">
        <v>670</v>
      </c>
      <c r="F3" s="13" t="s">
        <v>671</v>
      </c>
      <c r="G3" s="13" t="s">
        <v>672</v>
      </c>
      <c r="H3" s="13" t="s">
        <v>673</v>
      </c>
      <c r="I3" s="13" t="s">
        <v>674</v>
      </c>
      <c r="J3" s="13" t="s">
        <v>675</v>
      </c>
      <c r="K3" s="13" t="s">
        <v>676</v>
      </c>
      <c r="L3" s="13" t="s">
        <v>677</v>
      </c>
      <c r="M3" s="13" t="s">
        <v>678</v>
      </c>
      <c r="N3" s="13" t="s">
        <v>679</v>
      </c>
      <c r="O3" s="13" t="s">
        <v>680</v>
      </c>
      <c r="P3" s="13" t="s">
        <v>681</v>
      </c>
      <c r="Q3" s="13" t="s">
        <v>682</v>
      </c>
      <c r="R3" s="13" t="s">
        <v>683</v>
      </c>
      <c r="S3" s="13" t="s">
        <v>684</v>
      </c>
      <c r="T3" s="13" t="s">
        <v>685</v>
      </c>
      <c r="U3" s="13" t="s">
        <v>686</v>
      </c>
      <c r="V3" s="13" t="s">
        <v>687</v>
      </c>
    </row>
    <row r="4" customFormat="false" ht="17.15" hidden="false" customHeight="false" outlineLevel="0" collapsed="false">
      <c r="A4" s="4" t="s">
        <v>688</v>
      </c>
      <c r="B4" s="0" t="s">
        <v>689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688</v>
      </c>
      <c r="B5" s="0" t="s">
        <v>690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688</v>
      </c>
      <c r="B6" s="0" t="s">
        <v>691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692</v>
      </c>
      <c r="B8" s="0" t="s">
        <v>689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692</v>
      </c>
      <c r="B9" s="0" t="s">
        <v>690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692</v>
      </c>
      <c r="B10" s="0" t="s">
        <v>691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693</v>
      </c>
    </row>
    <row r="13" customFormat="false" ht="15" hidden="false" customHeight="false" outlineLevel="0" collapsed="false">
      <c r="A13" s="5" t="s">
        <v>666</v>
      </c>
      <c r="B13" s="5" t="s">
        <v>667</v>
      </c>
      <c r="C13" s="13" t="s">
        <v>694</v>
      </c>
      <c r="D13" s="13" t="s">
        <v>695</v>
      </c>
      <c r="E13" s="13" t="s">
        <v>696</v>
      </c>
      <c r="F13" s="13" t="s">
        <v>697</v>
      </c>
      <c r="G13" s="13" t="s">
        <v>698</v>
      </c>
      <c r="H13" s="13" t="s">
        <v>699</v>
      </c>
      <c r="I13" s="13" t="s">
        <v>700</v>
      </c>
      <c r="J13" s="13" t="s">
        <v>701</v>
      </c>
      <c r="K13" s="13" t="s">
        <v>702</v>
      </c>
    </row>
    <row r="14" customFormat="false" ht="17.15" hidden="false" customHeight="false" outlineLevel="0" collapsed="false">
      <c r="A14" s="4" t="s">
        <v>688</v>
      </c>
      <c r="B14" s="0" t="s">
        <v>689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688</v>
      </c>
      <c r="B15" s="0" t="s">
        <v>690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688</v>
      </c>
      <c r="B16" s="0" t="s">
        <v>691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692</v>
      </c>
      <c r="B17" s="0" t="s">
        <v>689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692</v>
      </c>
      <c r="B18" s="0" t="s">
        <v>690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692</v>
      </c>
      <c r="B19" s="0" t="s">
        <v>691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703</v>
      </c>
    </row>
    <row r="3" customFormat="false" ht="15" hidden="false" customHeight="false" outlineLevel="0" collapsed="false">
      <c r="A3" s="5" t="s">
        <v>28</v>
      </c>
      <c r="B3" s="5" t="s">
        <v>29</v>
      </c>
      <c r="C3" s="13" t="s">
        <v>694</v>
      </c>
      <c r="D3" s="13" t="s">
        <v>695</v>
      </c>
      <c r="E3" s="13" t="s">
        <v>696</v>
      </c>
      <c r="F3" s="13" t="s">
        <v>697</v>
      </c>
      <c r="G3" s="13" t="s">
        <v>698</v>
      </c>
      <c r="H3" s="5" t="s">
        <v>704</v>
      </c>
    </row>
    <row r="4" customFormat="false" ht="17.15" hidden="false" customHeight="false" outlineLevel="0" collapsed="false">
      <c r="A4" s="1" t="s">
        <v>705</v>
      </c>
    </row>
    <row r="5" customFormat="false" ht="17.15" hidden="false" customHeight="false" outlineLevel="0" collapsed="false">
      <c r="A5" s="0" t="s">
        <v>706</v>
      </c>
      <c r="B5" s="0" t="s">
        <v>707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708</v>
      </c>
      <c r="B6" s="0" t="s">
        <v>707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709</v>
      </c>
      <c r="B7" s="0" t="s">
        <v>707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710</v>
      </c>
      <c r="B8" s="0" t="s">
        <v>707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711</v>
      </c>
      <c r="B9" s="0" t="s">
        <v>707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712</v>
      </c>
      <c r="B10" s="0" t="s">
        <v>707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713</v>
      </c>
      <c r="B11" s="0" t="s">
        <v>707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714</v>
      </c>
      <c r="B12" s="0" t="s">
        <v>707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715</v>
      </c>
      <c r="B13" s="0" t="s">
        <v>716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717</v>
      </c>
      <c r="B14" s="0" t="s">
        <v>716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718</v>
      </c>
      <c r="B15" s="4" t="s">
        <v>423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719</v>
      </c>
    </row>
    <row r="16" customFormat="false" ht="17.15" hidden="false" customHeight="false" outlineLevel="0" collapsed="false">
      <c r="A16" s="4" t="s">
        <v>720</v>
      </c>
      <c r="B16" s="0" t="s">
        <v>431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721</v>
      </c>
      <c r="B17" s="0" t="s">
        <v>716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722</v>
      </c>
    </row>
    <row r="18" customFormat="false" ht="17.15" hidden="false" customHeight="false" outlineLevel="0" collapsed="false">
      <c r="A18" s="4" t="s">
        <v>723</v>
      </c>
      <c r="B18" s="0" t="s">
        <v>223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724</v>
      </c>
    </row>
    <row r="19" customFormat="false" ht="17.15" hidden="false" customHeight="false" outlineLevel="0" collapsed="false">
      <c r="A19" s="4" t="s">
        <v>725</v>
      </c>
      <c r="B19" s="0" t="s">
        <v>223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724</v>
      </c>
    </row>
    <row r="20" customFormat="false" ht="17.15" hidden="false" customHeight="false" outlineLevel="0" collapsed="false">
      <c r="A20" s="4" t="s">
        <v>726</v>
      </c>
      <c r="B20" s="0" t="s">
        <v>223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724</v>
      </c>
    </row>
    <row r="21" customFormat="false" ht="17.15" hidden="false" customHeight="false" outlineLevel="0" collapsed="false">
      <c r="A21" s="4" t="s">
        <v>727</v>
      </c>
      <c r="B21" s="0" t="s">
        <v>716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728</v>
      </c>
      <c r="B22" s="0" t="s">
        <v>716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729</v>
      </c>
      <c r="B23" s="0" t="s">
        <v>716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730</v>
      </c>
      <c r="B24" s="0" t="s">
        <v>716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731</v>
      </c>
    </row>
    <row r="25" customFormat="false" ht="17.15" hidden="false" customHeight="false" outlineLevel="0" collapsed="false">
      <c r="A25" s="4" t="s">
        <v>732</v>
      </c>
      <c r="B25" s="0" t="s">
        <v>716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733</v>
      </c>
      <c r="B26" s="0" t="s">
        <v>716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734</v>
      </c>
      <c r="B27" s="0" t="s">
        <v>716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735</v>
      </c>
      <c r="B28" s="0" t="s">
        <v>716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736</v>
      </c>
      <c r="B29" s="0" t="s">
        <v>716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737</v>
      </c>
      <c r="B30" s="0" t="s">
        <v>562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738</v>
      </c>
      <c r="B31" s="0" t="s">
        <v>562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739</v>
      </c>
      <c r="B32" s="0" t="s">
        <v>562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740</v>
      </c>
      <c r="B33" s="0" t="s">
        <v>546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741</v>
      </c>
      <c r="B34" s="0" t="s">
        <v>546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742</v>
      </c>
      <c r="B35" s="0" t="s">
        <v>546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743</v>
      </c>
    </row>
    <row r="38" customFormat="false" ht="17.15" hidden="false" customHeight="false" outlineLevel="0" collapsed="false">
      <c r="A38" s="4" t="s">
        <v>744</v>
      </c>
      <c r="B38" s="0" t="s">
        <v>546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745</v>
      </c>
      <c r="B39" s="0" t="s">
        <v>546</v>
      </c>
      <c r="D39" s="17" t="n">
        <f aca="false">nv_dc26*nv_hbm/nv_content</f>
        <v>38.9728971962617</v>
      </c>
      <c r="H39" s="4" t="s">
        <v>746</v>
      </c>
    </row>
    <row r="40" customFormat="false" ht="15" hidden="false" customHeight="false" outlineLevel="0" collapsed="false">
      <c r="A40" s="4" t="s">
        <v>747</v>
      </c>
      <c r="B40" s="0" t="s">
        <v>49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748</v>
      </c>
      <c r="B41" s="4" t="s">
        <v>423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749</v>
      </c>
    </row>
    <row r="42" customFormat="false" ht="17.15" hidden="false" customHeight="false" outlineLevel="0" collapsed="false">
      <c r="A42" s="4" t="s">
        <v>750</v>
      </c>
      <c r="B42" s="0" t="s">
        <v>546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751</v>
      </c>
      <c r="B43" s="0" t="s">
        <v>49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5" t="s">
        <v>28</v>
      </c>
      <c r="B3" s="13" t="s">
        <v>668</v>
      </c>
      <c r="C3" s="13" t="s">
        <v>669</v>
      </c>
      <c r="D3" s="13" t="s">
        <v>670</v>
      </c>
      <c r="E3" s="13" t="s">
        <v>671</v>
      </c>
      <c r="F3" s="13" t="s">
        <v>672</v>
      </c>
      <c r="G3" s="13" t="s">
        <v>673</v>
      </c>
      <c r="H3" s="13" t="s">
        <v>753</v>
      </c>
      <c r="I3" s="13" t="s">
        <v>754</v>
      </c>
      <c r="J3" s="13" t="s">
        <v>755</v>
      </c>
    </row>
    <row r="4" customFormat="false" ht="15" hidden="false" customHeight="false" outlineLevel="0" collapsed="false">
      <c r="A4" s="4" t="s">
        <v>756</v>
      </c>
      <c r="B4" s="18" t="n">
        <v>19.1</v>
      </c>
      <c r="C4" s="18" t="n">
        <v>21.2</v>
      </c>
      <c r="D4" s="18" t="n">
        <v>26.7</v>
      </c>
      <c r="E4" s="18" t="n">
        <v>37.1</v>
      </c>
      <c r="F4" s="18" t="n">
        <v>74.8</v>
      </c>
      <c r="G4" s="18" t="n">
        <v>120.8</v>
      </c>
      <c r="H4" s="8" t="n">
        <f aca="false">H5+H6+H7</f>
        <v>140.799648</v>
      </c>
      <c r="I4" s="8" t="n">
        <f aca="false">I5+I6+I7</f>
        <v>166.24005552</v>
      </c>
      <c r="J4" s="14" t="n">
        <f aca="false">SUM(F4:I4)</f>
        <v>502.63970352</v>
      </c>
    </row>
    <row r="5" customFormat="false" ht="17.15" hidden="false" customHeight="false" outlineLevel="0" collapsed="false">
      <c r="A5" s="0" t="s">
        <v>757</v>
      </c>
      <c r="F5" s="14" t="n">
        <f aca="false">F4*0.68</f>
        <v>50.864</v>
      </c>
      <c r="G5" s="14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4" t="n">
        <f aca="false">SUM(F5:I5)</f>
        <v>337.4664696</v>
      </c>
    </row>
    <row r="6" customFormat="false" ht="15" hidden="false" customHeight="false" outlineLevel="0" collapsed="false">
      <c r="A6" s="0" t="s">
        <v>758</v>
      </c>
      <c r="F6" s="14" t="n">
        <f aca="false">F4*0.32</f>
        <v>23.936</v>
      </c>
      <c r="G6" s="14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4" t="n">
        <f aca="false">SUM(F6:I6)</f>
        <v>165.17323392</v>
      </c>
    </row>
    <row r="7" customFormat="false" ht="15" hidden="false" customHeight="false" outlineLevel="0" collapsed="false">
      <c r="A7" s="4" t="s">
        <v>759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4" t="n">
        <f aca="false">SUM(F7:I7)</f>
        <v>0</v>
      </c>
    </row>
    <row r="8" customFormat="false" ht="15" hidden="false" customHeight="false" outlineLevel="0" collapsed="false">
      <c r="A8" s="4" t="s">
        <v>760</v>
      </c>
      <c r="F8" s="14" t="n">
        <f aca="false">F4*(1-0.745-0.07)</f>
        <v>13.838</v>
      </c>
      <c r="G8" s="14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4" t="n">
        <f aca="false">SUM(F8:I8)</f>
        <v>79.29448428985</v>
      </c>
    </row>
    <row r="9" customFormat="false" ht="15" hidden="false" customHeight="false" outlineLevel="0" collapsed="false">
      <c r="A9" s="4" t="s">
        <v>761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4" t="n">
        <f aca="false">SUM(F9:I9)</f>
        <v>34.1443822112</v>
      </c>
    </row>
    <row r="10" customFormat="false" ht="15" hidden="false" customHeight="false" outlineLevel="0" collapsed="false">
      <c r="A10" s="4" t="s">
        <v>762</v>
      </c>
      <c r="B10" s="18" t="n">
        <v>3.1</v>
      </c>
      <c r="C10" s="18" t="n">
        <v>2.4</v>
      </c>
      <c r="D10" s="18" t="n">
        <v>9</v>
      </c>
      <c r="E10" s="18" t="n">
        <v>18.4</v>
      </c>
      <c r="F10" s="18" t="n">
        <v>55.7</v>
      </c>
      <c r="G10" s="18" t="n">
        <v>91.2</v>
      </c>
      <c r="H10" s="8" t="n">
        <f aca="false">H4-H8-H9</f>
        <v>109.52042102</v>
      </c>
      <c r="I10" s="8" t="n">
        <f aca="false">I4-I8-I9</f>
        <v>132.78041599895</v>
      </c>
      <c r="J10" s="14" t="n">
        <f aca="false">SUM(F10:I10)</f>
        <v>389.20083701895</v>
      </c>
    </row>
    <row r="11" customFormat="false" ht="15" hidden="false" customHeight="false" outlineLevel="0" collapsed="false">
      <c r="A11" s="4" t="s">
        <v>763</v>
      </c>
      <c r="B11" s="19" t="n">
        <f aca="false">IF(B4=0,"",B10/B4)</f>
        <v>0.162303664921466</v>
      </c>
      <c r="C11" s="19" t="n">
        <f aca="false">IF(C4=0,"",C10/C4)</f>
        <v>0.113207547169811</v>
      </c>
      <c r="D11" s="19" t="n">
        <f aca="false">IF(D4=0,"",D10/D4)</f>
        <v>0.337078651685393</v>
      </c>
      <c r="E11" s="19" t="n">
        <f aca="false">IF(E4=0,"",E10/E4)</f>
        <v>0.495956873315364</v>
      </c>
      <c r="F11" s="19" t="n">
        <f aca="false">IF(F4=0,"",F10/F4)</f>
        <v>0.744652406417112</v>
      </c>
      <c r="G11" s="19" t="n">
        <f aca="false">IF(G4=0,"",G10/G4)</f>
        <v>0.754966887417219</v>
      </c>
      <c r="H11" s="19" t="n">
        <f aca="false">IF(H4=0,"",H10/H4)</f>
        <v>0.777845843904383</v>
      </c>
      <c r="I11" s="19" t="n">
        <f aca="false">IF(I4=0,"",I10/I4)</f>
        <v>0.798726970967448</v>
      </c>
      <c r="J11" s="19" t="n">
        <f aca="false">J10/J4</f>
        <v>0.774313756540452</v>
      </c>
    </row>
    <row r="12" customFormat="false" ht="15" hidden="false" customHeight="false" outlineLevel="0" collapsed="false">
      <c r="A12" s="4" t="s">
        <v>764</v>
      </c>
      <c r="B12" s="18" t="n">
        <v>8</v>
      </c>
      <c r="C12" s="18" t="n">
        <v>4.9</v>
      </c>
      <c r="D12" s="18" t="n">
        <v>12</v>
      </c>
      <c r="E12" s="18" t="n">
        <v>19.3</v>
      </c>
      <c r="F12" s="18" t="n">
        <v>47.1</v>
      </c>
      <c r="G12" s="18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4" t="n">
        <f aca="false">SUM(F12:I12)</f>
        <v>317.84066961516</v>
      </c>
    </row>
    <row r="13" customFormat="false" ht="15" hidden="false" customHeight="false" outlineLevel="0" collapsed="false">
      <c r="A13" s="4" t="s">
        <v>765</v>
      </c>
      <c r="B13" s="18" t="n">
        <v>5</v>
      </c>
      <c r="C13" s="18" t="n">
        <v>5</v>
      </c>
      <c r="D13" s="18" t="n">
        <v>5</v>
      </c>
      <c r="E13" s="18" t="n">
        <v>5</v>
      </c>
      <c r="F13" s="18" t="n">
        <v>6</v>
      </c>
      <c r="G13" s="18" t="n">
        <v>6.3</v>
      </c>
      <c r="H13" s="8" t="n">
        <f aca="false">da_q3</f>
        <v>6.6</v>
      </c>
      <c r="I13" s="8" t="n">
        <f aca="false">da_q4</f>
        <v>7</v>
      </c>
      <c r="J13" s="14" t="n">
        <f aca="false">SUM(F13:I13)</f>
        <v>25.9</v>
      </c>
    </row>
    <row r="14" customFormat="false" ht="17.15" hidden="false" customHeight="false" outlineLevel="0" collapsed="false">
      <c r="A14" s="0" t="s">
        <v>766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767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4" t="s">
        <v>768</v>
      </c>
    </row>
    <row r="20" customFormat="false" ht="17.15" hidden="false" customHeight="false" outlineLevel="0" collapsed="false">
      <c r="A20" s="1" t="s">
        <v>769</v>
      </c>
    </row>
    <row r="21" customFormat="false" ht="17.15" hidden="false" customHeight="false" outlineLevel="0" collapsed="false">
      <c r="A21" s="0" t="s">
        <v>770</v>
      </c>
      <c r="B21" s="20" t="n">
        <v>51.7</v>
      </c>
      <c r="C21" s="20" t="n">
        <v>43.6</v>
      </c>
      <c r="D21" s="20" t="n">
        <v>48.4</v>
      </c>
      <c r="E21" s="20" t="n">
        <v>44.3</v>
      </c>
      <c r="F21" s="20" t="n">
        <v>52.7</v>
      </c>
      <c r="G21" s="20" t="n">
        <v>48</v>
      </c>
    </row>
    <row r="22" customFormat="false" ht="17.15" hidden="false" customHeight="false" outlineLevel="0" collapsed="false">
      <c r="A22" s="0" t="s">
        <v>771</v>
      </c>
      <c r="B22" s="20" t="n">
        <v>25.1</v>
      </c>
      <c r="C22" s="20" t="n">
        <v>27.9</v>
      </c>
      <c r="D22" s="20" t="n">
        <v>33.1</v>
      </c>
      <c r="E22" s="20" t="n">
        <v>44</v>
      </c>
      <c r="F22" s="20" t="n">
        <v>81.7</v>
      </c>
      <c r="G22" s="20" t="n">
        <v>127.5</v>
      </c>
    </row>
    <row r="23" customFormat="false" ht="17.15" hidden="false" customHeight="false" outlineLevel="0" collapsed="false">
      <c r="A23" s="0" t="s">
        <v>772</v>
      </c>
      <c r="B23" s="20" t="n">
        <v>5.9</v>
      </c>
      <c r="C23" s="20" t="n">
        <v>6.4</v>
      </c>
      <c r="D23" s="20" t="n">
        <v>8.1</v>
      </c>
      <c r="E23" s="20" t="n">
        <v>9.5</v>
      </c>
      <c r="F23" s="20" t="n">
        <v>6.7</v>
      </c>
      <c r="G23" s="20" t="n">
        <v>7.5</v>
      </c>
    </row>
    <row r="24" customFormat="false" ht="15" hidden="false" customHeight="false" outlineLevel="0" collapsed="false">
      <c r="A24" s="0" t="s">
        <v>773</v>
      </c>
      <c r="B24" s="20" t="n">
        <v>3.4</v>
      </c>
      <c r="C24" s="20" t="n">
        <v>3.8</v>
      </c>
      <c r="E24" s="20" t="n">
        <v>4.6</v>
      </c>
      <c r="F24" s="20" t="n">
        <v>3.8</v>
      </c>
      <c r="G24" s="20" t="n">
        <v>4.6</v>
      </c>
    </row>
    <row r="25" customFormat="false" ht="17.15" hidden="false" customHeight="false" outlineLevel="0" collapsed="false">
      <c r="A25" s="4" t="s">
        <v>774</v>
      </c>
      <c r="B25" s="20" t="n">
        <v>-7</v>
      </c>
      <c r="C25" s="20" t="n">
        <v>-7.1</v>
      </c>
      <c r="E25" s="20" t="n">
        <v>-8.6</v>
      </c>
      <c r="F25" s="20" t="n">
        <v>-11</v>
      </c>
      <c r="G25" s="20" t="n">
        <v>-16.1</v>
      </c>
    </row>
    <row r="26" customFormat="false" ht="15" hidden="false" customHeight="false" outlineLevel="0" collapsed="false">
      <c r="A26" s="4" t="s">
        <v>775</v>
      </c>
      <c r="B26" s="20" t="n">
        <v>79.1</v>
      </c>
      <c r="C26" s="20" t="n">
        <v>74.6</v>
      </c>
      <c r="D26" s="20" t="n">
        <v>86.1</v>
      </c>
      <c r="E26" s="20" t="n">
        <v>93.8</v>
      </c>
      <c r="F26" s="20" t="n">
        <v>133.9</v>
      </c>
      <c r="G26" s="20" t="n">
        <v>171.5</v>
      </c>
    </row>
    <row r="27" customFormat="false" ht="15" hidden="false" customHeight="false" outlineLevel="0" collapsed="false">
      <c r="A27" s="4" t="s">
        <v>776</v>
      </c>
      <c r="B27" s="21" t="n">
        <f aca="false">B21+B22+B23+B24+B25-B26</f>
        <v>0</v>
      </c>
      <c r="C27" s="21" t="n">
        <f aca="false">C21+C22+C23+C24+C25-C26</f>
        <v>0</v>
      </c>
      <c r="E27" s="21" t="n">
        <f aca="false">E21+E22+E23+E24+E25-E26</f>
        <v>0</v>
      </c>
      <c r="F27" s="21" t="n">
        <f aca="false">F21+F22+F23+F24+F25-F26</f>
        <v>0</v>
      </c>
      <c r="G27" s="21" t="n">
        <f aca="false">G21+G22+G23+G24+G25-G26</f>
        <v>0</v>
      </c>
    </row>
    <row r="28" customFormat="false" ht="17.15" hidden="false" customHeight="false" outlineLevel="0" collapsed="false">
      <c r="A28" s="4" t="s">
        <v>777</v>
      </c>
    </row>
    <row r="29" customFormat="false" ht="17.15" hidden="false" customHeight="false" outlineLevel="0" collapsed="false">
      <c r="A29" s="0" t="s">
        <v>778</v>
      </c>
    </row>
    <row r="30" customFormat="false" ht="17.15" hidden="false" customHeight="false" outlineLevel="0" collapsed="false">
      <c r="A30" s="4" t="s">
        <v>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780</v>
      </c>
    </row>
    <row r="2" customFormat="false" ht="17.15" hidden="false" customHeight="false" outlineLevel="0" collapsed="false">
      <c r="A2" s="4" t="s">
        <v>781</v>
      </c>
    </row>
    <row r="3" customFormat="false" ht="17.15" hidden="false" customHeight="false" outlineLevel="0" collapsed="false">
      <c r="A3" s="5" t="s">
        <v>28</v>
      </c>
      <c r="B3" s="13" t="s">
        <v>782</v>
      </c>
      <c r="C3" s="13" t="s">
        <v>783</v>
      </c>
      <c r="D3" s="13" t="s">
        <v>784</v>
      </c>
      <c r="E3" s="13" t="s">
        <v>785</v>
      </c>
      <c r="F3" s="13" t="s">
        <v>786</v>
      </c>
      <c r="G3" s="13" t="s">
        <v>787</v>
      </c>
      <c r="H3" s="13" t="s">
        <v>788</v>
      </c>
      <c r="I3" s="13" t="s">
        <v>789</v>
      </c>
      <c r="J3" s="13" t="s">
        <v>790</v>
      </c>
      <c r="K3" s="13" t="s">
        <v>791</v>
      </c>
      <c r="L3" s="13" t="s">
        <v>792</v>
      </c>
      <c r="M3" s="13" t="s">
        <v>793</v>
      </c>
      <c r="N3" s="13" t="s">
        <v>794</v>
      </c>
      <c r="O3" s="13" t="s">
        <v>795</v>
      </c>
      <c r="P3" s="13" t="s">
        <v>796</v>
      </c>
      <c r="Q3" s="13" t="s">
        <v>797</v>
      </c>
      <c r="R3" s="13" t="s">
        <v>798</v>
      </c>
      <c r="S3" s="13" t="s">
        <v>799</v>
      </c>
      <c r="T3" s="13" t="s">
        <v>800</v>
      </c>
      <c r="U3" s="13" t="s">
        <v>801</v>
      </c>
      <c r="V3" s="5" t="s">
        <v>704</v>
      </c>
    </row>
    <row r="4" customFormat="false" ht="15" hidden="false" customHeight="false" outlineLevel="0" collapsed="false">
      <c r="A4" s="4" t="s">
        <v>756</v>
      </c>
      <c r="B4" s="17" t="n">
        <f aca="false">SUM(Q!B4:E4)</f>
        <v>104.1</v>
      </c>
      <c r="C4" s="17" t="n">
        <f aca="false">Q!J4</f>
        <v>502.63970352</v>
      </c>
      <c r="D4" s="17" t="n">
        <f aca="false">D5+D6+D7+D8</f>
        <v>798.433606937986</v>
      </c>
      <c r="E4" s="17" t="n">
        <f aca="false">E5+E6+E7+E8</f>
        <v>875.551741217583</v>
      </c>
      <c r="F4" s="17" t="n">
        <f aca="false">F5+F6+F7+F8</f>
        <v>937.21932264455</v>
      </c>
      <c r="G4" s="17" t="n">
        <f aca="false">G5+G6+G7+G8</f>
        <v>780.543621396896</v>
      </c>
      <c r="H4" s="17" t="n">
        <f aca="false">H5+H6+H7+H8</f>
        <v>493.518384538882</v>
      </c>
      <c r="I4" s="17" t="n">
        <f aca="false">I5+I6+I7+I8</f>
        <v>559.4456640169</v>
      </c>
      <c r="J4" s="17" t="n">
        <f aca="false">J5+J6+J7+J8</f>
        <v>780.543621396896</v>
      </c>
      <c r="K4" s="17" t="n">
        <f aca="false">K5+K6+K7+K8</f>
        <v>345.226334854707</v>
      </c>
      <c r="L4" s="17" t="n">
        <f aca="false">L5+L6+L7+L8</f>
        <v>309.838833299314</v>
      </c>
    </row>
    <row r="5" customFormat="false" ht="17.15" hidden="false" customHeight="false" outlineLevel="0" collapsed="false">
      <c r="A5" s="4" t="s">
        <v>802</v>
      </c>
      <c r="C5" s="17" t="n">
        <f aca="false">Q!J5-C6</f>
        <v>314.7238481054</v>
      </c>
      <c r="D5" s="17" t="n">
        <f aca="false">C5*(1+cb_1)*(AVERAGE(Path!K4:N4)/AVERAGE(Path!G4:J4))</f>
        <v>466.951503007452</v>
      </c>
      <c r="E5" s="17" t="n">
        <f aca="false">D5*(1+cb_2)*(AVERAGE(Path!O4:R4)/AVERAGE(Path!K4:N4))</f>
        <v>497.934196670141</v>
      </c>
      <c r="F5" s="17" t="n">
        <f aca="false">E5*(1+cb_3)*(AVERAGE(Path!S4:V4)/AVERAGE(Path!O4:R4))</f>
        <v>517.446452245614</v>
      </c>
      <c r="G5" s="17" t="n">
        <f aca="false">C5*(1+cb_1)*(AVERAGE(Path!K5:N5)/AVERAGE(Path!G5:J5))</f>
        <v>454.878291148494</v>
      </c>
      <c r="H5" s="17" t="n">
        <f aca="false">G5*(1+cb_2)*(AVERAGE(Path!O5:R5)/AVERAGE(Path!K5:N5))</f>
        <v>285.686128969926</v>
      </c>
      <c r="I5" s="17" t="n">
        <f aca="false">H5*(1+cb_3)*(AVERAGE(Path!S5:V5)/AVERAGE(Path!O5:R5))</f>
        <v>318.500850595199</v>
      </c>
      <c r="J5" s="17" t="n">
        <f aca="false">C5*(1+cb_1)*(AVERAGE(Path!K6:N6)/AVERAGE(Path!G6:J6))</f>
        <v>454.878291148494</v>
      </c>
      <c r="K5" s="17" t="n">
        <f aca="false">J5*(1+cb_2)*(AVERAGE(Path!O6:R6)/AVERAGE(Path!K6:N6))</f>
        <v>195.971522797554</v>
      </c>
      <c r="L5" s="17" t="n">
        <f aca="false">K5*(1+cb_3)*(AVERAGE(Path!S6:V6)/AVERAGE(Path!O6:R6))</f>
        <v>158.582541988058</v>
      </c>
      <c r="V5" s="4" t="s">
        <v>803</v>
      </c>
    </row>
    <row r="6" customFormat="false" ht="17.15" hidden="false" customHeight="false" outlineLevel="0" collapsed="false">
      <c r="A6" s="0" t="s">
        <v>804</v>
      </c>
      <c r="C6" s="17" t="n">
        <f aca="false">(Mkt!D33/4*sh26+Mkt!D33/4*sh26+Mkt!D33/4*sh26+Mkt!D33/4*sh26)*fx/1000</f>
        <v>22.7426214946</v>
      </c>
      <c r="D6" s="17" t="n">
        <f aca="false">(Mkt!E33/4*sh27+Mkt!E33/4*sh27+Mkt!E33/4*sh27+Mkt!E33/4*sh27)*fx/1000</f>
        <v>83.143887270948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83.143887270948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83.143887270948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805</v>
      </c>
    </row>
    <row r="7" customFormat="false" ht="15" hidden="false" customHeight="false" outlineLevel="0" collapsed="false">
      <c r="A7" s="0" t="s">
        <v>758</v>
      </c>
      <c r="C7" s="17" t="n">
        <f aca="false">Q!J6</f>
        <v>165.17323392</v>
      </c>
      <c r="D7" s="17" t="n">
        <f aca="false">C7*(1+nb_1)*(AVERAGE(Path!K8:N8)/AVERAGE(Path!G8:J8))</f>
        <v>248.338216659585</v>
      </c>
      <c r="E7" s="17" t="n">
        <f aca="false">D7*(1+nb_2)*(AVERAGE(Path!O8:R8)/AVERAGE(Path!K8:N8))</f>
        <v>238.023333813587</v>
      </c>
      <c r="F7" s="17" t="n">
        <f aca="false">E7*(1+nb_3)*(AVERAGE(Path!S8:V8)/AVERAGE(Path!O8:R8))</f>
        <v>240.743295132767</v>
      </c>
      <c r="G7" s="17" t="n">
        <f aca="false">C7*(1+nb_1)*(AVERAGE(Path!K9:N9)/AVERAGE(Path!G9:J9))</f>
        <v>242.521442977454</v>
      </c>
      <c r="H7" s="17" t="n">
        <f aca="false">G7*(1+nb_2)*(AVERAGE(Path!O9:R9)/AVERAGE(Path!K9:N9))</f>
        <v>115.773915940156</v>
      </c>
      <c r="I7" s="17" t="n">
        <f aca="false">H7*(1+nb_3)*(AVERAGE(Path!S9:V9)/AVERAGE(Path!O9:R9))</f>
        <v>113.789231809421</v>
      </c>
      <c r="J7" s="17" t="n">
        <f aca="false">C7*(1+nb_1)*(AVERAGE(Path!K10:N10)/AVERAGE(Path!G10:J10))</f>
        <v>242.521442977454</v>
      </c>
      <c r="K7" s="17" t="n">
        <f aca="false">J7*(1+nb_2)*(AVERAGE(Path!O10:R10)/AVERAGE(Path!K10:N10))</f>
        <v>94.0198082798734</v>
      </c>
      <c r="L7" s="17" t="n">
        <f aca="false">K7*(1+nb_3)*(AVERAGE(Path!S10:V10)/AVERAGE(Path!O10:R10))</f>
        <v>75.8605111552682</v>
      </c>
    </row>
    <row r="8" customFormat="false" ht="15" hidden="false" customHeight="false" outlineLevel="0" collapsed="false">
      <c r="A8" s="4" t="s">
        <v>759</v>
      </c>
      <c r="C8" s="17" t="n">
        <f aca="false">Q!J7</f>
        <v>0</v>
      </c>
      <c r="D8" s="17" t="n">
        <f aca="false">other_y</f>
        <v>0</v>
      </c>
      <c r="E8" s="17" t="n">
        <f aca="false">other_y</f>
        <v>0</v>
      </c>
      <c r="F8" s="17" t="n">
        <f aca="false">other_y</f>
        <v>0</v>
      </c>
      <c r="G8" s="17" t="n">
        <f aca="false">other_y</f>
        <v>0</v>
      </c>
      <c r="H8" s="17" t="n">
        <f aca="false">other_y</f>
        <v>0</v>
      </c>
      <c r="I8" s="17" t="n">
        <f aca="false">other_y</f>
        <v>0</v>
      </c>
      <c r="J8" s="17" t="n">
        <f aca="false">other_y</f>
        <v>0</v>
      </c>
      <c r="K8" s="17" t="n">
        <f aca="false">other_y</f>
        <v>0</v>
      </c>
      <c r="L8" s="17" t="n">
        <f aca="false">other_y</f>
        <v>0</v>
      </c>
    </row>
    <row r="9" customFormat="false" ht="17.15" hidden="false" customHeight="false" outlineLevel="0" collapsed="false">
      <c r="A9" s="0" t="s">
        <v>806</v>
      </c>
      <c r="C9" s="19" t="n">
        <f aca="false">C6/C4</f>
        <v>0.0452463689902186</v>
      </c>
      <c r="D9" s="19" t="n">
        <f aca="false">D6/D4</f>
        <v>0.104133752072144</v>
      </c>
      <c r="E9" s="19" t="n">
        <f aca="false">E6/E4</f>
        <v>0.159435706837529</v>
      </c>
      <c r="F9" s="19" t="n">
        <f aca="false">F6/F4</f>
        <v>0.191022070224717</v>
      </c>
      <c r="G9" s="19" t="n">
        <f aca="false">G6/G4</f>
        <v>0.106520487762298</v>
      </c>
      <c r="H9" s="19" t="n">
        <f aca="false">H6/H4</f>
        <v>0.186534772589707</v>
      </c>
      <c r="I9" s="19" t="n">
        <f aca="false">I6/I4</f>
        <v>0.227288528253637</v>
      </c>
      <c r="J9" s="19" t="n">
        <f aca="false">J6/J4</f>
        <v>0.106520487762298</v>
      </c>
      <c r="K9" s="19" t="n">
        <f aca="false">K6/K4</f>
        <v>0.159996495633875</v>
      </c>
      <c r="L9" s="19" t="n">
        <f aca="false">L6/L4</f>
        <v>0.243338704038924</v>
      </c>
    </row>
    <row r="10" customFormat="false" ht="15" hidden="false" customHeight="false" outlineLevel="0" collapsed="false">
      <c r="A10" s="4" t="s">
        <v>765</v>
      </c>
      <c r="B10" s="17" t="n">
        <f aca="false">SUM(Q!B13:E13)</f>
        <v>20</v>
      </c>
      <c r="C10" s="17" t="n">
        <f aca="false">Q!J13</f>
        <v>25.9</v>
      </c>
      <c r="D10" s="17" t="n">
        <f aca="false">C10+(C21-C10)/da_life</f>
        <v>31.22</v>
      </c>
      <c r="E10" s="17" t="n">
        <f aca="false">D10+(D21-D10)/da_life</f>
        <v>36.976</v>
      </c>
      <c r="F10" s="17" t="n">
        <f aca="false">E10+(E21-E10)/da_life</f>
        <v>42.7808</v>
      </c>
      <c r="G10" s="17" t="n">
        <f aca="false">C10+(C21-C10)/da_life</f>
        <v>31.22</v>
      </c>
      <c r="H10" s="17" t="n">
        <f aca="false">G10+(G21-G10)/da_life</f>
        <v>36.976</v>
      </c>
      <c r="I10" s="17" t="n">
        <f aca="false">H10+(H21-H10)/da_life</f>
        <v>42.7808</v>
      </c>
      <c r="J10" s="17" t="n">
        <f aca="false">C10+(C21-C10)/da_life</f>
        <v>31.22</v>
      </c>
      <c r="K10" s="17" t="n">
        <f aca="false">J10+(J21-J10)/da_life</f>
        <v>36.976</v>
      </c>
      <c r="L10" s="17" t="n">
        <f aca="false">K10+(K21-K10)/da_life</f>
        <v>42.7808</v>
      </c>
    </row>
    <row r="11" customFormat="false" ht="17.15" hidden="false" customHeight="false" outlineLevel="0" collapsed="false">
      <c r="A11" s="4" t="s">
        <v>807</v>
      </c>
      <c r="D11" s="14" t="n">
        <f aca="false">w_c*(1+cb_1)+w_h*D31/C31+w_n*(1+nb_1)</f>
        <v>1.28215517241379</v>
      </c>
      <c r="E11" s="14" t="n">
        <f aca="false">w_c*(1+cb_2)+w_h*E31/D31+w_n*(1+nb_2)</f>
        <v>1.23194736842105</v>
      </c>
      <c r="F11" s="14" t="n">
        <f aca="false">w_c*(1+cb_3)+w_h*F31/E31+w_n*(1+nb_3)</f>
        <v>1.189</v>
      </c>
      <c r="G11" s="14" t="n">
        <f aca="false">w_c*(1+cb_1)+w_h*G31/C31+w_n*(1+nb_1)</f>
        <v>1.28215517241379</v>
      </c>
      <c r="H11" s="14" t="n">
        <f aca="false">w_c*(1+cb_2)+w_h*H31/G31+w_n*(1+nb_2)</f>
        <v>1.22444343414881</v>
      </c>
      <c r="I11" s="14" t="n">
        <f aca="false">w_c*(1+cb_3)+w_h*I31/H31+w_n*(1+nb_3)</f>
        <v>1.1936875</v>
      </c>
      <c r="J11" s="14" t="n">
        <f aca="false">w_c*(1+cb_1)+w_h*J31/C31+w_n*(1+nb_1)</f>
        <v>1.28215517241379</v>
      </c>
      <c r="K11" s="14" t="n">
        <f aca="false">w_c*(1+cb_2)+w_h*K31/J31+w_n*(1+nb_2)</f>
        <v>1.16908257561161</v>
      </c>
      <c r="L11" s="14" t="n">
        <f aca="false">w_c*(1+cb_3)+w_h*L31/K31+w_n*(1+nb_3)</f>
        <v>1.1815</v>
      </c>
    </row>
    <row r="12" customFormat="false" ht="17.15" hidden="false" customHeight="false" outlineLevel="0" collapsed="false">
      <c r="A12" s="4" t="s">
        <v>760</v>
      </c>
      <c r="C12" s="17" t="n">
        <f aca="false">Q!J8</f>
        <v>79.29448428985</v>
      </c>
      <c r="D12" s="17" t="n">
        <f aca="false">(C12-da_cogs*C10)*D11*(1-costdn_y)+da_cogs*D10</f>
        <v>92.7007164964349</v>
      </c>
      <c r="E12" s="17" t="n">
        <f aca="false">(D12-da_cogs*D10)*E11*(1-costdn_y)+da_cogs*E10</f>
        <v>104.906831922571</v>
      </c>
      <c r="F12" s="17" t="n">
        <f aca="false">(E12-da_cogs*E10)*F11*(1-costdn_y)+da_cogs*F10</f>
        <v>115.152305000343</v>
      </c>
      <c r="G12" s="17" t="n">
        <f aca="false">(C12-da_cogs*C10)*G11*(1-costdn_y)+da_cogs*G10</f>
        <v>92.7007164964349</v>
      </c>
      <c r="H12" s="17" t="n">
        <f aca="false">(G12-da_cogs*G10)*H11*(1-costdn_y)+da_cogs*H10</f>
        <v>104.470534838013</v>
      </c>
      <c r="I12" s="17" t="n">
        <f aca="false">(H12-da_cogs*H10)*I11*(1-costdn_y)+da_cogs*I10</f>
        <v>114.985765309005</v>
      </c>
      <c r="J12" s="17" t="n">
        <f aca="false">(C12-da_cogs*C10)*J11*(1-costdn_y)+da_cogs*J10</f>
        <v>92.7007164964349</v>
      </c>
      <c r="K12" s="17" t="n">
        <f aca="false">(J12-da_cogs*J10)*K11*(1-costdn_y)+da_cogs*K10</f>
        <v>101.251719173843</v>
      </c>
      <c r="L12" s="17" t="n">
        <f aca="false">(K12-da_cogs*K10)*L11*(1-costdn_y)+da_cogs*L10</f>
        <v>110.782148943506</v>
      </c>
      <c r="V12" s="4" t="s">
        <v>808</v>
      </c>
    </row>
    <row r="13" customFormat="false" ht="15" hidden="false" customHeight="false" outlineLevel="0" collapsed="false">
      <c r="A13" s="4" t="s">
        <v>761</v>
      </c>
      <c r="C13" s="17" t="n">
        <f aca="false">Q!J9</f>
        <v>34.1443822112</v>
      </c>
      <c r="D13" s="17" t="n">
        <f aca="false">opex_fix_y*(1+opex_g)^1+opex_var*D4</f>
        <v>52.3060164162791</v>
      </c>
      <c r="E13" s="17" t="n">
        <f aca="false">opex_fix_y*(1+opex_g)^2+opex_var*E4</f>
        <v>57.373104473055</v>
      </c>
      <c r="F13" s="17" t="n">
        <f aca="false">opex_fix_y*(1+opex_g)^3+opex_var*F4</f>
        <v>61.557159358673</v>
      </c>
      <c r="G13" s="17" t="n">
        <f aca="false">opex_fix_y*(1+opex_g)^1+opex_var*G4</f>
        <v>51.2326172838138</v>
      </c>
      <c r="H13" s="17" t="n">
        <f aca="false">opex_fix_y*(1+opex_g)^2+opex_var*H4</f>
        <v>34.4511030723329</v>
      </c>
      <c r="I13" s="17" t="n">
        <f aca="false">opex_fix_y*(1+opex_g)^3+opex_var*I4</f>
        <v>38.890739841014</v>
      </c>
      <c r="J13" s="17" t="n">
        <f aca="false">opex_fix_y*(1+opex_g)^1+opex_var*J4</f>
        <v>51.2326172838138</v>
      </c>
      <c r="K13" s="17" t="n">
        <f aca="false">opex_fix_y*(1+opex_g)^2+opex_var*K4</f>
        <v>25.5535800912824</v>
      </c>
      <c r="L13" s="17" t="n">
        <f aca="false">opex_fix_y*(1+opex_g)^3+opex_var*L4</f>
        <v>23.9143299979588</v>
      </c>
    </row>
    <row r="14" customFormat="false" ht="15" hidden="false" customHeight="false" outlineLevel="0" collapsed="false">
      <c r="A14" s="4" t="s">
        <v>762</v>
      </c>
      <c r="B14" s="17" t="n">
        <f aca="false">SUM(Q!B10:E10)</f>
        <v>32.9</v>
      </c>
      <c r="C14" s="17" t="n">
        <f aca="false">Q!J10</f>
        <v>389.20083701895</v>
      </c>
      <c r="D14" s="17" t="n">
        <f aca="false">D4-D12-D13</f>
        <v>653.426874025271</v>
      </c>
      <c r="E14" s="17" t="n">
        <f aca="false">E4-E12-E13</f>
        <v>713.271804821957</v>
      </c>
      <c r="F14" s="17" t="n">
        <f aca="false">F4-F12-F13</f>
        <v>760.509858285534</v>
      </c>
      <c r="G14" s="17" t="n">
        <f aca="false">G4-G12-G13</f>
        <v>636.610287616647</v>
      </c>
      <c r="H14" s="17" t="n">
        <f aca="false">H4-H12-H13</f>
        <v>354.596746628536</v>
      </c>
      <c r="I14" s="17" t="n">
        <f aca="false">I4-I12-I13</f>
        <v>405.56915886688</v>
      </c>
      <c r="J14" s="17" t="n">
        <f aca="false">J4-J12-J13</f>
        <v>636.610287616647</v>
      </c>
      <c r="K14" s="17" t="n">
        <f aca="false">K4-K12-K13</f>
        <v>218.421035589582</v>
      </c>
      <c r="L14" s="17" t="n">
        <f aca="false">L4-L12-L13</f>
        <v>175.142354357849</v>
      </c>
    </row>
    <row r="15" customFormat="false" ht="15" hidden="false" customHeight="false" outlineLevel="0" collapsed="false">
      <c r="A15" s="4" t="s">
        <v>763</v>
      </c>
      <c r="B15" s="19" t="n">
        <f aca="false">B14/B4</f>
        <v>0.316042267050913</v>
      </c>
      <c r="C15" s="19" t="n">
        <f aca="false">C14/C4</f>
        <v>0.774313756540452</v>
      </c>
      <c r="D15" s="19" t="n">
        <f aca="false">D14/D4</f>
        <v>0.81838598519316</v>
      </c>
      <c r="E15" s="19" t="n">
        <f aca="false">E14/E4</f>
        <v>0.81465408752434</v>
      </c>
      <c r="F15" s="19" t="n">
        <f aca="false">F14/F4</f>
        <v>0.811453455888644</v>
      </c>
      <c r="G15" s="19" t="n">
        <f aca="false">G14/G4</f>
        <v>0.815598603544208</v>
      </c>
      <c r="H15" s="19" t="n">
        <f aca="false">H14/H4</f>
        <v>0.718507674156562</v>
      </c>
      <c r="I15" s="19" t="n">
        <f aca="false">I14/I4</f>
        <v>0.724948256734775</v>
      </c>
      <c r="J15" s="19" t="n">
        <f aca="false">J14/J4</f>
        <v>0.815598603544208</v>
      </c>
      <c r="K15" s="19" t="n">
        <f aca="false">K14/K4</f>
        <v>0.632689379509554</v>
      </c>
      <c r="L15" s="19" t="n">
        <f aca="false">L14/L4</f>
        <v>0.565269215910894</v>
      </c>
    </row>
    <row r="16" customFormat="false" ht="15" hidden="false" customHeight="false" outlineLevel="0" collapsed="false">
      <c r="A16" s="4" t="s">
        <v>809</v>
      </c>
      <c r="C16" s="17" t="n">
        <f aca="false">nm_rev_0</f>
        <v>224.8</v>
      </c>
      <c r="D16" s="17" t="n">
        <f aca="false">nm_rev_1</f>
        <v>230</v>
      </c>
      <c r="E16" s="17" t="n">
        <f aca="false">nm_rev_2</f>
        <v>240</v>
      </c>
      <c r="F16" s="17" t="n">
        <f aca="false">nm_rev_3</f>
        <v>250</v>
      </c>
      <c r="G16" s="17" t="n">
        <f aca="false">nm_rev_1</f>
        <v>230</v>
      </c>
      <c r="H16" s="17" t="n">
        <f aca="false">nm_rev_2</f>
        <v>240</v>
      </c>
      <c r="I16" s="17" t="n">
        <f aca="false">nm_rev_3</f>
        <v>250</v>
      </c>
      <c r="J16" s="17" t="n">
        <f aca="false">nm_rev_1</f>
        <v>230</v>
      </c>
      <c r="K16" s="17" t="n">
        <f aca="false">nm_rev_2</f>
        <v>240</v>
      </c>
      <c r="L16" s="17" t="n">
        <f aca="false">nm_rev_3</f>
        <v>250</v>
      </c>
    </row>
    <row r="17" customFormat="false" ht="15" hidden="false" customHeight="false" outlineLevel="0" collapsed="false">
      <c r="A17" s="4" t="s">
        <v>810</v>
      </c>
      <c r="C17" s="17" t="n">
        <f aca="false">nm_op_0</f>
        <v>3.8</v>
      </c>
      <c r="D17" s="17" t="n">
        <f aca="false">nm_op_1</f>
        <v>6</v>
      </c>
      <c r="E17" s="17" t="n">
        <f aca="false">nm_op_2</f>
        <v>8</v>
      </c>
      <c r="F17" s="17" t="n">
        <f aca="false">nm_op_3</f>
        <v>8</v>
      </c>
      <c r="G17" s="17" t="n">
        <f aca="false">nm_op_1</f>
        <v>6</v>
      </c>
      <c r="H17" s="17" t="n">
        <f aca="false">nm_op_2</f>
        <v>8</v>
      </c>
      <c r="I17" s="17" t="n">
        <f aca="false">nm_op_3</f>
        <v>8</v>
      </c>
      <c r="J17" s="17" t="n">
        <f aca="false">nm_op_1</f>
        <v>6</v>
      </c>
      <c r="K17" s="17" t="n">
        <f aca="false">nm_op_2</f>
        <v>8</v>
      </c>
      <c r="L17" s="17" t="n">
        <f aca="false">nm_op_3</f>
        <v>8</v>
      </c>
    </row>
    <row r="18" customFormat="false" ht="17.15" hidden="false" customHeight="false" outlineLevel="0" collapsed="false">
      <c r="A18" s="4" t="s">
        <v>775</v>
      </c>
      <c r="C18" s="17" t="n">
        <f aca="false">C4+C16</f>
        <v>727.43970352</v>
      </c>
      <c r="D18" s="17" t="n">
        <f aca="false">D4+D16</f>
        <v>1028.43360693799</v>
      </c>
      <c r="E18" s="17" t="n">
        <f aca="false">E4+E16</f>
        <v>1115.55174121758</v>
      </c>
      <c r="F18" s="17" t="n">
        <f aca="false">F4+F16</f>
        <v>1187.21932264455</v>
      </c>
      <c r="G18" s="17" t="n">
        <f aca="false">G4+G16</f>
        <v>1010.5436213969</v>
      </c>
      <c r="H18" s="17" t="n">
        <f aca="false">H4+H16</f>
        <v>733.518384538882</v>
      </c>
      <c r="I18" s="17" t="n">
        <f aca="false">I4+I16</f>
        <v>809.4456640169</v>
      </c>
      <c r="J18" s="17" t="n">
        <f aca="false">J4+J16</f>
        <v>1010.5436213969</v>
      </c>
      <c r="K18" s="17" t="n">
        <f aca="false">K4+K16</f>
        <v>585.226334854707</v>
      </c>
      <c r="L18" s="17" t="n">
        <f aca="false">L4+L16</f>
        <v>559.838833299314</v>
      </c>
      <c r="M18" s="22" t="n">
        <f aca="false">F18*(1+M32)</f>
        <v>1261.81157467735</v>
      </c>
      <c r="N18" s="22" t="n">
        <f aca="false">M18*(1+N32)</f>
        <v>1339.30534034736</v>
      </c>
      <c r="O18" s="22" t="n">
        <f aca="false">N18*(1+O32)</f>
        <v>1419.6636607682</v>
      </c>
      <c r="P18" s="22" t="n">
        <f aca="false">I18*(1+P32)</f>
        <v>876.096002273943</v>
      </c>
      <c r="Q18" s="22" t="n">
        <f aca="false">P18*(1+Q32)</f>
        <v>929.687109846741</v>
      </c>
      <c r="R18" s="22" t="n">
        <f aca="false">Q18*(1+R32)</f>
        <v>966.874594240611</v>
      </c>
      <c r="S18" s="22" t="n">
        <f aca="false">L18*(1+S32)</f>
        <v>547.380308776876</v>
      </c>
      <c r="T18" s="22" t="n">
        <f aca="false">S18*(1+T32)</f>
        <v>546.763474171824</v>
      </c>
      <c r="U18" s="22" t="n">
        <f aca="false">T18*(1+U32)</f>
        <v>557.69874365526</v>
      </c>
      <c r="V18" s="8" t="s">
        <v>811</v>
      </c>
    </row>
    <row r="19" customFormat="false" ht="15" hidden="false" customHeight="false" outlineLevel="0" collapsed="false">
      <c r="A19" s="4" t="s">
        <v>812</v>
      </c>
      <c r="C19" s="17" t="n">
        <f aca="false">C14+C17</f>
        <v>393.00083701895</v>
      </c>
      <c r="D19" s="17" t="n">
        <f aca="false">D14+D17</f>
        <v>659.426874025271</v>
      </c>
      <c r="E19" s="17" t="n">
        <f aca="false">E14+E17</f>
        <v>721.271804821957</v>
      </c>
      <c r="F19" s="17" t="n">
        <f aca="false">F14+F17</f>
        <v>768.509858285534</v>
      </c>
      <c r="G19" s="17" t="n">
        <f aca="false">G14+G17</f>
        <v>642.610287616647</v>
      </c>
      <c r="H19" s="17" t="n">
        <f aca="false">H14+H17</f>
        <v>362.596746628536</v>
      </c>
      <c r="I19" s="17" t="n">
        <f aca="false">I14+I17</f>
        <v>413.56915886688</v>
      </c>
      <c r="J19" s="17" t="n">
        <f aca="false">J14+J17</f>
        <v>642.610287616647</v>
      </c>
      <c r="K19" s="17" t="n">
        <f aca="false">K14+K17</f>
        <v>226.421035589582</v>
      </c>
      <c r="L19" s="17" t="n">
        <f aca="false">L14+L17</f>
        <v>183.142354357849</v>
      </c>
    </row>
    <row r="20" customFormat="false" ht="17.15" hidden="false" customHeight="false" outlineLevel="0" collapsed="false">
      <c r="A20" s="4" t="s">
        <v>813</v>
      </c>
      <c r="B20" s="17" t="n">
        <f aca="false">SUM(Q!B12:E12)</f>
        <v>44.2</v>
      </c>
      <c r="C20" s="17" t="n">
        <f aca="false">Q!J12</f>
        <v>317.84066961516</v>
      </c>
      <c r="D20" s="17" t="n">
        <f aca="false">(D19+rf*C26)*(1-tax)</f>
        <v>534.783035290981</v>
      </c>
      <c r="E20" s="17" t="n">
        <f aca="false">(E19+rf*D26)*(1-tax)</f>
        <v>590.331016351821</v>
      </c>
      <c r="F20" s="17" t="n">
        <f aca="false">(F19+rf*E26)*(1-tax)</f>
        <v>634.857143318905</v>
      </c>
      <c r="G20" s="17" t="n">
        <f aca="false">(G19+rf*C26)*(1-tax)</f>
        <v>521.329766164082</v>
      </c>
      <c r="H20" s="17" t="n">
        <f aca="false">(H19+rf*G26)*(1-tax)</f>
        <v>303.229530567562</v>
      </c>
      <c r="I20" s="17" t="n">
        <f aca="false">(I19+rf*H26)*(1-tax)</f>
        <v>347.297926725048</v>
      </c>
      <c r="J20" s="17" t="n">
        <f aca="false">(J19+rf*C26)*(1-tax)</f>
        <v>521.329766164082</v>
      </c>
      <c r="K20" s="17" t="n">
        <f aca="false">(K19+rf*J26)*(1-tax)</f>
        <v>194.288961736399</v>
      </c>
      <c r="L20" s="17" t="n">
        <f aca="false">(L19+rf*K26)*(1-tax)</f>
        <v>161.649196291849</v>
      </c>
      <c r="M20" s="22" t="n">
        <f aca="false">M18*M33</f>
        <v>515.360928691244</v>
      </c>
      <c r="N20" s="22" t="n">
        <f aca="false">N18*N33</f>
        <v>377.839253318561</v>
      </c>
      <c r="O20" s="22" t="n">
        <f aca="false">O18*O33</f>
        <v>221.186857493241</v>
      </c>
      <c r="P20" s="22" t="n">
        <f aca="false">P18*P33</f>
        <v>288.512505346306</v>
      </c>
      <c r="Q20" s="22" t="n">
        <f aca="false">Q18*Q33</f>
        <v>213.433537040314</v>
      </c>
      <c r="R20" s="22" t="n">
        <f aca="false">R18*R33</f>
        <v>125.534401210689</v>
      </c>
      <c r="S20" s="22" t="n">
        <f aca="false">S18*S33</f>
        <v>124.319730134277</v>
      </c>
      <c r="T20" s="22" t="n">
        <f aca="false">T18*T33</f>
        <v>90.4854862170812</v>
      </c>
      <c r="U20" s="22" t="n">
        <f aca="false">U18*U33</f>
        <v>57.927163053201</v>
      </c>
      <c r="V20" s="4" t="s">
        <v>814</v>
      </c>
    </row>
    <row r="21" customFormat="false" ht="15" hidden="false" customHeight="false" outlineLevel="0" collapsed="false">
      <c r="A21" s="4" t="s">
        <v>815</v>
      </c>
      <c r="C21" s="17" t="n">
        <f aca="false">cap_0</f>
        <v>52.5</v>
      </c>
      <c r="D21" s="17" t="n">
        <f aca="false">cap_1</f>
        <v>60</v>
      </c>
      <c r="E21" s="17" t="n">
        <f aca="false">cap_2</f>
        <v>66</v>
      </c>
      <c r="F21" s="17" t="n">
        <f aca="false">cap_3</f>
        <v>66</v>
      </c>
      <c r="G21" s="17" t="n">
        <f aca="false">cap_1</f>
        <v>60</v>
      </c>
      <c r="H21" s="17" t="n">
        <f aca="false">cap_2</f>
        <v>66</v>
      </c>
      <c r="I21" s="17" t="n">
        <f aca="false">cap_3</f>
        <v>66</v>
      </c>
      <c r="J21" s="17" t="n">
        <f aca="false">cap_1</f>
        <v>60</v>
      </c>
      <c r="K21" s="17" t="n">
        <f aca="false">cap_2</f>
        <v>66</v>
      </c>
      <c r="L21" s="17" t="n">
        <f aca="false">cap_3</f>
        <v>66</v>
      </c>
    </row>
    <row r="22" customFormat="false" ht="15" hidden="false" customHeight="false" outlineLevel="0" collapsed="false">
      <c r="A22" s="4" t="s">
        <v>816</v>
      </c>
      <c r="C22" s="17" t="n">
        <f aca="false">C20+C10-C21</f>
        <v>291.24066961516</v>
      </c>
      <c r="D22" s="17" t="n">
        <f aca="false">D20+D10-D21</f>
        <v>506.003035290981</v>
      </c>
      <c r="E22" s="17" t="n">
        <f aca="false">E20+E10-E21</f>
        <v>561.307016351821</v>
      </c>
      <c r="F22" s="17" t="n">
        <f aca="false">F20+F10-F21</f>
        <v>611.637943318905</v>
      </c>
      <c r="G22" s="17" t="n">
        <f aca="false">G20+G10-G21</f>
        <v>492.549766164082</v>
      </c>
      <c r="H22" s="17" t="n">
        <f aca="false">H20+H10-H21</f>
        <v>274.205530567562</v>
      </c>
      <c r="I22" s="17" t="n">
        <f aca="false">I20+I10-I21</f>
        <v>324.078726725048</v>
      </c>
      <c r="J22" s="17" t="n">
        <f aca="false">J20+J10-J21</f>
        <v>492.549766164082</v>
      </c>
      <c r="K22" s="17" t="n">
        <f aca="false">K20+K10-K21</f>
        <v>165.264961736399</v>
      </c>
      <c r="L22" s="17" t="n">
        <f aca="false">L20+L10-L21</f>
        <v>138.429996291849</v>
      </c>
    </row>
    <row r="23" customFormat="false" ht="15" hidden="false" customHeight="false" outlineLevel="0" collapsed="false">
      <c r="A23" s="4" t="s">
        <v>817</v>
      </c>
      <c r="C23" s="17" t="n">
        <f aca="false">div_0</f>
        <v>32.5</v>
      </c>
      <c r="D23" s="17" t="n">
        <f aca="false">dps_1*C27/1000000</f>
        <v>9.76389</v>
      </c>
      <c r="E23" s="17" t="n">
        <f aca="false">dps_2*D27/1000000</f>
        <v>8.37130816233498</v>
      </c>
      <c r="F23" s="17" t="n">
        <f aca="false">dps_3*E27/1000000</f>
        <v>6.81244060500535</v>
      </c>
      <c r="G23" s="17" t="n">
        <f aca="false">dps_1*C27/1000000</f>
        <v>9.76389</v>
      </c>
      <c r="H23" s="17" t="n">
        <f aca="false">dps_2*G27/1000000</f>
        <v>8.40981942891961</v>
      </c>
      <c r="I23" s="17" t="n">
        <f aca="false">dps_3*H27/1000000</f>
        <v>7.67302775417804</v>
      </c>
      <c r="J23" s="17" t="n">
        <f aca="false">dps_1*C27/1000000</f>
        <v>9.76389</v>
      </c>
      <c r="K23" s="17" t="n">
        <f aca="false">dps_2*J27/1000000</f>
        <v>8.40981942891961</v>
      </c>
      <c r="L23" s="17" t="n">
        <f aca="false">dps_3*K27/1000000</f>
        <v>7.98488052754969</v>
      </c>
    </row>
    <row r="24" customFormat="false" ht="17.15" hidden="false" customHeight="false" outlineLevel="0" collapsed="false">
      <c r="A24" s="4" t="s">
        <v>818</v>
      </c>
      <c r="C24" s="17" t="n">
        <f aca="false">bb_0</f>
        <v>15</v>
      </c>
      <c r="D24" s="17" t="n">
        <f aca="false">MAX(0,payout*D22-D23)</f>
        <v>243.237627645491</v>
      </c>
      <c r="E24" s="17" t="n">
        <f aca="false">MAX(0,payout*E22-E23)</f>
        <v>272.282200013576</v>
      </c>
      <c r="F24" s="17" t="n">
        <f aca="false">MAX(0,payout*F22-F23)</f>
        <v>299.006531054447</v>
      </c>
      <c r="G24" s="17" t="n">
        <f aca="false">MAX(0,payout*G22-G23)</f>
        <v>236.510993082041</v>
      </c>
      <c r="H24" s="17" t="n">
        <f aca="false">MAX(0,payout*H22-H23)</f>
        <v>128.692945854861</v>
      </c>
      <c r="I24" s="17" t="n">
        <f aca="false">MAX(0,payout*I22-I23)</f>
        <v>154.366335608346</v>
      </c>
      <c r="J24" s="17" t="n">
        <f aca="false">MAX(0,payout*J22-J23)</f>
        <v>236.510993082041</v>
      </c>
      <c r="K24" s="17" t="n">
        <f aca="false">MAX(0,payout*K22-K23)</f>
        <v>74.2226614392797</v>
      </c>
      <c r="L24" s="17" t="n">
        <f aca="false">MAX(0,payout*L22-L23)</f>
        <v>61.2301176183749</v>
      </c>
      <c r="V24" s="4" t="s">
        <v>819</v>
      </c>
    </row>
    <row r="25" customFormat="false" ht="15" hidden="false" customHeight="false" outlineLevel="0" collapsed="false">
      <c r="A25" s="4" t="s">
        <v>820</v>
      </c>
      <c r="C25" s="17" t="n">
        <f aca="false">eq_last+(Q!H12+Q!I12)+extra_eq-C24-C23</f>
        <v>717.00066961516</v>
      </c>
      <c r="D25" s="17" t="n">
        <f aca="false">C25+D20-D23-D24</f>
        <v>998.78218726065</v>
      </c>
      <c r="E25" s="17" t="n">
        <f aca="false">D25+E20-E23-E24</f>
        <v>1308.45969543656</v>
      </c>
      <c r="F25" s="17" t="n">
        <f aca="false">E25+F20-F23-F24</f>
        <v>1637.49786709601</v>
      </c>
      <c r="G25" s="17" t="n">
        <f aca="false">C25+G20-G23-G24</f>
        <v>992.055552697201</v>
      </c>
      <c r="H25" s="17" t="n">
        <f aca="false">G25+H20-H23-H24</f>
        <v>1158.18231798098</v>
      </c>
      <c r="I25" s="17" t="n">
        <f aca="false">H25+I20-I23-I24</f>
        <v>1343.44088134351</v>
      </c>
      <c r="J25" s="17" t="n">
        <f aca="false">C25+J20-J23-J24</f>
        <v>992.055552697201</v>
      </c>
      <c r="K25" s="17" t="n">
        <f aca="false">J25+K20-K23-K24</f>
        <v>1103.7120335654</v>
      </c>
      <c r="L25" s="17" t="n">
        <f aca="false">K25+L20-L23-L24</f>
        <v>1196.14623171132</v>
      </c>
    </row>
    <row r="26" customFormat="false" ht="15" hidden="false" customHeight="false" outlineLevel="0" collapsed="false">
      <c r="A26" s="4" t="s">
        <v>821</v>
      </c>
      <c r="C26" s="17" t="n">
        <f aca="false">nc_last+(Q!H12+Q!I12)+(Q!H13+Q!I13)-capex_rem+extra_eq-C24-C23</f>
        <v>301.73066961516</v>
      </c>
      <c r="D26" s="17" t="n">
        <f aca="false">C26+D22-D23-D24</f>
        <v>554.732187260651</v>
      </c>
      <c r="E26" s="17" t="n">
        <f aca="false">D26+E22-E23-E24</f>
        <v>835.385695436561</v>
      </c>
      <c r="F26" s="17" t="n">
        <f aca="false">E26+F22-F23-F24</f>
        <v>1141.20466709601</v>
      </c>
      <c r="G26" s="17" t="n">
        <f aca="false">C26+G22-G23-G24</f>
        <v>548.005552697201</v>
      </c>
      <c r="H26" s="17" t="n">
        <f aca="false">G26+H22-H23-H24</f>
        <v>685.108317980982</v>
      </c>
      <c r="I26" s="17" t="n">
        <f aca="false">H26+I22-I23-I24</f>
        <v>847.147681343506</v>
      </c>
      <c r="J26" s="17" t="n">
        <f aca="false">C26+J22-J23-J24</f>
        <v>548.005552697201</v>
      </c>
      <c r="K26" s="17" t="n">
        <f aca="false">J26+K22-K23-K24</f>
        <v>630.6380335654</v>
      </c>
      <c r="L26" s="17" t="n">
        <f aca="false">K26+L22-L23-L24</f>
        <v>699.853031711325</v>
      </c>
    </row>
    <row r="27" customFormat="false" ht="15" hidden="false" customHeight="false" outlineLevel="0" collapsed="false">
      <c r="A27" s="4" t="s">
        <v>822</v>
      </c>
      <c r="C27" s="17" t="n">
        <f aca="false">sh_last+extra_sh-bb_sh_0</f>
        <v>6509.26</v>
      </c>
      <c r="D27" s="17" t="n">
        <f aca="false">C27-D24/bb_px*1000000</f>
        <v>5580.87210822332</v>
      </c>
      <c r="E27" s="17" t="n">
        <f aca="false">D27-E24/bb_px*1000000</f>
        <v>4541.62707000357</v>
      </c>
      <c r="F27" s="17" t="n">
        <f aca="false">E27-F24/bb_px*1000000</f>
        <v>3400.38076826904</v>
      </c>
      <c r="G27" s="17" t="n">
        <f aca="false">C27-G24/bb_px*1000000</f>
        <v>5606.54628594641</v>
      </c>
      <c r="H27" s="17" t="n">
        <f aca="false">G27-H24/bb_px*1000000</f>
        <v>5115.35183611869</v>
      </c>
      <c r="I27" s="17" t="n">
        <f aca="false">H27-I24/bb_px*1000000</f>
        <v>4526.16734906394</v>
      </c>
      <c r="J27" s="17" t="n">
        <f aca="false">C27-J24/bb_px*1000000</f>
        <v>5606.54628594641</v>
      </c>
      <c r="K27" s="17" t="n">
        <f aca="false">J27-K24/bb_px*1000000</f>
        <v>5323.25368503313</v>
      </c>
      <c r="L27" s="17" t="n">
        <f aca="false">K27-L24/bb_px*1000000</f>
        <v>5089.5509460317</v>
      </c>
      <c r="M27" s="22" t="n">
        <f aca="false">F27</f>
        <v>3400.38076826904</v>
      </c>
      <c r="N27" s="22" t="n">
        <f aca="false">M27</f>
        <v>3400.38076826904</v>
      </c>
      <c r="O27" s="22" t="n">
        <f aca="false">N27</f>
        <v>3400.38076826904</v>
      </c>
      <c r="P27" s="22" t="n">
        <f aca="false">I27</f>
        <v>4526.16734906394</v>
      </c>
      <c r="Q27" s="22" t="n">
        <f aca="false">P27</f>
        <v>4526.16734906394</v>
      </c>
      <c r="R27" s="22" t="n">
        <f aca="false">Q27</f>
        <v>4526.16734906394</v>
      </c>
      <c r="S27" s="22" t="n">
        <f aca="false">L27</f>
        <v>5089.5509460317</v>
      </c>
      <c r="T27" s="22" t="n">
        <f aca="false">S27</f>
        <v>5089.5509460317</v>
      </c>
      <c r="U27" s="22" t="n">
        <f aca="false">T27</f>
        <v>5089.5509460317</v>
      </c>
    </row>
    <row r="28" customFormat="false" ht="17.15" hidden="false" customHeight="false" outlineLevel="0" collapsed="false">
      <c r="A28" s="4" t="s">
        <v>823</v>
      </c>
      <c r="C28" s="23" t="n">
        <f aca="false">C25/C27*1000000</f>
        <v>110150.872697536</v>
      </c>
      <c r="D28" s="23" t="n">
        <f aca="false">D25/D27*1000000</f>
        <v>178965.252722592</v>
      </c>
      <c r="E28" s="23" t="n">
        <f aca="false">E25/E27*1000000</f>
        <v>288103.729185218</v>
      </c>
      <c r="F28" s="23" t="n">
        <f aca="false">F25/F27*1000000</f>
        <v>481563.089162389</v>
      </c>
      <c r="G28" s="23" t="n">
        <f aca="false">G25/G27*1000000</f>
        <v>176945.931077734</v>
      </c>
      <c r="H28" s="23" t="n">
        <f aca="false">H25/H27*1000000</f>
        <v>226413.031808142</v>
      </c>
      <c r="I28" s="23" t="n">
        <f aca="false">I25/I27*1000000</f>
        <v>296816.440430852</v>
      </c>
      <c r="J28" s="23" t="n">
        <f aca="false">J25/J27*1000000</f>
        <v>176945.931077734</v>
      </c>
      <c r="K28" s="23" t="n">
        <f aca="false">K25/K27*1000000</f>
        <v>207337.861178512</v>
      </c>
      <c r="L28" s="23" t="n">
        <f aca="false">L25/L27*1000000</f>
        <v>235019.99378628</v>
      </c>
    </row>
    <row r="29" customFormat="false" ht="17.15" hidden="false" customHeight="false" outlineLevel="0" collapsed="false">
      <c r="A29" s="4" t="s">
        <v>824</v>
      </c>
      <c r="C29" s="23" t="n">
        <f aca="false">C20/C27*1000000</f>
        <v>48829.0020087015</v>
      </c>
      <c r="D29" s="23" t="n">
        <f aca="false">D20/D27*1000000</f>
        <v>95824.2770879819</v>
      </c>
      <c r="E29" s="23" t="n">
        <f aca="false">E20/E27*1000000</f>
        <v>129982.274469612</v>
      </c>
      <c r="F29" s="23" t="n">
        <f aca="false">F20/F27*1000000</f>
        <v>186701.780354463</v>
      </c>
      <c r="G29" s="23" t="n">
        <f aca="false">G20/G27*1000000</f>
        <v>92985.9024745533</v>
      </c>
      <c r="H29" s="23" t="n">
        <f aca="false">H20/H27*1000000</f>
        <v>59278.3331982183</v>
      </c>
      <c r="I29" s="23" t="n">
        <f aca="false">I20/I27*1000000</f>
        <v>76731.1281136949</v>
      </c>
      <c r="J29" s="23" t="n">
        <f aca="false">J20/J27*1000000</f>
        <v>92985.9024745533</v>
      </c>
      <c r="K29" s="23" t="n">
        <f aca="false">K20/K27*1000000</f>
        <v>36498.1594400924</v>
      </c>
      <c r="L29" s="23" t="n">
        <f aca="false">L20/L27*1000000</f>
        <v>31760.9938491502</v>
      </c>
      <c r="M29" s="24" t="n">
        <f aca="false">M20/M27*1000000</f>
        <v>151559.77045288</v>
      </c>
      <c r="N29" s="24" t="n">
        <f aca="false">N20/N27*1000000</f>
        <v>111116.748113741</v>
      </c>
      <c r="O29" s="24" t="n">
        <f aca="false">O20/O27*1000000</f>
        <v>65047.6733538981</v>
      </c>
      <c r="P29" s="24" t="n">
        <f aca="false">P20/P27*1000000</f>
        <v>63743.225359525</v>
      </c>
      <c r="Q29" s="24" t="n">
        <f aca="false">Q20/Q27*1000000</f>
        <v>47155.467436363</v>
      </c>
      <c r="R29" s="24" t="n">
        <f aca="false">R20/R27*1000000</f>
        <v>27735.254030466</v>
      </c>
      <c r="S29" s="24" t="n">
        <f aca="false">S20/S27*1000000</f>
        <v>24426.4634449152</v>
      </c>
      <c r="T29" s="24" t="n">
        <f aca="false">T20/T27*1000000</f>
        <v>17778.6777608803</v>
      </c>
      <c r="U29" s="24" t="n">
        <f aca="false">U20/U27*1000000</f>
        <v>11381.5862474796</v>
      </c>
    </row>
    <row r="30" customFormat="false" ht="17.15" hidden="false" customHeight="false" outlineLevel="0" collapsed="false">
      <c r="A30" s="0" t="s">
        <v>825</v>
      </c>
      <c r="C30" s="15" t="n">
        <f aca="false">C20/C25</f>
        <v>0.443292012245618</v>
      </c>
      <c r="D30" s="15" t="n">
        <f aca="false">D20/D25</f>
        <v>0.535435094970731</v>
      </c>
      <c r="E30" s="15" t="n">
        <f aca="false">E20/E25</f>
        <v>0.451164845513151</v>
      </c>
      <c r="F30" s="15" t="n">
        <f aca="false">F20/F25</f>
        <v>0.387699523813597</v>
      </c>
      <c r="G30" s="15" t="n">
        <f aca="false">G20/G25</f>
        <v>0.525504609844368</v>
      </c>
      <c r="H30" s="15" t="n">
        <f aca="false">H20/H25</f>
        <v>0.261815023299761</v>
      </c>
      <c r="I30" s="15" t="n">
        <f aca="false">I20/I25</f>
        <v>0.258513740014918</v>
      </c>
      <c r="J30" s="15" t="n">
        <f aca="false">J20/J25</f>
        <v>0.525504609844368</v>
      </c>
      <c r="K30" s="15" t="n">
        <f aca="false">K20/K25</f>
        <v>0.176032294500562</v>
      </c>
      <c r="L30" s="15" t="n">
        <f aca="false">L20/L25</f>
        <v>0.135141667470354</v>
      </c>
    </row>
    <row r="31" customFormat="false" ht="17.15" hidden="false" customHeight="false" outlineLevel="0" collapsed="false">
      <c r="A31" s="0" t="s">
        <v>826</v>
      </c>
      <c r="C31" s="14" t="n">
        <f aca="false">(Mkt!D24/4*sh26+Mkt!D24/4*sh26+Mkt!D24/4*sh26+Mkt!D24/4*sh26)</f>
        <v>1.09698155</v>
      </c>
      <c r="D31" s="14" t="n">
        <f aca="false">(Mkt!E24/4*sh27+Mkt!E24/4*sh27+Mkt!E24/4*sh27+Mkt!E24/4*sh27)</f>
        <v>2.228007355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2.228007355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2.228007355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4" t="s">
        <v>827</v>
      </c>
      <c r="D32" s="19" t="n">
        <f aca="false">D18/C18-1</f>
        <v>0.413771618405635</v>
      </c>
      <c r="E32" s="19" t="n">
        <f aca="false">E18/D18-1</f>
        <v>0.0847095366116817</v>
      </c>
      <c r="F32" s="19" t="n">
        <f aca="false">F18/E18-1</f>
        <v>0.0642440675577671</v>
      </c>
      <c r="G32" s="19" t="n">
        <f aca="false">G18/C18-1</f>
        <v>0.389178534670279</v>
      </c>
      <c r="H32" s="19" t="n">
        <f aca="false">H18/G18-1</f>
        <v>-0.274134862654495</v>
      </c>
      <c r="I32" s="19" t="n">
        <f aca="false">I18/H18-1</f>
        <v>0.103511079038256</v>
      </c>
      <c r="J32" s="19" t="n">
        <f aca="false">J18/C18-1</f>
        <v>0.389178534670279</v>
      </c>
      <c r="K32" s="19" t="n">
        <f aca="false">K18/J18-1</f>
        <v>-0.420879690432624</v>
      </c>
      <c r="L32" s="19" t="n">
        <f aca="false">L18/K18-1</f>
        <v>-0.0433806547029305</v>
      </c>
      <c r="M32" s="25" t="n">
        <f aca="false">$F32+(fade_gA-$F32)*1/3</f>
        <v>0.0628293783718448</v>
      </c>
      <c r="N32" s="25" t="n">
        <f aca="false">$F32+(fade_gA-$F32)*2/3</f>
        <v>0.0614146891859224</v>
      </c>
      <c r="O32" s="25" t="n">
        <f aca="false">$F32+(fade_gA-$F32)*3/3</f>
        <v>0.06</v>
      </c>
      <c r="P32" s="25" t="n">
        <f aca="false">$I32+(fade_gB-$I32)*1/3</f>
        <v>0.0823407193588374</v>
      </c>
      <c r="Q32" s="25" t="n">
        <f aca="false">$I32+(fade_gB-$I32)*2/3</f>
        <v>0.0611703596794187</v>
      </c>
      <c r="R32" s="25" t="n">
        <f aca="false">$I32+(fade_gB-$I32)*3/3</f>
        <v>0.04</v>
      </c>
      <c r="S32" s="25" t="n">
        <f aca="false">$L32+(fade_gC-$L32)*1/3</f>
        <v>-0.0222537698019537</v>
      </c>
      <c r="T32" s="25" t="n">
        <f aca="false">$L32+(fade_gC-$L32)*2/3</f>
        <v>-0.00112688490097684</v>
      </c>
      <c r="U32" s="25" t="n">
        <f aca="false">$L32+(fade_gC-$L32)*3/3</f>
        <v>0.02</v>
      </c>
    </row>
    <row r="33" customFormat="false" ht="17.15" hidden="false" customHeight="false" outlineLevel="0" collapsed="false">
      <c r="A33" s="4" t="s">
        <v>828</v>
      </c>
      <c r="C33" s="19" t="n">
        <f aca="false">C20/C18</f>
        <v>0.436930604800871</v>
      </c>
      <c r="D33" s="19" t="n">
        <f aca="false">D20/D18</f>
        <v>0.51999762715186</v>
      </c>
      <c r="E33" s="19" t="n">
        <f aca="false">E20/E18</f>
        <v>0.529182999353752</v>
      </c>
      <c r="F33" s="19" t="n">
        <f aca="false">F20/F18</f>
        <v>0.534742933516909</v>
      </c>
      <c r="G33" s="19" t="n">
        <f aca="false">G20/G18</f>
        <v>0.515890412967465</v>
      </c>
      <c r="H33" s="19" t="n">
        <f aca="false">H20/H18</f>
        <v>0.413390498396551</v>
      </c>
      <c r="I33" s="19" t="n">
        <f aca="false">I20/I18</f>
        <v>0.429056503930815</v>
      </c>
      <c r="J33" s="19" t="n">
        <f aca="false">J20/J18</f>
        <v>0.515890412967465</v>
      </c>
      <c r="K33" s="19" t="n">
        <f aca="false">K20/K18</f>
        <v>0.331989437530412</v>
      </c>
      <c r="L33" s="19" t="n">
        <f aca="false">L20/L18</f>
        <v>0.288742378479173</v>
      </c>
      <c r="M33" s="25" t="n">
        <f aca="false">$F33+(fade_mA-$F33)*1/3</f>
        <v>0.408429387583502</v>
      </c>
      <c r="N33" s="25" t="n">
        <f aca="false">$F33+(fade_mA-$F33)*2/3</f>
        <v>0.282115841650094</v>
      </c>
      <c r="O33" s="25" t="n">
        <f aca="false">$F33+(fade_mA-$F33)*3/3</f>
        <v>0.155802295716687</v>
      </c>
      <c r="P33" s="25" t="n">
        <f aca="false">$I33+(fade_mB-$I33)*1/3</f>
        <v>0.329316084764067</v>
      </c>
      <c r="Q33" s="25" t="n">
        <f aca="false">$I33+(fade_mB-$I33)*2/3</f>
        <v>0.22957566559732</v>
      </c>
      <c r="R33" s="25" t="n">
        <f aca="false">$I33+(fade_mB-$I33)*3/3</f>
        <v>0.129835246430572</v>
      </c>
      <c r="S33" s="25" t="n">
        <f aca="false">$L33+(fade_mC-$L33)*1/3</f>
        <v>0.227117651367601</v>
      </c>
      <c r="T33" s="25" t="n">
        <f aca="false">$L33+(fade_mC-$L33)*2/3</f>
        <v>0.16549292425603</v>
      </c>
      <c r="U33" s="25" t="n">
        <f aca="false">$L33+(fade_mC-$L33)*3/3</f>
        <v>0.103868197144458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829</v>
      </c>
    </row>
    <row r="3" customFormat="false" ht="15" hidden="false" customHeight="false" outlineLevel="0" collapsed="false">
      <c r="A3" s="5" t="s">
        <v>830</v>
      </c>
      <c r="B3" s="5" t="s">
        <v>831</v>
      </c>
      <c r="C3" s="5" t="s">
        <v>31</v>
      </c>
      <c r="D3" s="5" t="s">
        <v>667</v>
      </c>
      <c r="E3" s="5" t="s">
        <v>832</v>
      </c>
      <c r="F3" s="5" t="s">
        <v>833</v>
      </c>
      <c r="G3" s="5" t="s">
        <v>834</v>
      </c>
    </row>
    <row r="4" customFormat="false" ht="17.15" hidden="false" customHeight="false" outlineLevel="0" collapsed="false">
      <c r="A4" s="0" t="s">
        <v>222</v>
      </c>
      <c r="B4" s="0" t="n">
        <f aca="false">pb_1</f>
        <v>1</v>
      </c>
      <c r="C4" s="0" t="s">
        <v>835</v>
      </c>
      <c r="D4" s="4" t="s">
        <v>836</v>
      </c>
      <c r="E4" s="23" t="n">
        <f aca="false">Y!C28</f>
        <v>110150.872697536</v>
      </c>
      <c r="F4" s="23" t="n">
        <f aca="false">B4*E4</f>
        <v>110150.872697536</v>
      </c>
      <c r="G4" s="15" t="n">
        <f aca="false">F4/px-1</f>
        <v>-0.488859059408188</v>
      </c>
    </row>
    <row r="5" customFormat="false" ht="17.15" hidden="false" customHeight="false" outlineLevel="0" collapsed="false">
      <c r="A5" s="0" t="s">
        <v>837</v>
      </c>
      <c r="B5" s="0" t="n">
        <f aca="false">pb_2</f>
        <v>1.4</v>
      </c>
      <c r="C5" s="0" t="s">
        <v>835</v>
      </c>
      <c r="D5" s="4" t="s">
        <v>836</v>
      </c>
      <c r="E5" s="23" t="n">
        <f aca="false">Y!C28</f>
        <v>110150.872697536</v>
      </c>
      <c r="F5" s="23" t="n">
        <f aca="false">B5*E5</f>
        <v>154211.22177655</v>
      </c>
      <c r="G5" s="15" t="n">
        <f aca="false">F5/px-1</f>
        <v>-0.284402683171463</v>
      </c>
    </row>
    <row r="6" customFormat="false" ht="17.15" hidden="false" customHeight="false" outlineLevel="0" collapsed="false">
      <c r="A6" s="0" t="s">
        <v>838</v>
      </c>
      <c r="B6" s="0" t="n">
        <f aca="false">pb_3</f>
        <v>2</v>
      </c>
      <c r="C6" s="0" t="s">
        <v>835</v>
      </c>
      <c r="D6" s="4" t="s">
        <v>836</v>
      </c>
      <c r="E6" s="23" t="n">
        <f aca="false">Y!C28</f>
        <v>110150.872697536</v>
      </c>
      <c r="F6" s="23" t="n">
        <f aca="false">B6*E6</f>
        <v>220301.745395071</v>
      </c>
      <c r="G6" s="15" t="n">
        <f aca="false">F6/px-1</f>
        <v>0.0222818811836241</v>
      </c>
    </row>
    <row r="7" customFormat="false" ht="17.15" hidden="false" customHeight="false" outlineLevel="0" collapsed="false">
      <c r="A7" s="0" t="s">
        <v>222</v>
      </c>
      <c r="B7" s="0" t="n">
        <f aca="false">pb_1</f>
        <v>1</v>
      </c>
      <c r="C7" s="0" t="s">
        <v>839</v>
      </c>
      <c r="D7" s="0" t="s">
        <v>689</v>
      </c>
      <c r="E7" s="23" t="n">
        <f aca="false">Y!D28</f>
        <v>178965.252722592</v>
      </c>
      <c r="F7" s="23" t="n">
        <f aca="false">B7*E7</f>
        <v>178965.252722592</v>
      </c>
      <c r="G7" s="15" t="n">
        <f aca="false">F7/px-1</f>
        <v>-0.169534790150386</v>
      </c>
    </row>
    <row r="8" customFormat="false" ht="17.15" hidden="false" customHeight="false" outlineLevel="0" collapsed="false">
      <c r="A8" s="0" t="s">
        <v>837</v>
      </c>
      <c r="B8" s="0" t="n">
        <f aca="false">pb_2</f>
        <v>1.4</v>
      </c>
      <c r="C8" s="0" t="s">
        <v>839</v>
      </c>
      <c r="D8" s="0" t="s">
        <v>689</v>
      </c>
      <c r="E8" s="23" t="n">
        <f aca="false">Y!D28</f>
        <v>178965.252722592</v>
      </c>
      <c r="F8" s="23" t="n">
        <f aca="false">B8*E8</f>
        <v>250551.353811629</v>
      </c>
      <c r="G8" s="15" t="n">
        <f aca="false">F8/px-1</f>
        <v>0.16265129378946</v>
      </c>
    </row>
    <row r="9" customFormat="false" ht="17.15" hidden="false" customHeight="false" outlineLevel="0" collapsed="false">
      <c r="A9" s="0" t="s">
        <v>838</v>
      </c>
      <c r="B9" s="0" t="n">
        <f aca="false">pb_3</f>
        <v>2</v>
      </c>
      <c r="C9" s="0" t="s">
        <v>839</v>
      </c>
      <c r="D9" s="0" t="s">
        <v>689</v>
      </c>
      <c r="E9" s="23" t="n">
        <f aca="false">Y!D28</f>
        <v>178965.252722592</v>
      </c>
      <c r="F9" s="23" t="n">
        <f aca="false">B9*E9</f>
        <v>357930.505445184</v>
      </c>
      <c r="G9" s="15" t="n">
        <f aca="false">F9/px-1</f>
        <v>0.660930419699229</v>
      </c>
    </row>
    <row r="10" customFormat="false" ht="17.15" hidden="false" customHeight="false" outlineLevel="0" collapsed="false">
      <c r="A10" s="0" t="s">
        <v>222</v>
      </c>
      <c r="B10" s="0" t="n">
        <f aca="false">pb_1</f>
        <v>1</v>
      </c>
      <c r="C10" s="0" t="s">
        <v>839</v>
      </c>
      <c r="D10" s="0" t="s">
        <v>690</v>
      </c>
      <c r="E10" s="23" t="n">
        <f aca="false">Y!G28</f>
        <v>176945.931077734</v>
      </c>
      <c r="F10" s="23" t="n">
        <f aca="false">B10*E10</f>
        <v>176945.931077734</v>
      </c>
      <c r="G10" s="15" t="n">
        <f aca="false">F10/px-1</f>
        <v>-0.17890519221469</v>
      </c>
    </row>
    <row r="11" customFormat="false" ht="17.15" hidden="false" customHeight="false" outlineLevel="0" collapsed="false">
      <c r="A11" s="0" t="s">
        <v>837</v>
      </c>
      <c r="B11" s="0" t="n">
        <f aca="false">pb_2</f>
        <v>1.4</v>
      </c>
      <c r="C11" s="0" t="s">
        <v>839</v>
      </c>
      <c r="D11" s="0" t="s">
        <v>690</v>
      </c>
      <c r="E11" s="23" t="n">
        <f aca="false">Y!G28</f>
        <v>176945.931077734</v>
      </c>
      <c r="F11" s="23" t="n">
        <f aca="false">B11*E11</f>
        <v>247724.303508828</v>
      </c>
      <c r="G11" s="15" t="n">
        <f aca="false">F11/px-1</f>
        <v>0.149532730899434</v>
      </c>
    </row>
    <row r="12" customFormat="false" ht="17.15" hidden="false" customHeight="false" outlineLevel="0" collapsed="false">
      <c r="A12" s="0" t="s">
        <v>838</v>
      </c>
      <c r="B12" s="0" t="n">
        <f aca="false">pb_3</f>
        <v>2</v>
      </c>
      <c r="C12" s="0" t="s">
        <v>839</v>
      </c>
      <c r="D12" s="0" t="s">
        <v>690</v>
      </c>
      <c r="E12" s="23" t="n">
        <f aca="false">Y!G28</f>
        <v>176945.931077734</v>
      </c>
      <c r="F12" s="23" t="n">
        <f aca="false">B12*E12</f>
        <v>353891.862155469</v>
      </c>
      <c r="G12" s="15" t="n">
        <f aca="false">F12/px-1</f>
        <v>0.642189615570621</v>
      </c>
    </row>
    <row r="13" customFormat="false" ht="17.15" hidden="false" customHeight="false" outlineLevel="0" collapsed="false">
      <c r="A13" s="0" t="s">
        <v>222</v>
      </c>
      <c r="B13" s="0" t="n">
        <f aca="false">pb_1</f>
        <v>1</v>
      </c>
      <c r="C13" s="0" t="s">
        <v>839</v>
      </c>
      <c r="D13" s="0" t="s">
        <v>691</v>
      </c>
      <c r="E13" s="23" t="n">
        <f aca="false">Y!J28</f>
        <v>176945.931077734</v>
      </c>
      <c r="F13" s="23" t="n">
        <f aca="false">B13*E13</f>
        <v>176945.931077734</v>
      </c>
      <c r="G13" s="15" t="n">
        <f aca="false">F13/px-1</f>
        <v>-0.17890519221469</v>
      </c>
    </row>
    <row r="14" customFormat="false" ht="17.15" hidden="false" customHeight="false" outlineLevel="0" collapsed="false">
      <c r="A14" s="0" t="s">
        <v>837</v>
      </c>
      <c r="B14" s="0" t="n">
        <f aca="false">pb_2</f>
        <v>1.4</v>
      </c>
      <c r="C14" s="0" t="s">
        <v>839</v>
      </c>
      <c r="D14" s="0" t="s">
        <v>691</v>
      </c>
      <c r="E14" s="23" t="n">
        <f aca="false">Y!J28</f>
        <v>176945.931077734</v>
      </c>
      <c r="F14" s="23" t="n">
        <f aca="false">B14*E14</f>
        <v>247724.303508828</v>
      </c>
      <c r="G14" s="15" t="n">
        <f aca="false">F14/px-1</f>
        <v>0.149532730899434</v>
      </c>
    </row>
    <row r="15" customFormat="false" ht="17.15" hidden="false" customHeight="false" outlineLevel="0" collapsed="false">
      <c r="A15" s="0" t="s">
        <v>838</v>
      </c>
      <c r="B15" s="0" t="n">
        <f aca="false">pb_3</f>
        <v>2</v>
      </c>
      <c r="C15" s="0" t="s">
        <v>839</v>
      </c>
      <c r="D15" s="0" t="s">
        <v>691</v>
      </c>
      <c r="E15" s="23" t="n">
        <f aca="false">Y!J28</f>
        <v>176945.931077734</v>
      </c>
      <c r="F15" s="23" t="n">
        <f aca="false">B15*E15</f>
        <v>353891.862155469</v>
      </c>
      <c r="G15" s="15" t="n">
        <f aca="false">F15/px-1</f>
        <v>0.642189615570621</v>
      </c>
    </row>
    <row r="16" customFormat="false" ht="17.15" hidden="false" customHeight="false" outlineLevel="0" collapsed="false">
      <c r="A16" s="0" t="s">
        <v>222</v>
      </c>
      <c r="B16" s="0" t="n">
        <f aca="false">pb_1</f>
        <v>1</v>
      </c>
      <c r="C16" s="0" t="s">
        <v>840</v>
      </c>
      <c r="D16" s="0" t="s">
        <v>689</v>
      </c>
      <c r="E16" s="23" t="n">
        <f aca="false">Y!E28</f>
        <v>288103.729185218</v>
      </c>
      <c r="F16" s="23" t="n">
        <f aca="false">B16*E16</f>
        <v>288103.729185218</v>
      </c>
      <c r="G16" s="15" t="n">
        <f aca="false">F16/px-1</f>
        <v>0.336908256079897</v>
      </c>
    </row>
    <row r="17" customFormat="false" ht="17.15" hidden="false" customHeight="false" outlineLevel="0" collapsed="false">
      <c r="A17" s="0" t="s">
        <v>837</v>
      </c>
      <c r="B17" s="0" t="n">
        <f aca="false">pb_2</f>
        <v>1.4</v>
      </c>
      <c r="C17" s="0" t="s">
        <v>840</v>
      </c>
      <c r="D17" s="0" t="s">
        <v>689</v>
      </c>
      <c r="E17" s="23" t="n">
        <f aca="false">Y!E28</f>
        <v>288103.729185218</v>
      </c>
      <c r="F17" s="23" t="n">
        <f aca="false">B17*E17</f>
        <v>403345.220859305</v>
      </c>
      <c r="G17" s="15" t="n">
        <f aca="false">F17/px-1</f>
        <v>0.871671558511855</v>
      </c>
    </row>
    <row r="18" customFormat="false" ht="17.15" hidden="false" customHeight="false" outlineLevel="0" collapsed="false">
      <c r="A18" s="0" t="s">
        <v>838</v>
      </c>
      <c r="B18" s="0" t="n">
        <f aca="false">pb_3</f>
        <v>2</v>
      </c>
      <c r="C18" s="0" t="s">
        <v>840</v>
      </c>
      <c r="D18" s="0" t="s">
        <v>689</v>
      </c>
      <c r="E18" s="23" t="n">
        <f aca="false">Y!E28</f>
        <v>288103.729185218</v>
      </c>
      <c r="F18" s="23" t="n">
        <f aca="false">B18*E18</f>
        <v>576207.458370435</v>
      </c>
      <c r="G18" s="15" t="n">
        <f aca="false">F18/px-1</f>
        <v>1.67381651215979</v>
      </c>
    </row>
    <row r="19" customFormat="false" ht="17.15" hidden="false" customHeight="false" outlineLevel="0" collapsed="false">
      <c r="A19" s="0" t="s">
        <v>222</v>
      </c>
      <c r="B19" s="0" t="n">
        <f aca="false">pb_1</f>
        <v>1</v>
      </c>
      <c r="C19" s="0" t="s">
        <v>840</v>
      </c>
      <c r="D19" s="0" t="s">
        <v>690</v>
      </c>
      <c r="E19" s="23" t="n">
        <f aca="false">Y!H28</f>
        <v>226413.031808142</v>
      </c>
      <c r="F19" s="23" t="n">
        <f aca="false">B19*E19</f>
        <v>226413.031808142</v>
      </c>
      <c r="G19" s="15" t="n">
        <f aca="false">F19/px-1</f>
        <v>0.0506405188312871</v>
      </c>
    </row>
    <row r="20" customFormat="false" ht="17.15" hidden="false" customHeight="false" outlineLevel="0" collapsed="false">
      <c r="A20" s="0" t="s">
        <v>837</v>
      </c>
      <c r="B20" s="0" t="n">
        <f aca="false">pb_2</f>
        <v>1.4</v>
      </c>
      <c r="C20" s="0" t="s">
        <v>840</v>
      </c>
      <c r="D20" s="0" t="s">
        <v>690</v>
      </c>
      <c r="E20" s="23" t="n">
        <f aca="false">Y!H28</f>
        <v>226413.031808142</v>
      </c>
      <c r="F20" s="23" t="n">
        <f aca="false">B20*E20</f>
        <v>316978.244531399</v>
      </c>
      <c r="G20" s="15" t="n">
        <f aca="false">F20/px-1</f>
        <v>0.470896726363802</v>
      </c>
    </row>
    <row r="21" customFormat="false" ht="17.15" hidden="false" customHeight="false" outlineLevel="0" collapsed="false">
      <c r="A21" s="0" t="s">
        <v>838</v>
      </c>
      <c r="B21" s="0" t="n">
        <f aca="false">pb_3</f>
        <v>2</v>
      </c>
      <c r="C21" s="0" t="s">
        <v>840</v>
      </c>
      <c r="D21" s="0" t="s">
        <v>690</v>
      </c>
      <c r="E21" s="23" t="n">
        <f aca="false">Y!H28</f>
        <v>226413.031808142</v>
      </c>
      <c r="F21" s="23" t="n">
        <f aca="false">B21*E21</f>
        <v>452826.063616285</v>
      </c>
      <c r="G21" s="15" t="n">
        <f aca="false">F21/px-1</f>
        <v>1.10128103766257</v>
      </c>
    </row>
    <row r="22" customFormat="false" ht="17.15" hidden="false" customHeight="false" outlineLevel="0" collapsed="false">
      <c r="A22" s="0" t="s">
        <v>222</v>
      </c>
      <c r="B22" s="0" t="n">
        <f aca="false">pb_1</f>
        <v>1</v>
      </c>
      <c r="C22" s="0" t="s">
        <v>840</v>
      </c>
      <c r="D22" s="0" t="s">
        <v>691</v>
      </c>
      <c r="E22" s="23" t="n">
        <f aca="false">Y!K28</f>
        <v>207337.861178512</v>
      </c>
      <c r="F22" s="23" t="n">
        <f aca="false">B22*E22</f>
        <v>207337.861178512</v>
      </c>
      <c r="G22" s="15" t="n">
        <f aca="false">F22/px-1</f>
        <v>-0.0378753541600377</v>
      </c>
    </row>
    <row r="23" customFormat="false" ht="17.15" hidden="false" customHeight="false" outlineLevel="0" collapsed="false">
      <c r="A23" s="0" t="s">
        <v>837</v>
      </c>
      <c r="B23" s="0" t="n">
        <f aca="false">pb_2</f>
        <v>1.4</v>
      </c>
      <c r="C23" s="0" t="s">
        <v>840</v>
      </c>
      <c r="D23" s="0" t="s">
        <v>691</v>
      </c>
      <c r="E23" s="23" t="n">
        <f aca="false">Y!K28</f>
        <v>207337.861178512</v>
      </c>
      <c r="F23" s="23" t="n">
        <f aca="false">B23*E23</f>
        <v>290273.005649917</v>
      </c>
      <c r="G23" s="15" t="n">
        <f aca="false">F23/px-1</f>
        <v>0.346974504175947</v>
      </c>
    </row>
    <row r="24" customFormat="false" ht="17.15" hidden="false" customHeight="false" outlineLevel="0" collapsed="false">
      <c r="A24" s="0" t="s">
        <v>838</v>
      </c>
      <c r="B24" s="0" t="n">
        <f aca="false">pb_3</f>
        <v>2</v>
      </c>
      <c r="C24" s="0" t="s">
        <v>840</v>
      </c>
      <c r="D24" s="0" t="s">
        <v>691</v>
      </c>
      <c r="E24" s="23" t="n">
        <f aca="false">Y!K28</f>
        <v>207337.861178512</v>
      </c>
      <c r="F24" s="23" t="n">
        <f aca="false">B24*E24</f>
        <v>414675.722357024</v>
      </c>
      <c r="G24" s="15" t="n">
        <f aca="false">F24/px-1</f>
        <v>0.924249291679925</v>
      </c>
    </row>
    <row r="25" customFormat="false" ht="17.15" hidden="false" customHeight="false" outlineLevel="0" collapsed="false">
      <c r="A25" s="0" t="s">
        <v>222</v>
      </c>
      <c r="B25" s="0" t="n">
        <f aca="false">pb_1</f>
        <v>1</v>
      </c>
      <c r="C25" s="0" t="s">
        <v>841</v>
      </c>
      <c r="D25" s="0" t="s">
        <v>689</v>
      </c>
      <c r="E25" s="23" t="n">
        <f aca="false">Y!F28</f>
        <v>481563.089162389</v>
      </c>
      <c r="F25" s="23" t="n">
        <f aca="false">B25*E25</f>
        <v>481563.089162389</v>
      </c>
      <c r="G25" s="15" t="n">
        <f aca="false">F25/px-1</f>
        <v>1.23463150423382</v>
      </c>
    </row>
    <row r="26" customFormat="false" ht="17.15" hidden="false" customHeight="false" outlineLevel="0" collapsed="false">
      <c r="A26" s="0" t="s">
        <v>837</v>
      </c>
      <c r="B26" s="0" t="n">
        <f aca="false">pb_2</f>
        <v>1.4</v>
      </c>
      <c r="C26" s="0" t="s">
        <v>841</v>
      </c>
      <c r="D26" s="0" t="s">
        <v>689</v>
      </c>
      <c r="E26" s="23" t="n">
        <f aca="false">Y!F28</f>
        <v>481563.089162389</v>
      </c>
      <c r="F26" s="23" t="n">
        <f aca="false">B26*E26</f>
        <v>674188.324827344</v>
      </c>
      <c r="G26" s="15" t="n">
        <f aca="false">F26/px-1</f>
        <v>2.12848410592735</v>
      </c>
    </row>
    <row r="27" customFormat="false" ht="17.15" hidden="false" customHeight="false" outlineLevel="0" collapsed="false">
      <c r="A27" s="0" t="s">
        <v>838</v>
      </c>
      <c r="B27" s="0" t="n">
        <f aca="false">pb_3</f>
        <v>2</v>
      </c>
      <c r="C27" s="0" t="s">
        <v>841</v>
      </c>
      <c r="D27" s="0" t="s">
        <v>689</v>
      </c>
      <c r="E27" s="23" t="n">
        <f aca="false">Y!F28</f>
        <v>481563.089162389</v>
      </c>
      <c r="F27" s="23" t="n">
        <f aca="false">B27*E27</f>
        <v>963126.178324777</v>
      </c>
      <c r="G27" s="15" t="n">
        <f aca="false">F27/px-1</f>
        <v>3.46926300846764</v>
      </c>
    </row>
    <row r="28" customFormat="false" ht="17.15" hidden="false" customHeight="false" outlineLevel="0" collapsed="false">
      <c r="A28" s="0" t="s">
        <v>222</v>
      </c>
      <c r="B28" s="0" t="n">
        <f aca="false">pb_1</f>
        <v>1</v>
      </c>
      <c r="C28" s="0" t="s">
        <v>841</v>
      </c>
      <c r="D28" s="0" t="s">
        <v>690</v>
      </c>
      <c r="E28" s="23" t="n">
        <f aca="false">Y!I28</f>
        <v>296816.440430852</v>
      </c>
      <c r="F28" s="23" t="n">
        <f aca="false">B28*E28</f>
        <v>296816.440430852</v>
      </c>
      <c r="G28" s="15" t="n">
        <f aca="false">F28/px-1</f>
        <v>0.377338470676809</v>
      </c>
    </row>
    <row r="29" customFormat="false" ht="17.15" hidden="false" customHeight="false" outlineLevel="0" collapsed="false">
      <c r="A29" s="0" t="s">
        <v>837</v>
      </c>
      <c r="B29" s="0" t="n">
        <f aca="false">pb_2</f>
        <v>1.4</v>
      </c>
      <c r="C29" s="0" t="s">
        <v>841</v>
      </c>
      <c r="D29" s="0" t="s">
        <v>690</v>
      </c>
      <c r="E29" s="23" t="n">
        <f aca="false">Y!I28</f>
        <v>296816.440430852</v>
      </c>
      <c r="F29" s="23" t="n">
        <f aca="false">B29*E29</f>
        <v>415543.016603193</v>
      </c>
      <c r="G29" s="15" t="n">
        <f aca="false">F29/px-1</f>
        <v>0.928273858947532</v>
      </c>
    </row>
    <row r="30" customFormat="false" ht="17.15" hidden="false" customHeight="false" outlineLevel="0" collapsed="false">
      <c r="A30" s="0" t="s">
        <v>838</v>
      </c>
      <c r="B30" s="0" t="n">
        <f aca="false">pb_3</f>
        <v>2</v>
      </c>
      <c r="C30" s="0" t="s">
        <v>841</v>
      </c>
      <c r="D30" s="0" t="s">
        <v>690</v>
      </c>
      <c r="E30" s="23" t="n">
        <f aca="false">Y!I28</f>
        <v>296816.440430852</v>
      </c>
      <c r="F30" s="23" t="n">
        <f aca="false">B30*E30</f>
        <v>593632.880861705</v>
      </c>
      <c r="G30" s="15" t="n">
        <f aca="false">F30/px-1</f>
        <v>1.75467694135362</v>
      </c>
    </row>
    <row r="31" customFormat="false" ht="17.15" hidden="false" customHeight="false" outlineLevel="0" collapsed="false">
      <c r="A31" s="0" t="s">
        <v>222</v>
      </c>
      <c r="B31" s="0" t="n">
        <f aca="false">pb_1</f>
        <v>1</v>
      </c>
      <c r="C31" s="0" t="s">
        <v>841</v>
      </c>
      <c r="D31" s="0" t="s">
        <v>691</v>
      </c>
      <c r="E31" s="23" t="n">
        <f aca="false">Y!L28</f>
        <v>235019.99378628</v>
      </c>
      <c r="F31" s="23" t="n">
        <f aca="false">B31*E31</f>
        <v>235019.99378628</v>
      </c>
      <c r="G31" s="15" t="n">
        <f aca="false">F31/px-1</f>
        <v>0.0905800175697449</v>
      </c>
    </row>
    <row r="32" customFormat="false" ht="17.15" hidden="false" customHeight="false" outlineLevel="0" collapsed="false">
      <c r="A32" s="0" t="s">
        <v>837</v>
      </c>
      <c r="B32" s="0" t="n">
        <f aca="false">pb_2</f>
        <v>1.4</v>
      </c>
      <c r="C32" s="0" t="s">
        <v>841</v>
      </c>
      <c r="D32" s="0" t="s">
        <v>691</v>
      </c>
      <c r="E32" s="23" t="n">
        <f aca="false">Y!L28</f>
        <v>235019.99378628</v>
      </c>
      <c r="F32" s="23" t="n">
        <f aca="false">B32*E32</f>
        <v>329027.991300792</v>
      </c>
      <c r="G32" s="15" t="n">
        <f aca="false">F32/px-1</f>
        <v>0.526812024597643</v>
      </c>
    </row>
    <row r="33" customFormat="false" ht="17.15" hidden="false" customHeight="false" outlineLevel="0" collapsed="false">
      <c r="A33" s="0" t="s">
        <v>838</v>
      </c>
      <c r="B33" s="0" t="n">
        <f aca="false">pb_3</f>
        <v>2</v>
      </c>
      <c r="C33" s="0" t="s">
        <v>841</v>
      </c>
      <c r="D33" s="0" t="s">
        <v>691</v>
      </c>
      <c r="E33" s="23" t="n">
        <f aca="false">Y!L28</f>
        <v>235019.99378628</v>
      </c>
      <c r="F33" s="23" t="n">
        <f aca="false">B33*E33</f>
        <v>470039.98757256</v>
      </c>
      <c r="G33" s="15" t="n">
        <f aca="false">F33/px-1</f>
        <v>1.18116003513949</v>
      </c>
    </row>
    <row r="34" customFormat="false" ht="15" hidden="false" customHeight="false" outlineLevel="0" collapsed="false">
      <c r="A34" s="0" t="s">
        <v>232</v>
      </c>
      <c r="B34" s="0" t="n">
        <f aca="false">pe_1</f>
        <v>4</v>
      </c>
      <c r="C34" s="0" t="s">
        <v>842</v>
      </c>
      <c r="D34" s="0" t="s">
        <v>689</v>
      </c>
      <c r="E34" s="23" t="n">
        <f aca="false">Y!D29</f>
        <v>95824.2770879819</v>
      </c>
      <c r="F34" s="23" t="n">
        <f aca="false">B34*E34</f>
        <v>383297.108351928</v>
      </c>
      <c r="G34" s="15" t="n">
        <f aca="false">F34/px-1</f>
        <v>0.778640874022866</v>
      </c>
    </row>
    <row r="35" customFormat="false" ht="15" hidden="false" customHeight="false" outlineLevel="0" collapsed="false">
      <c r="A35" s="0" t="s">
        <v>235</v>
      </c>
      <c r="B35" s="0" t="n">
        <f aca="false">pe_2</f>
        <v>8</v>
      </c>
      <c r="C35" s="0" t="s">
        <v>842</v>
      </c>
      <c r="D35" s="0" t="s">
        <v>689</v>
      </c>
      <c r="E35" s="23" t="n">
        <f aca="false">Y!D29</f>
        <v>95824.2770879819</v>
      </c>
      <c r="F35" s="23" t="n">
        <f aca="false">B35*E35</f>
        <v>766594.216703855</v>
      </c>
      <c r="G35" s="15" t="n">
        <f aca="false">F35/px-1</f>
        <v>2.55728174804573</v>
      </c>
    </row>
    <row r="36" customFormat="false" ht="15" hidden="false" customHeight="false" outlineLevel="0" collapsed="false">
      <c r="A36" s="0" t="s">
        <v>237</v>
      </c>
      <c r="B36" s="0" t="n">
        <f aca="false">pe_3</f>
        <v>12</v>
      </c>
      <c r="C36" s="0" t="s">
        <v>842</v>
      </c>
      <c r="D36" s="0" t="s">
        <v>689</v>
      </c>
      <c r="E36" s="23" t="n">
        <f aca="false">Y!D29</f>
        <v>95824.2770879819</v>
      </c>
      <c r="F36" s="23" t="n">
        <f aca="false">B36*E36</f>
        <v>1149891.32505578</v>
      </c>
      <c r="G36" s="15" t="n">
        <f aca="false">F36/px-1</f>
        <v>4.3359226220686</v>
      </c>
    </row>
    <row r="37" customFormat="false" ht="15" hidden="false" customHeight="false" outlineLevel="0" collapsed="false">
      <c r="A37" s="0" t="s">
        <v>232</v>
      </c>
      <c r="B37" s="0" t="n">
        <f aca="false">pe_1</f>
        <v>4</v>
      </c>
      <c r="C37" s="0" t="s">
        <v>842</v>
      </c>
      <c r="D37" s="0" t="s">
        <v>690</v>
      </c>
      <c r="E37" s="23" t="n">
        <f aca="false">Y!G29</f>
        <v>92985.9024745533</v>
      </c>
      <c r="F37" s="23" t="n">
        <f aca="false">B37*E37</f>
        <v>371943.609898213</v>
      </c>
      <c r="G37" s="15" t="n">
        <f aca="false">F37/px-1</f>
        <v>0.725956426441825</v>
      </c>
    </row>
    <row r="38" customFormat="false" ht="15" hidden="false" customHeight="false" outlineLevel="0" collapsed="false">
      <c r="A38" s="0" t="s">
        <v>235</v>
      </c>
      <c r="B38" s="0" t="n">
        <f aca="false">pe_2</f>
        <v>8</v>
      </c>
      <c r="C38" s="0" t="s">
        <v>842</v>
      </c>
      <c r="D38" s="0" t="s">
        <v>690</v>
      </c>
      <c r="E38" s="23" t="n">
        <f aca="false">Y!G29</f>
        <v>92985.9024745533</v>
      </c>
      <c r="F38" s="23" t="n">
        <f aca="false">B38*E38</f>
        <v>743887.219796426</v>
      </c>
      <c r="G38" s="15" t="n">
        <f aca="false">F38/px-1</f>
        <v>2.45191285288365</v>
      </c>
    </row>
    <row r="39" customFormat="false" ht="15" hidden="false" customHeight="false" outlineLevel="0" collapsed="false">
      <c r="A39" s="0" t="s">
        <v>237</v>
      </c>
      <c r="B39" s="0" t="n">
        <f aca="false">pe_3</f>
        <v>12</v>
      </c>
      <c r="C39" s="0" t="s">
        <v>842</v>
      </c>
      <c r="D39" s="0" t="s">
        <v>690</v>
      </c>
      <c r="E39" s="23" t="n">
        <f aca="false">Y!G29</f>
        <v>92985.9024745533</v>
      </c>
      <c r="F39" s="23" t="n">
        <f aca="false">B39*E39</f>
        <v>1115830.82969464</v>
      </c>
      <c r="G39" s="15" t="n">
        <f aca="false">F39/px-1</f>
        <v>4.17786927932547</v>
      </c>
    </row>
    <row r="40" customFormat="false" ht="15" hidden="false" customHeight="false" outlineLevel="0" collapsed="false">
      <c r="A40" s="0" t="s">
        <v>232</v>
      </c>
      <c r="B40" s="0" t="n">
        <f aca="false">pe_1</f>
        <v>4</v>
      </c>
      <c r="C40" s="0" t="s">
        <v>842</v>
      </c>
      <c r="D40" s="0" t="s">
        <v>691</v>
      </c>
      <c r="E40" s="23" t="n">
        <f aca="false">Y!J29</f>
        <v>92985.9024745533</v>
      </c>
      <c r="F40" s="23" t="n">
        <f aca="false">B40*E40</f>
        <v>371943.609898213</v>
      </c>
      <c r="G40" s="15" t="n">
        <f aca="false">F40/px-1</f>
        <v>0.725956426441825</v>
      </c>
    </row>
    <row r="41" customFormat="false" ht="15" hidden="false" customHeight="false" outlineLevel="0" collapsed="false">
      <c r="A41" s="0" t="s">
        <v>235</v>
      </c>
      <c r="B41" s="0" t="n">
        <f aca="false">pe_2</f>
        <v>8</v>
      </c>
      <c r="C41" s="0" t="s">
        <v>842</v>
      </c>
      <c r="D41" s="0" t="s">
        <v>691</v>
      </c>
      <c r="E41" s="23" t="n">
        <f aca="false">Y!J29</f>
        <v>92985.9024745533</v>
      </c>
      <c r="F41" s="23" t="n">
        <f aca="false">B41*E41</f>
        <v>743887.219796426</v>
      </c>
      <c r="G41" s="15" t="n">
        <f aca="false">F41/px-1</f>
        <v>2.45191285288365</v>
      </c>
    </row>
    <row r="42" customFormat="false" ht="15" hidden="false" customHeight="false" outlineLevel="0" collapsed="false">
      <c r="A42" s="0" t="s">
        <v>237</v>
      </c>
      <c r="B42" s="0" t="n">
        <f aca="false">pe_3</f>
        <v>12</v>
      </c>
      <c r="C42" s="0" t="s">
        <v>842</v>
      </c>
      <c r="D42" s="0" t="s">
        <v>691</v>
      </c>
      <c r="E42" s="23" t="n">
        <f aca="false">Y!J29</f>
        <v>92985.9024745533</v>
      </c>
      <c r="F42" s="23" t="n">
        <f aca="false">B42*E42</f>
        <v>1115830.82969464</v>
      </c>
      <c r="G42" s="15" t="n">
        <f aca="false">F42/px-1</f>
        <v>4.17786927932547</v>
      </c>
    </row>
    <row r="43" customFormat="false" ht="15" hidden="false" customHeight="false" outlineLevel="0" collapsed="false">
      <c r="A43" s="0" t="s">
        <v>232</v>
      </c>
      <c r="B43" s="0" t="n">
        <f aca="false">pe_1</f>
        <v>4</v>
      </c>
      <c r="C43" s="0" t="s">
        <v>843</v>
      </c>
      <c r="D43" s="0" t="s">
        <v>689</v>
      </c>
      <c r="E43" s="23" t="n">
        <f aca="false">Y!E29</f>
        <v>129982.274469612</v>
      </c>
      <c r="F43" s="23" t="n">
        <f aca="false">B43*E43</f>
        <v>519929.097878446</v>
      </c>
      <c r="G43" s="15" t="n">
        <f aca="false">F43/px-1</f>
        <v>1.41266402727817</v>
      </c>
    </row>
    <row r="44" customFormat="false" ht="15" hidden="false" customHeight="false" outlineLevel="0" collapsed="false">
      <c r="A44" s="0" t="s">
        <v>235</v>
      </c>
      <c r="B44" s="0" t="n">
        <f aca="false">pe_2</f>
        <v>8</v>
      </c>
      <c r="C44" s="0" t="s">
        <v>843</v>
      </c>
      <c r="D44" s="0" t="s">
        <v>689</v>
      </c>
      <c r="E44" s="23" t="n">
        <f aca="false">Y!E29</f>
        <v>129982.274469612</v>
      </c>
      <c r="F44" s="23" t="n">
        <f aca="false">B44*E44</f>
        <v>1039858.19575689</v>
      </c>
      <c r="G44" s="15" t="n">
        <f aca="false">F44/px-1</f>
        <v>3.82532805455635</v>
      </c>
    </row>
    <row r="45" customFormat="false" ht="15" hidden="false" customHeight="false" outlineLevel="0" collapsed="false">
      <c r="A45" s="0" t="s">
        <v>237</v>
      </c>
      <c r="B45" s="0" t="n">
        <f aca="false">pe_3</f>
        <v>12</v>
      </c>
      <c r="C45" s="0" t="s">
        <v>843</v>
      </c>
      <c r="D45" s="0" t="s">
        <v>689</v>
      </c>
      <c r="E45" s="23" t="n">
        <f aca="false">Y!E29</f>
        <v>129982.274469612</v>
      </c>
      <c r="F45" s="23" t="n">
        <f aca="false">B45*E45</f>
        <v>1559787.29363534</v>
      </c>
      <c r="G45" s="15" t="n">
        <f aca="false">F45/px-1</f>
        <v>6.23799208183452</v>
      </c>
    </row>
    <row r="46" customFormat="false" ht="15" hidden="false" customHeight="false" outlineLevel="0" collapsed="false">
      <c r="A46" s="0" t="s">
        <v>232</v>
      </c>
      <c r="B46" s="0" t="n">
        <f aca="false">pe_1</f>
        <v>4</v>
      </c>
      <c r="C46" s="0" t="s">
        <v>843</v>
      </c>
      <c r="D46" s="0" t="s">
        <v>690</v>
      </c>
      <c r="E46" s="23" t="n">
        <f aca="false">Y!H29</f>
        <v>59278.3331982183</v>
      </c>
      <c r="F46" s="23" t="n">
        <f aca="false">B46*E46</f>
        <v>237113.332792873</v>
      </c>
      <c r="G46" s="15" t="n">
        <f aca="false">F46/px-1</f>
        <v>0.100293887669944</v>
      </c>
    </row>
    <row r="47" customFormat="false" ht="15" hidden="false" customHeight="false" outlineLevel="0" collapsed="false">
      <c r="A47" s="0" t="s">
        <v>235</v>
      </c>
      <c r="B47" s="0" t="n">
        <f aca="false">pe_2</f>
        <v>8</v>
      </c>
      <c r="C47" s="0" t="s">
        <v>843</v>
      </c>
      <c r="D47" s="0" t="s">
        <v>690</v>
      </c>
      <c r="E47" s="23" t="n">
        <f aca="false">Y!H29</f>
        <v>59278.3331982183</v>
      </c>
      <c r="F47" s="23" t="n">
        <f aca="false">B47*E47</f>
        <v>474226.665585746</v>
      </c>
      <c r="G47" s="15" t="n">
        <f aca="false">F47/px-1</f>
        <v>1.20058777533989</v>
      </c>
    </row>
    <row r="48" customFormat="false" ht="15" hidden="false" customHeight="false" outlineLevel="0" collapsed="false">
      <c r="A48" s="0" t="s">
        <v>237</v>
      </c>
      <c r="B48" s="0" t="n">
        <f aca="false">pe_3</f>
        <v>12</v>
      </c>
      <c r="C48" s="0" t="s">
        <v>843</v>
      </c>
      <c r="D48" s="0" t="s">
        <v>690</v>
      </c>
      <c r="E48" s="23" t="n">
        <f aca="false">Y!H29</f>
        <v>59278.3331982183</v>
      </c>
      <c r="F48" s="23" t="n">
        <f aca="false">B48*E48</f>
        <v>711339.998378619</v>
      </c>
      <c r="G48" s="15" t="n">
        <f aca="false">F48/px-1</f>
        <v>2.30088166300983</v>
      </c>
    </row>
    <row r="49" customFormat="false" ht="15" hidden="false" customHeight="false" outlineLevel="0" collapsed="false">
      <c r="A49" s="0" t="s">
        <v>232</v>
      </c>
      <c r="B49" s="0" t="n">
        <f aca="false">pe_1</f>
        <v>4</v>
      </c>
      <c r="C49" s="0" t="s">
        <v>843</v>
      </c>
      <c r="D49" s="0" t="s">
        <v>691</v>
      </c>
      <c r="E49" s="23" t="n">
        <f aca="false">Y!K29</f>
        <v>36498.1594400924</v>
      </c>
      <c r="F49" s="23" t="n">
        <f aca="false">B49*E49</f>
        <v>145992.63776037</v>
      </c>
      <c r="G49" s="15" t="n">
        <f aca="false">F49/px-1</f>
        <v>-0.322539963989003</v>
      </c>
    </row>
    <row r="50" customFormat="false" ht="15" hidden="false" customHeight="false" outlineLevel="0" collapsed="false">
      <c r="A50" s="0" t="s">
        <v>235</v>
      </c>
      <c r="B50" s="0" t="n">
        <f aca="false">pe_2</f>
        <v>8</v>
      </c>
      <c r="C50" s="0" t="s">
        <v>843</v>
      </c>
      <c r="D50" s="0" t="s">
        <v>691</v>
      </c>
      <c r="E50" s="23" t="n">
        <f aca="false">Y!K29</f>
        <v>36498.1594400924</v>
      </c>
      <c r="F50" s="23" t="n">
        <f aca="false">B50*E50</f>
        <v>291985.27552074</v>
      </c>
      <c r="G50" s="15" t="n">
        <f aca="false">F50/px-1</f>
        <v>0.354920072021993</v>
      </c>
    </row>
    <row r="51" customFormat="false" ht="15" hidden="false" customHeight="false" outlineLevel="0" collapsed="false">
      <c r="A51" s="0" t="s">
        <v>237</v>
      </c>
      <c r="B51" s="0" t="n">
        <f aca="false">pe_3</f>
        <v>12</v>
      </c>
      <c r="C51" s="0" t="s">
        <v>843</v>
      </c>
      <c r="D51" s="0" t="s">
        <v>691</v>
      </c>
      <c r="E51" s="23" t="n">
        <f aca="false">Y!K29</f>
        <v>36498.1594400924</v>
      </c>
      <c r="F51" s="23" t="n">
        <f aca="false">B51*E51</f>
        <v>437977.913281109</v>
      </c>
      <c r="G51" s="15" t="n">
        <f aca="false">F51/px-1</f>
        <v>1.03238010803299</v>
      </c>
    </row>
    <row r="52" customFormat="false" ht="15" hidden="false" customHeight="false" outlineLevel="0" collapsed="false">
      <c r="A52" s="0" t="s">
        <v>232</v>
      </c>
      <c r="B52" s="0" t="n">
        <f aca="false">pe_1</f>
        <v>4</v>
      </c>
      <c r="C52" s="0" t="s">
        <v>844</v>
      </c>
      <c r="D52" s="0" t="s">
        <v>689</v>
      </c>
      <c r="E52" s="23" t="n">
        <f aca="false">Y!F29</f>
        <v>186701.780354463</v>
      </c>
      <c r="F52" s="23" t="n">
        <f aca="false">B52*E52</f>
        <v>746807.121417851</v>
      </c>
      <c r="G52" s="15" t="n">
        <f aca="false">F52/px-1</f>
        <v>2.46546228036126</v>
      </c>
    </row>
    <row r="53" customFormat="false" ht="15" hidden="false" customHeight="false" outlineLevel="0" collapsed="false">
      <c r="A53" s="0" t="s">
        <v>235</v>
      </c>
      <c r="B53" s="0" t="n">
        <f aca="false">pe_2</f>
        <v>8</v>
      </c>
      <c r="C53" s="0" t="s">
        <v>844</v>
      </c>
      <c r="D53" s="0" t="s">
        <v>689</v>
      </c>
      <c r="E53" s="23" t="n">
        <f aca="false">Y!F29</f>
        <v>186701.780354463</v>
      </c>
      <c r="F53" s="23" t="n">
        <f aca="false">B53*E53</f>
        <v>1493614.2428357</v>
      </c>
      <c r="G53" s="15" t="n">
        <f aca="false">F53/px-1</f>
        <v>5.93092456072251</v>
      </c>
    </row>
    <row r="54" customFormat="false" ht="15" hidden="false" customHeight="false" outlineLevel="0" collapsed="false">
      <c r="A54" s="0" t="s">
        <v>237</v>
      </c>
      <c r="B54" s="0" t="n">
        <f aca="false">pe_3</f>
        <v>12</v>
      </c>
      <c r="C54" s="0" t="s">
        <v>844</v>
      </c>
      <c r="D54" s="0" t="s">
        <v>689</v>
      </c>
      <c r="E54" s="23" t="n">
        <f aca="false">Y!F29</f>
        <v>186701.780354463</v>
      </c>
      <c r="F54" s="23" t="n">
        <f aca="false">B54*E54</f>
        <v>2240421.36425355</v>
      </c>
      <c r="G54" s="15" t="n">
        <f aca="false">F54/px-1</f>
        <v>9.39638684108377</v>
      </c>
    </row>
    <row r="55" customFormat="false" ht="15" hidden="false" customHeight="false" outlineLevel="0" collapsed="false">
      <c r="A55" s="0" t="s">
        <v>232</v>
      </c>
      <c r="B55" s="0" t="n">
        <f aca="false">pe_1</f>
        <v>4</v>
      </c>
      <c r="C55" s="0" t="s">
        <v>844</v>
      </c>
      <c r="D55" s="0" t="s">
        <v>690</v>
      </c>
      <c r="E55" s="23" t="n">
        <f aca="false">Y!I29</f>
        <v>76731.1281136949</v>
      </c>
      <c r="F55" s="23" t="n">
        <f aca="false">B55*E55</f>
        <v>306924.51245478</v>
      </c>
      <c r="G55" s="15" t="n">
        <f aca="false">F55/px-1</f>
        <v>0.42424367728436</v>
      </c>
    </row>
    <row r="56" customFormat="false" ht="15" hidden="false" customHeight="false" outlineLevel="0" collapsed="false">
      <c r="A56" s="0" t="s">
        <v>235</v>
      </c>
      <c r="B56" s="0" t="n">
        <f aca="false">pe_2</f>
        <v>8</v>
      </c>
      <c r="C56" s="0" t="s">
        <v>844</v>
      </c>
      <c r="D56" s="0" t="s">
        <v>690</v>
      </c>
      <c r="E56" s="23" t="n">
        <f aca="false">Y!I29</f>
        <v>76731.1281136949</v>
      </c>
      <c r="F56" s="23" t="n">
        <f aca="false">B56*E56</f>
        <v>613849.024909559</v>
      </c>
      <c r="G56" s="15" t="n">
        <f aca="false">F56/px-1</f>
        <v>1.84848735456872</v>
      </c>
    </row>
    <row r="57" customFormat="false" ht="15" hidden="false" customHeight="false" outlineLevel="0" collapsed="false">
      <c r="A57" s="0" t="s">
        <v>237</v>
      </c>
      <c r="B57" s="0" t="n">
        <f aca="false">pe_3</f>
        <v>12</v>
      </c>
      <c r="C57" s="0" t="s">
        <v>844</v>
      </c>
      <c r="D57" s="0" t="s">
        <v>690</v>
      </c>
      <c r="E57" s="23" t="n">
        <f aca="false">Y!I29</f>
        <v>76731.1281136949</v>
      </c>
      <c r="F57" s="23" t="n">
        <f aca="false">B57*E57</f>
        <v>920773.537364339</v>
      </c>
      <c r="G57" s="15" t="n">
        <f aca="false">F57/px-1</f>
        <v>3.27273103185308</v>
      </c>
    </row>
    <row r="58" customFormat="false" ht="15" hidden="false" customHeight="false" outlineLevel="0" collapsed="false">
      <c r="A58" s="0" t="s">
        <v>232</v>
      </c>
      <c r="B58" s="0" t="n">
        <f aca="false">pe_1</f>
        <v>4</v>
      </c>
      <c r="C58" s="0" t="s">
        <v>844</v>
      </c>
      <c r="D58" s="0" t="s">
        <v>691</v>
      </c>
      <c r="E58" s="23" t="n">
        <f aca="false">Y!L29</f>
        <v>31760.9938491502</v>
      </c>
      <c r="F58" s="23" t="n">
        <f aca="false">B58*E58</f>
        <v>127043.975396601</v>
      </c>
      <c r="G58" s="15" t="n">
        <f aca="false">F58/px-1</f>
        <v>-0.410468791663106</v>
      </c>
    </row>
    <row r="59" customFormat="false" ht="15" hidden="false" customHeight="false" outlineLevel="0" collapsed="false">
      <c r="A59" s="0" t="s">
        <v>235</v>
      </c>
      <c r="B59" s="0" t="n">
        <f aca="false">pe_2</f>
        <v>8</v>
      </c>
      <c r="C59" s="0" t="s">
        <v>844</v>
      </c>
      <c r="D59" s="0" t="s">
        <v>691</v>
      </c>
      <c r="E59" s="23" t="n">
        <f aca="false">Y!L29</f>
        <v>31760.9938491502</v>
      </c>
      <c r="F59" s="23" t="n">
        <f aca="false">B59*E59</f>
        <v>254087.950793201</v>
      </c>
      <c r="G59" s="15" t="n">
        <f aca="false">F59/px-1</f>
        <v>0.179062416673788</v>
      </c>
    </row>
    <row r="60" customFormat="false" ht="15" hidden="false" customHeight="false" outlineLevel="0" collapsed="false">
      <c r="A60" s="0" t="s">
        <v>237</v>
      </c>
      <c r="B60" s="0" t="n">
        <f aca="false">pe_3</f>
        <v>12</v>
      </c>
      <c r="C60" s="0" t="s">
        <v>844</v>
      </c>
      <c r="D60" s="0" t="s">
        <v>691</v>
      </c>
      <c r="E60" s="23" t="n">
        <f aca="false">Y!L29</f>
        <v>31760.9938491502</v>
      </c>
      <c r="F60" s="23" t="n">
        <f aca="false">B60*E60</f>
        <v>381131.926189802</v>
      </c>
      <c r="G60" s="15" t="n">
        <f aca="false">F60/px-1</f>
        <v>0.768593625010682</v>
      </c>
    </row>
    <row r="63" customFormat="false" ht="17.15" hidden="false" customHeight="false" outlineLevel="0" collapsed="false">
      <c r="A63" s="6" t="s">
        <v>845</v>
      </c>
    </row>
    <row r="64" customFormat="false" ht="17.15" hidden="false" customHeight="false" outlineLevel="0" collapsed="false">
      <c r="A64" s="4" t="s">
        <v>846</v>
      </c>
    </row>
    <row r="66" customFormat="false" ht="17.15" hidden="false" customHeight="false" outlineLevel="0" collapsed="false">
      <c r="A66" s="6" t="s">
        <v>847</v>
      </c>
    </row>
    <row r="67" customFormat="false" ht="15" hidden="false" customHeight="false" outlineLevel="0" collapsed="false">
      <c r="A67" s="5" t="s">
        <v>848</v>
      </c>
      <c r="B67" s="13" t="s">
        <v>849</v>
      </c>
      <c r="C67" s="5" t="s">
        <v>850</v>
      </c>
    </row>
    <row r="68" customFormat="false" ht="17.15" hidden="false" customHeight="false" outlineLevel="0" collapsed="false">
      <c r="A68" s="0" t="s">
        <v>851</v>
      </c>
      <c r="B68" s="18" t="n">
        <v>1.27</v>
      </c>
      <c r="C68" s="8" t="s">
        <v>852</v>
      </c>
    </row>
    <row r="69" customFormat="false" ht="17.15" hidden="false" customHeight="false" outlineLevel="0" collapsed="false">
      <c r="A69" s="0" t="s">
        <v>853</v>
      </c>
      <c r="B69" s="18" t="n">
        <v>1.59</v>
      </c>
      <c r="C69" s="4" t="s">
        <v>854</v>
      </c>
    </row>
    <row r="70" customFormat="false" ht="15" hidden="false" customHeight="false" outlineLevel="0" collapsed="false">
      <c r="A70" s="0" t="s">
        <v>855</v>
      </c>
      <c r="B70" s="18" t="n">
        <v>1.04</v>
      </c>
    </row>
    <row r="71" customFormat="false" ht="15" hidden="false" customHeight="false" outlineLevel="0" collapsed="false">
      <c r="A71" s="0" t="s">
        <v>856</v>
      </c>
      <c r="B71" s="18" t="n">
        <v>1.41</v>
      </c>
    </row>
    <row r="72" customFormat="false" ht="15" hidden="false" customHeight="false" outlineLevel="0" collapsed="false">
      <c r="A72" s="0" t="s">
        <v>857</v>
      </c>
      <c r="B72" s="18" t="n">
        <v>1.97</v>
      </c>
    </row>
    <row r="73" customFormat="false" ht="15" hidden="false" customHeight="false" outlineLevel="0" collapsed="false">
      <c r="A73" s="0" t="s">
        <v>858</v>
      </c>
      <c r="B73" s="18" t="n">
        <v>1.73</v>
      </c>
    </row>
    <row r="74" customFormat="false" ht="15" hidden="false" customHeight="false" outlineLevel="0" collapsed="false">
      <c r="A74" s="0" t="s">
        <v>859</v>
      </c>
      <c r="B74" s="18" t="n">
        <v>1.04</v>
      </c>
    </row>
    <row r="75" customFormat="false" ht="15" hidden="false" customHeight="false" outlineLevel="0" collapsed="false">
      <c r="A75" s="0" t="s">
        <v>860</v>
      </c>
      <c r="B75" s="18" t="n">
        <v>1.43</v>
      </c>
    </row>
    <row r="76" customFormat="false" ht="15" hidden="false" customHeight="false" outlineLevel="0" collapsed="false">
      <c r="A76" s="0" t="s">
        <v>861</v>
      </c>
      <c r="B76" s="18" t="n">
        <v>0.8865</v>
      </c>
    </row>
    <row r="77" customFormat="false" ht="15" hidden="false" customHeight="false" outlineLevel="0" collapsed="false">
      <c r="A77" s="0" t="s">
        <v>694</v>
      </c>
      <c r="B77" s="18" t="n">
        <v>1.96</v>
      </c>
    </row>
    <row r="78" customFormat="false" ht="17.15" hidden="false" customHeight="false" outlineLevel="0" collapsed="false">
      <c r="A78" s="0" t="s">
        <v>862</v>
      </c>
      <c r="B78" s="14" t="n">
        <f aca="false">PERCENTILE(B68:B77,0.25)</f>
        <v>1.0975</v>
      </c>
    </row>
    <row r="79" customFormat="false" ht="15" hidden="false" customHeight="false" outlineLevel="0" collapsed="false">
      <c r="A79" s="4" t="s">
        <v>863</v>
      </c>
      <c r="B79" s="14" t="n">
        <f aca="false">MEDIAN(B68:B77)</f>
        <v>1.42</v>
      </c>
    </row>
    <row r="80" customFormat="false" ht="17.15" hidden="false" customHeight="false" outlineLevel="0" collapsed="false">
      <c r="A80" s="0" t="s">
        <v>864</v>
      </c>
      <c r="B80" s="14" t="n">
        <f aca="false">PERCENTILE(B68:B77,0.75)</f>
        <v>1.695</v>
      </c>
    </row>
    <row r="81" customFormat="false" ht="15" hidden="false" customHeight="false" outlineLevel="0" collapsed="false">
      <c r="A81" s="4" t="s">
        <v>865</v>
      </c>
      <c r="B81" s="14" t="n">
        <f aca="false">MIN(B68:B77)</f>
        <v>0.8865</v>
      </c>
    </row>
    <row r="82" customFormat="false" ht="15" hidden="false" customHeight="false" outlineLevel="0" collapsed="false">
      <c r="A82" s="4" t="s">
        <v>866</v>
      </c>
      <c r="B82" s="14" t="n">
        <f aca="false">MAX(B68:B77)</f>
        <v>1.97</v>
      </c>
    </row>
    <row r="83" customFormat="false" ht="17.15" hidden="false" customHeight="false" outlineLevel="0" collapsed="false">
      <c r="A83" s="1" t="s">
        <v>867</v>
      </c>
      <c r="B83" s="14" t="n">
        <f aca="false">ROUND(AVERAGE(B78),2)</f>
        <v>1.1</v>
      </c>
    </row>
    <row r="84" customFormat="false" ht="17.15" hidden="false" customHeight="false" outlineLevel="0" collapsed="false">
      <c r="A84" s="1" t="s">
        <v>868</v>
      </c>
      <c r="B84" s="14" t="n">
        <f aca="false">ROUND(AVERAGE(B79),2)</f>
        <v>1.42</v>
      </c>
    </row>
    <row r="85" customFormat="false" ht="17.15" hidden="false" customHeight="false" outlineLevel="0" collapsed="false">
      <c r="A85" s="1" t="s">
        <v>869</v>
      </c>
      <c r="B85" s="14" t="n">
        <f aca="false">ROUND(AVERAGE(B80),2)</f>
        <v>1.7</v>
      </c>
    </row>
    <row r="86" customFormat="false" ht="17.15" hidden="false" customHeight="false" outlineLevel="0" collapsed="false">
      <c r="A86" s="1" t="s">
        <v>870</v>
      </c>
      <c r="B86" s="14" t="n">
        <f aca="false">ROUND(MIN(B81),2)</f>
        <v>0.89</v>
      </c>
    </row>
    <row r="87" customFormat="false" ht="17.15" hidden="false" customHeight="false" outlineLevel="0" collapsed="false">
      <c r="A87" s="1" t="s">
        <v>871</v>
      </c>
      <c r="B87" s="14" t="n">
        <f aca="false">ROUND(MAX(B82),2)</f>
        <v>1.97</v>
      </c>
    </row>
    <row r="89" customFormat="false" ht="17.15" hidden="false" customHeight="false" outlineLevel="0" collapsed="false">
      <c r="A89" s="6" t="s">
        <v>872</v>
      </c>
    </row>
    <row r="90" customFormat="false" ht="17.15" hidden="false" customHeight="false" outlineLevel="0" collapsed="false">
      <c r="A90" s="5" t="s">
        <v>873</v>
      </c>
      <c r="B90" s="5" t="s">
        <v>874</v>
      </c>
      <c r="C90" s="5" t="s">
        <v>831</v>
      </c>
      <c r="D90" s="5" t="s">
        <v>31</v>
      </c>
      <c r="E90" s="5" t="s">
        <v>832</v>
      </c>
      <c r="F90" s="5" t="s">
        <v>833</v>
      </c>
      <c r="G90" s="5" t="s">
        <v>834</v>
      </c>
      <c r="H90" s="5" t="s">
        <v>875</v>
      </c>
    </row>
    <row r="91" customFormat="false" ht="17.15" hidden="false" customHeight="false" outlineLevel="0" collapsed="false">
      <c r="A91" s="4" t="s">
        <v>876</v>
      </c>
      <c r="B91" s="4" t="s">
        <v>877</v>
      </c>
      <c r="C91" s="14" t="n">
        <f aca="false">B83</f>
        <v>1.1</v>
      </c>
      <c r="D91" s="8" t="s">
        <v>878</v>
      </c>
      <c r="E91" s="23" t="n">
        <f aca="false">Y!D28</f>
        <v>178965.252722592</v>
      </c>
      <c r="F91" s="26" t="n">
        <f aca="false">C91*E91</f>
        <v>196861.777994851</v>
      </c>
      <c r="G91" s="19" t="n">
        <f aca="false">F91/px-1</f>
        <v>-0.0864882691654242</v>
      </c>
      <c r="H91" s="14" t="n">
        <f aca="false">px/E91</f>
        <v>1.20414436166578</v>
      </c>
    </row>
    <row r="92" customFormat="false" ht="17.15" hidden="false" customHeight="false" outlineLevel="0" collapsed="false">
      <c r="A92" s="4" t="s">
        <v>879</v>
      </c>
      <c r="B92" s="4" t="s">
        <v>880</v>
      </c>
      <c r="C92" s="14" t="n">
        <f aca="false">B84</f>
        <v>1.42</v>
      </c>
      <c r="D92" s="8" t="s">
        <v>878</v>
      </c>
      <c r="E92" s="23" t="n">
        <f aca="false">Y!D28</f>
        <v>178965.252722592</v>
      </c>
      <c r="F92" s="26" t="n">
        <f aca="false">C92*E92</f>
        <v>254130.65886608</v>
      </c>
      <c r="G92" s="19" t="n">
        <f aca="false">F92/px-1</f>
        <v>0.179260597986452</v>
      </c>
      <c r="H92" s="14" t="n">
        <f aca="false">px/E92</f>
        <v>1.20414436166578</v>
      </c>
    </row>
    <row r="93" customFormat="false" ht="17.15" hidden="false" customHeight="false" outlineLevel="0" collapsed="false">
      <c r="A93" s="4" t="s">
        <v>881</v>
      </c>
      <c r="B93" s="4" t="s">
        <v>882</v>
      </c>
      <c r="C93" s="14" t="n">
        <f aca="false">B85</f>
        <v>1.7</v>
      </c>
      <c r="D93" s="8" t="s">
        <v>883</v>
      </c>
      <c r="E93" s="23" t="n">
        <f aca="false">Y!K28</f>
        <v>207337.861178512</v>
      </c>
      <c r="F93" s="26" t="n">
        <f aca="false">C93*E93</f>
        <v>352474.36400347</v>
      </c>
      <c r="G93" s="19" t="n">
        <f aca="false">F93/px-1</f>
        <v>0.635611897927936</v>
      </c>
      <c r="H93" s="14" t="n">
        <f aca="false">px/E93</f>
        <v>1.03936636934082</v>
      </c>
    </row>
    <row r="96" customFormat="false" ht="17.15" hidden="false" customHeight="false" outlineLevel="0" collapsed="false">
      <c r="A96" s="6" t="s">
        <v>884</v>
      </c>
    </row>
    <row r="97" customFormat="false" ht="17.15" hidden="false" customHeight="false" outlineLevel="0" collapsed="false">
      <c r="A97" s="5" t="s">
        <v>848</v>
      </c>
      <c r="B97" s="13" t="s">
        <v>885</v>
      </c>
      <c r="C97" s="13" t="s">
        <v>886</v>
      </c>
      <c r="D97" s="5" t="s">
        <v>850</v>
      </c>
    </row>
    <row r="98" customFormat="false" ht="17.15" hidden="false" customHeight="false" outlineLevel="0" collapsed="false">
      <c r="A98" s="0" t="s">
        <v>851</v>
      </c>
      <c r="B98" s="18" t="n">
        <v>9.15</v>
      </c>
      <c r="D98" s="8" t="s">
        <v>887</v>
      </c>
    </row>
    <row r="99" customFormat="false" ht="17.15" hidden="false" customHeight="false" outlineLevel="0" collapsed="false">
      <c r="A99" s="0" t="s">
        <v>853</v>
      </c>
      <c r="B99" s="18" t="n">
        <v>6.95</v>
      </c>
      <c r="D99" s="8" t="s">
        <v>888</v>
      </c>
    </row>
    <row r="100" customFormat="false" ht="15" hidden="false" customHeight="false" outlineLevel="0" collapsed="false">
      <c r="A100" s="0" t="s">
        <v>855</v>
      </c>
      <c r="B100" s="18" t="n">
        <v>5.06</v>
      </c>
    </row>
    <row r="101" customFormat="false" ht="15" hidden="false" customHeight="false" outlineLevel="0" collapsed="false">
      <c r="A101" s="0" t="s">
        <v>856</v>
      </c>
      <c r="B101" s="18" t="n">
        <v>15.3</v>
      </c>
    </row>
    <row r="102" customFormat="false" ht="15" hidden="false" customHeight="false" outlineLevel="0" collapsed="false">
      <c r="A102" s="0" t="s">
        <v>857</v>
      </c>
      <c r="B102" s="18" t="n">
        <v>19.1</v>
      </c>
    </row>
    <row r="103" customFormat="false" ht="15" hidden="false" customHeight="false" outlineLevel="0" collapsed="false">
      <c r="A103" s="0" t="s">
        <v>858</v>
      </c>
      <c r="B103" s="18" t="n">
        <v>12.5</v>
      </c>
      <c r="C103" s="18" t="n">
        <v>13.4</v>
      </c>
    </row>
    <row r="104" customFormat="false" ht="15" hidden="false" customHeight="false" outlineLevel="0" collapsed="false">
      <c r="A104" s="0" t="s">
        <v>859</v>
      </c>
      <c r="B104" s="18" t="n">
        <v>6.5</v>
      </c>
      <c r="C104" s="18" t="n">
        <v>6.79</v>
      </c>
    </row>
    <row r="105" customFormat="false" ht="15" hidden="false" customHeight="false" outlineLevel="0" collapsed="false">
      <c r="A105" s="0" t="s">
        <v>860</v>
      </c>
      <c r="B105" s="18" t="n">
        <v>36.1</v>
      </c>
      <c r="C105" s="18" t="n">
        <v>35.92</v>
      </c>
    </row>
    <row r="106" customFormat="false" ht="15" hidden="false" customHeight="false" outlineLevel="0" collapsed="false">
      <c r="A106" s="0" t="s">
        <v>861</v>
      </c>
      <c r="B106" s="18" t="n">
        <v>10.6</v>
      </c>
      <c r="C106" s="18" t="n">
        <v>10.53</v>
      </c>
    </row>
    <row r="107" customFormat="false" ht="15" hidden="false" customHeight="false" outlineLevel="0" collapsed="false">
      <c r="A107" s="0" t="s">
        <v>694</v>
      </c>
      <c r="B107" s="18" t="n">
        <v>18.2</v>
      </c>
      <c r="C107" s="18" t="n">
        <v>17.39</v>
      </c>
    </row>
    <row r="108" customFormat="false" ht="17.15" hidden="false" customHeight="false" outlineLevel="0" collapsed="false">
      <c r="A108" s="0" t="s">
        <v>862</v>
      </c>
      <c r="B108" s="14" t="n">
        <f aca="false">PERCENTILE(B98:B107,0.25)</f>
        <v>7.5</v>
      </c>
      <c r="C108" s="14" t="n">
        <f aca="false">PERCENTILE(C98:C107,0.25)</f>
        <v>10.53</v>
      </c>
    </row>
    <row r="109" customFormat="false" ht="15" hidden="false" customHeight="false" outlineLevel="0" collapsed="false">
      <c r="A109" s="4" t="s">
        <v>863</v>
      </c>
      <c r="B109" s="14" t="n">
        <f aca="false">MEDIAN(B98:B107)</f>
        <v>11.55</v>
      </c>
      <c r="C109" s="14" t="n">
        <f aca="false">MEDIAN(C98:C107)</f>
        <v>13.4</v>
      </c>
    </row>
    <row r="110" customFormat="false" ht="17.15" hidden="false" customHeight="false" outlineLevel="0" collapsed="false">
      <c r="A110" s="0" t="s">
        <v>864</v>
      </c>
      <c r="B110" s="14" t="n">
        <f aca="false">PERCENTILE(B98:B107,0.75)</f>
        <v>17.475</v>
      </c>
      <c r="C110" s="14" t="n">
        <f aca="false">PERCENTILE(C98:C107,0.75)</f>
        <v>17.39</v>
      </c>
    </row>
    <row r="111" customFormat="false" ht="15" hidden="false" customHeight="false" outlineLevel="0" collapsed="false">
      <c r="A111" s="4" t="s">
        <v>865</v>
      </c>
      <c r="B111" s="14" t="n">
        <f aca="false">MIN(B98:B107)</f>
        <v>5.06</v>
      </c>
      <c r="C111" s="14" t="n">
        <f aca="false">MIN(C98:C107)</f>
        <v>6.79</v>
      </c>
    </row>
    <row r="112" customFormat="false" ht="15" hidden="false" customHeight="false" outlineLevel="0" collapsed="false">
      <c r="A112" s="4" t="s">
        <v>866</v>
      </c>
      <c r="B112" s="14" t="n">
        <f aca="false">MAX(B98:B107)</f>
        <v>36.1</v>
      </c>
      <c r="C112" s="14" t="n">
        <f aca="false">MAX(C98:C107)</f>
        <v>35.92</v>
      </c>
    </row>
    <row r="113" customFormat="false" ht="17.15" hidden="false" customHeight="false" outlineLevel="0" collapsed="false">
      <c r="A113" s="1" t="s">
        <v>889</v>
      </c>
      <c r="B113" s="14" t="n">
        <f aca="false">ROUND(AVERAGE(B108),2)</f>
        <v>7.5</v>
      </c>
    </row>
    <row r="114" customFormat="false" ht="17.15" hidden="false" customHeight="false" outlineLevel="0" collapsed="false">
      <c r="A114" s="1" t="s">
        <v>890</v>
      </c>
      <c r="B114" s="14" t="n">
        <f aca="false">ROUND(AVERAGE(B109),2)</f>
        <v>11.55</v>
      </c>
    </row>
    <row r="115" customFormat="false" ht="17.15" hidden="false" customHeight="false" outlineLevel="0" collapsed="false">
      <c r="A115" s="1" t="s">
        <v>891</v>
      </c>
      <c r="B115" s="14" t="n">
        <f aca="false">ROUND(AVERAGE(B110),2)</f>
        <v>17.48</v>
      </c>
    </row>
    <row r="116" customFormat="false" ht="17.15" hidden="false" customHeight="false" outlineLevel="0" collapsed="false">
      <c r="A116" s="1" t="s">
        <v>892</v>
      </c>
      <c r="B116" s="14" t="n">
        <f aca="false">ROUND(MIN(B111),2)</f>
        <v>5.06</v>
      </c>
    </row>
    <row r="117" customFormat="false" ht="17.15" hidden="false" customHeight="false" outlineLevel="0" collapsed="false">
      <c r="A117" s="1" t="s">
        <v>893</v>
      </c>
      <c r="B117" s="14" t="n">
        <f aca="false">ROUND(MAX(B112),2)</f>
        <v>36.1</v>
      </c>
    </row>
    <row r="119" customFormat="false" ht="17.15" hidden="false" customHeight="false" outlineLevel="0" collapsed="false">
      <c r="A119" s="6" t="s">
        <v>894</v>
      </c>
    </row>
    <row r="120" customFormat="false" ht="17.15" hidden="false" customHeight="false" outlineLevel="0" collapsed="false">
      <c r="A120" s="5" t="s">
        <v>873</v>
      </c>
      <c r="B120" s="5" t="s">
        <v>874</v>
      </c>
      <c r="C120" s="5" t="s">
        <v>831</v>
      </c>
      <c r="D120" s="5" t="s">
        <v>31</v>
      </c>
      <c r="E120" s="5" t="s">
        <v>832</v>
      </c>
      <c r="F120" s="5" t="s">
        <v>833</v>
      </c>
      <c r="G120" s="5" t="s">
        <v>834</v>
      </c>
      <c r="H120" s="5" t="s">
        <v>875</v>
      </c>
    </row>
    <row r="121" customFormat="false" ht="17.15" hidden="false" customHeight="false" outlineLevel="0" collapsed="false">
      <c r="A121" s="4" t="s">
        <v>895</v>
      </c>
      <c r="B121" s="4" t="s">
        <v>877</v>
      </c>
      <c r="C121" s="14" t="n">
        <f aca="false">B113</f>
        <v>7.5</v>
      </c>
      <c r="D121" s="8" t="s">
        <v>896</v>
      </c>
      <c r="E121" s="23" t="n">
        <f aca="false">Y!D29</f>
        <v>95824.2770879819</v>
      </c>
      <c r="F121" s="26" t="n">
        <f aca="false">C121*E121</f>
        <v>718682.078159864</v>
      </c>
      <c r="G121" s="19" t="n">
        <f aca="false">F121/px-1</f>
        <v>2.33495163879287</v>
      </c>
      <c r="H121" s="14" t="n">
        <f aca="false">px/E121</f>
        <v>2.24890817388726</v>
      </c>
    </row>
    <row r="122" customFormat="false" ht="17.15" hidden="false" customHeight="false" outlineLevel="0" collapsed="false">
      <c r="A122" s="4" t="s">
        <v>897</v>
      </c>
      <c r="B122" s="4" t="s">
        <v>880</v>
      </c>
      <c r="C122" s="14" t="n">
        <f aca="false">B114</f>
        <v>11.55</v>
      </c>
      <c r="D122" s="8" t="s">
        <v>896</v>
      </c>
      <c r="E122" s="23" t="n">
        <f aca="false">Y!D29</f>
        <v>95824.2770879819</v>
      </c>
      <c r="F122" s="26" t="n">
        <f aca="false">C122*E122</f>
        <v>1106770.40036619</v>
      </c>
      <c r="G122" s="19" t="n">
        <f aca="false">F122/px-1</f>
        <v>4.13582552374103</v>
      </c>
      <c r="H122" s="14" t="n">
        <f aca="false">px/E122</f>
        <v>2.24890817388726</v>
      </c>
    </row>
    <row r="123" customFormat="false" ht="17.15" hidden="false" customHeight="false" outlineLevel="0" collapsed="false">
      <c r="A123" s="4" t="s">
        <v>898</v>
      </c>
      <c r="B123" s="4" t="s">
        <v>882</v>
      </c>
      <c r="C123" s="14" t="n">
        <f aca="false">B115</f>
        <v>17.48</v>
      </c>
      <c r="D123" s="8" t="s">
        <v>899</v>
      </c>
      <c r="E123" s="23" t="n">
        <f aca="false">Y!K29</f>
        <v>36498.1594400924</v>
      </c>
      <c r="F123" s="26" t="n">
        <f aca="false">C123*E123</f>
        <v>637987.827012816</v>
      </c>
      <c r="G123" s="19" t="n">
        <f aca="false">F123/px-1</f>
        <v>1.96050035736806</v>
      </c>
      <c r="H123" s="14" t="n">
        <f aca="false">px/E123</f>
        <v>5.9044073264494</v>
      </c>
    </row>
    <row r="126" customFormat="false" ht="17.15" hidden="false" customHeight="false" outlineLevel="0" collapsed="false">
      <c r="A126" s="6" t="s">
        <v>900</v>
      </c>
    </row>
    <row r="127" customFormat="false" ht="17.15" hidden="false" customHeight="false" outlineLevel="0" collapsed="false">
      <c r="A127" s="6" t="s">
        <v>901</v>
      </c>
    </row>
    <row r="128" customFormat="false" ht="17.15" hidden="false" customHeight="false" outlineLevel="0" collapsed="false">
      <c r="A128" s="5" t="s">
        <v>28</v>
      </c>
      <c r="B128" s="13" t="s">
        <v>902</v>
      </c>
      <c r="C128" s="13" t="s">
        <v>903</v>
      </c>
      <c r="D128" s="13" t="s">
        <v>904</v>
      </c>
      <c r="E128" s="5" t="s">
        <v>704</v>
      </c>
    </row>
    <row r="129" customFormat="false" ht="17.15" hidden="false" customHeight="false" outlineLevel="0" collapsed="false">
      <c r="A129" s="4" t="s">
        <v>905</v>
      </c>
      <c r="E129" s="0" t="s">
        <v>906</v>
      </c>
    </row>
    <row r="130" customFormat="false" ht="15" hidden="false" customHeight="false" outlineLevel="0" collapsed="false">
      <c r="A130" s="0" t="s">
        <v>907</v>
      </c>
      <c r="B130" s="23" t="n">
        <f aca="false">Y!D29</f>
        <v>95824.2770879819</v>
      </c>
      <c r="C130" s="23" t="n">
        <f aca="false">Y!G29</f>
        <v>92985.9024745533</v>
      </c>
      <c r="D130" s="23" t="n">
        <f aca="false">Y!J29</f>
        <v>92985.9024745533</v>
      </c>
    </row>
    <row r="131" customFormat="false" ht="15" hidden="false" customHeight="false" outlineLevel="0" collapsed="false">
      <c r="A131" s="0" t="s">
        <v>908</v>
      </c>
      <c r="B131" s="23" t="n">
        <f aca="false">Y!E29</f>
        <v>129982.274469612</v>
      </c>
      <c r="C131" s="23" t="n">
        <f aca="false">Y!H29</f>
        <v>59278.3331982183</v>
      </c>
      <c r="D131" s="23" t="n">
        <f aca="false">Y!K29</f>
        <v>36498.1594400924</v>
      </c>
    </row>
    <row r="132" customFormat="false" ht="15" hidden="false" customHeight="false" outlineLevel="0" collapsed="false">
      <c r="A132" s="0" t="s">
        <v>909</v>
      </c>
      <c r="B132" s="23" t="n">
        <f aca="false">Y!F29</f>
        <v>186701.780354463</v>
      </c>
      <c r="C132" s="23" t="n">
        <f aca="false">Y!I29</f>
        <v>76731.1281136949</v>
      </c>
      <c r="D132" s="23" t="n">
        <f aca="false">Y!L29</f>
        <v>31760.9938491502</v>
      </c>
    </row>
    <row r="133" customFormat="false" ht="15" hidden="false" customHeight="false" outlineLevel="0" collapsed="false">
      <c r="A133" s="0" t="s">
        <v>910</v>
      </c>
      <c r="B133" s="23" t="n">
        <f aca="false">Y!M29</f>
        <v>151559.77045288</v>
      </c>
      <c r="C133" s="23" t="n">
        <f aca="false">Y!P29</f>
        <v>63743.225359525</v>
      </c>
      <c r="D133" s="23" t="n">
        <f aca="false">Y!S29</f>
        <v>24426.4634449152</v>
      </c>
    </row>
    <row r="134" customFormat="false" ht="15" hidden="false" customHeight="false" outlineLevel="0" collapsed="false">
      <c r="A134" s="0" t="s">
        <v>911</v>
      </c>
      <c r="B134" s="23" t="n">
        <f aca="false">Y!N29</f>
        <v>111116.748113741</v>
      </c>
      <c r="C134" s="23" t="n">
        <f aca="false">Y!Q29</f>
        <v>47155.467436363</v>
      </c>
      <c r="D134" s="23" t="n">
        <f aca="false">Y!T29</f>
        <v>17778.6777608803</v>
      </c>
    </row>
    <row r="135" customFormat="false" ht="15" hidden="false" customHeight="false" outlineLevel="0" collapsed="false">
      <c r="A135" s="0" t="s">
        <v>912</v>
      </c>
      <c r="B135" s="23" t="n">
        <f aca="false">Y!O29</f>
        <v>65047.6733538981</v>
      </c>
      <c r="C135" s="23" t="n">
        <f aca="false">Y!R29</f>
        <v>27735.254030466</v>
      </c>
      <c r="D135" s="23" t="n">
        <f aca="false">Y!U29</f>
        <v>11381.5862474796</v>
      </c>
    </row>
    <row r="136" customFormat="false" ht="17.15" hidden="false" customHeight="false" outlineLevel="0" collapsed="false">
      <c r="A136" s="4" t="s">
        <v>913</v>
      </c>
      <c r="E136" s="4" t="s">
        <v>914</v>
      </c>
    </row>
    <row r="137" customFormat="false" ht="17.15" hidden="false" customHeight="false" outlineLevel="0" collapsed="false">
      <c r="A137" s="4" t="s">
        <v>915</v>
      </c>
      <c r="B137" s="19" t="n">
        <f aca="false">MIN(tp_g/tp_roe,0.8)</f>
        <v>0.49813200498132</v>
      </c>
      <c r="E137" s="8" t="s">
        <v>916</v>
      </c>
    </row>
    <row r="138" customFormat="false" ht="17.15" hidden="false" customHeight="false" outlineLevel="0" collapsed="false">
      <c r="A138" s="0" t="s">
        <v>917</v>
      </c>
      <c r="B138" s="23" t="n">
        <f aca="false">Y!D22/Y!D27*1000000</f>
        <v>90667.3769759738</v>
      </c>
      <c r="C138" s="23" t="n">
        <f aca="false">Y!G22/Y!G27*1000000</f>
        <v>87852.6174658946</v>
      </c>
      <c r="D138" s="23" t="n">
        <f aca="false">Y!J22/Y!J27*1000000</f>
        <v>87852.6174658946</v>
      </c>
    </row>
    <row r="139" customFormat="false" ht="17.15" hidden="false" customHeight="false" outlineLevel="0" collapsed="false">
      <c r="A139" s="0" t="s">
        <v>918</v>
      </c>
      <c r="B139" s="23" t="n">
        <f aca="false">Y!E22/Y!E27*1000000</f>
        <v>123591.613247844</v>
      </c>
      <c r="C139" s="23" t="n">
        <f aca="false">Y!H22/Y!H27*1000000</f>
        <v>53604.432178338</v>
      </c>
      <c r="D139" s="23" t="n">
        <f aca="false">Y!K22/Y!K27*1000000</f>
        <v>31045.8549441403</v>
      </c>
    </row>
    <row r="140" customFormat="false" ht="17.15" hidden="false" customHeight="false" outlineLevel="0" collapsed="false">
      <c r="A140" s="0" t="s">
        <v>919</v>
      </c>
      <c r="B140" s="23" t="n">
        <f aca="false">Y!F22/Y!F27*1000000</f>
        <v>179873.368602264</v>
      </c>
      <c r="C140" s="23" t="n">
        <f aca="false">Y!I22/Y!I27*1000000</f>
        <v>71601.136619942</v>
      </c>
      <c r="D140" s="23" t="n">
        <f aca="false">Y!L22/Y!L27*1000000</f>
        <v>27198.8624850651</v>
      </c>
    </row>
    <row r="141" customFormat="false" ht="17.15" hidden="false" customHeight="false" outlineLevel="0" collapsed="false">
      <c r="A141" s="0" t="s">
        <v>920</v>
      </c>
      <c r="B141" s="23" t="n">
        <f aca="false">B133*(1-$B$137)</f>
        <v>76062.9981226784</v>
      </c>
      <c r="C141" s="23" t="n">
        <f aca="false">C133*(1-$B$137)</f>
        <v>31990.6847072087</v>
      </c>
      <c r="D141" s="23" t="n">
        <f aca="false">D133*(1-$B$137)</f>
        <v>12258.8602344966</v>
      </c>
    </row>
    <row r="142" customFormat="false" ht="17.15" hidden="false" customHeight="false" outlineLevel="0" collapsed="false">
      <c r="A142" s="0" t="s">
        <v>921</v>
      </c>
      <c r="B142" s="23" t="n">
        <f aca="false">B134*(1-$B$137)</f>
        <v>55765.9395888391</v>
      </c>
      <c r="C142" s="23" t="n">
        <f aca="false">C134*(1-$B$137)</f>
        <v>23665.8198964562</v>
      </c>
      <c r="D142" s="23" t="n">
        <f aca="false">D134*(1-$B$137)</f>
        <v>8922.54936193621</v>
      </c>
    </row>
    <row r="143" customFormat="false" ht="17.15" hidden="false" customHeight="false" outlineLevel="0" collapsed="false">
      <c r="A143" s="0" t="s">
        <v>922</v>
      </c>
      <c r="B143" s="23" t="n">
        <f aca="false">B135*(1-$B$137)</f>
        <v>32645.3454067508</v>
      </c>
      <c r="C143" s="23" t="n">
        <f aca="false">C135*(1-$B$137)</f>
        <v>13919.4363316037</v>
      </c>
      <c r="D143" s="23" t="n">
        <f aca="false">D135*(1-$B$137)</f>
        <v>5712.05387015476</v>
      </c>
    </row>
    <row r="144" customFormat="false" ht="17.15" hidden="false" customHeight="false" outlineLevel="0" collapsed="false">
      <c r="A144" s="0" t="s">
        <v>923</v>
      </c>
      <c r="B144" s="23" t="n">
        <f aca="false">SUMPRODUCT(B138:B143,1/(1+tp_r)^{1;2;3;4;5;6})+B143*(1+tp_g)/(tp_r-tp_g)/(1+tp_r)^6</f>
        <v>744123.071268382</v>
      </c>
      <c r="C144" s="23" t="n">
        <f aca="false">SUMPRODUCT(C138:C143,1/(1+tp_r)^{1;2;3;4;5;6})+C143*(1+tp_g)/(tp_r-tp_g)/(1+tp_r)^6</f>
        <v>358554.787224189</v>
      </c>
      <c r="D144" s="23" t="n">
        <f aca="false">SUMPRODUCT(D138:D143,1/(1+tp_r)^{1;2;3;4;5;6})+D143*(1+tp_g)/(tp_r-tp_g)/(1+tp_r)^6</f>
        <v>198984.090272765</v>
      </c>
      <c r="E144" s="8" t="s">
        <v>924</v>
      </c>
    </row>
    <row r="145" customFormat="false" ht="17.15" hidden="false" customHeight="false" outlineLevel="0" collapsed="false">
      <c r="A145" s="0" t="s">
        <v>925</v>
      </c>
      <c r="B145" s="23" t="n">
        <f aca="false">B144*(1+tp_r)</f>
        <v>818535.37839522</v>
      </c>
      <c r="C145" s="23" t="n">
        <f aca="false">C144*(1+tp_r)</f>
        <v>394410.265946608</v>
      </c>
      <c r="D145" s="23" t="n">
        <f aca="false">D144*(1+tp_r)</f>
        <v>218882.499300042</v>
      </c>
    </row>
    <row r="146" customFormat="false" ht="17.15" hidden="false" customHeight="false" outlineLevel="0" collapsed="false">
      <c r="A146" s="0" t="s">
        <v>926</v>
      </c>
      <c r="B146" s="27" t="n">
        <f aca="false">tp_wA*B145+tp_wB*C145+tp_wC*D145</f>
        <v>486542.246351878</v>
      </c>
      <c r="E146" s="8" t="s">
        <v>927</v>
      </c>
    </row>
    <row r="148" customFormat="false" ht="17.15" hidden="false" customHeight="false" outlineLevel="0" collapsed="false">
      <c r="A148" s="6" t="s">
        <v>928</v>
      </c>
    </row>
    <row r="149" customFormat="false" ht="17.15" hidden="false" customHeight="false" outlineLevel="0" collapsed="false">
      <c r="A149" s="5" t="s">
        <v>929</v>
      </c>
      <c r="B149" s="5" t="s">
        <v>930</v>
      </c>
      <c r="C149" s="5" t="s">
        <v>931</v>
      </c>
      <c r="D149" s="5" t="s">
        <v>932</v>
      </c>
      <c r="E149" s="5" t="s">
        <v>933</v>
      </c>
      <c r="F149" s="5" t="s">
        <v>33</v>
      </c>
    </row>
    <row r="150" customFormat="false" ht="17.15" hidden="false" customHeight="false" outlineLevel="0" collapsed="false">
      <c r="A150" s="0" t="s">
        <v>934</v>
      </c>
      <c r="B150" s="0" t="s">
        <v>935</v>
      </c>
      <c r="C150" s="18" t="n">
        <v>1.35</v>
      </c>
      <c r="D150" s="8" t="s">
        <v>936</v>
      </c>
      <c r="E150" s="8" t="s">
        <v>937</v>
      </c>
      <c r="F150" s="8" t="s">
        <v>66</v>
      </c>
    </row>
    <row r="151" customFormat="false" ht="17.15" hidden="false" customHeight="false" outlineLevel="0" collapsed="false">
      <c r="A151" s="4" t="s">
        <v>938</v>
      </c>
      <c r="B151" s="0" t="s">
        <v>939</v>
      </c>
      <c r="C151" s="18" t="n">
        <v>3.35</v>
      </c>
      <c r="D151" s="8" t="s">
        <v>936</v>
      </c>
      <c r="E151" s="8" t="s">
        <v>940</v>
      </c>
      <c r="F151" s="8" t="s">
        <v>66</v>
      </c>
    </row>
    <row r="152" customFormat="false" ht="17.15" hidden="false" customHeight="false" outlineLevel="0" collapsed="false">
      <c r="A152" s="4" t="s">
        <v>941</v>
      </c>
      <c r="B152" s="0" t="s">
        <v>942</v>
      </c>
      <c r="C152" s="18" t="n">
        <v>2.22</v>
      </c>
      <c r="D152" s="8" t="s">
        <v>943</v>
      </c>
      <c r="E152" s="8" t="s">
        <v>944</v>
      </c>
      <c r="F152" s="8" t="s">
        <v>66</v>
      </c>
    </row>
    <row r="153" customFormat="false" ht="17.15" hidden="false" customHeight="false" outlineLevel="0" collapsed="false">
      <c r="A153" s="4" t="s">
        <v>945</v>
      </c>
      <c r="B153" s="0" t="s">
        <v>946</v>
      </c>
      <c r="C153" s="18" t="n">
        <v>1.66</v>
      </c>
      <c r="D153" s="8" t="s">
        <v>947</v>
      </c>
      <c r="E153" s="8" t="s">
        <v>937</v>
      </c>
      <c r="F153" s="8" t="s">
        <v>66</v>
      </c>
    </row>
    <row r="154" customFormat="false" ht="17.15" hidden="false" customHeight="false" outlineLevel="0" collapsed="false">
      <c r="A154" s="4" t="s">
        <v>948</v>
      </c>
      <c r="B154" s="14" t="n">
        <f aca="false">MEDIAN(C150:C153)</f>
        <v>1.94</v>
      </c>
      <c r="E154" s="4" t="s">
        <v>949</v>
      </c>
    </row>
    <row r="155" customFormat="false" ht="17.15" hidden="false" customHeight="false" outlineLevel="0" collapsed="false">
      <c r="A155" s="0" t="s">
        <v>950</v>
      </c>
      <c r="B155" s="23" t="n">
        <f aca="false">tp_wA*Y!E28+tp_wB*Y!H28+tp_wC*Y!K28</f>
        <v>241105.206895339</v>
      </c>
      <c r="E155" s="4" t="s">
        <v>951</v>
      </c>
    </row>
    <row r="156" customFormat="false" ht="17.15" hidden="false" customHeight="false" outlineLevel="0" collapsed="false">
      <c r="A156" s="0" t="s">
        <v>952</v>
      </c>
      <c r="B156" s="27" t="n">
        <f aca="false">B154*B155</f>
        <v>467744.101376957</v>
      </c>
      <c r="E156" s="4" t="s">
        <v>953</v>
      </c>
    </row>
    <row r="157" customFormat="false" ht="17.15" hidden="false" customHeight="false" outlineLevel="0" collapsed="false">
      <c r="A157" s="4" t="s">
        <v>954</v>
      </c>
      <c r="B157" s="23" t="n">
        <f aca="false">tp_wA*(2/12*Y!D29+10/12*Y!E29)+tp_wB*(2/12*Y!G29+10/12*Y!H29)+tp_wC*(2/12*Y!J29+10/12*Y!K29)</f>
        <v>78917.4698331062</v>
      </c>
      <c r="E157" s="4" t="s">
        <v>955</v>
      </c>
    </row>
    <row r="159" customFormat="false" ht="17.15" hidden="false" customHeight="false" outlineLevel="0" collapsed="false">
      <c r="A159" s="6" t="s">
        <v>956</v>
      </c>
    </row>
    <row r="160" customFormat="false" ht="15" hidden="false" customHeight="false" outlineLevel="0" collapsed="false">
      <c r="A160" s="5" t="s">
        <v>28</v>
      </c>
      <c r="B160" s="5" t="s">
        <v>957</v>
      </c>
      <c r="C160" s="5"/>
      <c r="D160" s="5"/>
      <c r="E160" s="5" t="s">
        <v>704</v>
      </c>
    </row>
    <row r="161" customFormat="false" ht="17.15" hidden="false" customHeight="false" outlineLevel="0" collapsed="false">
      <c r="A161" s="4" t="s">
        <v>958</v>
      </c>
      <c r="B161" s="27" t="n">
        <f aca="false">tp_w_dcf*B146+(1-tp_w_dcf)*B156</f>
        <v>477143.173864418</v>
      </c>
      <c r="E161" s="8" t="s">
        <v>959</v>
      </c>
    </row>
    <row r="162" customFormat="false" ht="17.15" hidden="false" customHeight="false" outlineLevel="0" collapsed="false">
      <c r="A162" s="0" t="s">
        <v>960</v>
      </c>
      <c r="B162" s="23" t="n">
        <f aca="false">B156</f>
        <v>467744.101376957</v>
      </c>
    </row>
    <row r="163" customFormat="false" ht="17.15" hidden="false" customHeight="false" outlineLevel="0" collapsed="false">
      <c r="A163" s="4" t="s">
        <v>961</v>
      </c>
      <c r="B163" s="23" t="n">
        <f aca="false">cons_tp</f>
        <v>478906</v>
      </c>
      <c r="E163" s="8" t="s">
        <v>657</v>
      </c>
    </row>
    <row r="164" customFormat="false" ht="17.15" hidden="false" customHeight="false" outlineLevel="0" collapsed="false">
      <c r="A164" s="4" t="s">
        <v>962</v>
      </c>
      <c r="B164" s="19" t="n">
        <f aca="false">B161/px-1</f>
        <v>1.21412145644741</v>
      </c>
      <c r="E164" s="4" t="s">
        <v>963</v>
      </c>
    </row>
    <row r="165" customFormat="false" ht="17.15" hidden="false" customHeight="false" outlineLevel="0" collapsed="false">
      <c r="A165" s="4" t="s">
        <v>964</v>
      </c>
      <c r="B165" s="19" t="n">
        <f aca="false">B162/px-1</f>
        <v>1.17050627089075</v>
      </c>
    </row>
    <row r="166" customFormat="false" ht="17.15" hidden="false" customHeight="false" outlineLevel="0" collapsed="false">
      <c r="A166" s="0" t="s">
        <v>965</v>
      </c>
      <c r="B166" s="28" t="n">
        <f aca="false">B145/px</f>
        <v>3.79830802039545</v>
      </c>
      <c r="C166" s="28" t="n">
        <f aca="false">C145/px</f>
        <v>1.83021005079632</v>
      </c>
      <c r="D166" s="28" t="n">
        <f aca="false">D145/px</f>
        <v>1.01569605243639</v>
      </c>
      <c r="E166" s="4" t="s">
        <v>966</v>
      </c>
    </row>
    <row r="167" customFormat="false" ht="17.15" hidden="false" customHeight="false" outlineLevel="0" collapsed="false">
      <c r="A167" s="4" t="s">
        <v>967</v>
      </c>
      <c r="B167" s="19" t="n">
        <f aca="false">B155/cons_bvps28-1</f>
        <v>0.0390002667270208</v>
      </c>
      <c r="E167" s="4" t="s">
        <v>968</v>
      </c>
    </row>
    <row r="168" customFormat="false" ht="17.15" hidden="false" customHeight="false" outlineLevel="0" collapsed="false">
      <c r="A168" s="4" t="s">
        <v>969</v>
      </c>
      <c r="B168" s="19" t="n">
        <f aca="false">B157/(2/12*cons_eps27+10/12*cons_eps28)-1</f>
        <v>0.0523872812426651</v>
      </c>
      <c r="E168" s="4" t="s">
        <v>970</v>
      </c>
    </row>
    <row r="169" customFormat="false" ht="17.15" hidden="false" customHeight="false" outlineLevel="0" collapsed="false">
      <c r="A169" s="4" t="s">
        <v>971</v>
      </c>
      <c r="B169" s="19" t="n">
        <f aca="false">(cons_tp/cons_bvps28)/B154-1</f>
        <v>0.0637941991622586</v>
      </c>
      <c r="E169" s="0" t="str">
        <f aca="false">"共識目標價隱含 P/B "&amp;TEXT(cons_tp/cons_bvps28,"0.00")&amp;"x（÷ 共識 2028 每股淨值），同業中位數 "&amp;TEXT(B154,"0.00")&amp;"x"</f>
        <v>共識目標價隱含 P/B 2.06x（÷ 共識 2028 每股淨值），同業中位數 1.94x</v>
      </c>
    </row>
    <row r="170" customFormat="false" ht="17.15" hidden="false" customHeight="false" outlineLevel="0" collapsed="false">
      <c r="A170" s="4" t="s">
        <v>972</v>
      </c>
      <c r="B170" s="29" t="str">
        <f aca="false">TEXT(D145,"#,##0")&amp;"～"&amp;TEXT(B145,"#,##0")</f>
        <v>218,882～818,535</v>
      </c>
      <c r="E170" s="8" t="s">
        <v>973</v>
      </c>
    </row>
    <row r="171" customFormat="false" ht="17.15" hidden="false" customHeight="false" outlineLevel="0" collapsed="false">
      <c r="A171" s="4" t="s">
        <v>974</v>
      </c>
      <c r="B171" s="15" t="n">
        <f aca="false">IF(px/Y!E28&gt;=MAX($B$68:$B$77),1,IF(px/Y!E28&lt;=MIN($B$68:$B$77),0,PERCENTRANK($B$68:$B$77,px/Y!E28)))</f>
        <v>0</v>
      </c>
      <c r="C171" s="15" t="n">
        <f aca="false">IF(px/Y!H28&gt;=MAX($B$68:$B$77),1,IF(px/Y!H28&lt;=MIN($B$68:$B$77),0,PERCENTRANK($B$68:$B$77,px/Y!H28)))</f>
        <v>0.0473</v>
      </c>
      <c r="D171" s="15" t="n">
        <f aca="false">IF(px/Y!K28&gt;=MAX($B$68:$B$77),1,IF(px/Y!K28&lt;=MIN($B$68:$B$77),0,PERCENTRANK($B$68:$B$77,px/Y!K28)))</f>
        <v>0.111</v>
      </c>
      <c r="E171" s="4" t="s">
        <v>975</v>
      </c>
    </row>
    <row r="172" customFormat="false" ht="17.15" hidden="false" customHeight="false" outlineLevel="0" collapsed="false">
      <c r="A172" s="4" t="s">
        <v>976</v>
      </c>
      <c r="B172" s="0" t="str">
        <f aca="false">"DCF：股東現金流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年底每"&amp;"股淨值（情境加權）。收斂期（2030–2032）淨利率收斂到循環中段：A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Tre"&amp;"ndForce／BofA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1" t="s">
        <v>977</v>
      </c>
    </row>
    <row r="175" customFormat="false" ht="15" hidden="false" customHeight="false" outlineLevel="0" collapsed="false">
      <c r="A175" s="5" t="s">
        <v>28</v>
      </c>
      <c r="B175" s="5" t="s">
        <v>957</v>
      </c>
      <c r="C175" s="5"/>
      <c r="D175" s="5"/>
      <c r="E175" s="5" t="s">
        <v>704</v>
      </c>
    </row>
    <row r="176" customFormat="false" ht="17.15" hidden="false" customHeight="false" outlineLevel="0" collapsed="false">
      <c r="A176" s="4" t="s">
        <v>978</v>
      </c>
      <c r="B176" s="23" t="n">
        <f aca="false">tp_wA*B178+tp_wB*B179+tp_wC*B180</f>
        <v>255831.994790815</v>
      </c>
      <c r="E176" s="4" t="s">
        <v>979</v>
      </c>
    </row>
    <row r="177" customFormat="false" ht="17.15" hidden="false" customHeight="false" outlineLevel="0" collapsed="false">
      <c r="A177" s="4" t="s">
        <v>980</v>
      </c>
      <c r="B177" s="19" t="n">
        <f aca="false">B176/px-1</f>
        <v>0.187155428263642</v>
      </c>
    </row>
    <row r="178" customFormat="false" ht="17.15" hidden="false" customHeight="false" outlineLevel="0" collapsed="false">
      <c r="A178" s="4" t="s">
        <v>981</v>
      </c>
      <c r="B178" s="23" t="n">
        <f aca="false">B85*Y!D28</f>
        <v>304240.929628406</v>
      </c>
      <c r="E178" s="0" t="str">
        <f aca="false">"P/B 採用 75 分位 "&amp;TEXT(B85,"0.00")&amp;"x（第 6 節 B85）× Y 頁 D28"</f>
        <v>P/B 採用 75 分位 1.70x（第 6 節 B85）× Y 頁 D28</v>
      </c>
    </row>
    <row r="179" customFormat="false" ht="17.15" hidden="false" customHeight="false" outlineLevel="0" collapsed="false">
      <c r="A179" s="4" t="s">
        <v>982</v>
      </c>
      <c r="B179" s="23" t="n">
        <f aca="false">B84*Y!G28</f>
        <v>251263.222130383</v>
      </c>
      <c r="E179" s="0" t="str">
        <f aca="false">"P/B 採用 中位數 "&amp;TEXT(B84,"0.00")&amp;"x（第 6 節 B84）× Y 頁 G28"</f>
        <v>P/B 採用 中位數 1.42x（第 6 節 B84）× Y 頁 G28</v>
      </c>
    </row>
    <row r="180" customFormat="false" ht="17.15" hidden="false" customHeight="false" outlineLevel="0" collapsed="false">
      <c r="A180" s="4" t="s">
        <v>983</v>
      </c>
      <c r="B180" s="23" t="n">
        <f aca="false">B83*Y!J28</f>
        <v>194640.524185508</v>
      </c>
      <c r="E180" s="0" t="str">
        <f aca="false">"P/B 採用 25 分位 "&amp;TEXT(B83,"0.00")&amp;"x（第 6 節 B83）× Y 頁 J28"</f>
        <v>P/B 採用 25 分位 1.10x（第 6 節 B83）× Y 頁 J28</v>
      </c>
    </row>
    <row r="181" customFormat="false" ht="17.15" hidden="false" customHeight="false" outlineLevel="0" collapsed="false">
      <c r="A181" s="4" t="s">
        <v>984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4" t="s">
        <v>985</v>
      </c>
      <c r="B182" s="4" t="s">
        <v>986</v>
      </c>
    </row>
    <row r="184" customFormat="false" ht="17.15" hidden="false" customHeight="false" outlineLevel="0" collapsed="false">
      <c r="A184" s="4" t="s">
        <v>987</v>
      </c>
      <c r="B184" s="29" t="str">
        <f aca="false">IF(B164&gt;0.5,"大於 50%",IF(B164&gt;0.25,"25%–50%",IF(B164&gt;=0,"0%–25%",IF(B164&gt;=-0.25,"0%～−25%",IF(B164&gt;=-0.5,"−25%～−50%","小於 −50%")))))</f>
        <v>大於 50%</v>
      </c>
      <c r="E184" s="4" t="s">
        <v>988</v>
      </c>
    </row>
    <row r="185" customFormat="false" ht="17.15" hidden="false" customHeight="false" outlineLevel="0" collapsed="false">
      <c r="A185" s="4" t="s">
        <v>989</v>
      </c>
      <c r="B185" s="29" t="str">
        <f aca="false">IF(B164&gt;0.5,"強力買進",IF(B164&gt;0.25,"買進",IF(B164&gt;=-0.25,"中立",IF(B164&gt;=-0.5,"放空","強力放空"))))</f>
        <v>強力買進</v>
      </c>
      <c r="E185" s="4" t="s">
        <v>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991</v>
      </c>
    </row>
    <row r="3" customFormat="false" ht="17.15" hidden="false" customHeight="false" outlineLevel="0" collapsed="false">
      <c r="A3" s="5" t="s">
        <v>992</v>
      </c>
      <c r="B3" s="5" t="s">
        <v>993</v>
      </c>
      <c r="C3" s="13" t="s">
        <v>994</v>
      </c>
      <c r="D3" s="5" t="s">
        <v>995</v>
      </c>
      <c r="E3" s="5" t="s">
        <v>996</v>
      </c>
    </row>
    <row r="4" customFormat="false" ht="15" hidden="false" customHeight="false" outlineLevel="0" collapsed="false">
      <c r="A4" s="6" t="s">
        <v>784</v>
      </c>
      <c r="B4" s="4" t="s">
        <v>31</v>
      </c>
      <c r="D4" s="17" t="n">
        <f aca="false">Y!D14</f>
        <v>653.426874025271</v>
      </c>
    </row>
    <row r="5" customFormat="false" ht="17.15" hidden="false" customHeight="false" outlineLevel="0" collapsed="false">
      <c r="A5" s="0" t="s">
        <v>784</v>
      </c>
      <c r="B5" s="4" t="s">
        <v>997</v>
      </c>
      <c r="C5" s="17" t="n">
        <f aca="false">-0.2*Y!D5</f>
        <v>-93.3903006014905</v>
      </c>
      <c r="D5" s="17" t="n">
        <f aca="false">D4+C5*(1-opex_var)</f>
        <v>565.63999145987</v>
      </c>
      <c r="E5" s="15" t="n">
        <f aca="false">D5/D4-1</f>
        <v>-0.13434844212117</v>
      </c>
    </row>
    <row r="6" customFormat="false" ht="17.15" hidden="false" customHeight="false" outlineLevel="0" collapsed="false">
      <c r="A6" s="0" t="s">
        <v>784</v>
      </c>
      <c r="B6" s="4" t="s">
        <v>998</v>
      </c>
      <c r="C6" s="17" t="n">
        <f aca="false">0.2*Y!D5</f>
        <v>93.3903006014905</v>
      </c>
      <c r="D6" s="17" t="n">
        <f aca="false">D4+C6*(1-opex_var)</f>
        <v>741.213756590673</v>
      </c>
      <c r="E6" s="15" t="n">
        <f aca="false">D6/D4-1</f>
        <v>0.13434844212117</v>
      </c>
    </row>
    <row r="7" customFormat="false" ht="17.15" hidden="false" customHeight="false" outlineLevel="0" collapsed="false">
      <c r="A7" s="0" t="s">
        <v>784</v>
      </c>
      <c r="B7" s="0" t="s">
        <v>999</v>
      </c>
      <c r="C7" s="17" t="n">
        <f aca="false">-0.3*Y!D6</f>
        <v>-24.9431661812844</v>
      </c>
      <c r="D7" s="17" t="n">
        <f aca="false">D4+C7*(1-opex_var)</f>
        <v>629.980297814864</v>
      </c>
      <c r="E7" s="15" t="n">
        <f aca="false">D7/D4-1</f>
        <v>-0.0358824791915439</v>
      </c>
    </row>
    <row r="8" customFormat="false" ht="17.15" hidden="false" customHeight="false" outlineLevel="0" collapsed="false">
      <c r="A8" s="0" t="s">
        <v>784</v>
      </c>
      <c r="B8" s="0" t="s">
        <v>1000</v>
      </c>
      <c r="C8" s="17" t="n">
        <f aca="false">0.3*Y!D6</f>
        <v>24.9431661812844</v>
      </c>
      <c r="D8" s="17" t="n">
        <f aca="false">D4+C8*(1-opex_var)</f>
        <v>676.873450235679</v>
      </c>
      <c r="E8" s="15" t="n">
        <f aca="false">D8/D4-1</f>
        <v>0.0358824791915438</v>
      </c>
    </row>
    <row r="9" customFormat="false" ht="17.15" hidden="false" customHeight="false" outlineLevel="0" collapsed="false">
      <c r="A9" s="0" t="s">
        <v>784</v>
      </c>
      <c r="B9" s="0" t="s">
        <v>1001</v>
      </c>
      <c r="C9" s="17" t="n">
        <f aca="false">-0.3*Y!D7</f>
        <v>-74.5014649978755</v>
      </c>
      <c r="D9" s="17" t="n">
        <f aca="false">D4+C9*(1-opex_var)</f>
        <v>583.395496927269</v>
      </c>
      <c r="E9" s="15" t="n">
        <f aca="false">D9/D4-1</f>
        <v>-0.10717553850608</v>
      </c>
    </row>
    <row r="10" customFormat="false" ht="17.15" hidden="false" customHeight="false" outlineLevel="0" collapsed="false">
      <c r="A10" s="0" t="s">
        <v>784</v>
      </c>
      <c r="B10" s="0" t="s">
        <v>1002</v>
      </c>
      <c r="C10" s="17" t="n">
        <f aca="false">0.3*Y!D7</f>
        <v>74.5014649978755</v>
      </c>
      <c r="D10" s="17" t="n">
        <f aca="false">D4+C10*(1-opex_var)</f>
        <v>723.458251123274</v>
      </c>
      <c r="E10" s="15" t="n">
        <f aca="false">D10/D4-1</f>
        <v>0.10717553850608</v>
      </c>
    </row>
    <row r="12" customFormat="false" ht="15" hidden="false" customHeight="false" outlineLevel="0" collapsed="false">
      <c r="A12" s="6" t="s">
        <v>788</v>
      </c>
      <c r="B12" s="4" t="s">
        <v>31</v>
      </c>
      <c r="D12" s="17" t="n">
        <f aca="false">Y!H14</f>
        <v>354.596746628536</v>
      </c>
    </row>
    <row r="13" customFormat="false" ht="17.15" hidden="false" customHeight="false" outlineLevel="0" collapsed="false">
      <c r="A13" s="0" t="s">
        <v>788</v>
      </c>
      <c r="B13" s="4" t="s">
        <v>997</v>
      </c>
      <c r="C13" s="17" t="n">
        <f aca="false">-0.2*Y!H5</f>
        <v>-57.1372257939851</v>
      </c>
      <c r="D13" s="17" t="n">
        <f aca="false">D12+C13*(1-opex_var)</f>
        <v>300.88775438219</v>
      </c>
      <c r="E13" s="15" t="n">
        <f aca="false">D13/D12-1</f>
        <v>-0.151464988771061</v>
      </c>
    </row>
    <row r="14" customFormat="false" ht="17.15" hidden="false" customHeight="false" outlineLevel="0" collapsed="false">
      <c r="A14" s="0" t="s">
        <v>788</v>
      </c>
      <c r="B14" s="4" t="s">
        <v>998</v>
      </c>
      <c r="C14" s="17" t="n">
        <f aca="false">0.2*Y!H5</f>
        <v>57.1372257939851</v>
      </c>
      <c r="D14" s="17" t="n">
        <f aca="false">D12+C14*(1-opex_var)</f>
        <v>408.305738874882</v>
      </c>
      <c r="E14" s="15" t="n">
        <f aca="false">D14/D12-1</f>
        <v>0.151464988771061</v>
      </c>
    </row>
    <row r="15" customFormat="false" ht="17.15" hidden="false" customHeight="false" outlineLevel="0" collapsed="false">
      <c r="A15" s="0" t="s">
        <v>788</v>
      </c>
      <c r="B15" s="0" t="s">
        <v>999</v>
      </c>
      <c r="C15" s="17" t="n">
        <f aca="false">-0.3*Y!H6</f>
        <v>-27.61750188864</v>
      </c>
      <c r="D15" s="17" t="n">
        <f aca="false">D12+C15*(1-opex_var)</f>
        <v>328.636294853214</v>
      </c>
      <c r="E15" s="15" t="n">
        <f aca="false">D15/D12-1</f>
        <v>-0.0732111955965488</v>
      </c>
    </row>
    <row r="16" customFormat="false" ht="17.15" hidden="false" customHeight="false" outlineLevel="0" collapsed="false">
      <c r="A16" s="0" t="s">
        <v>788</v>
      </c>
      <c r="B16" s="0" t="s">
        <v>1000</v>
      </c>
      <c r="C16" s="17" t="n">
        <f aca="false">0.3*Y!H6</f>
        <v>27.61750188864</v>
      </c>
      <c r="D16" s="17" t="n">
        <f aca="false">D12+C16*(1-opex_var)</f>
        <v>380.557198403857</v>
      </c>
      <c r="E16" s="15" t="n">
        <f aca="false">D16/D12-1</f>
        <v>0.0732111955965489</v>
      </c>
    </row>
    <row r="17" customFormat="false" ht="17.15" hidden="false" customHeight="false" outlineLevel="0" collapsed="false">
      <c r="A17" s="0" t="s">
        <v>788</v>
      </c>
      <c r="B17" s="0" t="s">
        <v>1001</v>
      </c>
      <c r="C17" s="17" t="n">
        <f aca="false">-0.3*Y!H7</f>
        <v>-34.7321747820468</v>
      </c>
      <c r="D17" s="17" t="n">
        <f aca="false">D12+C17*(1-opex_var)</f>
        <v>321.948502333412</v>
      </c>
      <c r="E17" s="15" t="n">
        <f aca="false">D17/D12-1</f>
        <v>-0.0920714716238646</v>
      </c>
    </row>
    <row r="18" customFormat="false" ht="17.15" hidden="false" customHeight="false" outlineLevel="0" collapsed="false">
      <c r="A18" s="0" t="s">
        <v>788</v>
      </c>
      <c r="B18" s="0" t="s">
        <v>1002</v>
      </c>
      <c r="C18" s="17" t="n">
        <f aca="false">0.3*Y!H7</f>
        <v>34.7321747820468</v>
      </c>
      <c r="D18" s="17" t="n">
        <f aca="false">D12+C18*(1-opex_var)</f>
        <v>387.24499092366</v>
      </c>
      <c r="E18" s="15" t="n">
        <f aca="false">D18/D12-1</f>
        <v>0.0920714716238646</v>
      </c>
    </row>
    <row r="20" customFormat="false" ht="15" hidden="false" customHeight="false" outlineLevel="0" collapsed="false">
      <c r="A20" s="6" t="s">
        <v>791</v>
      </c>
      <c r="B20" s="4" t="s">
        <v>31</v>
      </c>
      <c r="D20" s="17" t="n">
        <f aca="false">Y!K14</f>
        <v>218.421035589582</v>
      </c>
    </row>
    <row r="21" customFormat="false" ht="17.15" hidden="false" customHeight="false" outlineLevel="0" collapsed="false">
      <c r="A21" s="0" t="s">
        <v>791</v>
      </c>
      <c r="B21" s="4" t="s">
        <v>997</v>
      </c>
      <c r="C21" s="17" t="n">
        <f aca="false">-0.2*Y!K5</f>
        <v>-39.1943045595108</v>
      </c>
      <c r="D21" s="17" t="n">
        <f aca="false">D20+C21*(1-opex_var)</f>
        <v>181.578389303642</v>
      </c>
      <c r="E21" s="15" t="n">
        <f aca="false">D21/D20-1</f>
        <v>-0.168677188927756</v>
      </c>
    </row>
    <row r="22" customFormat="false" ht="17.15" hidden="false" customHeight="false" outlineLevel="0" collapsed="false">
      <c r="A22" s="0" t="s">
        <v>791</v>
      </c>
      <c r="B22" s="4" t="s">
        <v>998</v>
      </c>
      <c r="C22" s="17" t="n">
        <f aca="false">0.2*Y!K5</f>
        <v>39.1943045595108</v>
      </c>
      <c r="D22" s="17" t="n">
        <f aca="false">D20+C22*(1-opex_var)</f>
        <v>255.263681875522</v>
      </c>
      <c r="E22" s="15" t="n">
        <f aca="false">D22/D20-1</f>
        <v>0.168677188927756</v>
      </c>
    </row>
    <row r="23" customFormat="false" ht="17.15" hidden="false" customHeight="false" outlineLevel="0" collapsed="false">
      <c r="A23" s="0" t="s">
        <v>791</v>
      </c>
      <c r="B23" s="0" t="s">
        <v>999</v>
      </c>
      <c r="C23" s="17" t="n">
        <f aca="false">-0.3*Y!K6</f>
        <v>-16.570501133184</v>
      </c>
      <c r="D23" s="17" t="n">
        <f aca="false">D20+C23*(1-opex_var)</f>
        <v>202.844764524389</v>
      </c>
      <c r="E23" s="15" t="n">
        <f aca="false">D23/D20-1</f>
        <v>-0.0713130538143821</v>
      </c>
    </row>
    <row r="24" customFormat="false" ht="17.15" hidden="false" customHeight="false" outlineLevel="0" collapsed="false">
      <c r="A24" s="0" t="s">
        <v>791</v>
      </c>
      <c r="B24" s="0" t="s">
        <v>1000</v>
      </c>
      <c r="C24" s="17" t="n">
        <f aca="false">0.3*Y!K6</f>
        <v>16.570501133184</v>
      </c>
      <c r="D24" s="17" t="n">
        <f aca="false">D20+C24*(1-opex_var)</f>
        <v>233.997306654775</v>
      </c>
      <c r="E24" s="15" t="n">
        <f aca="false">D24/D20-1</f>
        <v>0.0713130538143822</v>
      </c>
    </row>
    <row r="25" customFormat="false" ht="17.15" hidden="false" customHeight="false" outlineLevel="0" collapsed="false">
      <c r="A25" s="0" t="s">
        <v>791</v>
      </c>
      <c r="B25" s="0" t="s">
        <v>1001</v>
      </c>
      <c r="C25" s="17" t="n">
        <f aca="false">-0.3*Y!K7</f>
        <v>-28.205942483962</v>
      </c>
      <c r="D25" s="17" t="n">
        <f aca="false">D20+C25*(1-opex_var)</f>
        <v>191.907449654658</v>
      </c>
      <c r="E25" s="15" t="n">
        <f aca="false">D25/D20-1</f>
        <v>-0.121387511341828</v>
      </c>
    </row>
    <row r="26" customFormat="false" ht="17.15" hidden="false" customHeight="false" outlineLevel="0" collapsed="false">
      <c r="A26" s="0" t="s">
        <v>791</v>
      </c>
      <c r="B26" s="0" t="s">
        <v>1002</v>
      </c>
      <c r="C26" s="17" t="n">
        <f aca="false">0.3*Y!K7</f>
        <v>28.205942483962</v>
      </c>
      <c r="D26" s="17" t="n">
        <f aca="false">D20+C26*(1-opex_var)</f>
        <v>244.934621524507</v>
      </c>
      <c r="E26" s="15" t="n">
        <f aca="false">D26/D20-1</f>
        <v>0.121387511341828</v>
      </c>
    </row>
    <row r="28" customFormat="false" ht="15" hidden="false" customHeight="false" outlineLevel="0" collapsed="false">
      <c r="A28" s="6" t="s">
        <v>792</v>
      </c>
      <c r="B28" s="4" t="s">
        <v>31</v>
      </c>
      <c r="D28" s="17" t="n">
        <f aca="false">Y!L14</f>
        <v>175.142354357849</v>
      </c>
    </row>
    <row r="29" customFormat="false" ht="17.15" hidden="false" customHeight="false" outlineLevel="0" collapsed="false">
      <c r="A29" s="0" t="s">
        <v>792</v>
      </c>
      <c r="B29" s="4" t="s">
        <v>997</v>
      </c>
      <c r="C29" s="17" t="n">
        <f aca="false">-0.2*Y!L5</f>
        <v>-31.7165083976117</v>
      </c>
      <c r="D29" s="17" t="n">
        <f aca="false">D28+C29*(1-opex_var)</f>
        <v>145.328836464094</v>
      </c>
      <c r="E29" s="15" t="n">
        <f aca="false">D29/D28-1</f>
        <v>-0.170224489690485</v>
      </c>
    </row>
    <row r="30" customFormat="false" ht="17.15" hidden="false" customHeight="false" outlineLevel="0" collapsed="false">
      <c r="A30" s="0" t="s">
        <v>792</v>
      </c>
      <c r="B30" s="4" t="s">
        <v>998</v>
      </c>
      <c r="C30" s="17" t="n">
        <f aca="false">0.2*Y!L5</f>
        <v>31.7165083976117</v>
      </c>
      <c r="D30" s="17" t="n">
        <f aca="false">D28+C30*(1-opex_var)</f>
        <v>204.955872251604</v>
      </c>
      <c r="E30" s="15" t="n">
        <f aca="false">D30/D28-1</f>
        <v>0.170224489690485</v>
      </c>
    </row>
    <row r="31" customFormat="false" ht="17.15" hidden="false" customHeight="false" outlineLevel="0" collapsed="false">
      <c r="A31" s="0" t="s">
        <v>792</v>
      </c>
      <c r="B31" s="0" t="s">
        <v>999</v>
      </c>
      <c r="C31" s="17" t="n">
        <f aca="false">-0.3*Y!L6</f>
        <v>-22.6187340467962</v>
      </c>
      <c r="D31" s="17" t="n">
        <f aca="false">D28+C31*(1-opex_var)</f>
        <v>153.880744353861</v>
      </c>
      <c r="E31" s="15" t="n">
        <f aca="false">D31/D28-1</f>
        <v>-0.121396164177095</v>
      </c>
    </row>
    <row r="32" customFormat="false" ht="17.15" hidden="false" customHeight="false" outlineLevel="0" collapsed="false">
      <c r="A32" s="0" t="s">
        <v>792</v>
      </c>
      <c r="B32" s="0" t="s">
        <v>1000</v>
      </c>
      <c r="C32" s="17" t="n">
        <f aca="false">0.3*Y!L6</f>
        <v>22.6187340467962</v>
      </c>
      <c r="D32" s="17" t="n">
        <f aca="false">D28+C32*(1-opex_var)</f>
        <v>196.403964361838</v>
      </c>
      <c r="E32" s="15" t="n">
        <f aca="false">D32/D28-1</f>
        <v>0.121396164177095</v>
      </c>
    </row>
    <row r="33" customFormat="false" ht="17.15" hidden="false" customHeight="false" outlineLevel="0" collapsed="false">
      <c r="A33" s="0" t="s">
        <v>792</v>
      </c>
      <c r="B33" s="0" t="s">
        <v>1001</v>
      </c>
      <c r="C33" s="17" t="n">
        <f aca="false">-0.3*Y!L7</f>
        <v>-22.7581533465805</v>
      </c>
      <c r="D33" s="17" t="n">
        <f aca="false">D28+C33*(1-opex_var)</f>
        <v>153.749690212064</v>
      </c>
      <c r="E33" s="15" t="n">
        <f aca="false">D33/D28-1</f>
        <v>-0.122144436302805</v>
      </c>
    </row>
    <row r="34" customFormat="false" ht="17.15" hidden="false" customHeight="false" outlineLevel="0" collapsed="false">
      <c r="A34" s="0" t="s">
        <v>792</v>
      </c>
      <c r="B34" s="0" t="s">
        <v>1002</v>
      </c>
      <c r="C34" s="17" t="n">
        <f aca="false">0.3*Y!L7</f>
        <v>22.7581533465805</v>
      </c>
      <c r="D34" s="17" t="n">
        <f aca="false">D28+C34*(1-opex_var)</f>
        <v>196.535018503635</v>
      </c>
      <c r="E34" s="15" t="n">
        <f aca="false">D34/D28-1</f>
        <v>0.122144436302805</v>
      </c>
    </row>
    <row r="36" customFormat="false" ht="17.15" hidden="false" customHeight="false" outlineLevel="0" collapsed="false">
      <c r="A36" s="4" t="s">
        <v>1003</v>
      </c>
    </row>
    <row r="38" customFormat="false" ht="17.15" hidden="false" customHeight="false" outlineLevel="0" collapsed="false">
      <c r="A38" s="1" t="s">
        <v>1004</v>
      </c>
    </row>
    <row r="39" customFormat="false" ht="17.15" hidden="false" customHeight="false" outlineLevel="0" collapsed="false">
      <c r="A39" s="5" t="s">
        <v>1005</v>
      </c>
      <c r="B39" s="5" t="s">
        <v>1006</v>
      </c>
      <c r="C39" s="13" t="s">
        <v>1007</v>
      </c>
      <c r="D39" s="13" t="s">
        <v>1008</v>
      </c>
      <c r="E39" s="5" t="s">
        <v>1009</v>
      </c>
      <c r="F39" s="5" t="s">
        <v>996</v>
      </c>
    </row>
    <row r="40" customFormat="false" ht="17.15" hidden="false" customHeight="false" outlineLevel="0" collapsed="false">
      <c r="A40" s="4" t="s">
        <v>31</v>
      </c>
      <c r="B40" s="0" t="s">
        <v>1010</v>
      </c>
      <c r="C40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0" s="23" t="n">
        <f aca="false">Val!B156</f>
        <v>467744.101376957</v>
      </c>
      <c r="E40" s="23" t="n">
        <f aca="false">tp_w_dcf*C40+(1-tp_w_dcf)*D40</f>
        <v>477143.173864418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1011</v>
      </c>
      <c r="B41" s="0" t="s">
        <v>1012</v>
      </c>
      <c r="C41" s="23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447679.293922178</v>
      </c>
      <c r="D41" s="23" t="n">
        <f aca="false">Val!B156</f>
        <v>467744.101376957</v>
      </c>
      <c r="E41" s="23" t="n">
        <f aca="false">tp_w_dcf*C41+(1-tp_w_dcf)*D41</f>
        <v>457711.697649568</v>
      </c>
      <c r="F41" s="19" t="n">
        <f aca="false">E41/E$40-1</f>
        <v>-0.0407246237171813</v>
      </c>
    </row>
    <row r="42" customFormat="false" ht="17.15" hidden="false" customHeight="false" outlineLevel="0" collapsed="false">
      <c r="A42" s="4" t="s">
        <v>1013</v>
      </c>
      <c r="B42" s="0" t="s">
        <v>1014</v>
      </c>
      <c r="C42" s="23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540048.095642413</v>
      </c>
      <c r="D42" s="23" t="n">
        <f aca="false">Val!B156</f>
        <v>467744.101376957</v>
      </c>
      <c r="E42" s="23" t="n">
        <f aca="false">tp_w_dcf*C42+(1-tp_w_dcf)*D42</f>
        <v>503896.098509685</v>
      </c>
      <c r="F42" s="19" t="n">
        <f aca="false">E42/E$40-1</f>
        <v>0.0560689665296761</v>
      </c>
    </row>
    <row r="43" customFormat="false" ht="17.15" hidden="false" customHeight="false" outlineLevel="0" collapsed="false">
      <c r="A43" s="4" t="s">
        <v>1015</v>
      </c>
      <c r="B43" s="0" t="s">
        <v>1016</v>
      </c>
      <c r="C43" s="23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453788.933116681</v>
      </c>
      <c r="D43" s="23" t="n">
        <f aca="false">Val!B156</f>
        <v>467744.101376957</v>
      </c>
      <c r="E43" s="23" t="n">
        <f aca="false">tp_w_dcf*C43+(1-tp_w_dcf)*D43</f>
        <v>460766.517246819</v>
      </c>
      <c r="F43" s="19" t="n">
        <f aca="false">E43/E$40-1</f>
        <v>-0.034322311445772</v>
      </c>
    </row>
    <row r="44" customFormat="false" ht="17.15" hidden="false" customHeight="false" outlineLevel="0" collapsed="false">
      <c r="A44" s="4" t="s">
        <v>1017</v>
      </c>
      <c r="B44" s="0" t="s">
        <v>1018</v>
      </c>
      <c r="C44" s="23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513605.057050687</v>
      </c>
      <c r="D44" s="23" t="n">
        <f aca="false">Val!B156</f>
        <v>467744.101376957</v>
      </c>
      <c r="E44" s="23" t="n">
        <f aca="false">tp_w_dcf*C44+(1-tp_w_dcf)*D44</f>
        <v>490674.579213822</v>
      </c>
      <c r="F44" s="19" t="n">
        <f aca="false">E44/E$40-1</f>
        <v>0.0283592139437157</v>
      </c>
    </row>
    <row r="45" customFormat="false" ht="17.15" hidden="false" customHeight="false" outlineLevel="0" collapsed="false">
      <c r="A45" s="0" t="s">
        <v>1019</v>
      </c>
      <c r="B45" s="0" t="s">
        <v>1020</v>
      </c>
      <c r="C45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5" s="23" t="n">
        <f aca="false">Val!B156</f>
        <v>467744.101376957</v>
      </c>
      <c r="E45" s="23" t="n">
        <f aca="false">0.3*C45+(1-0.3)*D45</f>
        <v>473383.544869434</v>
      </c>
      <c r="F45" s="19" t="n">
        <f aca="false">E45/E$40-1</f>
        <v>-0.00787945673524937</v>
      </c>
    </row>
    <row r="46" customFormat="false" ht="17.15" hidden="false" customHeight="false" outlineLevel="0" collapsed="false">
      <c r="A46" s="0" t="s">
        <v>1021</v>
      </c>
      <c r="B46" s="0" t="s">
        <v>1022</v>
      </c>
      <c r="C46" s="23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6" s="23" t="n">
        <f aca="false">Val!B156</f>
        <v>467744.101376957</v>
      </c>
      <c r="E46" s="23" t="n">
        <f aca="false">0.7*C46+(1-0.7)*D46</f>
        <v>480902.802859402</v>
      </c>
      <c r="F46" s="19" t="n">
        <f aca="false">E46/E$40-1</f>
        <v>0.00787945673524937</v>
      </c>
    </row>
    <row r="47" customFormat="false" ht="17.15" hidden="false" customHeight="false" outlineLevel="0" collapsed="false">
      <c r="A47" s="4" t="s">
        <v>1023</v>
      </c>
      <c r="C47" s="30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1024</v>
      </c>
    </row>
    <row r="3" customFormat="false" ht="15" hidden="false" customHeight="false" outlineLevel="0" collapsed="false">
      <c r="A3" s="5" t="s">
        <v>28</v>
      </c>
      <c r="B3" s="5" t="s">
        <v>1025</v>
      </c>
      <c r="C3" s="5" t="s">
        <v>1026</v>
      </c>
      <c r="D3" s="5" t="s">
        <v>1027</v>
      </c>
      <c r="E3" s="5" t="s">
        <v>1028</v>
      </c>
    </row>
    <row r="4" customFormat="false" ht="17.15" hidden="false" customHeight="false" outlineLevel="0" collapsed="false">
      <c r="A4" s="0" t="s">
        <v>1029</v>
      </c>
      <c r="B4" s="17" t="n">
        <f aca="false">Q!H10+nm_op_q</f>
        <v>111.52042102</v>
      </c>
      <c r="C4" s="7" t="n">
        <v>107.4</v>
      </c>
      <c r="D4" s="15" t="n">
        <f aca="false">B4/C4-1</f>
        <v>0.0383651864059591</v>
      </c>
      <c r="E4" s="4" t="s">
        <v>1030</v>
      </c>
    </row>
    <row r="5" customFormat="false" ht="17.15" hidden="false" customHeight="false" outlineLevel="0" collapsed="false">
      <c r="A5" s="0" t="s">
        <v>1031</v>
      </c>
      <c r="B5" s="17" t="n">
        <f aca="false">Y!C18</f>
        <v>727.43970352</v>
      </c>
      <c r="C5" s="7" t="n">
        <v>711.7</v>
      </c>
      <c r="D5" s="15" t="n">
        <f aca="false">B5/C5-1</f>
        <v>0.0221156435576788</v>
      </c>
      <c r="E5" s="8" t="s">
        <v>1032</v>
      </c>
    </row>
    <row r="6" customFormat="false" ht="17.15" hidden="false" customHeight="false" outlineLevel="0" collapsed="false">
      <c r="A6" s="0" t="s">
        <v>1033</v>
      </c>
      <c r="B6" s="17" t="n">
        <f aca="false">Y!C19</f>
        <v>393.00083701895</v>
      </c>
      <c r="C6" s="7" t="n">
        <v>373.7</v>
      </c>
      <c r="D6" s="15" t="n">
        <f aca="false">B6/C6-1</f>
        <v>0.0516479449262781</v>
      </c>
      <c r="E6" s="8" t="s">
        <v>1034</v>
      </c>
    </row>
    <row r="7" customFormat="false" ht="17.15" hidden="false" customHeight="false" outlineLevel="0" collapsed="false">
      <c r="A7" s="0" t="s">
        <v>1035</v>
      </c>
      <c r="B7" s="17" t="n">
        <f aca="false">Y!C20</f>
        <v>317.84066961516</v>
      </c>
      <c r="C7" s="7" t="n">
        <v>303.3</v>
      </c>
      <c r="D7" s="15" t="n">
        <f aca="false">B7/C7-1</f>
        <v>0.0479415417578637</v>
      </c>
      <c r="E7" s="8" t="s">
        <v>1036</v>
      </c>
    </row>
    <row r="8" customFormat="false" ht="17.15" hidden="false" customHeight="false" outlineLevel="0" collapsed="false">
      <c r="A8" s="0" t="s">
        <v>1037</v>
      </c>
      <c r="B8" s="17" t="n">
        <f aca="false">Y!D19</f>
        <v>659.426874025271</v>
      </c>
      <c r="C8" s="7" t="n">
        <v>568.7</v>
      </c>
      <c r="D8" s="15" t="n">
        <f aca="false">B8/C8-1</f>
        <v>0.159533803455726</v>
      </c>
      <c r="E8" s="8" t="s">
        <v>1038</v>
      </c>
    </row>
    <row r="9" customFormat="false" ht="17.15" hidden="false" customHeight="false" outlineLevel="0" collapsed="false">
      <c r="A9" s="0" t="s">
        <v>1039</v>
      </c>
      <c r="B9" s="17" t="n">
        <f aca="false">Y!D20</f>
        <v>534.783035290981</v>
      </c>
      <c r="C9" s="7" t="n">
        <v>454.7</v>
      </c>
      <c r="D9" s="15" t="n">
        <f aca="false">B9/C9-1</f>
        <v>0.176122795889556</v>
      </c>
      <c r="E9" s="8" t="s">
        <v>1036</v>
      </c>
    </row>
    <row r="10" customFormat="false" ht="17.15" hidden="false" customHeight="false" outlineLevel="0" collapsed="false">
      <c r="A10" s="0" t="s">
        <v>1040</v>
      </c>
      <c r="B10" s="17" t="n">
        <f aca="false">Y!E19</f>
        <v>721.271804821957</v>
      </c>
      <c r="C10" s="7" t="n">
        <v>578.4</v>
      </c>
      <c r="D10" s="15" t="n">
        <f aca="false">B10/C10-1</f>
        <v>0.247012110688031</v>
      </c>
      <c r="E10" s="8" t="s">
        <v>1041</v>
      </c>
    </row>
    <row r="11" customFormat="false" ht="17.15" hidden="false" customHeight="false" outlineLevel="0" collapsed="false">
      <c r="A11" s="0" t="s">
        <v>1042</v>
      </c>
      <c r="B11" s="17" t="n">
        <f aca="false">Y!D29</f>
        <v>95824.2770879819</v>
      </c>
      <c r="C11" s="7" t="n">
        <f aca="false">cons_eps27</f>
        <v>72279</v>
      </c>
      <c r="D11" s="15" t="n">
        <f aca="false">B11/C11-1</f>
        <v>0.32575543502237</v>
      </c>
      <c r="E11" s="8" t="s">
        <v>660</v>
      </c>
    </row>
    <row r="12" customFormat="false" ht="17.15" hidden="false" customHeight="false" outlineLevel="0" collapsed="false">
      <c r="A12" s="0" t="s">
        <v>1043</v>
      </c>
      <c r="B12" s="17" t="n">
        <f aca="false">Y!E29</f>
        <v>129982.274469612</v>
      </c>
      <c r="C12" s="7" t="n">
        <f aca="false">cons_eps28</f>
        <v>75531</v>
      </c>
      <c r="D12" s="15" t="n">
        <f aca="false">B12/C12-1</f>
        <v>0.720912929388087</v>
      </c>
      <c r="E12" s="8" t="s">
        <v>660</v>
      </c>
    </row>
    <row r="13" customFormat="false" ht="17.15" hidden="false" customHeight="false" outlineLevel="0" collapsed="false">
      <c r="A13" s="0" t="s">
        <v>1044</v>
      </c>
      <c r="B13" s="17" t="n">
        <f aca="false">Y!E28</f>
        <v>288103.729185218</v>
      </c>
      <c r="C13" s="7" t="n">
        <f aca="false">cons_bvps28</f>
        <v>232055</v>
      </c>
      <c r="D13" s="15" t="n">
        <f aca="false">B13/C13-1</f>
        <v>0.241532090173527</v>
      </c>
      <c r="E13" s="8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1045</v>
      </c>
    </row>
    <row r="3" customFormat="false" ht="17.15" hidden="false" customHeight="false" outlineLevel="0" collapsed="false">
      <c r="A3" s="4" t="s">
        <v>1046</v>
      </c>
      <c r="B3" s="0" t="n">
        <f aca="false">nv_hbm</f>
        <v>4.46</v>
      </c>
      <c r="C3" s="0" t="s">
        <v>598</v>
      </c>
    </row>
    <row r="4" customFormat="false" ht="17.15" hidden="false" customHeight="false" outlineLevel="0" collapsed="false">
      <c r="A4" s="4" t="s">
        <v>1047</v>
      </c>
      <c r="B4" s="0" t="str">
        <f aca="false">TEXT(Mkt!D16,"0")&amp;" ／ "&amp;TEXT(Mkt!E16,"0")</f>
        <v>216 ／ 260</v>
      </c>
      <c r="C4" s="0" t="s">
        <v>431</v>
      </c>
    </row>
    <row r="5" customFormat="false" ht="17.15" hidden="false" customHeight="false" outlineLevel="0" collapsed="false">
      <c r="A5" s="0" t="s">
        <v>1048</v>
      </c>
      <c r="B5" s="0" t="str">
        <f aca="false">TEXT(Mkt!D33,"0")&amp;" ／ "&amp;TEXT(Mkt!E33,"0")</f>
        <v>55 ／ 154</v>
      </c>
      <c r="C5" s="0" t="s">
        <v>546</v>
      </c>
    </row>
    <row r="6" customFormat="false" ht="17.15" hidden="false" customHeight="false" outlineLevel="0" collapsed="false">
      <c r="A6" s="0" t="s">
        <v>1049</v>
      </c>
      <c r="B6" s="14" t="n">
        <f aca="false">Mkt!E27</f>
        <v>1.23255275</v>
      </c>
      <c r="C6" s="8" t="s">
        <v>716</v>
      </c>
    </row>
    <row r="7" customFormat="false" ht="17.15" hidden="false" customHeight="false" outlineLevel="0" collapsed="false">
      <c r="A7" s="4" t="s">
        <v>1050</v>
      </c>
      <c r="B7" s="4" t="s">
        <v>1051</v>
      </c>
      <c r="C7" s="0" t="s">
        <v>1052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933</v>
      </c>
    </row>
    <row r="2" customFormat="false" ht="17.15" hidden="false" customHeight="false" outlineLevel="0" collapsed="false">
      <c r="A2" s="4" t="s">
        <v>1053</v>
      </c>
      <c r="B2" s="0" t="s">
        <v>1054</v>
      </c>
    </row>
    <row r="3" customFormat="false" ht="17.15" hidden="false" customHeight="false" outlineLevel="0" collapsed="false">
      <c r="A3" s="4" t="s">
        <v>1055</v>
      </c>
      <c r="B3" s="0" t="s">
        <v>1056</v>
      </c>
    </row>
    <row r="4" customFormat="false" ht="17.15" hidden="false" customHeight="false" outlineLevel="0" collapsed="false">
      <c r="A4" s="4" t="s">
        <v>1057</v>
      </c>
      <c r="B4" s="0" t="s">
        <v>1058</v>
      </c>
    </row>
    <row r="5" customFormat="false" ht="17.15" hidden="false" customHeight="false" outlineLevel="0" collapsed="false">
      <c r="A5" s="4" t="s">
        <v>1059</v>
      </c>
      <c r="B5" s="0" t="s">
        <v>1060</v>
      </c>
    </row>
    <row r="6" customFormat="false" ht="17.15" hidden="false" customHeight="false" outlineLevel="0" collapsed="false">
      <c r="A6" s="4" t="s">
        <v>1061</v>
      </c>
      <c r="B6" s="0" t="s">
        <v>1062</v>
      </c>
    </row>
    <row r="7" customFormat="false" ht="17.15" hidden="false" customHeight="false" outlineLevel="0" collapsed="false">
      <c r="A7" s="4" t="s">
        <v>1063</v>
      </c>
      <c r="B7" s="0" t="s">
        <v>1064</v>
      </c>
    </row>
    <row r="8" customFormat="false" ht="17.15" hidden="false" customHeight="false" outlineLevel="0" collapsed="false">
      <c r="A8" s="0" t="s">
        <v>1065</v>
      </c>
      <c r="B8" s="0" t="s">
        <v>1066</v>
      </c>
    </row>
    <row r="9" customFormat="false" ht="17.15" hidden="false" customHeight="false" outlineLevel="0" collapsed="false">
      <c r="A9" s="0" t="s">
        <v>1067</v>
      </c>
      <c r="B9" s="0" t="s">
        <v>1068</v>
      </c>
    </row>
    <row r="10" customFormat="false" ht="17.15" hidden="false" customHeight="false" outlineLevel="0" collapsed="false">
      <c r="A10" s="0" t="s">
        <v>1069</v>
      </c>
      <c r="B10" s="0" t="s">
        <v>1070</v>
      </c>
    </row>
    <row r="11" customFormat="false" ht="15" hidden="false" customHeight="false" outlineLevel="0" collapsed="false">
      <c r="A11" s="0" t="s">
        <v>1071</v>
      </c>
      <c r="B11" s="0" t="s">
        <v>1072</v>
      </c>
    </row>
    <row r="12" customFormat="false" ht="17.15" hidden="false" customHeight="false" outlineLevel="0" collapsed="false">
      <c r="A12" s="0" t="s">
        <v>1073</v>
      </c>
      <c r="B12" s="0" t="s">
        <v>1074</v>
      </c>
    </row>
    <row r="13" customFormat="false" ht="17.15" hidden="false" customHeight="false" outlineLevel="0" collapsed="false">
      <c r="A13" s="0" t="s">
        <v>1075</v>
      </c>
      <c r="B13" s="4" t="s">
        <v>1076</v>
      </c>
    </row>
    <row r="14" customFormat="false" ht="17.15" hidden="false" customHeight="false" outlineLevel="0" collapsed="false">
      <c r="A14" s="0" t="s">
        <v>1077</v>
      </c>
      <c r="B14" s="4" t="s">
        <v>1076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2026-10-29T05:44:11Z</dcterms:created>
  <dc:creator>openpyxl</dc:creator>
  <dc:description/>
  <dc:language>en-US</dc:language>
  <cp:lastModifiedBy/>
  <dcterms:modified xsi:type="dcterms:W3CDTF">2026-10-29T05:44:11Z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