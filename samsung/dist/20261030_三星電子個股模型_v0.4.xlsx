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In!$E$64</definedName>
    <definedName function="false" hidden="false" name="bb_px" vbProcedure="false">In!$E$72</definedName>
    <definedName function="false" hidden="false" name="bb_sh_0" vbProcedure="false">In!$E$65</definedName>
    <definedName function="false" hidden="false" name="capex_rem" vbProcedure="false">In!$E$67</definedName>
    <definedName function="false" hidden="false" name="cap_0" vbProcedure="false">In!$E$46</definedName>
    <definedName function="false" hidden="false" name="cap_0_hi" vbProcedure="false">In!$F$46</definedName>
    <definedName function="false" hidden="false" name="cap_0_lo" vbProcedure="false">In!$D$46</definedName>
    <definedName function="false" hidden="false" name="cap_1" vbProcedure="false">In!$E$47</definedName>
    <definedName function="false" hidden="false" name="cap_1_hi" vbProcedure="false">In!$F$47</definedName>
    <definedName function="false" hidden="false" name="cap_1_lo" vbProcedure="false">In!$D$47</definedName>
    <definedName function="false" hidden="false" name="cap_2" vbProcedure="false">In!$E$48</definedName>
    <definedName function="false" hidden="false" name="cap_2_hi" vbProcedure="false">In!$F$48</definedName>
    <definedName function="false" hidden="false" name="cap_2_lo" vbProcedure="false">In!$D$48</definedName>
    <definedName function="false" hidden="false" name="cap_3" vbProcedure="false">In!$E$49</definedName>
    <definedName function="false" hidden="false" name="cap_3_hi" vbProcedure="false">In!$F$49</definedName>
    <definedName function="false" hidden="false" name="cap_3_lo" vbProcedure="false">In!$D$49</definedName>
    <definedName function="false" hidden="false" name="cb_1" vbProcedure="false">In!$E$23</definedName>
    <definedName function="false" hidden="false" name="cb_1_hi" vbProcedure="false">In!$F$23</definedName>
    <definedName function="false" hidden="false" name="cb_1_lo" vbProcedure="false">In!$D$23</definedName>
    <definedName function="false" hidden="false" name="cb_2" vbProcedure="false">In!$E$24</definedName>
    <definedName function="false" hidden="false" name="cb_2_hi" vbProcedure="false">In!$F$24</definedName>
    <definedName function="false" hidden="false" name="cb_2_lo" vbProcedure="false">In!$D$24</definedName>
    <definedName function="false" hidden="false" name="cb_3" vbProcedure="false">In!$E$25</definedName>
    <definedName function="false" hidden="false" name="cb_3_hi" vbProcedure="false">In!$F$25</definedName>
    <definedName function="false" hidden="false" name="cb_3_lo" vbProcedure="false">In!$D$25</definedName>
    <definedName function="false" hidden="false" name="cons_bvps28" vbProcedure="false">In!$E$266</definedName>
    <definedName function="false" hidden="false" name="cons_eps27" vbProcedure="false">In!$E$264</definedName>
    <definedName function="false" hidden="false" name="cons_eps28" vbProcedure="false">In!$E$265</definedName>
    <definedName function="false" hidden="false" name="cons_tp" vbProcedure="false">In!$E$263</definedName>
    <definedName function="false" hidden="false" name="cons_tp_hi" vbProcedure="false">In!$F$263</definedName>
    <definedName function="false" hidden="false" name="cons_tp_lo" vbProcedure="false">In!$D$263</definedName>
    <definedName function="false" hidden="false" name="costdn_q" vbProcedure="false">In!$E$18</definedName>
    <definedName function="false" hidden="false" name="costdn_q_hi" vbProcedure="false">In!$F$18</definedName>
    <definedName function="false" hidden="false" name="costdn_q_lo" vbProcedure="false">In!$D$18</definedName>
    <definedName function="false" hidden="false" name="costdn_y" vbProcedure="false">In!$E$38</definedName>
    <definedName function="false" hidden="false" name="costdn_y_hi" vbProcedure="false">In!$F$38</definedName>
    <definedName function="false" hidden="false" name="costdn_y_lo" vbProcedure="false">In!$D$38</definedName>
    <definedName function="false" hidden="false" name="cqA_10" vbProcedure="false">In!$E$90</definedName>
    <definedName function="false" hidden="false" name="cqA_11" vbProcedure="false">In!$E$91</definedName>
    <definedName function="false" hidden="false" name="cqA_12" vbProcedure="false">In!$E$92</definedName>
    <definedName function="false" hidden="false" name="cqA_13" vbProcedure="false">In!$E$93</definedName>
    <definedName function="false" hidden="false" name="cqA_14" vbProcedure="false">In!$E$94</definedName>
    <definedName function="false" hidden="false" name="cqA_15" vbProcedure="false">In!$E$95</definedName>
    <definedName function="false" hidden="false" name="cqA_16" vbProcedure="false">In!$E$96</definedName>
    <definedName function="false" hidden="false" name="cqA_16_hi" vbProcedure="false">In!$F$96</definedName>
    <definedName function="false" hidden="false" name="cqA_16_lo" vbProcedure="false">In!$D$96</definedName>
    <definedName function="false" hidden="false" name="cqA_17" vbProcedure="false">In!$E$97</definedName>
    <definedName function="false" hidden="false" name="cqA_17_hi" vbProcedure="false">In!$F$97</definedName>
    <definedName function="false" hidden="false" name="cqA_17_lo" vbProcedure="false">In!$D$97</definedName>
    <definedName function="false" hidden="false" name="cqA_18" vbProcedure="false">In!$E$98</definedName>
    <definedName function="false" hidden="false" name="cqA_18_hi" vbProcedure="false">In!$F$98</definedName>
    <definedName function="false" hidden="false" name="cqA_18_lo" vbProcedure="false">In!$D$98</definedName>
    <definedName function="false" hidden="false" name="cqA_19" vbProcedure="false">In!$E$99</definedName>
    <definedName function="false" hidden="false" name="cqA_19_hi" vbProcedure="false">In!$F$99</definedName>
    <definedName function="false" hidden="false" name="cqA_19_lo" vbProcedure="false">In!$D$99</definedName>
    <definedName function="false" hidden="false" name="cqA_8" vbProcedure="false">In!$E$88</definedName>
    <definedName function="false" hidden="false" name="cqA_9" vbProcedure="false">In!$E$89</definedName>
    <definedName function="false" hidden="false" name="cqB_10" vbProcedure="false">In!$E$102</definedName>
    <definedName function="false" hidden="false" name="cqB_11" vbProcedure="false">In!$E$103</definedName>
    <definedName function="false" hidden="false" name="cqB_12" vbProcedure="false">In!$E$104</definedName>
    <definedName function="false" hidden="false" name="cqB_13" vbProcedure="false">In!$E$105</definedName>
    <definedName function="false" hidden="false" name="cqB_14" vbProcedure="false">In!$E$106</definedName>
    <definedName function="false" hidden="false" name="cqB_15" vbProcedure="false">In!$E$107</definedName>
    <definedName function="false" hidden="false" name="cqB_16" vbProcedure="false">In!$E$108</definedName>
    <definedName function="false" hidden="false" name="cqB_16_hi" vbProcedure="false">In!$F$108</definedName>
    <definedName function="false" hidden="false" name="cqB_16_lo" vbProcedure="false">In!$D$108</definedName>
    <definedName function="false" hidden="false" name="cqB_17" vbProcedure="false">In!$E$109</definedName>
    <definedName function="false" hidden="false" name="cqB_17_hi" vbProcedure="false">In!$F$109</definedName>
    <definedName function="false" hidden="false" name="cqB_17_lo" vbProcedure="false">In!$D$109</definedName>
    <definedName function="false" hidden="false" name="cqB_18" vbProcedure="false">In!$E$110</definedName>
    <definedName function="false" hidden="false" name="cqB_18_hi" vbProcedure="false">In!$F$110</definedName>
    <definedName function="false" hidden="false" name="cqB_18_lo" vbProcedure="false">In!$D$110</definedName>
    <definedName function="false" hidden="false" name="cqB_19" vbProcedure="false">In!$E$111</definedName>
    <definedName function="false" hidden="false" name="cqB_19_hi" vbProcedure="false">In!$F$111</definedName>
    <definedName function="false" hidden="false" name="cqB_19_lo" vbProcedure="false">In!$D$111</definedName>
    <definedName function="false" hidden="false" name="cqB_8" vbProcedure="false">In!$E$100</definedName>
    <definedName function="false" hidden="false" name="cqB_9" vbProcedure="false">In!$E$101</definedName>
    <definedName function="false" hidden="false" name="cqC_10" vbProcedure="false">In!$E$114</definedName>
    <definedName function="false" hidden="false" name="cqC_10_hi" vbProcedure="false">In!$F$114</definedName>
    <definedName function="false" hidden="false" name="cqC_10_lo" vbProcedure="false">In!$D$114</definedName>
    <definedName function="false" hidden="false" name="cqC_11" vbProcedure="false">In!$E$115</definedName>
    <definedName function="false" hidden="false" name="cqC_11_hi" vbProcedure="false">In!$F$115</definedName>
    <definedName function="false" hidden="false" name="cqC_11_lo" vbProcedure="false">In!$D$115</definedName>
    <definedName function="false" hidden="false" name="cqC_12" vbProcedure="false">In!$E$116</definedName>
    <definedName function="false" hidden="false" name="cqC_12_hi" vbProcedure="false">In!$F$116</definedName>
    <definedName function="false" hidden="false" name="cqC_12_lo" vbProcedure="false">In!$D$116</definedName>
    <definedName function="false" hidden="false" name="cqC_13" vbProcedure="false">In!$E$117</definedName>
    <definedName function="false" hidden="false" name="cqC_13_hi" vbProcedure="false">In!$F$117</definedName>
    <definedName function="false" hidden="false" name="cqC_13_lo" vbProcedure="false">In!$D$117</definedName>
    <definedName function="false" hidden="false" name="cqC_14" vbProcedure="false">In!$E$118</definedName>
    <definedName function="false" hidden="false" name="cqC_14_hi" vbProcedure="false">In!$F$118</definedName>
    <definedName function="false" hidden="false" name="cqC_14_lo" vbProcedure="false">In!$D$118</definedName>
    <definedName function="false" hidden="false" name="cqC_15" vbProcedure="false">In!$E$119</definedName>
    <definedName function="false" hidden="false" name="cqC_15_hi" vbProcedure="false">In!$F$119</definedName>
    <definedName function="false" hidden="false" name="cqC_15_lo" vbProcedure="false">In!$D$119</definedName>
    <definedName function="false" hidden="false" name="cqC_16" vbProcedure="false">In!$E$120</definedName>
    <definedName function="false" hidden="false" name="cqC_16_hi" vbProcedure="false">In!$F$120</definedName>
    <definedName function="false" hidden="false" name="cqC_16_lo" vbProcedure="false">In!$D$120</definedName>
    <definedName function="false" hidden="false" name="cqC_17" vbProcedure="false">In!$E$121</definedName>
    <definedName function="false" hidden="false" name="cqC_17_hi" vbProcedure="false">In!$F$121</definedName>
    <definedName function="false" hidden="false" name="cqC_17_lo" vbProcedure="false">In!$D$121</definedName>
    <definedName function="false" hidden="false" name="cqC_18" vbProcedure="false">In!$E$122</definedName>
    <definedName function="false" hidden="false" name="cqC_18_hi" vbProcedure="false">In!$F$122</definedName>
    <definedName function="false" hidden="false" name="cqC_18_lo" vbProcedure="false">In!$D$122</definedName>
    <definedName function="false" hidden="false" name="cqC_19" vbProcedure="false">In!$E$123</definedName>
    <definedName function="false" hidden="false" name="cqC_19_hi" vbProcedure="false">In!$F$123</definedName>
    <definedName function="false" hidden="false" name="cqC_19_lo" vbProcedure="false">In!$D$123</definedName>
    <definedName function="false" hidden="false" name="cqC_8" vbProcedure="false">In!$E$112</definedName>
    <definedName function="false" hidden="false" name="cqC_8_hi" vbProcedure="false">In!$F$112</definedName>
    <definedName function="false" hidden="false" name="cqC_8_lo" vbProcedure="false">In!$D$112</definedName>
    <definedName function="false" hidden="false" name="cqC_9" vbProcedure="false">In!$E$113</definedName>
    <definedName function="false" hidden="false" name="cqC_9_hi" vbProcedure="false">In!$F$113</definedName>
    <definedName function="false" hidden="false" name="cqC_9_lo" vbProcedure="false">In!$D$113</definedName>
    <definedName function="false" hidden="false" name="cq_1" vbProcedure="false">In!$E$81</definedName>
    <definedName function="false" hidden="false" name="cq_2" vbProcedure="false">In!$E$82</definedName>
    <definedName function="false" hidden="false" name="cq_3" vbProcedure="false">In!$E$83</definedName>
    <definedName function="false" hidden="false" name="cq_4" vbProcedure="false">In!$E$84</definedName>
    <definedName function="false" hidden="false" name="cq_5" vbProcedure="false">In!$E$85</definedName>
    <definedName function="false" hidden="false" name="cq_6" vbProcedure="false">In!$E$86</definedName>
    <definedName function="false" hidden="false" name="cq_7" vbProcedure="false">In!$E$87</definedName>
    <definedName function="false" hidden="false" name="cyc_mA" vbProcedure="false">In!$E$258</definedName>
    <definedName function="false" hidden="false" name="cyc_mC" vbProcedure="false">In!$E$259</definedName>
    <definedName function="false" hidden="false" name="da_cogs" vbProcedure="false">In!$E$40</definedName>
    <definedName function="false" hidden="false" name="da_life" vbProcedure="false">In!$E$39</definedName>
    <definedName function="false" hidden="false" name="da_life_hi" vbProcedure="false">In!$F$39</definedName>
    <definedName function="false" hidden="false" name="da_life_lo" vbProcedure="false">In!$D$39</definedName>
    <definedName function="false" hidden="false" name="da_q3" vbProcedure="false">In!$E$16</definedName>
    <definedName function="false" hidden="false" name="da_q4" vbProcedure="false">In!$E$17</definedName>
    <definedName function="false" hidden="false" name="div_0" vbProcedure="false">In!$E$66</definedName>
    <definedName function="false" hidden="false" name="dps_1" vbProcedure="false">In!$E$68</definedName>
    <definedName function="false" hidden="false" name="dps_2" vbProcedure="false">In!$E$69</definedName>
    <definedName function="false" hidden="false" name="dps_3" vbProcedure="false">In!$E$70</definedName>
    <definedName function="false" hidden="false" name="eq_last" vbProcedure="false">In!$E$59</definedName>
    <definedName function="false" hidden="false" name="extra_eq" vbProcedure="false">In!$E$62</definedName>
    <definedName function="false" hidden="false" name="extra_sh" vbProcedure="false">In!$E$63</definedName>
    <definedName function="false" hidden="false" name="fade_gA" vbProcedure="false">In!$E$255</definedName>
    <definedName function="false" hidden="false" name="fade_gB" vbProcedure="false">In!$E$256</definedName>
    <definedName function="false" hidden="false" name="fade_gC" vbProcedure="false">In!$E$257</definedName>
    <definedName function="false" hidden="false" name="fade_mA" vbProcedure="false">In!$E$260</definedName>
    <definedName function="false" hidden="false" name="fade_mB" vbProcedure="false">In!$E$261</definedName>
    <definedName function="false" hidden="false" name="fade_mC" vbProcedure="false">In!$E$262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In!$E$195</definedName>
    <definedName function="false" hidden="false" name="g_amd_26_hi" vbProcedure="false">In!$F$195</definedName>
    <definedName function="false" hidden="false" name="g_amd_26_lo" vbProcedure="false">In!$D$195</definedName>
    <definedName function="false" hidden="false" name="g_amd_27" vbProcedure="false">In!$E$196</definedName>
    <definedName function="false" hidden="false" name="g_amd_27_hi" vbProcedure="false">In!$F$196</definedName>
    <definedName function="false" hidden="false" name="g_amd_27_lo" vbProcedure="false">In!$D$196</definedName>
    <definedName function="false" hidden="false" name="g_amd_28" vbProcedure="false">In!$E$197</definedName>
    <definedName function="false" hidden="false" name="g_amd_28_hi" vbProcedure="false">In!$F$197</definedName>
    <definedName function="false" hidden="false" name="g_amd_28_lo" vbProcedure="false">In!$D$197</definedName>
    <definedName function="false" hidden="false" name="g_bw_26" vbProcedure="false">In!$E$171</definedName>
    <definedName function="false" hidden="false" name="g_bw_27" vbProcedure="false">In!$E$172</definedName>
    <definedName function="false" hidden="false" name="g_bw_28" vbProcedure="false">In!$E$173</definedName>
    <definedName function="false" hidden="false" name="g_hp_26" vbProcedure="false">In!$E$189</definedName>
    <definedName function="false" hidden="false" name="g_hp_27" vbProcedure="false">In!$E$190</definedName>
    <definedName function="false" hidden="false" name="g_hp_28" vbProcedure="false">In!$E$191</definedName>
    <definedName function="false" hidden="false" name="g_oth_26" vbProcedure="false">In!$E$213</definedName>
    <definedName function="false" hidden="false" name="g_oth_26_hi" vbProcedure="false">In!$F$213</definedName>
    <definedName function="false" hidden="false" name="g_oth_26_lo" vbProcedure="false">In!$D$213</definedName>
    <definedName function="false" hidden="false" name="g_oth_27" vbProcedure="false">In!$E$214</definedName>
    <definedName function="false" hidden="false" name="g_oth_27_hi" vbProcedure="false">In!$F$214</definedName>
    <definedName function="false" hidden="false" name="g_oth_27_lo" vbProcedure="false">In!$D$214</definedName>
    <definedName function="false" hidden="false" name="g_oth_28" vbProcedure="false">In!$E$215</definedName>
    <definedName function="false" hidden="false" name="g_oth_28_hi" vbProcedure="false">In!$F$215</definedName>
    <definedName function="false" hidden="false" name="g_oth_28_lo" vbProcedure="false">In!$D$215</definedName>
    <definedName function="false" hidden="false" name="g_rb_26" vbProcedure="false">In!$E$177</definedName>
    <definedName function="false" hidden="false" name="g_rb_27" vbProcedure="false">In!$E$178</definedName>
    <definedName function="false" hidden="false" name="g_rb_28" vbProcedure="false">In!$E$179</definedName>
    <definedName function="false" hidden="false" name="g_ru_26" vbProcedure="false">In!$E$183</definedName>
    <definedName function="false" hidden="false" name="g_ru_27" vbProcedure="false">In!$E$184</definedName>
    <definedName function="false" hidden="false" name="g_ru_28" vbProcedure="false">In!$E$185</definedName>
    <definedName function="false" hidden="false" name="g_tpu_26" vbProcedure="false">In!$E$201</definedName>
    <definedName function="false" hidden="false" name="g_tpu_27" vbProcedure="false">In!$E$202</definedName>
    <definedName function="false" hidden="false" name="g_tpu_28" vbProcedure="false">In!$E$203</definedName>
    <definedName function="false" hidden="false" name="g_trn_26" vbProcedure="false">In!$E$207</definedName>
    <definedName function="false" hidden="false" name="g_trn_26_hi" vbProcedure="false">In!$F$207</definedName>
    <definedName function="false" hidden="false" name="g_trn_26_lo" vbProcedure="false">In!$D$207</definedName>
    <definedName function="false" hidden="false" name="g_trn_27" vbProcedure="false">In!$E$208</definedName>
    <definedName function="false" hidden="false" name="g_trn_27_hi" vbProcedure="false">In!$F$208</definedName>
    <definedName function="false" hidden="false" name="g_trn_27_lo" vbProcedure="false">In!$D$208</definedName>
    <definedName function="false" hidden="false" name="g_trn_28" vbProcedure="false">In!$E$209</definedName>
    <definedName function="false" hidden="false" name="g_trn_28_hi" vbProcedure="false">In!$F$209</definedName>
    <definedName function="false" hidden="false" name="g_trn_28_lo" vbProcedure="false">In!$D$209</definedName>
    <definedName function="false" hidden="false" name="hbm_dem29" vbProcedure="false">In!$E$234</definedName>
    <definedName function="false" hidden="false" name="hbm_dem29_hi" vbProcedure="false">In!$F$234</definedName>
    <definedName function="false" hidden="false" name="hbm_dem29_lo" vbProcedure="false">In!$D$234</definedName>
    <definedName function="false" hidden="false" name="hbm_g26" vbProcedure="false">In!$E$225</definedName>
    <definedName function="false" hidden="false" name="hbm_g26_hi" vbProcedure="false">In!$F$225</definedName>
    <definedName function="false" hidden="false" name="hbm_g26_lo" vbProcedure="false">In!$D$225</definedName>
    <definedName function="false" hidden="false" name="hbm_gross" vbProcedure="false">In!$E$226</definedName>
    <definedName function="false" hidden="false" name="hbm_gross_hi" vbProcedure="false">In!$F$226</definedName>
    <definedName function="false" hidden="false" name="hbm_gross_lo" vbProcedure="false">In!$D$226</definedName>
    <definedName function="false" hidden="false" name="hbm_mkt25" vbProcedure="false">In!$E$224</definedName>
    <definedName function="false" hidden="false" name="hbm_mkt25_hi" vbProcedure="false">In!$F$224</definedName>
    <definedName function="false" hidden="false" name="hbm_mkt25_lo" vbProcedure="false">In!$D$224</definedName>
    <definedName function="false" hidden="false" name="hbm_p26" vbProcedure="false">In!$E$229</definedName>
    <definedName function="false" hidden="false" name="hbm_p26_hi" vbProcedure="false">In!$F$229</definedName>
    <definedName function="false" hidden="false" name="hbm_p26_lo" vbProcedure="false">In!$D$229</definedName>
    <definedName function="false" hidden="false" name="hbm_p27" vbProcedure="false">In!$E$230</definedName>
    <definedName function="false" hidden="false" name="hbm_p27_hi" vbProcedure="false">In!$F$230</definedName>
    <definedName function="false" hidden="false" name="hbm_p27_lo" vbProcedure="false">In!$D$230</definedName>
    <definedName function="false" hidden="false" name="hbm_p28_A" vbProcedure="false">In!$E$231</definedName>
    <definedName function="false" hidden="false" name="hbm_p28_A_hi" vbProcedure="false">In!$F$231</definedName>
    <definedName function="false" hidden="false" name="hbm_p28_A_lo" vbProcedure="false">In!$D$231</definedName>
    <definedName function="false" hidden="false" name="hbm_p28_B" vbProcedure="false">In!$E$232</definedName>
    <definedName function="false" hidden="false" name="hbm_p28_B_hi" vbProcedure="false">In!$F$232</definedName>
    <definedName function="false" hidden="false" name="hbm_p28_B_lo" vbProcedure="false">In!$D$232</definedName>
    <definedName function="false" hidden="false" name="hbm_p28_C" vbProcedure="false">In!$E$233</definedName>
    <definedName function="false" hidden="false" name="hbm_p28_C_hi" vbProcedure="false">In!$F$233</definedName>
    <definedName function="false" hidden="false" name="hbm_p28_C_lo" vbProcedure="false">In!$D$233</definedName>
    <definedName function="false" hidden="false" name="hbm_p29_A" vbProcedure="false">In!$E$236</definedName>
    <definedName function="false" hidden="false" name="hbm_p29_A_hi" vbProcedure="false">In!$F$236</definedName>
    <definedName function="false" hidden="false" name="hbm_p29_A_lo" vbProcedure="false">In!$D$236</definedName>
    <definedName function="false" hidden="false" name="hbm_p29_B" vbProcedure="false">In!$E$237</definedName>
    <definedName function="false" hidden="false" name="hbm_p29_B_hi" vbProcedure="false">In!$F$237</definedName>
    <definedName function="false" hidden="false" name="hbm_p29_B_lo" vbProcedure="false">In!$D$237</definedName>
    <definedName function="false" hidden="false" name="hbm_p29_C" vbProcedure="false">In!$E$238</definedName>
    <definedName function="false" hidden="false" name="hbm_p29_C_hi" vbProcedure="false">In!$F$238</definedName>
    <definedName function="false" hidden="false" name="hbm_p29_C_lo" vbProcedure="false">In!$D$238</definedName>
    <definedName function="false" hidden="false" name="hbm_sup27" vbProcedure="false">In!$E$227</definedName>
    <definedName function="false" hidden="false" name="hbm_sup27_hi" vbProcedure="false">In!$F$227</definedName>
    <definedName function="false" hidden="false" name="hbm_sup27_lo" vbProcedure="false">In!$D$227</definedName>
    <definedName function="false" hidden="false" name="hbm_sup28" vbProcedure="false">In!$E$228</definedName>
    <definedName function="false" hidden="false" name="hbm_sup28_hi" vbProcedure="false">In!$F$228</definedName>
    <definedName function="false" hidden="false" name="hbm_sup28_lo" vbProcedure="false">In!$D$228</definedName>
    <definedName function="false" hidden="false" name="hbm_sup29" vbProcedure="false">In!$E$235</definedName>
    <definedName function="false" hidden="false" name="hbm_sup29_hi" vbProcedure="false">In!$F$235</definedName>
    <definedName function="false" hidden="false" name="hbm_sup29_lo" vbProcedure="false">In!$D$235</definedName>
    <definedName function="false" hidden="false" name="nb_1" vbProcedure="false">In!$E$26</definedName>
    <definedName function="false" hidden="false" name="nb_1_hi" vbProcedure="false">In!$F$26</definedName>
    <definedName function="false" hidden="false" name="nb_1_lo" vbProcedure="false">In!$D$26</definedName>
    <definedName function="false" hidden="false" name="nb_2" vbProcedure="false">In!$E$27</definedName>
    <definedName function="false" hidden="false" name="nb_2_hi" vbProcedure="false">In!$F$27</definedName>
    <definedName function="false" hidden="false" name="nb_2_lo" vbProcedure="false">In!$D$27</definedName>
    <definedName function="false" hidden="false" name="nb_3" vbProcedure="false">In!$E$28</definedName>
    <definedName function="false" hidden="false" name="nb_3_hi" vbProcedure="false">In!$F$28</definedName>
    <definedName function="false" hidden="false" name="nb_3_lo" vbProcedure="false">In!$D$28</definedName>
    <definedName function="false" hidden="false" name="nc_last" vbProcedure="false">In!$E$60</definedName>
    <definedName function="false" hidden="false" name="nim10" vbProcedure="false">In!$E$254</definedName>
    <definedName function="false" hidden="false" name="nm_op_0" vbProcedure="false">In!$E$51</definedName>
    <definedName function="false" hidden="false" name="nm_op_1" vbProcedure="false">In!$E$53</definedName>
    <definedName function="false" hidden="false" name="nm_op_1_hi" vbProcedure="false">In!$F$53</definedName>
    <definedName function="false" hidden="false" name="nm_op_1_lo" vbProcedure="false">In!$D$53</definedName>
    <definedName function="false" hidden="false" name="nm_op_2" vbProcedure="false">In!$E$55</definedName>
    <definedName function="false" hidden="false" name="nm_op_2_hi" vbProcedure="false">In!$F$55</definedName>
    <definedName function="false" hidden="false" name="nm_op_2_lo" vbProcedure="false">In!$D$55</definedName>
    <definedName function="false" hidden="false" name="nm_op_3" vbProcedure="false">In!$E$57</definedName>
    <definedName function="false" hidden="false" name="nm_op_3_hi" vbProcedure="false">In!$F$57</definedName>
    <definedName function="false" hidden="false" name="nm_op_3_lo" vbProcedure="false">In!$D$57</definedName>
    <definedName function="false" hidden="false" name="nm_op_q" vbProcedure="false">In!$E$21</definedName>
    <definedName function="false" hidden="false" name="nm_op_q_hi" vbProcedure="false">In!$F$21</definedName>
    <definedName function="false" hidden="false" name="nm_op_q_lo" vbProcedure="false">In!$D$21</definedName>
    <definedName function="false" hidden="false" name="nm_rev_0" vbProcedure="false">In!$E$50</definedName>
    <definedName function="false" hidden="false" name="nm_rev_1" vbProcedure="false">In!$E$52</definedName>
    <definedName function="false" hidden="false" name="nm_rev_2" vbProcedure="false">In!$E$54</definedName>
    <definedName function="false" hidden="false" name="nm_rev_3" vbProcedure="false">In!$E$56</definedName>
    <definedName function="false" hidden="false" name="nonop_q" vbProcedure="false">In!$E$20</definedName>
    <definedName function="false" hidden="false" name="nonop_q_hi" vbProcedure="false">In!$F$20</definedName>
    <definedName function="false" hidden="false" name="nonop_q_lo" vbProcedure="false">In!$D$20</definedName>
    <definedName function="false" hidden="false" name="nqA_10" vbProcedure="false">In!$E$133</definedName>
    <definedName function="false" hidden="false" name="nqA_11" vbProcedure="false">In!$E$134</definedName>
    <definedName function="false" hidden="false" name="nqA_12" vbProcedure="false">In!$E$135</definedName>
    <definedName function="false" hidden="false" name="nqA_13" vbProcedure="false">In!$E$136</definedName>
    <definedName function="false" hidden="false" name="nqA_14" vbProcedure="false">In!$E$137</definedName>
    <definedName function="false" hidden="false" name="nqA_15" vbProcedure="false">In!$E$138</definedName>
    <definedName function="false" hidden="false" name="nqA_16" vbProcedure="false">In!$E$139</definedName>
    <definedName function="false" hidden="false" name="nqA_16_hi" vbProcedure="false">In!$F$139</definedName>
    <definedName function="false" hidden="false" name="nqA_16_lo" vbProcedure="false">In!$D$139</definedName>
    <definedName function="false" hidden="false" name="nqA_17" vbProcedure="false">In!$E$140</definedName>
    <definedName function="false" hidden="false" name="nqA_17_hi" vbProcedure="false">In!$F$140</definedName>
    <definedName function="false" hidden="false" name="nqA_17_lo" vbProcedure="false">In!$D$140</definedName>
    <definedName function="false" hidden="false" name="nqA_18" vbProcedure="false">In!$E$141</definedName>
    <definedName function="false" hidden="false" name="nqA_18_hi" vbProcedure="false">In!$F$141</definedName>
    <definedName function="false" hidden="false" name="nqA_18_lo" vbProcedure="false">In!$D$141</definedName>
    <definedName function="false" hidden="false" name="nqA_19" vbProcedure="false">In!$E$142</definedName>
    <definedName function="false" hidden="false" name="nqA_19_hi" vbProcedure="false">In!$F$142</definedName>
    <definedName function="false" hidden="false" name="nqA_19_lo" vbProcedure="false">In!$D$142</definedName>
    <definedName function="false" hidden="false" name="nqA_8" vbProcedure="false">In!$E$131</definedName>
    <definedName function="false" hidden="false" name="nqA_9" vbProcedure="false">In!$E$132</definedName>
    <definedName function="false" hidden="false" name="nqB_10" vbProcedure="false">In!$E$145</definedName>
    <definedName function="false" hidden="false" name="nqB_11" vbProcedure="false">In!$E$146</definedName>
    <definedName function="false" hidden="false" name="nqB_12" vbProcedure="false">In!$E$147</definedName>
    <definedName function="false" hidden="false" name="nqB_13" vbProcedure="false">In!$E$148</definedName>
    <definedName function="false" hidden="false" name="nqB_14" vbProcedure="false">In!$E$149</definedName>
    <definedName function="false" hidden="false" name="nqB_15" vbProcedure="false">In!$E$150</definedName>
    <definedName function="false" hidden="false" name="nqB_16" vbProcedure="false">In!$E$151</definedName>
    <definedName function="false" hidden="false" name="nqB_16_hi" vbProcedure="false">In!$F$151</definedName>
    <definedName function="false" hidden="false" name="nqB_16_lo" vbProcedure="false">In!$D$151</definedName>
    <definedName function="false" hidden="false" name="nqB_17" vbProcedure="false">In!$E$152</definedName>
    <definedName function="false" hidden="false" name="nqB_17_hi" vbProcedure="false">In!$F$152</definedName>
    <definedName function="false" hidden="false" name="nqB_17_lo" vbProcedure="false">In!$D$152</definedName>
    <definedName function="false" hidden="false" name="nqB_18" vbProcedure="false">In!$E$153</definedName>
    <definedName function="false" hidden="false" name="nqB_18_hi" vbProcedure="false">In!$F$153</definedName>
    <definedName function="false" hidden="false" name="nqB_18_lo" vbProcedure="false">In!$D$153</definedName>
    <definedName function="false" hidden="false" name="nqB_19" vbProcedure="false">In!$E$154</definedName>
    <definedName function="false" hidden="false" name="nqB_19_hi" vbProcedure="false">In!$F$154</definedName>
    <definedName function="false" hidden="false" name="nqB_19_lo" vbProcedure="false">In!$D$154</definedName>
    <definedName function="false" hidden="false" name="nqB_8" vbProcedure="false">In!$E$143</definedName>
    <definedName function="false" hidden="false" name="nqB_9" vbProcedure="false">In!$E$144</definedName>
    <definedName function="false" hidden="false" name="nqC_10" vbProcedure="false">In!$E$157</definedName>
    <definedName function="false" hidden="false" name="nqC_10_hi" vbProcedure="false">In!$F$157</definedName>
    <definedName function="false" hidden="false" name="nqC_10_lo" vbProcedure="false">In!$D$157</definedName>
    <definedName function="false" hidden="false" name="nqC_11" vbProcedure="false">In!$E$158</definedName>
    <definedName function="false" hidden="false" name="nqC_11_hi" vbProcedure="false">In!$F$158</definedName>
    <definedName function="false" hidden="false" name="nqC_11_lo" vbProcedure="false">In!$D$158</definedName>
    <definedName function="false" hidden="false" name="nqC_12" vbProcedure="false">In!$E$159</definedName>
    <definedName function="false" hidden="false" name="nqC_12_hi" vbProcedure="false">In!$F$159</definedName>
    <definedName function="false" hidden="false" name="nqC_12_lo" vbProcedure="false">In!$D$159</definedName>
    <definedName function="false" hidden="false" name="nqC_13" vbProcedure="false">In!$E$160</definedName>
    <definedName function="false" hidden="false" name="nqC_13_hi" vbProcedure="false">In!$F$160</definedName>
    <definedName function="false" hidden="false" name="nqC_13_lo" vbProcedure="false">In!$D$160</definedName>
    <definedName function="false" hidden="false" name="nqC_14" vbProcedure="false">In!$E$161</definedName>
    <definedName function="false" hidden="false" name="nqC_14_hi" vbProcedure="false">In!$F$161</definedName>
    <definedName function="false" hidden="false" name="nqC_14_lo" vbProcedure="false">In!$D$161</definedName>
    <definedName function="false" hidden="false" name="nqC_15" vbProcedure="false">In!$E$162</definedName>
    <definedName function="false" hidden="false" name="nqC_15_hi" vbProcedure="false">In!$F$162</definedName>
    <definedName function="false" hidden="false" name="nqC_15_lo" vbProcedure="false">In!$D$162</definedName>
    <definedName function="false" hidden="false" name="nqC_16" vbProcedure="false">In!$E$163</definedName>
    <definedName function="false" hidden="false" name="nqC_16_hi" vbProcedure="false">In!$F$163</definedName>
    <definedName function="false" hidden="false" name="nqC_16_lo" vbProcedure="false">In!$D$163</definedName>
    <definedName function="false" hidden="false" name="nqC_17" vbProcedure="false">In!$E$164</definedName>
    <definedName function="false" hidden="false" name="nqC_17_hi" vbProcedure="false">In!$F$164</definedName>
    <definedName function="false" hidden="false" name="nqC_17_lo" vbProcedure="false">In!$D$164</definedName>
    <definedName function="false" hidden="false" name="nqC_18" vbProcedure="false">In!$E$165</definedName>
    <definedName function="false" hidden="false" name="nqC_18_hi" vbProcedure="false">In!$F$165</definedName>
    <definedName function="false" hidden="false" name="nqC_18_lo" vbProcedure="false">In!$D$165</definedName>
    <definedName function="false" hidden="false" name="nqC_19" vbProcedure="false">In!$E$166</definedName>
    <definedName function="false" hidden="false" name="nqC_19_hi" vbProcedure="false">In!$F$166</definedName>
    <definedName function="false" hidden="false" name="nqC_19_lo" vbProcedure="false">In!$D$166</definedName>
    <definedName function="false" hidden="false" name="nqC_8" vbProcedure="false">In!$E$155</definedName>
    <definedName function="false" hidden="false" name="nqC_8_hi" vbProcedure="false">In!$F$155</definedName>
    <definedName function="false" hidden="false" name="nqC_8_lo" vbProcedure="false">In!$D$155</definedName>
    <definedName function="false" hidden="false" name="nqC_9" vbProcedure="false">In!$E$156</definedName>
    <definedName function="false" hidden="false" name="nqC_9_hi" vbProcedure="false">In!$F$156</definedName>
    <definedName function="false" hidden="false" name="nqC_9_lo" vbProcedure="false">In!$D$156</definedName>
    <definedName function="false" hidden="false" name="nq_1" vbProcedure="false">In!$E$124</definedName>
    <definedName function="false" hidden="false" name="nq_2" vbProcedure="false">In!$E$125</definedName>
    <definedName function="false" hidden="false" name="nq_3" vbProcedure="false">In!$E$126</definedName>
    <definedName function="false" hidden="false" name="nq_4" vbProcedure="false">In!$E$127</definedName>
    <definedName function="false" hidden="false" name="nq_5" vbProcedure="false">In!$E$128</definedName>
    <definedName function="false" hidden="false" name="nq_6" vbProcedure="false">In!$E$129</definedName>
    <definedName function="false" hidden="false" name="nq_7" vbProcedure="false">In!$E$130</definedName>
    <definedName function="false" hidden="false" name="nq_7_hi" vbProcedure="false">In!$F$130</definedName>
    <definedName function="false" hidden="false" name="nq_7_lo" vbProcedure="false">In!$D$130</definedName>
    <definedName function="false" hidden="false" name="nv_content" vbProcedure="false">In!$E$241</definedName>
    <definedName function="false" hidden="false" name="nv_content_hi" vbProcedure="false">In!$F$241</definedName>
    <definedName function="false" hidden="false" name="nv_content_lo" vbProcedure="false">In!$D$241</definedName>
    <definedName function="false" hidden="false" name="nv_dc26" vbProcedure="false">In!$E$240</definedName>
    <definedName function="false" hidden="false" name="nv_dc26_hi" vbProcedure="false">In!$F$240</definedName>
    <definedName function="false" hidden="false" name="nv_dc26_lo" vbProcedure="false">In!$D$240</definedName>
    <definedName function="false" hidden="false" name="nv_hbm" vbProcedure="false">In!$E$242</definedName>
    <definedName function="false" hidden="false" name="nv_hbm_hi" vbProcedure="false">In!$F$242</definedName>
    <definedName function="false" hidden="false" name="nv_hbm_lo" vbProcedure="false">In!$D$242</definedName>
    <definedName function="false" hidden="false" name="opex_fix_q" vbProcedure="false">In!$E$19</definedName>
    <definedName function="false" hidden="false" name="opex_fix_y" vbProcedure="false">In!$E$41</definedName>
    <definedName function="false" hidden="false" name="opex_g" vbProcedure="false">In!$E$43</definedName>
    <definedName function="false" hidden="false" name="opex_var" vbProcedure="false">In!$E$42</definedName>
    <definedName function="false" hidden="false" name="opex_var_hi" vbProcedure="false">In!$F$42</definedName>
    <definedName function="false" hidden="false" name="opex_var_lo" vbProcedure="false">In!$D$42</definedName>
    <definedName function="false" hidden="false" name="other_y" vbProcedure="false">In!$E$34</definedName>
    <definedName function="false" hidden="false" name="payout" vbProcedure="false">In!$E$71</definedName>
    <definedName function="false" hidden="false" name="payout_hi" vbProcedure="false">In!$F$71</definedName>
    <definedName function="false" hidden="false" name="payout_lo" vbProcedure="false">In!$D$71</definedName>
    <definedName function="false" hidden="false" name="pb_1" vbProcedure="false">In!$E$74</definedName>
    <definedName function="false" hidden="false" name="pb_2" vbProcedure="false">In!$E$75</definedName>
    <definedName function="false" hidden="false" name="pb_3" vbProcedure="false">In!$E$76</definedName>
    <definedName function="false" hidden="false" name="pe_1" vbProcedure="false">In!$E$77</definedName>
    <definedName function="false" hidden="false" name="pe_2" vbProcedure="false">In!$E$78</definedName>
    <definedName function="false" hidden="false" name="pe_3" vbProcedure="false">In!$E$79</definedName>
    <definedName function="false" hidden="false" name="pub26_hi" vbProcedure="false">In!$E$244</definedName>
    <definedName function="false" hidden="false" name="pub26_lo" vbProcedure="false">In!$E$243</definedName>
    <definedName function="false" hidden="false" name="pub27" vbProcedure="false">In!$E$245</definedName>
    <definedName function="false" hidden="false" name="px" vbProcedure="false">In!$E$6</definedName>
    <definedName function="false" hidden="false" name="q3_db" vbProcedure="false">In!$E$8</definedName>
    <definedName function="false" hidden="false" name="q3_db_hi" vbProcedure="false">In!$F$8</definedName>
    <definedName function="false" hidden="false" name="q3_db_lo" vbProcedure="false">In!$D$8</definedName>
    <definedName function="false" hidden="false" name="q3_dp" vbProcedure="false">In!$E$9</definedName>
    <definedName function="false" hidden="false" name="q3_dp_hi" vbProcedure="false">In!$F$9</definedName>
    <definedName function="false" hidden="false" name="q3_dp_lo" vbProcedure="false">In!$D$9</definedName>
    <definedName function="false" hidden="false" name="q3_nb" vbProcedure="false">In!$E$10</definedName>
    <definedName function="false" hidden="false" name="q3_nb_hi" vbProcedure="false">In!$F$10</definedName>
    <definedName function="false" hidden="false" name="q3_nb_lo" vbProcedure="false">In!$D$10</definedName>
    <definedName function="false" hidden="false" name="q3_np" vbProcedure="false">In!$E$11</definedName>
    <definedName function="false" hidden="false" name="q3_np_hi" vbProcedure="false">In!$F$11</definedName>
    <definedName function="false" hidden="false" name="q3_np_lo" vbProcedure="false">In!$D$11</definedName>
    <definedName function="false" hidden="false" name="q4_db" vbProcedure="false">In!$E$12</definedName>
    <definedName function="false" hidden="false" name="q4_db_hi" vbProcedure="false">In!$F$12</definedName>
    <definedName function="false" hidden="false" name="q4_db_lo" vbProcedure="false">In!$D$12</definedName>
    <definedName function="false" hidden="false" name="q4_dp" vbProcedure="false">In!$E$13</definedName>
    <definedName function="false" hidden="false" name="q4_dp_hi" vbProcedure="false">In!$F$13</definedName>
    <definedName function="false" hidden="false" name="q4_dp_lo" vbProcedure="false">In!$D$13</definedName>
    <definedName function="false" hidden="false" name="q4_nb" vbProcedure="false">In!$E$14</definedName>
    <definedName function="false" hidden="false" name="q4_nb_hi" vbProcedure="false">In!$F$14</definedName>
    <definedName function="false" hidden="false" name="q4_nb_lo" vbProcedure="false">In!$D$14</definedName>
    <definedName function="false" hidden="false" name="q4_np" vbProcedure="false">In!$E$15</definedName>
    <definedName function="false" hidden="false" name="q4_np_hi" vbProcedure="false">In!$F$15</definedName>
    <definedName function="false" hidden="false" name="q4_np_lo" vbProcedure="false">In!$D$15</definedName>
    <definedName function="false" hidden="false" name="rf" vbProcedure="false">In!$E$45</definedName>
    <definedName function="false" hidden="false" name="rm_factor" vbProcedure="false">Val!$B$203</definedName>
    <definedName function="false" hidden="false" name="sh25" vbProcedure="false">In!$E$29</definedName>
    <definedName function="false" hidden="false" name="sh25_hi" vbProcedure="false">In!$F$29</definedName>
    <definedName function="false" hidden="false" name="sh25_lo" vbProcedure="false">In!$D$29</definedName>
    <definedName function="false" hidden="false" name="sh26" vbProcedure="false">In!$E$30</definedName>
    <definedName function="false" hidden="false" name="sh26_hi" vbProcedure="false">In!$F$30</definedName>
    <definedName function="false" hidden="false" name="sh26_lo" vbProcedure="false">In!$D$30</definedName>
    <definedName function="false" hidden="false" name="sh27" vbProcedure="false">In!$E$31</definedName>
    <definedName function="false" hidden="false" name="sh27_hi" vbProcedure="false">In!$F$31</definedName>
    <definedName function="false" hidden="false" name="sh27_lo" vbProcedure="false">In!$D$31</definedName>
    <definedName function="false" hidden="false" name="sh28" vbProcedure="false">In!$E$32</definedName>
    <definedName function="false" hidden="false" name="sh28_hi" vbProcedure="false">In!$F$32</definedName>
    <definedName function="false" hidden="false" name="sh28_lo" vbProcedure="false">In!$D$32</definedName>
    <definedName function="false" hidden="false" name="sh29" vbProcedure="false">In!$E$33</definedName>
    <definedName function="false" hidden="false" name="sh29_hi" vbProcedure="false">In!$F$33</definedName>
    <definedName function="false" hidden="false" name="sh29_lo" vbProcedure="false">In!$D$33</definedName>
    <definedName function="false" hidden="false" name="sh_last" vbProcedure="false">In!$E$61</definedName>
    <definedName function="false" hidden="false" name="tax" vbProcedure="false">In!$E$44</definedName>
    <definedName function="false" hidden="false" name="tax_hi" vbProcedure="false">In!$F$44</definedName>
    <definedName function="false" hidden="false" name="tax_lo" vbProcedure="false">In!$D$44</definedName>
    <definedName function="false" hidden="false" name="tp_comp_adj" vbProcedure="false">Val!$B$204</definedName>
    <definedName function="false" hidden="false" name="tp_g" vbProcedure="false">In!$E$251</definedName>
    <definedName function="false" hidden="false" name="tp_r" vbProcedure="false">In!$E$250</definedName>
    <definedName function="false" hidden="false" name="tp_roe" vbProcedure="false">In!$E$252</definedName>
    <definedName function="false" hidden="false" name="tp_wA" vbProcedure="false">In!$E$247</definedName>
    <definedName function="false" hidden="false" name="tp_wB" vbProcedure="false">In!$E$248</definedName>
    <definedName function="false" hidden="false" name="tp_wC" vbProcedure="false">In!$E$249</definedName>
    <definedName function="false" hidden="false" name="tp_w_dcf" vbProcedure="false">In!$E$253</definedName>
    <definedName function="false" hidden="false" name="um28_A" vbProcedure="false">In!$E$217</definedName>
    <definedName function="false" hidden="false" name="um28_B" vbProcedure="false">In!$E$219</definedName>
    <definedName function="false" hidden="false" name="um28_B_hi" vbProcedure="false">In!$F$219</definedName>
    <definedName function="false" hidden="false" name="um28_B_lo" vbProcedure="false">In!$D$219</definedName>
    <definedName function="false" hidden="false" name="um28_C" vbProcedure="false">In!$E$221</definedName>
    <definedName function="false" hidden="false" name="um28_C_hi" vbProcedure="false">In!$F$221</definedName>
    <definedName function="false" hidden="false" name="um28_C_lo" vbProcedure="false">In!$D$221</definedName>
    <definedName function="false" hidden="false" name="um29_A" vbProcedure="false">In!$E$218</definedName>
    <definedName function="false" hidden="false" name="um29_B" vbProcedure="false">In!$E$220</definedName>
    <definedName function="false" hidden="false" name="um29_B_hi" vbProcedure="false">In!$F$220</definedName>
    <definedName function="false" hidden="false" name="um29_B_lo" vbProcedure="false">In!$D$220</definedName>
    <definedName function="false" hidden="false" name="um29_C" vbProcedure="false">In!$E$222</definedName>
    <definedName function="false" hidden="false" name="um29_C_hi" vbProcedure="false">In!$F$222</definedName>
    <definedName function="false" hidden="false" name="um29_C_lo" vbProcedure="false">In!$D$222</definedName>
    <definedName function="false" hidden="false" name="u_amd_26" vbProcedure="false">In!$E$192</definedName>
    <definedName function="false" hidden="false" name="u_amd_26_hi" vbProcedure="false">In!$F$192</definedName>
    <definedName function="false" hidden="false" name="u_amd_26_lo" vbProcedure="false">In!$D$192</definedName>
    <definedName function="false" hidden="false" name="u_amd_27" vbProcedure="false">In!$E$193</definedName>
    <definedName function="false" hidden="false" name="u_amd_27_hi" vbProcedure="false">In!$F$193</definedName>
    <definedName function="false" hidden="false" name="u_amd_27_lo" vbProcedure="false">In!$D$193</definedName>
    <definedName function="false" hidden="false" name="u_amd_28" vbProcedure="false">In!$E$194</definedName>
    <definedName function="false" hidden="false" name="u_amd_28_hi" vbProcedure="false">In!$F$194</definedName>
    <definedName function="false" hidden="false" name="u_amd_28_lo" vbProcedure="false">In!$D$194</definedName>
    <definedName function="false" hidden="false" name="u_bw_26" vbProcedure="false">In!$E$168</definedName>
    <definedName function="false" hidden="false" name="u_bw_27" vbProcedure="false">In!$E$169</definedName>
    <definedName function="false" hidden="false" name="u_bw_28" vbProcedure="false">In!$E$170</definedName>
    <definedName function="false" hidden="false" name="u_hp_26" vbProcedure="false">In!$E$186</definedName>
    <definedName function="false" hidden="false" name="u_hp_27" vbProcedure="false">In!$E$187</definedName>
    <definedName function="false" hidden="false" name="u_hp_28" vbProcedure="false">In!$E$188</definedName>
    <definedName function="false" hidden="false" name="u_oth_26" vbProcedure="false">In!$E$210</definedName>
    <definedName function="false" hidden="false" name="u_oth_26_hi" vbProcedure="false">In!$F$210</definedName>
    <definedName function="false" hidden="false" name="u_oth_26_lo" vbProcedure="false">In!$D$210</definedName>
    <definedName function="false" hidden="false" name="u_oth_27" vbProcedure="false">In!$E$211</definedName>
    <definedName function="false" hidden="false" name="u_oth_27_hi" vbProcedure="false">In!$F$211</definedName>
    <definedName function="false" hidden="false" name="u_oth_27_lo" vbProcedure="false">In!$D$211</definedName>
    <definedName function="false" hidden="false" name="u_oth_28" vbProcedure="false">In!$E$212</definedName>
    <definedName function="false" hidden="false" name="u_oth_28_hi" vbProcedure="false">In!$F$212</definedName>
    <definedName function="false" hidden="false" name="u_oth_28_lo" vbProcedure="false">In!$D$212</definedName>
    <definedName function="false" hidden="false" name="u_rb_26" vbProcedure="false">In!$E$174</definedName>
    <definedName function="false" hidden="false" name="u_rb_27" vbProcedure="false">In!$E$175</definedName>
    <definedName function="false" hidden="false" name="u_rb_28" vbProcedure="false">In!$E$176</definedName>
    <definedName function="false" hidden="false" name="u_ru_26" vbProcedure="false">In!$E$180</definedName>
    <definedName function="false" hidden="false" name="u_ru_26_hi" vbProcedure="false">In!$F$180</definedName>
    <definedName function="false" hidden="false" name="u_ru_26_lo" vbProcedure="false">In!$D$180</definedName>
    <definedName function="false" hidden="false" name="u_ru_27" vbProcedure="false">In!$E$181</definedName>
    <definedName function="false" hidden="false" name="u_ru_27_hi" vbProcedure="false">In!$F$181</definedName>
    <definedName function="false" hidden="false" name="u_ru_27_lo" vbProcedure="false">In!$D$181</definedName>
    <definedName function="false" hidden="false" name="u_ru_28" vbProcedure="false">In!$E$182</definedName>
    <definedName function="false" hidden="false" name="u_ru_28_hi" vbProcedure="false">In!$F$182</definedName>
    <definedName function="false" hidden="false" name="u_ru_28_lo" vbProcedure="false">In!$D$182</definedName>
    <definedName function="false" hidden="false" name="u_tpu_26" vbProcedure="false">In!$E$198</definedName>
    <definedName function="false" hidden="false" name="u_tpu_27" vbProcedure="false">In!$E$199</definedName>
    <definedName function="false" hidden="false" name="u_tpu_28" vbProcedure="false">In!$E$200</definedName>
    <definedName function="false" hidden="false" name="u_trn_26" vbProcedure="false">In!$E$204</definedName>
    <definedName function="false" hidden="false" name="u_trn_26_hi" vbProcedure="false">In!$F$204</definedName>
    <definedName function="false" hidden="false" name="u_trn_26_lo" vbProcedure="false">In!$D$204</definedName>
    <definedName function="false" hidden="false" name="u_trn_27" vbProcedure="false">In!$E$205</definedName>
    <definedName function="false" hidden="false" name="u_trn_27_hi" vbProcedure="false">In!$F$205</definedName>
    <definedName function="false" hidden="false" name="u_trn_27_lo" vbProcedure="false">In!$D$205</definedName>
    <definedName function="false" hidden="false" name="u_trn_28" vbProcedure="false">In!$E$206</definedName>
    <definedName function="false" hidden="false" name="u_trn_28_hi" vbProcedure="false">In!$F$206</definedName>
    <definedName function="false" hidden="false" name="u_trn_28_lo" vbProcedure="false">In!$D$206</definedName>
    <definedName function="false" hidden="false" name="w_c" vbProcedure="false">In!$E$35</definedName>
    <definedName function="false" hidden="false" name="w_h" vbProcedure="false">In!$E$36</definedName>
    <definedName function="false" hidden="false" name="w_n" vbProcedure="false">In!$E$37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<sst xmlns="http://schemas.openxmlformats.org/spreadsheetml/2006/main" count="2281" uniqueCount="1225">
  <si>
    <r>
      <rPr>
        <b val="true"/>
        <sz val="11"/>
        <rFont val="Noto Sans CJK SC"/>
        <family val="2"/>
      </rPr>
      <t xml:space="preserve">三星電子 收支與估值模型 </t>
    </r>
    <r>
      <rPr>
        <b val="true"/>
        <sz val="11"/>
        <rFont val="Cambria"/>
        <family val="0"/>
        <charset val="1"/>
      </rPr>
      <t xml:space="preserve">v0.4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v0.4.1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2026-10-30</t>
    </r>
  </si>
  <si>
    <r>
      <rPr>
        <sz val="11"/>
        <rFont val="Noto Sans CJK SC"/>
        <family val="2"/>
      </rPr>
      <t xml:space="preserve">模型命題：三星電子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年的獲利幾乎全部來自記憶體，盈餘由一般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價格循環與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份額追趕兩條線決定；股價取決於循環見頂的年度、見頂時累積的淨值，以及非記憶體事業（手機、晶圓代工、面板、家電）在谷底時能撐住多少。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</si>
  <si>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</si>
  <si>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</si>
  <si>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</si>
  <si>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</si>
  <si>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</si>
  <si>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（股東現金流，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前瞻每股淨值）加權；另有每股淨值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（對照）與十年倍數規則值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</si>
  <si>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</si>
  <si>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</si>
  <si>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</si>
  <si>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自谷底回升（完整循環）（目標價對應：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＝不如預期；</t>
    </r>
    <r>
      <rPr>
        <sz val="11"/>
        <rFont val="Cambria"/>
        <family val="0"/>
        <charset val="1"/>
      </rPr>
      <t xml:space="preserve">2030–2032 </t>
    </r>
    <r>
      <rPr>
        <sz val="11"/>
        <rFont val="Noto Sans CJK SC"/>
        <family val="2"/>
      </rPr>
      <t xml:space="preserve">為收斂法）</t>
    </r>
  </si>
  <si>
    <r>
      <rPr>
        <sz val="11"/>
        <rFont val="Noto Sans CJK SC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Noto Sans CJK SC"/>
        <family val="2"/>
      </rPr>
      <t xml:space="preserve">合併）；記憶體事業以外為輸入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</si>
  <si>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</si>
  <si>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</si>
  <si>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Noto Sans CJK SC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Noto Sans CJK SC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</si>
  <si>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相同。</t>
    </r>
  </si>
  <si>
    <r>
      <rPr>
        <sz val="11"/>
        <rFont val="Noto Sans CJK SC"/>
        <family val="2"/>
      </rPr>
      <t xml:space="preserve">集團公司處理：只建模記憶體事業（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），手機、晶圓代工、面板、家電、</t>
    </r>
    <r>
      <rPr>
        <sz val="11"/>
        <rFont val="Cambria"/>
        <family val="0"/>
        <charset val="1"/>
      </rPr>
      <t xml:space="preserve">Harman </t>
    </r>
    <r>
      <rPr>
        <sz val="11"/>
        <rFont val="Noto Sans CJK SC"/>
        <family val="2"/>
      </rPr>
      <t xml:space="preserve">以「非記憶體事業營收、營業利益」輸入；權益、淨現金、股數、估值為全公司。</t>
    </r>
  </si>
  <si>
    <r>
      <rPr>
        <sz val="11"/>
        <rFont val="Noto Sans CJK SC"/>
        <family val="2"/>
      </rPr>
      <t xml:space="preserve">最大限制：三星不揭露記憶體營業利益；基準年記憶體利潤率由 </t>
    </r>
    <r>
      <rPr>
        <sz val="11"/>
        <rFont val="Cambria"/>
        <family val="0"/>
        <charset val="1"/>
      </rPr>
      <t xml:space="preserve">DS </t>
    </r>
    <r>
      <rPr>
        <sz val="11"/>
        <rFont val="Noto Sans CJK SC"/>
        <family val="2"/>
      </rPr>
      <t xml:space="preserve">營業利益加回晶圓代工虧損估計推得，並以 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初步財報（合併營業利益 </t>
    </r>
    <r>
      <rPr>
        <sz val="11"/>
        <rFont val="Cambria"/>
        <family val="0"/>
        <charset val="1"/>
      </rPr>
      <t xml:space="preserve">107.4 </t>
    </r>
    <r>
      <rPr>
        <sz val="11"/>
        <rFont val="Noto Sans CJK SC"/>
        <family val="2"/>
      </rPr>
      <t xml:space="preserve">兆）核對。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</si>
  <si>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三個 </t>
    </r>
    <r>
      <rPr>
        <sz val="11"/>
        <rFont val="Cambria"/>
        <family val="0"/>
        <charset val="1"/>
      </rPr>
      <t xml:space="preserve">P/B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＝中段、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＝見頂、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＝谷底）；既有儲存格的值不變。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</si>
  <si>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tp_w_dcf 0.5</t>
    </r>
    <r>
      <rPr>
        <sz val="11"/>
        <rFont val="Noto Sans CJK SC"/>
        <family val="2"/>
      </rPr>
      <t xml:space="preserve">）；原「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目標價與上檔空間」改名「舊法：規則值情境加權（參考）」，情境對應改為 </t>
    </r>
    <r>
      <rPr>
        <sz val="11"/>
        <rFont val="Cambria"/>
        <family val="0"/>
        <charset val="1"/>
      </rPr>
      <t xml:space="preserve">A 75 </t>
    </r>
    <r>
      <rPr>
        <sz val="11"/>
        <rFont val="Noto Sans CJK SC"/>
        <family val="2"/>
      </rPr>
      <t xml:space="preserve">分位、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中位數、</t>
    </r>
    <r>
      <rPr>
        <sz val="11"/>
        <rFont val="Cambria"/>
        <family val="0"/>
        <charset val="1"/>
      </rPr>
      <t xml:space="preserve">C 25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年底每股淨值。</t>
    </r>
    <r>
      <rPr>
        <sz val="11"/>
        <rFont val="Cambria"/>
        <family val="0"/>
        <charset val="1"/>
      </rPr>
      <t xml:space="preserve">Y </t>
    </r>
    <r>
      <rPr>
        <sz val="11"/>
        <rFont val="Noto Sans CJK SC"/>
        <family val="2"/>
      </rPr>
      <t xml:space="preserve">頁三情境延伸到 </t>
    </r>
    <r>
      <rPr>
        <sz val="11"/>
        <rFont val="Cambria"/>
        <family val="0"/>
        <charset val="1"/>
      </rPr>
      <t xml:space="preserve">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起收斂法）。現價更新為 </t>
    </r>
    <r>
      <rPr>
        <sz val="11"/>
        <rFont val="Cambria"/>
        <family val="0"/>
        <charset val="1"/>
      </rPr>
      <t xml:space="preserve">2026-10-23 </t>
    </r>
    <r>
      <rPr>
        <sz val="11"/>
        <rFont val="Noto Sans CJK SC"/>
        <family val="2"/>
      </rPr>
      <t xml:space="preserve">收盤 </t>
    </r>
    <r>
      <rPr>
        <sz val="11"/>
        <rFont val="Cambria"/>
        <family val="0"/>
        <charset val="1"/>
      </rPr>
      <t xml:space="preserve">215,500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2026–2028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v0.2.2 </t>
    </r>
    <r>
      <rPr>
        <sz val="11"/>
        <rFont val="Noto Sans CJK SC"/>
        <family val="2"/>
      </rPr>
      <t xml:space="preserve">相同；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因修正共用工具「前一年」基期（原誤用 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）而改變。收斂期淨利率收斂到循環中段（十年平均 </t>
    </r>
    <r>
      <rPr>
        <sz val="11"/>
        <rFont val="Cambria"/>
        <family val="0"/>
        <charset val="1"/>
      </rPr>
      <t xml:space="preserve">× 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</si>
  <si>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）：補上檔空間級距、投資建議、重點觀察（數值不變）。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rFont val="Cambria"/>
        <family val="0"/>
        <charset val="1"/>
      </rPr>
      <t xml:space="preserve">README </t>
    </r>
    <r>
      <rPr>
        <sz val="11"/>
        <rFont val="Noto Sans CJK SC"/>
        <family val="2"/>
      </rPr>
      <t xml:space="preserve">頁最後新增投資建議與重點觀察三點。</t>
    </r>
  </si>
  <si>
    <r>
      <rPr>
        <sz val="11"/>
        <rFont val="Cambria"/>
        <family val="0"/>
        <charset val="1"/>
      </rPr>
      <t xml:space="preserve">v0.3.2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2026-10-28</t>
    </r>
    <r>
      <rPr>
        <sz val="11"/>
        <rFont val="Noto Sans CJK SC"/>
        <family val="2"/>
      </rPr>
      <t xml:space="preserve">）：分部原則重建。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頁第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列起新增官方報告分部 </t>
    </r>
    <r>
      <rPr>
        <sz val="11"/>
        <rFont val="Cambria"/>
        <family val="0"/>
        <charset val="1"/>
      </rPr>
      <t xml:space="preserve">DX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DS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SDC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Harman</t>
    </r>
    <r>
      <rPr>
        <sz val="11"/>
        <rFont val="Noto Sans CJK SC"/>
        <family val="2"/>
      </rPr>
      <t xml:space="preserve">、內部抵銷（差額）與合併營收（</t>
    </r>
    <r>
      <rPr>
        <sz val="11"/>
        <rFont val="Cambria"/>
        <family val="0"/>
        <charset val="1"/>
      </rPr>
      <t xml:space="preserve">2025Q1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2026Q2 </t>
    </r>
    <r>
      <rPr>
        <sz val="11"/>
        <rFont val="Noto Sans CJK SC"/>
        <family val="2"/>
      </rPr>
      <t xml:space="preserve">實績），核對列「分部合計 − 合併營收」；記憶體營收屬 </t>
    </r>
    <r>
      <rPr>
        <sz val="11"/>
        <rFont val="Cambria"/>
        <family val="0"/>
        <charset val="1"/>
      </rPr>
      <t xml:space="preserve">DS</t>
    </r>
    <r>
      <rPr>
        <sz val="11"/>
        <rFont val="Noto Sans CJK SC"/>
        <family val="2"/>
      </rPr>
      <t xml:space="preserve">。損益、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、目標價與 </t>
    </r>
    <r>
      <rPr>
        <sz val="11"/>
        <rFont val="Cambria"/>
        <family val="0"/>
        <charset val="1"/>
      </rPr>
      <t xml:space="preserve">v0.3.1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</si>
  <si>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2026-10-30</t>
    </r>
    <r>
      <rPr>
        <sz val="11"/>
        <rFont val="Noto Sans CJK SC"/>
        <family val="2"/>
      </rPr>
      <t xml:space="preserve">）：滾入 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確定財報（</t>
    </r>
    <r>
      <rPr>
        <sz val="11"/>
        <rFont val="Cambria"/>
        <family val="0"/>
        <charset val="1"/>
      </rPr>
      <t xml:space="preserve">2026-10-29</t>
    </r>
    <r>
      <rPr>
        <sz val="11"/>
        <rFont val="Noto Sans CJK SC"/>
        <family val="2"/>
      </rPr>
      <t xml:space="preserve">：合併營收 </t>
    </r>
    <r>
      <rPr>
        <sz val="11"/>
        <rFont val="Cambria"/>
        <family val="0"/>
        <charset val="1"/>
      </rPr>
      <t xml:space="preserve">195.2532</t>
    </r>
    <r>
      <rPr>
        <sz val="11"/>
        <rFont val="Noto Sans CJK SC"/>
        <family val="2"/>
      </rPr>
      <t xml:space="preserve">、營業利益 </t>
    </r>
    <r>
      <rPr>
        <sz val="11"/>
        <rFont val="Cambria"/>
        <family val="0"/>
        <charset val="1"/>
      </rPr>
      <t xml:space="preserve">107.4405</t>
    </r>
    <r>
      <rPr>
        <sz val="11"/>
        <rFont val="Noto Sans CJK SC"/>
        <family val="2"/>
      </rPr>
      <t xml:space="preserve">、淨利 </t>
    </r>
    <r>
      <rPr>
        <sz val="11"/>
        <rFont val="Cambria"/>
        <family val="0"/>
        <charset val="1"/>
      </rPr>
      <t xml:space="preserve">75.1361 </t>
    </r>
    <r>
      <rPr>
        <sz val="11"/>
        <rFont val="Noto Sans CJK SC"/>
        <family val="2"/>
      </rPr>
      <t xml:space="preserve">兆；</t>
    </r>
    <r>
      <rPr>
        <sz val="11"/>
        <rFont val="Cambria"/>
        <family val="0"/>
        <charset val="1"/>
      </rPr>
      <t xml:space="preserve">DS 147.1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106.5</t>
    </r>
    <r>
      <rPr>
        <sz val="11"/>
        <rFont val="Noto Sans CJK SC"/>
        <family val="2"/>
      </rPr>
      <t xml:space="preserve">、記憶體營收 </t>
    </r>
    <r>
      <rPr>
        <sz val="11"/>
        <rFont val="Cambria"/>
        <family val="0"/>
        <charset val="1"/>
      </rPr>
      <t xml:space="preserve">140.7</t>
    </r>
    <r>
      <rPr>
        <sz val="11"/>
        <rFont val="Noto Sans CJK SC"/>
        <family val="2"/>
      </rPr>
      <t xml:space="preserve">）。記憶體營業利益 </t>
    </r>
    <r>
      <rPr>
        <sz val="11"/>
        <rFont val="Cambria"/>
        <family val="0"/>
        <charset val="1"/>
      </rPr>
      <t xml:space="preserve">108.0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DS </t>
    </r>
    <r>
      <rPr>
        <sz val="11"/>
        <rFont val="Noto Sans CJK SC"/>
        <family val="2"/>
      </rPr>
      <t xml:space="preserve">加回晶圓代工與 </t>
    </r>
    <r>
      <rPr>
        <sz val="11"/>
        <rFont val="Cambria"/>
        <family val="0"/>
        <charset val="1"/>
      </rPr>
      <t xml:space="preserve">LSI </t>
    </r>
    <r>
      <rPr>
        <sz val="11"/>
        <rFont val="Noto Sans CJK SC"/>
        <family val="2"/>
      </rPr>
      <t xml:space="preserve">虧損估計 </t>
    </r>
    <r>
      <rPr>
        <sz val="11"/>
        <rFont val="Cambria"/>
        <family val="0"/>
        <charset val="1"/>
      </rPr>
      <t xml:space="preserve">1.5 [Derived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Assumed]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4Q DRAM </t>
    </r>
    <r>
      <rPr>
        <sz val="11"/>
        <rFont val="Noto Sans CJK SC"/>
        <family val="2"/>
      </rPr>
      <t xml:space="preserve">位元季增改為公司指引中至高十幾 </t>
    </r>
    <r>
      <rPr>
        <sz val="11"/>
        <rFont val="Cambria"/>
        <family val="0"/>
        <charset val="1"/>
      </rPr>
      <t xml:space="preserve">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16%</t>
    </r>
    <r>
      <rPr>
        <sz val="11"/>
        <rFont val="Noto Sans CJK SC"/>
        <family val="2"/>
      </rPr>
      <t xml:space="preserve">，原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中十幾 </t>
    </r>
    <r>
      <rPr>
        <sz val="11"/>
        <rFont val="Cambria"/>
        <family val="0"/>
        <charset val="1"/>
      </rPr>
      <t xml:space="preserve">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，原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記憶體資本支出依公司全年 </t>
    </r>
    <r>
      <rPr>
        <sz val="11"/>
        <rFont val="Cambria"/>
        <family val="0"/>
        <charset val="1"/>
      </rPr>
      <t xml:space="preserve">84.4 </t>
    </r>
    <r>
      <rPr>
        <sz val="11"/>
        <rFont val="Noto Sans CJK SC"/>
        <family val="2"/>
      </rPr>
      <t xml:space="preserve">兆改為 </t>
    </r>
    <r>
      <rPr>
        <sz val="11"/>
        <rFont val="Cambria"/>
        <family val="0"/>
        <charset val="1"/>
      </rPr>
      <t xml:space="preserve">63.3 </t>
    </r>
    <r>
      <rPr>
        <sz val="11"/>
        <rFont val="Noto Sans CJK SC"/>
        <family val="2"/>
      </rPr>
      <t xml:space="preserve">兆（原 </t>
    </r>
    <r>
      <rPr>
        <sz val="11"/>
        <rFont val="Cambria"/>
        <family val="0"/>
        <charset val="1"/>
      </rPr>
      <t xml:space="preserve">52.5</t>
    </r>
    <r>
      <rPr>
        <sz val="11"/>
        <rFont val="Noto Sans CJK SC"/>
        <family val="2"/>
      </rPr>
      <t xml:space="preserve">）；資產負債錨點移到 </t>
    </r>
    <r>
      <rPr>
        <sz val="11"/>
        <rFont val="Cambria"/>
        <family val="0"/>
        <charset val="1"/>
      </rPr>
      <t xml:space="preserve">9-30</t>
    </r>
    <r>
      <rPr>
        <sz val="11"/>
        <rFont val="Noto Sans CJK SC"/>
        <family val="2"/>
      </rPr>
      <t xml:space="preserve">（權益、淨現金為推估，待季報校正）；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頁分部表補 </t>
    </r>
    <r>
      <rPr>
        <sz val="11"/>
        <rFont val="Cambria"/>
        <family val="0"/>
        <charset val="1"/>
      </rPr>
      <t xml:space="preserve">2026Q3</t>
    </r>
    <r>
      <rPr>
        <sz val="11"/>
        <rFont val="Noto Sans CJK SC"/>
        <family val="2"/>
      </rPr>
      <t xml:space="preserve">。結果：</t>
    </r>
    <r>
      <rPr>
        <sz val="11"/>
        <rFont val="Cambria"/>
        <family val="0"/>
        <charset val="1"/>
      </rPr>
      <t xml:space="preserve">2027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95,824 → 98,695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+3.0%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59,278 → 60,865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+2.7%</t>
    </r>
    <r>
      <rPr>
        <sz val="11"/>
        <rFont val="Noto Sans CJK SC"/>
        <family val="2"/>
      </rPr>
      <t xml:space="preserve">）、加權目標價 </t>
    </r>
    <r>
      <rPr>
        <sz val="11"/>
        <rFont val="Cambria"/>
        <family val="0"/>
        <charset val="1"/>
      </rPr>
      <t xml:space="preserve">485,941 → 498,385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+2.6%</t>
    </r>
    <r>
      <rPr>
        <sz val="11"/>
        <rFont val="Noto Sans CJK SC"/>
        <family val="2"/>
      </rPr>
      <t xml:space="preserve">），強力買進不變。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</si>
  <si>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A 858,019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407,898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225,075</t>
    </r>
    <r>
      <rPr>
        <sz val="11"/>
        <color theme="1"/>
        <rFont val="Noto Sans CJK SC"/>
        <family val="2"/>
      </rPr>
      <t xml:space="preserve">（現價的 </t>
    </r>
    <r>
      <rPr>
        <sz val="11"/>
        <color theme="1"/>
        <rFont val="Calibri"/>
        <family val="2"/>
        <charset val="1"/>
      </rPr>
      <t xml:space="preserve">3.98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1.89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1.04 </t>
    </r>
    <r>
      <rPr>
        <sz val="11"/>
        <color theme="1"/>
        <rFont val="Noto Sans CJK SC"/>
        <family val="2"/>
      </rPr>
      <t xml:space="preserve">倍），對應 </t>
    </r>
    <r>
      <rPr>
        <sz val="11"/>
        <color theme="1"/>
        <rFont val="Calibri"/>
        <family val="2"/>
        <charset val="1"/>
      </rPr>
      <t xml:space="preserve">2028 EPS A 134,854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60,865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37,230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位元季增由 </t>
    </r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Noto Sans CJK SC"/>
        <family val="2"/>
      </rPr>
      <t xml:space="preserve">上調到公司指引的 </t>
    </r>
    <r>
      <rPr>
        <sz val="11"/>
        <color theme="1"/>
        <rFont val="Calibri"/>
        <family val="2"/>
        <charset val="1"/>
      </rPr>
      <t xml:space="preserve">15–16%</t>
    </r>
    <r>
      <rPr>
        <sz val="11"/>
        <color theme="1"/>
        <rFont val="Noto Sans CJK SC"/>
        <family val="2"/>
      </rPr>
      <t xml:space="preserve">，使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起營收基期上移約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記憶體資本支出依公司全年 </t>
    </r>
    <r>
      <rPr>
        <sz val="11"/>
        <color theme="1"/>
        <rFont val="Calibri"/>
        <family val="2"/>
        <charset val="1"/>
      </rPr>
      <t xml:space="preserve">84.4 </t>
    </r>
    <r>
      <rPr>
        <sz val="11"/>
        <color theme="1"/>
        <rFont val="Noto Sans CJK SC"/>
        <family val="2"/>
      </rPr>
      <t xml:space="preserve">兆上調 </t>
    </r>
    <r>
      <rPr>
        <sz val="11"/>
        <color theme="1"/>
        <rFont val="Calibri"/>
        <family val="2"/>
        <charset val="1"/>
      </rPr>
      <t xml:space="preserve">10.8 </t>
    </r>
    <r>
      <rPr>
        <sz val="11"/>
        <color theme="1"/>
        <rFont val="Noto Sans CJK SC"/>
        <family val="2"/>
      </rPr>
      <t xml:space="preserve">兆，部分抵銷自由現金流。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</si>
  <si>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B </t>
    </r>
    <r>
      <rPr>
        <sz val="11"/>
        <color theme="1"/>
        <rFont val="Noto Sans CJK SC"/>
        <family val="2"/>
      </rPr>
      <t xml:space="preserve">營業利益對一般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收入最敏感（</t>
    </r>
    <r>
      <rPr>
        <sz val="11"/>
        <color theme="1"/>
        <rFont val="Calibri"/>
        <family val="2"/>
        <charset val="1"/>
      </rPr>
      <t xml:space="preserve">±20% → ±15.5%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NAND ±30% → ±9.2%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±30% → ±7.2%</t>
    </r>
    <r>
      <rPr>
        <sz val="11"/>
        <color theme="1"/>
        <rFont val="Noto Sans CJK SC"/>
        <family val="2"/>
      </rPr>
      <t xml:space="preserve">；折現率 </t>
    </r>
    <r>
      <rPr>
        <sz val="11"/>
        <color theme="1"/>
        <rFont val="Calibri"/>
        <family val="2"/>
        <charset val="1"/>
      </rPr>
      <t xml:space="preserve">±1pt </t>
    </r>
    <r>
      <rPr>
        <sz val="11"/>
        <color theme="1"/>
        <rFont val="Noto Sans CJK SC"/>
        <family val="2"/>
      </rPr>
      <t xml:space="preserve">使加權目標價 −</t>
    </r>
    <r>
      <rPr>
        <sz val="11"/>
        <color theme="1"/>
        <rFont val="Calibri"/>
        <family val="2"/>
        <charset val="1"/>
      </rPr>
      <t xml:space="preserve">4.1%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+5.6%</t>
    </r>
    <r>
      <rPr>
        <sz val="11"/>
        <color theme="1"/>
        <rFont val="Noto Sans CJK SC"/>
        <family val="2"/>
      </rPr>
      <t xml:space="preserve">。待校正：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資產負債表（權益、淨現金為推估）於季報公布後更新；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股東回饋剩餘 </t>
    </r>
    <r>
      <rPr>
        <sz val="11"/>
        <color theme="1"/>
        <rFont val="Calibri"/>
        <family val="2"/>
        <charset val="1"/>
      </rPr>
      <t xml:space="preserve">55–75 </t>
    </r>
    <r>
      <rPr>
        <sz val="11"/>
        <color theme="1"/>
        <rFont val="Noto Sans CJK SC"/>
        <family val="2"/>
      </rPr>
      <t xml:space="preserve">兆（含大規模買回註銷）待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董事會，未計入。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</si>
  <si>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</si>
  <si>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v0.3.3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</si>
  <si>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欄）。單位：兆韓元。【</t>
    </r>
    <r>
      <rPr>
        <sz val="11"/>
        <color theme="1"/>
        <rFont val="Calibri"/>
        <family val="2"/>
        <charset val="1"/>
      </rPr>
      <t xml:space="preserve">v0.3.3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</si>
  <si>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</si>
  <si>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</si>
  <si>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</si>
  <si>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</si>
  <si>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</si>
  <si>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</si>
  <si>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</si>
  <si>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</si>
  <si>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匯率、股價</t>
    </r>
  </si>
  <si>
    <t xml:space="preserve">fx</t>
  </si>
  <si>
    <t xml:space="preserve">美元兌韓元</t>
  </si>
  <si>
    <t xml:space="preserve">KRW/USD</t>
  </si>
  <si>
    <t xml:space="preserve">Derived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</si>
  <si>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</si>
  <si>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px</t>
  </si>
  <si>
    <r>
      <rPr>
        <sz val="11"/>
        <color theme="1"/>
        <rFont val="Noto Sans CJK SC"/>
        <family val="2"/>
      </rPr>
      <t xml:space="preserve">普通股股價（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</si>
  <si>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KRW</t>
  </si>
  <si>
    <t xml:space="preserve">Verified</t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</si>
  <si>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tradersunion</t>
    </r>
    <r>
      <rPr>
        <sz val="11"/>
        <color theme="1"/>
        <rFont val="Noto Sans CJK SC"/>
        <family val="2"/>
      </rPr>
      <t xml:space="preserve">，單一來源）；</t>
    </r>
    <r>
      <rPr>
        <sz val="11"/>
        <color theme="1"/>
        <rFont val="Calibri"/>
        <family val="2"/>
        <charset val="1"/>
      </rPr>
      <t xml:space="preserve">MarketScreener 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215,500</t>
    </r>
    <r>
      <rPr>
        <sz val="11"/>
        <color theme="1"/>
        <rFont val="Noto Sans CJK SC"/>
        <family val="2"/>
      </rPr>
      <t xml:space="preserve">（第二來源，本次核對）；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10-08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262,000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</si>
  <si>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）</t>
    </r>
  </si>
  <si>
    <t xml:space="preserve">q3_db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</si>
  <si>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位元季增（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為實績，本列不再使用）</t>
    </r>
  </si>
  <si>
    <t xml:space="preserve">%</t>
  </si>
  <si>
    <t xml:space="preserve">Interested-party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</si>
  <si>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法說：中個位數；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法說實際為低至中個位數</t>
    </r>
  </si>
  <si>
    <t xml:space="preserve">q3_dp</t>
  </si>
  <si>
    <r>
      <rPr>
        <sz val="11"/>
        <color theme="1"/>
        <rFont val="Calibri"/>
        <family val="2"/>
        <charset val="1"/>
      </rPr>
      <t xml:space="preserve">Q3 DRAM ASP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起不再使用）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</si>
  <si>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法說實際約 </t>
    </r>
    <r>
      <rPr>
        <sz val="11"/>
        <color theme="1"/>
        <rFont val="Calibri"/>
        <family val="2"/>
        <charset val="1"/>
      </rPr>
      <t xml:space="preserve">+20%</t>
    </r>
  </si>
  <si>
    <t xml:space="preserve">q3_nb</t>
  </si>
  <si>
    <r>
      <rPr>
        <sz val="11"/>
        <color theme="1"/>
        <rFont val="Calibri"/>
        <family val="2"/>
        <charset val="1"/>
      </rPr>
      <t xml:space="preserve">Q3 NAND </t>
    </r>
    <r>
      <rPr>
        <sz val="11"/>
        <color theme="1"/>
        <rFont val="Noto Sans CJK SC"/>
        <family val="2"/>
      </rPr>
      <t xml:space="preserve">位元季增（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起不再使用）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</si>
  <si>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法說實際為中個位數</t>
    </r>
  </si>
  <si>
    <t xml:space="preserve">q3_np</t>
  </si>
  <si>
    <r>
      <rPr>
        <sz val="11"/>
        <color theme="1"/>
        <rFont val="Calibri"/>
        <family val="2"/>
        <charset val="1"/>
      </rPr>
      <t xml:space="preserve">Q3 NAND ASP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起不再使用）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</si>
  <si>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法說實際為十幾 </t>
    </r>
    <r>
      <rPr>
        <sz val="11"/>
        <color theme="1"/>
        <rFont val="Calibri"/>
        <family val="2"/>
        <charset val="1"/>
      </rPr>
      <t xml:space="preserve">%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</si>
  <si>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</si>
  <si>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位元季增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</si>
  <si>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 DRAM </t>
    </r>
    <r>
      <rPr>
        <sz val="11"/>
        <color theme="1"/>
        <rFont val="Noto Sans CJK SC"/>
        <family val="2"/>
      </rPr>
      <t xml:space="preserve">位元季增中至高十幾 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</si>
  <si>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q4_dp</t>
  </si>
  <si>
    <r>
      <rPr>
        <sz val="11"/>
        <color theme="1"/>
        <rFont val="Calibri"/>
        <family val="2"/>
        <charset val="1"/>
      </rPr>
      <t xml:space="preserve">Q4 DRAM ASP </t>
    </r>
    <r>
      <rPr>
        <sz val="11"/>
        <color theme="1"/>
        <rFont val="Noto Sans CJK SC"/>
        <family val="2"/>
      </rPr>
      <t xml:space="preserve">季增</t>
    </r>
  </si>
  <si>
    <t xml:space="preserve">TrendForce +10–15%</t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</si>
  <si>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</si>
  <si>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Noto Sans CJK SC"/>
        <family val="2"/>
      </rPr>
      <t xml:space="preserve">位元季增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</si>
  <si>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4Q NAND </t>
    </r>
    <r>
      <rPr>
        <sz val="11"/>
        <color theme="1"/>
        <rFont val="Noto Sans CJK SC"/>
        <family val="2"/>
      </rPr>
      <t xml:space="preserve">位元季增中十幾 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</si>
  <si>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</si>
  <si>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Noto Sans CJK SC"/>
        <family val="2"/>
      </rPr>
      <t xml:space="preserve">季增</t>
    </r>
  </si>
  <si>
    <t xml:space="preserve">TrendForce +15–20%</t>
  </si>
  <si>
    <t xml:space="preserve">da_q3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</si>
  <si>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記憶體折舊（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起為實績列折舊）</t>
    </r>
  </si>
  <si>
    <t xml:space="preserve">兆韓元</t>
  </si>
  <si>
    <t xml:space="preserve">Assumed</t>
  </si>
  <si>
    <t xml:space="preserve">未揭露</t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</si>
  <si>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</si>
  <si>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記憶體折舊</t>
    </r>
  </si>
  <si>
    <t xml:space="preserve">costdn_q</t>
  </si>
  <si>
    <t xml:space="preserve">單位成本季降</t>
  </si>
  <si>
    <t xml:space="preserve">opex_fix_q</t>
  </si>
  <si>
    <t xml:space="preserve">記憶體營業費用固定部分（每季）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</si>
  <si>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Noto Sans CJK SC"/>
        <family val="2"/>
      </rPr>
      <t xml:space="preserve">營收</t>
    </r>
  </si>
  <si>
    <t xml:space="preserve">nonop_q</t>
  </si>
  <si>
    <t xml:space="preserve">每季業外淨收益</t>
  </si>
  <si>
    <r>
      <rPr>
        <sz val="11"/>
        <color theme="1"/>
        <rFont val="Noto Sans CJK SC"/>
        <family val="2"/>
      </rPr>
      <t xml:space="preserve">淨現金約 </t>
    </r>
    <r>
      <rPr>
        <sz val="11"/>
        <color theme="1"/>
        <rFont val="Calibri"/>
        <family val="2"/>
        <charset val="1"/>
      </rPr>
      <t xml:space="preserve">168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3%</t>
    </r>
  </si>
  <si>
    <t xml:space="preserve">nm_op_q</t>
  </si>
  <si>
    <r>
      <rPr>
        <sz val="11"/>
        <color theme="1"/>
        <rFont val="Noto Sans CJK SC"/>
        <family val="2"/>
      </rPr>
      <t xml:space="preserve">非記憶體事業每季營業利益（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起為實績）</t>
    </r>
  </si>
  <si>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Q3 −0.56</t>
    </r>
    <r>
      <rPr>
        <sz val="11"/>
        <color theme="1"/>
        <rFont val="Noto Sans CJK SC"/>
        <family val="2"/>
      </rPr>
      <t xml:space="preserve">（合併 </t>
    </r>
    <r>
      <rPr>
        <sz val="11"/>
        <color theme="1"/>
        <rFont val="Calibri"/>
        <family val="2"/>
        <charset val="1"/>
      </rPr>
      <t xml:space="preserve">107.4405 − </t>
    </r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108.0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MX </t>
    </r>
    <r>
      <rPr>
        <sz val="11"/>
        <color theme="1"/>
        <rFont val="Noto Sans CJK SC"/>
        <family val="2"/>
      </rPr>
      <t xml:space="preserve">新機旺季、晶圓代工營收雙位數成長（公司）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</si>
  <si>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</si>
  <si>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</si>
  <si>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</si>
  <si>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P4 </t>
    </r>
    <r>
      <rPr>
        <sz val="11"/>
        <color theme="1"/>
        <rFont val="Noto Sans CJK SC"/>
        <family val="2"/>
      </rPr>
      <t xml:space="preserve">提前全面量產、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提前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晶圓占比上升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</si>
  <si>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</si>
  <si>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</si>
  <si>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投產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</si>
  <si>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</si>
  <si>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</si>
  <si>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</si>
  <si>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</si>
  <si>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</si>
  <si>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</si>
  <si>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</si>
  <si>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</si>
  <si>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</si>
  <si>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</si>
  <si>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2Q25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</si>
  <si>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</si>
  <si>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</si>
  <si>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1Q26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33%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放量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</si>
  <si>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</si>
  <si>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</si>
  <si>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SK 42%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加總約 </t>
    </r>
    <r>
      <rPr>
        <sz val="11"/>
        <color theme="1"/>
        <rFont val="Calibri"/>
        <family val="2"/>
        <charset val="1"/>
      </rPr>
      <t xml:space="preserve">100%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</si>
  <si>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</si>
  <si>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</si>
  <si>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公司目標：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份額向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份額（約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）靠攏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</si>
  <si>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</si>
  <si>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</si>
  <si>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other_y</t>
  </si>
  <si>
    <t xml:space="preserve">其他記憶體營收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</si>
  <si>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已涵蓋</t>
    </r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</si>
  <si>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</si>
  <si>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</si>
  <si>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</si>
  <si>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</si>
  <si>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</si>
  <si>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</si>
  <si>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</si>
  <si>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</si>
  <si>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</si>
  <si>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</si>
  <si>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</si>
  <si>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</si>
  <si>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</si>
  <si>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</si>
  <si>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記憶體營業費用固定部分（年）</t>
  </si>
  <si>
    <t xml:space="preserve">opex_var</t>
  </si>
  <si>
    <t xml:space="preserve">記憶體營業費用變動率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</si>
  <si>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</si>
  <si>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</si>
  <si>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</si>
  <si>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</si>
  <si>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</si>
  <si>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71.6 ÷ </t>
    </r>
    <r>
      <rPr>
        <sz val="11"/>
        <color theme="1"/>
        <rFont val="Noto Sans CJK SC"/>
        <family val="2"/>
      </rPr>
      <t xml:space="preserve">稅前推估）；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8.7%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</si>
  <si>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</si>
  <si>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</si>
  <si>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</si>
  <si>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</si>
  <si>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</si>
  <si>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：全年約 </t>
    </r>
    <r>
      <rPr>
        <sz val="11"/>
        <color theme="1"/>
        <rFont val="Calibri"/>
        <family val="2"/>
        <charset val="1"/>
      </rPr>
      <t xml:space="preserve">84.4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DS 76.8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SDC 3.9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v0.3.3 </t>
    </r>
    <r>
      <rPr>
        <sz val="11"/>
        <color theme="1"/>
        <rFont val="Noto Sans CJK SC"/>
        <family val="2"/>
      </rPr>
      <t xml:space="preserve">用約 </t>
    </r>
    <r>
      <rPr>
        <sz val="11"/>
        <color theme="1"/>
        <rFont val="Calibri"/>
        <family val="2"/>
        <charset val="1"/>
      </rPr>
      <t xml:space="preserve">70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75%</t>
    </r>
    <r>
      <rPr>
        <sz val="11"/>
        <color theme="1"/>
        <rFont val="Noto Sans CJK SC"/>
        <family val="2"/>
      </rPr>
      <t xml:space="preserve">）</t>
    </r>
  </si>
  <si>
    <t xml:space="preserve">cap_1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</si>
  <si>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</si>
  <si>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主體工程（</t>
    </r>
    <r>
      <rPr>
        <sz val="11"/>
        <color theme="1"/>
        <rFont val="Calibri"/>
        <family val="2"/>
        <charset val="1"/>
      </rPr>
      <t xml:space="preserve">&gt;80 </t>
    </r>
    <r>
      <rPr>
        <sz val="11"/>
        <color theme="1"/>
        <rFont val="Noto Sans CJK SC"/>
        <family val="2"/>
      </rPr>
      <t xml:space="preserve">兆，多年）</t>
    </r>
  </si>
  <si>
    <t xml:space="preserve">cap_2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</si>
  <si>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</si>
  <si>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cap_3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</si>
  <si>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</si>
  <si>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nm_rev_0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</si>
  <si>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</si>
  <si>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合併 − 記憶體：</t>
    </r>
    <r>
      <rPr>
        <sz val="11"/>
        <color theme="1"/>
        <rFont val="Calibri"/>
        <family val="2"/>
        <charset val="1"/>
      </rPr>
      <t xml:space="preserve">Q1 59.1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54.55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195.2532 − 140.7</t>
    </r>
    <r>
      <rPr>
        <sz val="11"/>
        <color theme="1"/>
        <rFont val="Noto Sans CJK SC"/>
        <family val="2"/>
      </rPr>
      <t xml:space="preserve">）（含內部抵銷）；</t>
    </r>
    <r>
      <rPr>
        <sz val="11"/>
        <color theme="1"/>
        <rFont val="Calibri"/>
        <family val="2"/>
        <charset val="1"/>
      </rPr>
      <t xml:space="preserve">Q4 60 Assumed</t>
    </r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</si>
  <si>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</si>
  <si>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</si>
  <si>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Q3 −0.56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</si>
  <si>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</si>
  <si>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2027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</si>
  <si>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</si>
  <si>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</si>
  <si>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晶圓代工虧損縮小（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基底晶粒）；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受記憶體成本擠壓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</si>
  <si>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</si>
  <si>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2028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</si>
  <si>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</si>
  <si>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</si>
  <si>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記憶體價格回落時 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成本減輕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</si>
  <si>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</si>
  <si>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2029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</si>
  <si>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</si>
  <si>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</si>
  <si>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</si>
  <si>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</si>
  <si>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Noto Sans CJK SC"/>
        <family val="2"/>
      </rPr>
      <t xml:space="preserve">權益（歸屬母公司）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（推估）</t>
    </r>
  </si>
  <si>
    <r>
      <rPr>
        <sz val="11"/>
        <color theme="1"/>
        <rFont val="Calibri"/>
        <family val="2"/>
        <charset val="1"/>
      </rPr>
      <t xml:space="preserve">6-30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565.06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資產負債表）＋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74.8 − 2Q </t>
    </r>
    <r>
      <rPr>
        <sz val="11"/>
        <color theme="1"/>
        <rFont val="Noto Sans CJK SC"/>
        <family val="2"/>
      </rPr>
      <t xml:space="preserve">股利 </t>
    </r>
    <r>
      <rPr>
        <sz val="11"/>
        <color theme="1"/>
        <rFont val="Calibri"/>
        <family val="2"/>
        <charset val="1"/>
      </rPr>
      <t xml:space="preserve">2.45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月支付）；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兆買回假設在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執行（</t>
    </r>
    <r>
      <rPr>
        <sz val="11"/>
        <color theme="1"/>
        <rFont val="Calibri"/>
        <family val="2"/>
        <charset val="1"/>
      </rPr>
      <t xml:space="preserve">bb_0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資產負債表待季報（約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月中）校正</t>
    </r>
  </si>
  <si>
    <t xml:space="preserve">nc_last</t>
  </si>
  <si>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（推估）</t>
    </r>
  </si>
  <si>
    <r>
      <rPr>
        <sz val="11"/>
        <color theme="1"/>
        <rFont val="Calibri"/>
        <family val="2"/>
        <charset val="1"/>
      </rPr>
      <t xml:space="preserve">6-30 </t>
    </r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167.59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74.8 </t>
    </r>
    <r>
      <rPr>
        <sz val="11"/>
        <color theme="1"/>
        <rFont val="Noto Sans CJK SC"/>
        <family val="2"/>
      </rPr>
      <t xml:space="preserve">＋ 記憶體折舊 </t>
    </r>
    <r>
      <rPr>
        <sz val="11"/>
        <color theme="1"/>
        <rFont val="Calibri"/>
        <family val="2"/>
        <charset val="1"/>
      </rPr>
      <t xml:space="preserve">6.6 − 3Q </t>
    </r>
    <r>
      <rPr>
        <sz val="11"/>
        <color theme="1"/>
        <rFont val="Noto Sans CJK SC"/>
        <family val="2"/>
      </rPr>
      <t xml:space="preserve">記憶體資本支出（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29.0 × 75%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股利 </t>
    </r>
    <r>
      <rPr>
        <sz val="11"/>
        <color theme="1"/>
        <rFont val="Calibri"/>
        <family val="2"/>
        <charset val="1"/>
      </rPr>
      <t xml:space="preserve">2.45</t>
    </r>
    <r>
      <rPr>
        <sz val="11"/>
        <color theme="1"/>
        <rFont val="Noto Sans CJK SC"/>
        <family val="2"/>
      </rPr>
      <t xml:space="preserve">；與樣板現金橋同口徑（只計記憶體折舊與資本支出），待季報校正</t>
    </r>
  </si>
  <si>
    <t xml:space="preserve">sh_last</t>
  </si>
  <si>
    <t xml:space="preserve">流通股數（普通股扣庫藏＋特別股）</t>
  </si>
  <si>
    <t xml:space="preserve">百萬股</t>
  </si>
  <si>
    <r>
      <rPr>
        <sz val="11"/>
        <color theme="1"/>
        <rFont val="Noto Sans CJK SC"/>
        <family val="2"/>
      </rPr>
      <t xml:space="preserve">普通 </t>
    </r>
    <r>
      <rPr>
        <sz val="11"/>
        <color theme="1"/>
        <rFont val="Calibri"/>
        <family val="2"/>
        <charset val="1"/>
      </rPr>
      <t xml:space="preserve">5,846.28 − </t>
    </r>
    <r>
      <rPr>
        <sz val="11"/>
        <color theme="1"/>
        <rFont val="Noto Sans CJK SC"/>
        <family val="2"/>
      </rPr>
      <t xml:space="preserve">庫藏 </t>
    </r>
    <r>
      <rPr>
        <sz val="11"/>
        <color theme="1"/>
        <rFont val="Calibri"/>
        <family val="2"/>
        <charset val="1"/>
      </rPr>
      <t xml:space="preserve">82.09 </t>
    </r>
    <r>
      <rPr>
        <sz val="11"/>
        <color theme="1"/>
        <rFont val="Noto Sans CJK SC"/>
        <family val="2"/>
      </rPr>
      <t xml:space="preserve">＋ 特別 </t>
    </r>
    <r>
      <rPr>
        <sz val="11"/>
        <color theme="1"/>
        <rFont val="Calibri"/>
        <family val="2"/>
        <charset val="1"/>
      </rPr>
      <t xml:space="preserve">802.37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</si>
  <si>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</si>
  <si>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</si>
  <si>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</si>
  <si>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</si>
  <si>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</si>
  <si>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第四季買回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</si>
  <si>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</si>
  <si>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2026-08-21 </t>
    </r>
    <r>
      <rPr>
        <sz val="11"/>
        <color theme="1"/>
        <rFont val="Noto Sans CJK SC"/>
        <family val="2"/>
      </rPr>
      <t xml:space="preserve">董事會：約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兆（員工酬勞用）；執行期間未載明，假設 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錨點未扣）</t>
    </r>
  </si>
  <si>
    <t xml:space="preserve">bb_sh_0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</si>
  <si>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下半年買回股數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</si>
  <si>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÷ 262,000</t>
    </r>
  </si>
  <si>
    <t xml:space="preserve">div_0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</si>
  <si>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第四季起支付的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股利（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特別＋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定期）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</si>
  <si>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</si>
  <si>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現金股利每股 </t>
    </r>
    <r>
      <rPr>
        <sz val="11"/>
        <color theme="1"/>
        <rFont val="Calibri"/>
        <family val="2"/>
        <charset val="1"/>
      </rPr>
      <t xml:space="preserve">4,601 </t>
    </r>
    <r>
      <rPr>
        <sz val="11"/>
        <color theme="1"/>
        <rFont val="Noto Sans CJK SC"/>
        <family val="2"/>
      </rPr>
      <t xml:space="preserve">韓元、合計約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兆（公司 </t>
    </r>
    <r>
      <rPr>
        <sz val="11"/>
        <color theme="1"/>
        <rFont val="Calibri"/>
        <family val="2"/>
        <charset val="1"/>
      </rPr>
      <t xml:space="preserve">10-29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月支付）＋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定期 </t>
    </r>
    <r>
      <rPr>
        <sz val="11"/>
        <color theme="1"/>
        <rFont val="Calibri"/>
        <family val="2"/>
        <charset val="1"/>
      </rPr>
      <t xml:space="preserve">2.45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股東回饋總額 </t>
    </r>
    <r>
      <rPr>
        <sz val="11"/>
        <color theme="1"/>
        <rFont val="Calibri"/>
        <family val="2"/>
        <charset val="1"/>
      </rPr>
      <t xml:space="preserve">90–110 </t>
    </r>
    <r>
      <rPr>
        <sz val="11"/>
        <color theme="1"/>
        <rFont val="Noto Sans CJK SC"/>
        <family val="2"/>
      </rPr>
      <t xml:space="preserve">兆、剩餘 </t>
    </r>
    <r>
      <rPr>
        <sz val="11"/>
        <color theme="1"/>
        <rFont val="Calibri"/>
        <family val="2"/>
        <charset val="1"/>
      </rPr>
      <t xml:space="preserve">55–75 </t>
    </r>
    <r>
      <rPr>
        <sz val="11"/>
        <color theme="1"/>
        <rFont val="Noto Sans CJK SC"/>
        <family val="2"/>
      </rPr>
      <t xml:space="preserve">兆（含大規模買回註銷）由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董事會決定，未計入本列</t>
    </r>
  </si>
  <si>
    <t xml:space="preserve">capex_rem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</si>
  <si>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第四季記憶體資本支出</t>
    </r>
  </si>
  <si>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84.4 − 9M 56.9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27.5 × 75%</t>
    </r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</si>
  <si>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</si>
  <si>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</si>
  <si>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定期股利 </t>
    </r>
    <r>
      <rPr>
        <sz val="11"/>
        <color theme="1"/>
        <rFont val="Calibri"/>
        <family val="2"/>
        <charset val="1"/>
      </rPr>
      <t xml:space="preserve">9.8 </t>
    </r>
    <r>
      <rPr>
        <sz val="11"/>
        <color theme="1"/>
        <rFont val="Noto Sans CJK SC"/>
        <family val="2"/>
      </rPr>
      <t xml:space="preserve">兆／年 </t>
    </r>
    <r>
      <rPr>
        <sz val="11"/>
        <color theme="1"/>
        <rFont val="Calibri"/>
        <family val="2"/>
        <charset val="1"/>
      </rPr>
      <t xml:space="preserve">÷ 6,567M </t>
    </r>
    <r>
      <rPr>
        <sz val="11"/>
        <color theme="1"/>
        <rFont val="Noto Sans CJK SC"/>
        <family val="2"/>
      </rPr>
      <t xml:space="preserve">股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</si>
  <si>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</si>
  <si>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</si>
  <si>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同上</t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</si>
  <si>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</si>
  <si>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</si>
  <si>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</si>
  <si>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</si>
  <si>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2024–26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120–140 </t>
    </r>
    <r>
      <rPr>
        <sz val="11"/>
        <color theme="1"/>
        <rFont val="Noto Sans CJK SC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90–110 </t>
    </r>
    <r>
      <rPr>
        <sz val="11"/>
        <color theme="1"/>
        <rFont val="Noto Sans CJK SC"/>
        <family val="2"/>
      </rPr>
      <t xml:space="preserve">兆；剩餘部分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決定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</si>
  <si>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</si>
  <si>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</si>
  <si>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</si>
  <si>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</si>
  <si>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</si>
  <si>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Noto Sans CJK SC"/>
        <family val="2"/>
      </rPr>
      <t xml:space="preserve">（谷底）</t>
    </r>
  </si>
  <si>
    <t xml:space="preserve">x</t>
  </si>
  <si>
    <r>
      <rPr>
        <sz val="11"/>
        <color theme="1"/>
        <rFont val="Calibri"/>
        <family val="2"/>
        <charset val="1"/>
      </rPr>
      <t xml:space="preserve">2015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0.89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</si>
  <si>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</si>
  <si>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</si>
  <si>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年底中位約 </t>
    </r>
    <r>
      <rPr>
        <sz val="11"/>
        <color theme="1"/>
        <rFont val="Calibri"/>
        <family val="2"/>
        <charset val="1"/>
      </rPr>
      <t xml:space="preserve">1.4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</si>
  <si>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</si>
  <si>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</t>
    </r>
  </si>
  <si>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1.96</t>
    </r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</si>
  <si>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</si>
  <si>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</si>
  <si>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</si>
  <si>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</si>
  <si>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</si>
  <si>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</si>
  <si>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</si>
  <si>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</si>
  <si>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</si>
  <si>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</si>
  <si>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</si>
  <si>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</si>
  <si>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</si>
  <si>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</si>
  <si>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</si>
  <si>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</si>
  <si>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</si>
  <si>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</si>
  <si>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</si>
  <si>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</si>
  <si>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</si>
  <si>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</si>
  <si>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</si>
  <si>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</si>
  <si>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</si>
  <si>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</si>
  <si>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</si>
  <si>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</si>
  <si>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</si>
  <si>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</si>
  <si>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</si>
  <si>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</si>
  <si>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</si>
  <si>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</si>
  <si>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</si>
  <si>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</si>
  <si>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</si>
  <si>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</si>
  <si>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</si>
  <si>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</si>
  <si>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</si>
  <si>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</si>
  <si>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為本庫外推：標示來源只涵蓋到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來源複核）；區間＝情境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同季值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</si>
  <si>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</si>
  <si>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</si>
  <si>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</si>
  <si>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</si>
  <si>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</si>
  <si>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</si>
  <si>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</si>
  <si>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</si>
  <si>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</si>
  <si>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</si>
  <si>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</si>
  <si>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</si>
  <si>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</si>
  <si>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</si>
  <si>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</si>
  <si>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</si>
  <si>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</si>
  <si>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</si>
  <si>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</si>
  <si>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</si>
  <si>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</si>
  <si>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</si>
  <si>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</si>
  <si>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</si>
  <si>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</si>
  <si>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</si>
  <si>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</si>
  <si>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</si>
  <si>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</si>
  <si>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</si>
  <si>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</si>
  <si>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</si>
  <si>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</si>
  <si>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</si>
  <si>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</si>
  <si>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</si>
  <si>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</si>
  <si>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</si>
  <si>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</si>
  <si>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</si>
  <si>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</si>
  <si>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</si>
  <si>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</si>
  <si>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</si>
  <si>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</si>
  <si>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</si>
  <si>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</si>
  <si>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</si>
  <si>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</si>
  <si>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</si>
  <si>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</si>
  <si>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</si>
  <si>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</si>
  <si>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</si>
  <si>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</si>
  <si>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</si>
  <si>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</si>
  <si>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</si>
  <si>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</si>
  <si>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</si>
  <si>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</si>
  <si>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</si>
  <si>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</si>
  <si>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</si>
  <si>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</si>
  <si>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</si>
  <si>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</si>
  <si>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</si>
  <si>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</si>
  <si>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改用公司實現平均售價（</t>
    </r>
    <r>
      <rPr>
        <sz val="11"/>
        <color theme="1"/>
        <rFont val="Calibri"/>
        <family val="2"/>
        <charset val="1"/>
      </rPr>
      <t xml:space="preserve">2026-10-31 NAND </t>
    </r>
    <r>
      <rPr>
        <sz val="11"/>
        <color theme="1"/>
        <rFont val="Noto Sans CJK SC"/>
        <family val="2"/>
      </rPr>
      <t xml:space="preserve">第四季對帳）：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平均售價季增 </t>
    </r>
    <r>
      <rPr>
        <sz val="11"/>
        <color theme="1"/>
        <rFont val="Calibri"/>
        <family val="2"/>
        <charset val="1"/>
      </rPr>
      <t xml:space="preserve">mid-20%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2026-10-30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3Q26 NAND </t>
    </r>
    <r>
      <rPr>
        <sz val="11"/>
        <color theme="1"/>
        <rFont val="Noto Sans CJK SC"/>
        <family val="2"/>
      </rPr>
      <t xml:space="preserve">平均售價季增 </t>
    </r>
    <r>
      <rPr>
        <sz val="11"/>
        <color theme="1"/>
        <rFont val="Calibri"/>
        <family val="2"/>
        <charset val="1"/>
      </rPr>
      <t xml:space="preserve">mid-20%</t>
    </r>
    <r>
      <rPr>
        <sz val="11"/>
        <color theme="1"/>
        <rFont val="Noto Sans CJK SC"/>
        <family val="2"/>
      </rPr>
      <t xml:space="preserve">（法說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）只作對照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</si>
  <si>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</si>
  <si>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</si>
  <si>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r>
      <rPr>
        <sz val="11"/>
        <color theme="1"/>
        <rFont val="Noto Sans CJK SC"/>
        <family val="2"/>
      </rPr>
      <t xml:space="preserve">保留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合約價兩季累計（</t>
    </r>
    <r>
      <rPr>
        <sz val="11"/>
        <color theme="1"/>
        <rFont val="Calibri"/>
        <family val="2"/>
        <charset val="1"/>
      </rPr>
      <t xml:space="preserve">3Q26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+17.5%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1.351</t>
    </r>
    <r>
      <rPr>
        <sz val="11"/>
        <color theme="1"/>
        <rFont val="Noto Sans CJK SC"/>
        <family val="2"/>
      </rPr>
      <t xml:space="preserve">，扣除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實現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後的餘額＝</t>
    </r>
    <r>
      <rPr>
        <sz val="11"/>
        <color theme="1"/>
        <rFont val="Calibri"/>
        <family val="2"/>
        <charset val="1"/>
      </rPr>
      <t xml:space="preserve">+8.1%</t>
    </r>
    <r>
      <rPr>
        <sz val="11"/>
        <color theme="1"/>
        <rFont val="Noto Sans CJK SC"/>
        <family val="2"/>
      </rPr>
      <t xml:space="preserve">（實現價提前一季）；對照：</t>
    </r>
    <r>
      <rPr>
        <sz val="11"/>
        <color theme="1"/>
        <rFont val="Calibri"/>
        <family val="2"/>
        <charset val="1"/>
      </rPr>
      <t xml:space="preserve">SanDisk FQ2 FY27 </t>
    </r>
    <r>
      <rPr>
        <sz val="11"/>
        <color theme="1"/>
        <rFont val="Noto Sans CJK SC"/>
        <family val="2"/>
      </rPr>
      <t xml:space="preserve">指引隱含約 </t>
    </r>
    <r>
      <rPr>
        <sz val="11"/>
        <color theme="1"/>
        <rFont val="Calibri"/>
        <family val="2"/>
        <charset val="1"/>
      </rPr>
      <t xml:space="preserve">+7%</t>
    </r>
    <r>
      <rPr>
        <sz val="11"/>
        <color theme="1"/>
        <rFont val="Noto Sans CJK SC"/>
        <family val="2"/>
      </rPr>
      <t xml:space="preserve">（位元同市場時）、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第三季指引平均售價季增低個位數（產品組合轉差）。低＝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實現兩季累計 </t>
    </r>
    <r>
      <rPr>
        <sz val="11"/>
        <color theme="1"/>
        <rFont val="Calibri"/>
        <family val="2"/>
        <charset val="1"/>
      </rPr>
      <t xml:space="preserve">1.25×1.032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起價格水準約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）；高＝</t>
    </r>
    <r>
      <rPr>
        <sz val="11"/>
        <color theme="1"/>
        <rFont val="Calibri"/>
        <family val="2"/>
        <charset val="1"/>
      </rPr>
      <t xml:space="preserve">TrendForce 4Q26 </t>
    </r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+17.5%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</si>
  <si>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</si>
  <si>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</si>
  <si>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</si>
  <si>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</si>
  <si>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</si>
  <si>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</si>
  <si>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</si>
  <si>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</si>
  <si>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</si>
  <si>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</si>
  <si>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</si>
  <si>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</si>
  <si>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</si>
  <si>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</si>
  <si>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</si>
  <si>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</si>
  <si>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</si>
  <si>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</si>
  <si>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</si>
  <si>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</si>
  <si>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</si>
  <si>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</si>
  <si>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</si>
  <si>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</si>
  <si>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</si>
  <si>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</si>
  <si>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</si>
  <si>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</si>
  <si>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</si>
  <si>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</si>
  <si>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</si>
  <si>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</si>
  <si>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</si>
  <si>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</si>
  <si>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</si>
  <si>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</si>
  <si>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</si>
  <si>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</si>
  <si>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</si>
  <si>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</si>
  <si>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</si>
  <si>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</si>
  <si>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</si>
  <si>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</si>
  <si>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</si>
  <si>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</si>
  <si>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</si>
  <si>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</si>
  <si>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</si>
  <si>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</si>
  <si>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</si>
  <si>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</si>
  <si>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</si>
  <si>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</si>
  <si>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</si>
  <si>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</si>
  <si>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</si>
  <si>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</si>
  <si>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</si>
  <si>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</si>
  <si>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</si>
  <si>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</si>
  <si>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</si>
  <si>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</si>
  <si>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</si>
  <si>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</si>
  <si>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</si>
  <si>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</si>
  <si>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</si>
  <si>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</si>
  <si>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</si>
  <si>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</si>
  <si>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</si>
  <si>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</si>
  <si>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</si>
  <si>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</si>
  <si>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</si>
  <si>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</si>
  <si>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</si>
  <si>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</si>
  <si>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</si>
  <si>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</si>
  <si>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</si>
  <si>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</si>
  <si>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</si>
  <si>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</si>
  <si>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</si>
  <si>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</si>
  <si>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</si>
  <si>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</si>
  <si>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</si>
  <si>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</si>
  <si>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</si>
  <si>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</si>
  <si>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</si>
  <si>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</si>
  <si>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</si>
  <si>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</si>
  <si>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</si>
  <si>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</si>
  <si>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</si>
  <si>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</si>
  <si>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</si>
  <si>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</si>
  <si>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</si>
  <si>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</si>
  <si>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</si>
  <si>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</si>
  <si>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</si>
  <si>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</si>
  <si>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</si>
  <si>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</si>
  <si>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</si>
  <si>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</si>
  <si>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</si>
  <si>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</si>
  <si>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</si>
  <si>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</si>
  <si>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</si>
  <si>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</si>
  <si>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</si>
  <si>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</si>
  <si>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</si>
  <si>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</si>
  <si>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</si>
  <si>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</si>
  <si>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</si>
  <si>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</si>
  <si>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</si>
  <si>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</si>
  <si>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</si>
  <si>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</si>
  <si>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</si>
  <si>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</si>
  <si>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</si>
  <si>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</si>
  <si>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</si>
  <si>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</si>
  <si>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</si>
  <si>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</si>
  <si>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</si>
  <si>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</si>
  <si>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</si>
  <si>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</si>
  <si>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</si>
  <si>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</si>
  <si>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</si>
  <si>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</si>
  <si>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</si>
  <si>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</si>
  <si>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</si>
  <si>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</si>
  <si>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</si>
  <si>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</si>
  <si>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</si>
  <si>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</si>
  <si>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</si>
  <si>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</si>
  <si>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</si>
  <si>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</si>
  <si>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</si>
  <si>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</si>
  <si>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</si>
  <si>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</si>
  <si>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</si>
  <si>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</si>
  <si>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</si>
  <si>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</si>
  <si>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</si>
  <si>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</si>
  <si>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</si>
  <si>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</si>
  <si>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</si>
  <si>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</si>
  <si>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</si>
  <si>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</si>
  <si>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</si>
  <si>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</si>
  <si>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</si>
  <si>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</si>
  <si>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</si>
  <si>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</si>
  <si>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</si>
  <si>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</si>
  <si>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</si>
  <si>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</si>
  <si>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</si>
  <si>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</si>
  <si>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</si>
  <si>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</si>
  <si>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</si>
  <si>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</si>
  <si>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</si>
  <si>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</si>
  <si>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</si>
  <si>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</si>
  <si>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</si>
  <si>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</si>
  <si>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</si>
  <si>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</si>
  <si>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</si>
  <si>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</si>
  <si>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</si>
  <si>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</si>
  <si>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</si>
  <si>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</si>
  <si>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</si>
  <si>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</si>
  <si>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</si>
  <si>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</si>
  <si>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</si>
  <si>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</si>
  <si>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</si>
  <si>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</si>
  <si>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</si>
  <si>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</si>
  <si>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</si>
  <si>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</si>
  <si>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</si>
  <si>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</si>
  <si>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</si>
  <si>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</si>
  <si>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</si>
  <si>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</si>
  <si>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</si>
  <si>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</si>
  <si>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</si>
  <si>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</si>
  <si>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</si>
  <si>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</si>
  <si>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</si>
  <si>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</si>
  <si>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</si>
  <si>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</si>
  <si>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</si>
  <si>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</si>
  <si>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</si>
  <si>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</si>
  <si>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</si>
  <si>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</si>
  <si>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</si>
  <si>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</si>
  <si>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</si>
  <si>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</si>
  <si>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</si>
  <si>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</si>
  <si>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</si>
  <si>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</si>
  <si>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</si>
  <si>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</si>
  <si>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</si>
  <si>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</si>
  <si>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</si>
  <si>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</si>
  <si>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</si>
  <si>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</si>
  <si>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</si>
  <si>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</si>
  <si>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</si>
  <si>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</si>
  <si>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</si>
  <si>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</si>
  <si>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</si>
  <si>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</si>
  <si>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</si>
  <si>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</si>
  <si>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</si>
  <si>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</si>
  <si>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</si>
  <si>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</si>
  <si>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</si>
  <si>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</si>
  <si>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</si>
  <si>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</si>
  <si>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</si>
  <si>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</si>
  <si>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</si>
  <si>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</si>
  <si>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長期成長率（永續、收斂法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</si>
  <si>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</si>
  <si>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</si>
  <si>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</si>
  <si>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2023 4.31%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2024 9.00%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2025 10.78%</t>
    </r>
    <r>
      <rPr>
        <sz val="11"/>
        <color theme="1"/>
        <rFont val="Noto Sans CJK SC"/>
        <family val="2"/>
      </rPr>
      <t xml:space="preserve">（單一來源）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</si>
  <si>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</si>
  <si>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</si>
  <si>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</si>
  <si>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</si>
  <si>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</si>
  <si>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損益表淨利率（</t>
    </r>
    <r>
      <rPr>
        <sz val="11"/>
        <color theme="1"/>
        <rFont val="Calibri"/>
        <family val="2"/>
        <charset val="1"/>
      </rPr>
      <t xml:space="preserve">14.04%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18.11%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13.27%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：公司年報合併營收與淨利（兆韓元，本次未重新開啟原文，單一來源）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</si>
  <si>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</si>
  <si>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</si>
  <si>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</si>
  <si>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</si>
  <si>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</si>
  <si>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</si>
  <si>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</si>
  <si>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</si>
  <si>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</si>
  <si>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；記憶體循環股，收斂期不延續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高峰利潤率）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</si>
  <si>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</si>
  <si>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</si>
  <si>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</si>
  <si>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</si>
  <si>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</si>
  <si>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 × </t>
    </r>
    <r>
      <rPr>
        <sz val="11"/>
        <color theme="1"/>
        <rFont val="Noto Sans CJK SC"/>
        <family val="2"/>
      </rPr>
      <t xml:space="preserve">循環中段係數；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</si>
  <si>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</si>
  <si>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淨利率收斂目標（循環中段：＝十年平均淨利率）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</si>
  <si>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</si>
  <si>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</si>
  <si>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</si>
  <si>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</si>
  <si>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共識頁：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478,906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290,000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725,000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</si>
  <si>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</si>
  <si>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</si>
  <si>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</si>
  <si>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</si>
  <si>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2028</t>
    </r>
  </si>
  <si>
    <t xml:space="preserve">cons_bvps28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</si>
  <si>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</si>
  <si>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</si>
  <si>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</si>
  <si>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</si>
  <si>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</si>
  <si>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</si>
  <si>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scn_cq_8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</si>
  <si>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</si>
  <si>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</si>
  <si>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</si>
  <si>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</si>
  <si>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</si>
  <si>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</si>
  <si>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</si>
  <si>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cqC_10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</si>
  <si>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</si>
  <si>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</si>
  <si>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cqC_11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</si>
  <si>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</si>
  <si>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</si>
  <si>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cqC_12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</si>
  <si>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</si>
  <si>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</si>
  <si>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cqC_13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</si>
  <si>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</si>
  <si>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</si>
  <si>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cqC_14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</si>
  <si>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</si>
  <si>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</si>
  <si>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</si>
  <si>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</si>
  <si>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</si>
  <si>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</si>
  <si>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</si>
  <si>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</si>
  <si>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</si>
  <si>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</si>
  <si>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</si>
  <si>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</si>
  <si>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</si>
  <si>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</si>
  <si>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</si>
  <si>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</si>
  <si>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</si>
  <si>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</si>
  <si>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</si>
  <si>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</si>
  <si>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</si>
  <si>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</si>
  <si>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</si>
  <si>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nqC_10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</si>
  <si>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</si>
  <si>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</si>
  <si>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nqC_11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</si>
  <si>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</si>
  <si>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</si>
  <si>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nqC_12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</si>
  <si>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</si>
  <si>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</si>
  <si>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nqC_13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</si>
  <si>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</si>
  <si>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</si>
  <si>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nqC_14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</si>
  <si>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</si>
  <si>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</si>
  <si>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</si>
  <si>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</si>
  <si>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</si>
  <si>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</si>
  <si>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</si>
  <si>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</si>
  <si>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</si>
  <si>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</si>
  <si>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</si>
  <si>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</si>
  <si>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</si>
  <si>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</si>
  <si>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</si>
  <si>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</si>
  <si>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</si>
  <si>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</si>
  <si>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</si>
  <si>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</si>
  <si>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</si>
  <si>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scn_hbm_p28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</si>
  <si>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</si>
  <si>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hbm_p28_A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</si>
  <si>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scn_hbm_p29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</si>
  <si>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</si>
  <si>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hbm_p29_A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</si>
  <si>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</si>
  <si>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</si>
  <si>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</si>
  <si>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scn_cyc_m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</si>
  <si>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cyc_mA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cyc_mC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</si>
  <si>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</si>
  <si>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</si>
  <si>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</si>
  <si>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</si>
  <si>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</si>
  <si>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</si>
  <si>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</si>
  <si>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</si>
  <si>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</si>
  <si>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</si>
  <si>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</si>
  <si>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</si>
  <si>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</si>
  <si>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</si>
  <si>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</si>
  <si>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</si>
  <si>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</si>
  <si>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</si>
  <si>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</si>
  <si>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</si>
  <si>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</si>
  <si>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</si>
  <si>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</si>
  <si>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</si>
  <si>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</si>
  <si>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</si>
  <si>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</si>
  <si>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</si>
  <si>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</si>
  <si>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</si>
  <si>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</si>
  <si>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</si>
  <si>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</si>
  <si>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</si>
  <si>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</si>
  <si>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</si>
  <si>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</si>
  <si>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</si>
  <si>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</si>
  <si>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</si>
  <si>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</si>
  <si>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</si>
  <si>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</si>
  <si>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</si>
  <si>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</si>
  <si>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</si>
  <si>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</si>
  <si>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</si>
  <si>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</si>
  <si>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</si>
  <si>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</si>
  <si>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</si>
  <si>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</si>
  <si>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</si>
  <si>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</si>
  <si>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</si>
  <si>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</si>
  <si>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</si>
  <si>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</si>
  <si>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</si>
  <si>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</si>
  <si>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</si>
  <si>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</si>
  <si>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</si>
  <si>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</si>
  <si>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</si>
  <si>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</si>
  <si>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</si>
  <si>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</si>
  <si>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</si>
  <si>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</si>
  <si>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</si>
  <si>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</si>
  <si>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</si>
  <si>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</si>
  <si>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</si>
  <si>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</si>
  <si>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</si>
  <si>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</si>
  <si>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</si>
  <si>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</si>
  <si>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</si>
  <si>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</si>
  <si>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</si>
  <si>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</si>
  <si>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</si>
  <si>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</si>
  <si>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</si>
  <si>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</si>
  <si>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</si>
  <si>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</si>
  <si>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</si>
  <si>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季度損益（兆韓元）。實績：三星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季度簡報（</t>
    </r>
    <r>
      <rPr>
        <sz val="11"/>
        <color theme="1"/>
        <rFont val="Calibri"/>
        <family val="2"/>
        <charset val="1"/>
      </rPr>
      <t xml:space="preserve">2025Q1–2026Q2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確定財報與法說（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</si>
  <si>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</si>
  <si>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</si>
  <si>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</si>
  <si>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</si>
  <si>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</si>
  <si>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</si>
  <si>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</si>
  <si>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</si>
  <si>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</si>
  <si>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</si>
  <si>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</si>
  <si>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</si>
  <si>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</si>
  <si>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</si>
  <si>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Noto Sans CJK SC"/>
        <family val="2"/>
      </rPr>
      <t xml:space="preserve">三星只揭露記憶體營收，不揭露記憶體營業利益與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拆分。記憶體營業利益＝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營業利益＋晶圓代工與 </t>
    </r>
    <r>
      <rPr>
        <sz val="11"/>
        <color theme="1"/>
        <rFont val="Calibri"/>
        <family val="2"/>
        <charset val="1"/>
      </rPr>
      <t xml:space="preserve">LSI </t>
    </r>
    <r>
      <rPr>
        <sz val="11"/>
        <color theme="1"/>
        <rFont val="Noto Sans CJK SC"/>
        <family val="2"/>
      </rPr>
      <t xml:space="preserve">虧損估計（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每季約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兆）</t>
    </r>
    <r>
      <rPr>
        <sz val="11"/>
        <color theme="1"/>
        <rFont val="Calibri"/>
        <family val="2"/>
        <charset val="1"/>
      </rPr>
      <t xml:space="preserve">[Derived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DRAM 68%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32%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82 </t>
    </r>
    <r>
      <rPr>
        <sz val="11"/>
        <color theme="1"/>
        <rFont val="Noto Sans CJK SC"/>
        <family val="2"/>
      </rPr>
      <t xml:space="preserve">兆推得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；營業費用約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Noto Sans CJK SC"/>
        <family val="2"/>
      </rPr>
      <t xml:space="preserve">營收、折舊為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。淨利為合併歸屬母公司。　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實績：記憶體營收 </t>
    </r>
    <r>
      <rPr>
        <sz val="11"/>
        <color theme="1"/>
        <rFont val="Calibri"/>
        <family val="2"/>
        <charset val="1"/>
      </rPr>
      <t xml:space="preserve">140.7 </t>
    </r>
    <r>
      <rPr>
        <sz val="11"/>
        <color theme="1"/>
        <rFont val="Noto Sans CJK SC"/>
        <family val="2"/>
      </rPr>
      <t xml:space="preserve">兆（公司）；記憶體營業利益 </t>
    </r>
    <r>
      <rPr>
        <sz val="11"/>
        <color theme="1"/>
        <rFont val="Calibri"/>
        <family val="2"/>
        <charset val="1"/>
      </rPr>
      <t xml:space="preserve">108.0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106.5</t>
    </r>
    <r>
      <rPr>
        <sz val="11"/>
        <color theme="1"/>
        <rFont val="Noto Sans CJK SC"/>
        <family val="2"/>
      </rPr>
      <t xml:space="preserve">＋晶圓代工與 </t>
    </r>
    <r>
      <rPr>
        <sz val="11"/>
        <color theme="1"/>
        <rFont val="Calibri"/>
        <family val="2"/>
        <charset val="1"/>
      </rPr>
      <t xml:space="preserve">LSI </t>
    </r>
    <r>
      <rPr>
        <sz val="11"/>
        <color theme="1"/>
        <rFont val="Noto Sans CJK SC"/>
        <family val="2"/>
      </rPr>
      <t xml:space="preserve">虧損估計 </t>
    </r>
    <r>
      <rPr>
        <sz val="11"/>
        <color theme="1"/>
        <rFont val="Calibri"/>
        <family val="2"/>
        <charset val="1"/>
      </rPr>
      <t xml:space="preserve">1.5 [Derived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DRAM 68%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32%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結構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（法說 </t>
    </r>
    <r>
      <rPr>
        <sz val="11"/>
        <color theme="1"/>
        <rFont val="Calibri"/>
        <family val="2"/>
        <charset val="1"/>
      </rPr>
      <t xml:space="preserve">DRAM 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、位元低至中個位數，</t>
    </r>
    <r>
      <rPr>
        <sz val="11"/>
        <color theme="1"/>
        <rFont val="Calibri"/>
        <family val="2"/>
        <charset val="1"/>
      </rPr>
      <t xml:space="preserve">NAND ASP </t>
    </r>
    <r>
      <rPr>
        <sz val="11"/>
        <color theme="1"/>
        <rFont val="Noto Sans CJK SC"/>
        <family val="2"/>
      </rPr>
      <t xml:space="preserve">十幾 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、位元中個位數，兩者營收增幅相近；但價量相乘約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，高於記憶體營收實際季增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，差距可能來自韓元升值的匯率影響〔法說：季減約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兆，以零組件為主〕與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口徑）；淨利 </t>
    </r>
    <r>
      <rPr>
        <sz val="11"/>
        <color theme="1"/>
        <rFont val="Calibri"/>
        <family val="2"/>
        <charset val="1"/>
      </rPr>
      <t xml:space="preserve">74.8</t>
    </r>
    <r>
      <rPr>
        <sz val="11"/>
        <color theme="1"/>
        <rFont val="Noto Sans CJK SC"/>
        <family val="2"/>
      </rPr>
      <t xml:space="preserve">＝合併淨利 </t>
    </r>
    <r>
      <rPr>
        <sz val="11"/>
        <color theme="1"/>
        <rFont val="Calibri"/>
        <family val="2"/>
        <charset val="1"/>
      </rPr>
      <t xml:space="preserve">75.1361 × 2Q </t>
    </r>
    <r>
      <rPr>
        <sz val="11"/>
        <color theme="1"/>
        <rFont val="Noto Sans CJK SC"/>
        <family val="2"/>
      </rPr>
      <t xml:space="preserve">歸屬母公司比例 </t>
    </r>
    <r>
      <rPr>
        <sz val="11"/>
        <color theme="1"/>
        <rFont val="Calibri"/>
        <family val="2"/>
        <charset val="1"/>
      </rPr>
      <t xml:space="preserve">0.9955 [Derived]</t>
    </r>
    <r>
      <rPr>
        <sz val="11"/>
        <color theme="1"/>
        <rFont val="Noto Sans CJK SC"/>
        <family val="2"/>
      </rPr>
      <t xml:space="preserve">；折舊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</si>
  <si>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官方報告分部（兆韓元；分部營收含內部銷售；三星 </t>
    </r>
    <r>
      <rPr>
        <b val="true"/>
        <sz val="11"/>
        <rFont val="Cambria"/>
        <family val="0"/>
        <charset val="1"/>
      </rPr>
      <t xml:space="preserve">IR </t>
    </r>
    <r>
      <rPr>
        <b val="true"/>
        <sz val="11"/>
        <rFont val="Noto Sans CJK SC"/>
        <family val="2"/>
      </rPr>
      <t xml:space="preserve">季度簡報）</t>
    </r>
  </si>
  <si>
    <r>
      <rPr>
        <sz val="11"/>
        <color theme="1"/>
        <rFont val="Calibri"/>
        <family val="2"/>
        <charset val="1"/>
      </rPr>
      <t xml:space="preserve">DX</t>
    </r>
    <r>
      <rPr>
        <sz val="11"/>
        <color theme="1"/>
        <rFont val="Noto Sans CJK SC"/>
        <family val="2"/>
      </rPr>
      <t xml:space="preserve">（裝置體驗：</t>
    </r>
    <r>
      <rPr>
        <sz val="11"/>
        <color theme="1"/>
        <rFont val="Calibri"/>
        <family val="2"/>
        <charset val="1"/>
      </rPr>
      <t xml:space="preserve">MX</t>
    </r>
    <r>
      <rPr>
        <sz val="11"/>
        <color theme="1"/>
        <rFont val="Noto Sans CJK SC"/>
        <family val="2"/>
      </rPr>
      <t xml:space="preserve">／網路、</t>
    </r>
    <r>
      <rPr>
        <sz val="11"/>
        <color theme="1"/>
        <rFont val="Calibri"/>
        <family val="2"/>
        <charset val="1"/>
      </rPr>
      <t xml:space="preserve">VD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</si>
  <si>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DS</t>
    </r>
    <r>
      <rPr>
        <sz val="11"/>
        <color theme="1"/>
        <rFont val="Noto Sans CJK SC"/>
        <family val="2"/>
      </rPr>
      <t xml:space="preserve">（裝置解決方案）</t>
    </r>
  </si>
  <si>
    <r>
      <rPr>
        <sz val="11"/>
        <color theme="1"/>
        <rFont val="Calibri"/>
        <family val="2"/>
        <charset val="1"/>
      </rPr>
      <t xml:space="preserve">SDC</t>
    </r>
    <r>
      <rPr>
        <sz val="11"/>
        <color theme="1"/>
        <rFont val="Noto Sans CJK SC"/>
        <family val="2"/>
      </rPr>
      <t xml:space="preserve">（三星顯示器）</t>
    </r>
  </si>
  <si>
    <t xml:space="preserve">Harman</t>
  </si>
  <si>
    <r>
      <rPr>
        <sz val="11"/>
        <color theme="1"/>
        <rFont val="Noto Sans CJK SC"/>
        <family val="2"/>
      </rPr>
      <t xml:space="preserve">內部抵銷 </t>
    </r>
    <r>
      <rPr>
        <sz val="11"/>
        <color theme="1"/>
        <rFont val="Calibri"/>
        <family val="2"/>
        <charset val="1"/>
      </rPr>
      <t xml:space="preserve">[Derived</t>
    </r>
    <r>
      <rPr>
        <sz val="11"/>
        <color theme="1"/>
        <rFont val="Noto Sans CJK SC"/>
        <family val="2"/>
      </rPr>
      <t xml:space="preserve">＝合併營收 − 四分部合計</t>
    </r>
    <r>
      <rPr>
        <sz val="11"/>
        <color theme="1"/>
        <rFont val="Calibri"/>
        <family val="2"/>
        <charset val="1"/>
      </rPr>
      <t xml:space="preserve">]</t>
    </r>
  </si>
  <si>
    <t xml:space="preserve">合併營收</t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</si>
  <si>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</si>
  <si>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2026Q1 </t>
    </r>
    <r>
      <rPr>
        <sz val="11"/>
        <color theme="1"/>
        <rFont val="Noto Sans CJK SC"/>
        <family val="2"/>
      </rPr>
      <t xml:space="preserve">簡報（韓文版，含 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簡報（含 </t>
    </r>
    <r>
      <rPr>
        <sz val="11"/>
        <color theme="1"/>
        <rFont val="Calibri"/>
        <family val="2"/>
        <charset val="1"/>
      </rPr>
      <t xml:space="preserve">2025Q2</t>
    </r>
    <r>
      <rPr>
        <sz val="11"/>
        <color theme="1"/>
        <rFont val="Noto Sans CJK SC"/>
        <family val="2"/>
      </rPr>
      <t xml:space="preserve">；第三方轉存 </t>
    </r>
    <r>
      <rPr>
        <sz val="11"/>
        <color theme="1"/>
        <rFont val="Calibri"/>
        <family val="2"/>
        <charset val="1"/>
      </rPr>
      <t xml:space="preserve">gelonghui</t>
    </r>
    <r>
      <rPr>
        <sz val="11"/>
        <color theme="1"/>
        <rFont val="Noto Sans CJK SC"/>
        <family val="2"/>
      </rPr>
      <t xml:space="preserve">，三星官網原檔未取得）、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news.samsungsemiconductor.com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</si>
  <si>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2025Q3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DX </t>
    </r>
    <r>
      <rPr>
        <sz val="11"/>
        <color theme="1"/>
        <rFont val="Noto Sans CJK SC"/>
        <family val="2"/>
      </rPr>
      <t xml:space="preserve">未揭露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2025Q2 DX × 1.11</t>
    </r>
    <r>
      <rPr>
        <sz val="11"/>
        <color theme="1"/>
        <rFont val="Noto Sans CJK SC"/>
        <family val="2"/>
      </rPr>
      <t xml:space="preserve">（新聞稿：季增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Harman </t>
    </r>
    <r>
      <rPr>
        <sz val="11"/>
        <color theme="1"/>
        <rFont val="Noto Sans CJK SC"/>
        <family val="2"/>
      </rPr>
      <t xml:space="preserve">未揭露，該季不計核對。三星不揭露內部抵銷，故抵銷列為差額，核對列只驗證分部表本身。</t>
    </r>
  </si>
  <si>
    <r>
      <rPr>
        <sz val="11"/>
        <color theme="1"/>
        <rFont val="Noto Sans CJK SC"/>
        <family val="2"/>
      </rPr>
      <t xml:space="preserve">記憶體（第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列「記憶體營收」）屬 </t>
    </r>
    <r>
      <rPr>
        <sz val="11"/>
        <color theme="1"/>
        <rFont val="Calibri"/>
        <family val="2"/>
        <charset val="1"/>
      </rPr>
      <t xml:space="preserve">DS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其餘為晶圓代工與 </t>
    </r>
    <r>
      <rPr>
        <sz val="11"/>
        <color theme="1"/>
        <rFont val="Calibri"/>
        <family val="2"/>
        <charset val="1"/>
      </rPr>
      <t xml:space="preserve">System LSI</t>
    </r>
    <r>
      <rPr>
        <sz val="11"/>
        <color theme="1"/>
        <rFont val="Noto Sans CJK SC"/>
        <family val="2"/>
      </rPr>
      <t xml:space="preserve">。推估季不拆分部：非記憶體事業以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nm_rev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nm_op </t>
    </r>
    <r>
      <rPr>
        <sz val="11"/>
        <color theme="1"/>
        <rFont val="Noto Sans CJK SC"/>
        <family val="2"/>
      </rPr>
      <t xml:space="preserve">整體輸入。</t>
    </r>
  </si>
  <si>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：確定財報（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DX 52.1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DS 147.1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SDC 8.0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Harman 4.3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VLSI Korea </t>
    </r>
    <r>
      <rPr>
        <sz val="11"/>
        <color theme="1"/>
        <rFont val="Noto Sans CJK SC"/>
        <family val="2"/>
      </rPr>
      <t xml:space="preserve">轉述法說）、合併 </t>
    </r>
    <r>
      <rPr>
        <sz val="11"/>
        <color theme="1"/>
        <rFont val="Calibri"/>
        <family val="2"/>
        <charset val="1"/>
      </rPr>
      <t xml:space="preserve">195.2532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</si>
  <si>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</si>
  <si>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收斂法（上游市場層只到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頁目標價參數），股數固定；非驅動因子推導，只算營收、淨利、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</si>
  <si>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</si>
  <si>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</si>
  <si>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</si>
  <si>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</si>
  <si>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</si>
  <si>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</si>
  <si>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</si>
  <si>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</si>
  <si>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</si>
  <si>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</si>
  <si>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</si>
  <si>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b val="true"/>
        <sz val="11"/>
        <rFont val="Cambria"/>
        <family val="0"/>
        <charset val="1"/>
      </rPr>
      <t xml:space="preserve">2030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</si>
  <si>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</si>
  <si>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</si>
  <si>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</si>
  <si>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</si>
  <si>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</si>
  <si>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</si>
  <si>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</si>
  <si>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C </t>
    </r>
    <r>
      <rPr>
        <b val="true"/>
        <sz val="11"/>
        <rFont val="Noto Sans CJK SC"/>
        <family val="2"/>
      </rPr>
      <t xml:space="preserve">收斂</t>
    </r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</si>
  <si>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</si>
  <si>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</si>
  <si>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</si>
  <si>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</si>
  <si>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</si>
  <si>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</si>
  <si>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</si>
  <si>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</si>
  <si>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</si>
  <si>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</si>
  <si>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</si>
  <si>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</si>
  <si>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</si>
  <si>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</si>
  <si>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</si>
  <si>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</si>
  <si>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</si>
  <si>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</si>
  <si>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</si>
  <si>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</si>
  <si>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</si>
  <si>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</si>
  <si>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</si>
  <si>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</si>
  <si>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</si>
  <si>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t xml:space="preserve">合併營收年增</t>
  </si>
  <si>
    <r>
      <rPr>
        <sz val="11"/>
        <color theme="1"/>
        <rFont val="Noto Sans CJK SC"/>
        <family val="2"/>
      </rPr>
      <t xml:space="preserve">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</si>
  <si>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</si>
  <si>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</si>
  <si>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</si>
  <si>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</si>
  <si>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</si>
  <si>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</si>
  <si>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</si>
  <si>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</si>
  <si>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</si>
  <si>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2.0x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</si>
  <si>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</si>
  <si>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</si>
  <si>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</si>
  <si>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</si>
  <si>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</si>
  <si>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</si>
  <si>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</si>
  <si>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</si>
  <si>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</si>
  <si>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</si>
  <si>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t xml:space="preserve">companiesmarketcap</t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</si>
  <si>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</si>
  <si>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</si>
  <si>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</si>
  <si>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</si>
  <si>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十年中位 </t>
    </r>
    <r>
      <rPr>
        <sz val="11"/>
        <color theme="1"/>
        <rFont val="Calibri"/>
        <family val="2"/>
        <charset val="1"/>
      </rPr>
      <t xml:space="preserve">1.44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</si>
  <si>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</si>
  <si>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</si>
  <si>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</si>
  <si>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</si>
  <si>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</si>
  <si>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</si>
  <si>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</si>
  <si>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</si>
  <si>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</si>
  <si>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</si>
  <si>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</si>
  <si>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</si>
  <si>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</si>
  <si>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</si>
  <si>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</si>
  <si>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</si>
  <si>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</si>
  <si>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</si>
  <si>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</si>
  <si>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</si>
  <si>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</si>
  <si>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</si>
  <si>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</si>
  <si>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</si>
  <si>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</si>
  <si>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</si>
  <si>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</si>
  <si>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</si>
  <si>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</si>
  <si>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</si>
  <si>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</si>
  <si>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（核對，不採用）</t>
    </r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</si>
  <si>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（核對，不採用）：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</si>
  <si>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差距 ≤ </t>
    </r>
    <r>
      <rPr>
        <sz val="11"/>
        <color theme="1"/>
        <rFont val="Calibri"/>
        <family val="2"/>
        <charset val="1"/>
      </rPr>
      <t xml:space="preserve">8%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</si>
  <si>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</si>
  <si>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</si>
  <si>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</si>
  <si>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</si>
  <si>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</si>
  <si>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</si>
  <si>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</si>
  <si>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</si>
  <si>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</si>
  <si>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</si>
  <si>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</si>
  <si>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</si>
  <si>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</si>
  <si>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</si>
  <si>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</si>
  <si>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</si>
  <si>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</si>
  <si>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頁灰底）</t>
    </r>
  </si>
  <si>
    <t xml:space="preserve">  2027</t>
  </si>
  <si>
    <t xml:space="preserve">  2028</t>
  </si>
  <si>
    <t xml:space="preserve">  2029</t>
  </si>
  <si>
    <t xml:space="preserve">  2030</t>
  </si>
  <si>
    <t xml:space="preserve">  2031</t>
  </si>
  <si>
    <t xml:space="preserve">  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</si>
  <si>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</si>
  <si>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頁自由現金流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期末股數；收斂期（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起）沒有資本支出與折舊的推導，用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</si>
  <si>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</si>
  <si>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</si>
  <si>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</si>
  <si>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</si>
  <si>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</si>
  <si>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</si>
  <si>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</si>
  <si>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</si>
  <si>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</si>
  <si>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</si>
  <si>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</si>
  <si>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</si>
  <si>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</si>
  <si>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</si>
  <si>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</si>
  <si>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</si>
  <si>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</si>
  <si>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</si>
  <si>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</si>
  <si>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</si>
  <si>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</si>
  <si>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</si>
  <si>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</t>
    </r>
  </si>
  <si>
    <t xml:space="preserve">美光</t>
  </si>
  <si>
    <t xml:space="preserve">MU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</si>
  <si>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</t>
    </r>
  </si>
  <si>
    <r>
      <rPr>
        <sz val="11"/>
        <color theme="1"/>
        <rFont val="Noto Sans CJK SC"/>
        <family val="2"/>
      </rPr>
      <t xml:space="preserve">鎧俠（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）</t>
    </r>
  </si>
  <si>
    <t xml:space="preserve">285A.T</t>
  </si>
  <si>
    <t xml:space="preserve">2026-10-09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</si>
  <si>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）每股淨值；頁面價格為 </t>
    </r>
    <r>
      <rPr>
        <sz val="11"/>
        <color theme="1"/>
        <rFont val="Calibri"/>
        <family val="2"/>
        <charset val="1"/>
      </rPr>
      <t xml:space="preserve">10-09</t>
    </r>
  </si>
  <si>
    <t xml:space="preserve">南亞科</t>
  </si>
  <si>
    <t xml:space="preserve">2408.TW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</si>
  <si>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</si>
  <si>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</si>
  <si>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海力士、美光、鎧俠、南亞科；無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年底）共識每股淨值；各家會計年度不同（美光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月、鎧俠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月）。三星為集團公司，純記憶體同業倍數未含集團折價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</si>
  <si>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</si>
  <si>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下一個會計年度末共識每股淨值（約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個月後）；對應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</si>
  <si>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</si>
  <si>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</si>
  <si>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</si>
  <si>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</si>
  <si>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</si>
  <si>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</si>
  <si>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</si>
  <si>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</si>
  <si>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</si>
  <si>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</si>
  <si>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</si>
  <si>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</si>
  <si>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</si>
  <si>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</si>
  <si>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）；任一情境高於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倍時，目標價方法加註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</si>
  <si>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</si>
  <si>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每股淨值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</si>
  <si>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</si>
  <si>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頁與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</si>
  <si>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</si>
  <si>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</si>
  <si>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</si>
  <si>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</si>
  <si>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節第一個來源）分布的分位（高於十年最大值記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</si>
  <si>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</si>
  <si>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</si>
  <si>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</si>
  <si>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各情境隱含價；約為年底價格、未折現。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樣板起目標價改為第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</si>
  <si>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</si>
  <si>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</si>
  <si>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</si>
  <si>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</si>
  <si>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</si>
  <si>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</si>
  <si>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平平＝中位數、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一定最低）。第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節的見頂／中段／谷底規則值不變（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投資地圖抽數用）。十年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前的低倍數期，且為全公司口徑（含手機、晶圓代工等非記憶體事業的集團折價），偏誤方向為低估。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</si>
  <si>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</si>
  <si>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</si>
  <si>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</si>
  <si>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</si>
  <si>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</si>
  <si>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</si>
  <si>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</si>
  <si>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</si>
  <si>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</si>
  <si>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</si>
  <si>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</si>
  <si>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</si>
  <si>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</si>
  <si>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</si>
  <si>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</si>
  <si>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</si>
  <si>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</si>
  <si>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</si>
  <si>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</si>
  <si>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</si>
  <si>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</si>
  <si>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三星電子</t>
  </si>
  <si>
    <t xml:space="preserve">005930.KS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</si>
  <si>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</si>
  <si>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005930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</si>
  <si>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</si>
  <si>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000660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</si>
  <si>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MU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</si>
  <si>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285A JT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</si>
  <si>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2408 TT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</si>
  <si>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</si>
  <si>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</si>
  <si>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</si>
  <si>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</si>
  <si>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</si>
  <si>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</si>
  <si>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</si>
  <si>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</si>
  <si>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</si>
  <si>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</si>
  <si>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</si>
  <si>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</si>
  <si>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</si>
  <si>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</si>
  <si>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</si>
  <si>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</si>
  <si>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</si>
  <si>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</si>
  <si>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</si>
  <si>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</si>
  <si>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</si>
  <si>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</si>
  <si>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</si>
  <si>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</si>
  <si>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</si>
  <si>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</si>
  <si>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</si>
  <si>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Y </t>
    </r>
    <r>
      <rPr>
        <b val="true"/>
        <sz val="11"/>
        <rFont val="Noto Sans CJK SC"/>
        <family val="2"/>
      </rPr>
      <t xml:space="preserve">頁收斂法的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</si>
  <si>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</si>
  <si>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</si>
  <si>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</si>
  <si>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</si>
  <si>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</si>
  <si>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</si>
  <si>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</si>
  <si>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</si>
  <si>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</si>
  <si>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</si>
  <si>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</si>
  <si>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</si>
  <si>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</si>
  <si>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</si>
  <si>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</si>
  <si>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</si>
  <si>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</si>
  <si>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目標價應等於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</si>
  <si>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</si>
  <si>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</si>
  <si>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</si>
  <si>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</si>
  <si>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</si>
  <si>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</si>
  <si>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 2026-10-06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</si>
  <si>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</si>
  <si>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381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</si>
  <si>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</si>
  <si>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</si>
  <si>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</si>
  <si>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544.7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574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</si>
  <si>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</si>
  <si>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</si>
  <si>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543.9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</si>
  <si>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記憶體營業利益（推估）</t>
    </r>
    <r>
      <rPr>
        <sz val="11"/>
        <color theme="1"/>
        <rFont val="Calibri"/>
        <family val="2"/>
        <charset val="1"/>
      </rPr>
      <t xml:space="preserve">vs Meritz </t>
    </r>
    <r>
      <rPr>
        <sz val="11"/>
        <color theme="1"/>
        <rFont val="Noto Sans CJK SC"/>
        <family val="2"/>
      </rPr>
      <t xml:space="preserve">估計</t>
    </r>
  </si>
  <si>
    <r>
      <rPr>
        <sz val="11"/>
        <color theme="1"/>
        <rFont val="Calibri"/>
        <family val="2"/>
        <charset val="1"/>
      </rPr>
      <t xml:space="preserve">Meritz Securities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Herald Business </t>
    </r>
    <r>
      <rPr>
        <sz val="11"/>
        <color theme="1"/>
        <rFont val="Noto Sans CJK SC"/>
        <family val="2"/>
      </rPr>
      <t xml:space="preserve">轉述）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；本模型＝</t>
    </r>
    <r>
      <rPr>
        <sz val="11"/>
        <color theme="1"/>
        <rFont val="Calibri"/>
        <family val="2"/>
        <charset val="1"/>
      </rPr>
      <t xml:space="preserve">DS 106.5</t>
    </r>
    <r>
      <rPr>
        <sz val="11"/>
        <color theme="1"/>
        <rFont val="Noto Sans CJK SC"/>
        <family val="2"/>
      </rPr>
      <t xml:space="preserve">＋晶圓代工與 </t>
    </r>
    <r>
      <rPr>
        <sz val="11"/>
        <color theme="1"/>
        <rFont val="Calibri"/>
        <family val="2"/>
        <charset val="1"/>
      </rPr>
      <t xml:space="preserve">LSI </t>
    </r>
    <r>
      <rPr>
        <sz val="11"/>
        <color theme="1"/>
        <rFont val="Noto Sans CJK SC"/>
        <family val="2"/>
      </rPr>
      <t xml:space="preserve">虧損估計 </t>
    </r>
    <r>
      <rPr>
        <sz val="11"/>
        <color theme="1"/>
        <rFont val="Calibri"/>
        <family val="2"/>
        <charset val="1"/>
      </rPr>
      <t xml:space="preserve">1.5</t>
    </r>
  </si>
  <si>
    <r>
      <rPr>
        <sz val="11"/>
        <color theme="1"/>
        <rFont val="Calibri"/>
        <family val="2"/>
        <charset val="1"/>
      </rPr>
      <t xml:space="preserve">2027E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</si>
  <si>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</si>
  <si>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</si>
  <si>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</si>
  <si>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</si>
  <si>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</si>
  <si>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</si>
  <si>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需求缺口（三情境相同）</t>
    </r>
  </si>
  <si>
    <r>
      <rPr>
        <sz val="11"/>
        <color theme="1"/>
        <rFont val="Noto Sans CJK SC"/>
        <family val="2"/>
      </rPr>
      <t xml:space="preserve">三星電子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</si>
  <si>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</si>
  <si>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t xml:space="preserve">—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</si>
  <si>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確定財報（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</t>
    </r>
  </si>
  <si>
    <t xml:space="preserve">https://news.samsung.com/global/samsung-electronics-announces-third-quarter-2026-results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</si>
  <si>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VLSI Korea</t>
    </r>
    <r>
      <rPr>
        <sz val="11"/>
        <color theme="1"/>
        <rFont val="Noto Sans CJK SC"/>
        <family val="2"/>
      </rPr>
      <t xml:space="preserve">，位元與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指引、淨利）</t>
    </r>
  </si>
  <si>
    <t xml:space="preserve">https://www.vlsi.kr/en/samsung-q3-2026-earnings-11-facts-en/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</si>
  <si>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</si>
  <si>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https://news.samsung.com/global/samsung-electronics-announces-earnings-guidance-for-third-quarter-2026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</si>
  <si>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2Q26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</si>
  <si>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https://images.samsung.com/is/content/samsung/assets/global/ir/docs/2026_2Q_conference_eng.pdf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</si>
  <si>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1Q26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</si>
  <si>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https://images.samsung.com/is/content/samsung/assets/global/ir/docs/2026_1Q_conference_eng.pdf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</si>
  <si>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4Q25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</si>
  <si>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https://images.samsung.com/is/content/samsung/assets/global/ir/docs/2025_4Q_conference_eng.pdf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</si>
  <si>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資產負債表</t>
    </r>
  </si>
  <si>
    <t xml:space="preserve">https://images.samsung.com/kdp/ir/financial-info/2026/2026_con_quarter02_bs.pdf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</si>
  <si>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股東回饋（</t>
    </r>
    <r>
      <rPr>
        <sz val="11"/>
        <color theme="1"/>
        <rFont val="Calibri"/>
        <family val="2"/>
        <charset val="1"/>
      </rPr>
      <t xml:space="preserve">2026-08-21</t>
    </r>
    <r>
      <rPr>
        <sz val="11"/>
        <color theme="1"/>
        <rFont val="Noto Sans CJK SC"/>
        <family val="2"/>
      </rPr>
      <t xml:space="preserve">）</t>
    </r>
  </si>
  <si>
    <t xml:space="preserve">https://news.samsung.com/global/samsung-electronics-to-implement-largest-ever-shareholder-return-in-2026-estimated-at-krw-90-to-110-trillion</t>
  </si>
  <si>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Noto Sans CJK SC"/>
        <family val="2"/>
      </rPr>
      <t xml:space="preserve">法說摘要</t>
    </r>
  </si>
  <si>
    <t xml:space="preserve">https://www.trendforce.com/news/?p=61735</t>
  </si>
  <si>
    <r>
      <rPr>
        <sz val="11"/>
        <color theme="1"/>
        <rFont val="Calibri"/>
        <family val="2"/>
        <charset val="1"/>
      </rPr>
      <t xml:space="preserve">FN News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2Q26 DRAM </t>
    </r>
    <r>
      <rPr>
        <sz val="11"/>
        <color theme="1"/>
        <rFont val="Noto Sans CJK SC"/>
        <family val="2"/>
      </rPr>
      <t xml:space="preserve">營收）</t>
    </r>
  </si>
  <si>
    <t xml:space="preserve">https://www.fnnews.com/news/202609071940555902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</si>
  <si>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</si>
  <si>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https://www.marketscreener.com/quote/stock/SAMSUNG-ELECTRONICS-CO-6494906/finances/</t>
  </si>
  <si>
    <t xml:space="preserve">companiesmarketcap P/B</t>
  </si>
  <si>
    <t xml:space="preserve">https://companiesmarketcap.com/samsung/pb-ratio/</t>
  </si>
  <si>
    <r>
      <rPr>
        <sz val="11"/>
        <color theme="1"/>
        <rFont val="Calibri"/>
        <family val="2"/>
        <charset val="1"/>
      </rPr>
      <t xml:space="preserve">Seoul Economic Daily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P4</t>
    </r>
    <r>
      <rPr>
        <sz val="11"/>
        <color theme="1"/>
        <rFont val="Noto Sans CJK SC"/>
        <family val="2"/>
      </rPr>
      <t xml:space="preserve">、資本支出）</t>
    </r>
  </si>
  <si>
    <t xml:space="preserve">https://en.sedaily.com/finance/2026/04/22/samsung-accelerates-p4-fab-advances-full-production-by-six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</si>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</sst>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0.00"/>
    <numFmt numFmtId="167" formatCode="0%"/>
    <numFmt numFmtId="168" formatCode="0"/>
    <numFmt numFmtId="169" formatCode="0.0"/>
    <numFmt numFmtId="170" formatCode="0.0%"/>
    <numFmt numFmtId="171" formatCode="0.000"/>
    <numFmt numFmtId="172" formatCode="#,##0"/>
    <numFmt numFmtId="173" formatCode="#,##0.0"/>
    <numFmt numFmtId="174" formatCode="0.00\x"/>
    <numFmt numFmtId="175" formatCode="@"/>
    <numFmt numFmtId="176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3" t="s">
        <v>16</v>
      </c>
    </row>
    <row r="21" customFormat="false" ht="17.15" hidden="false" customHeight="false" outlineLevel="0" collapsed="false">
      <c r="A21" s="2" t="s">
        <v>17</v>
      </c>
    </row>
    <row r="22" customFormat="false" ht="17.15" hidden="false" customHeight="false" outlineLevel="0" collapsed="false">
      <c r="A22" s="2" t="s">
        <v>18</v>
      </c>
    </row>
    <row r="23" customFormat="false" ht="17.15" hidden="false" customHeight="false" outlineLevel="0" collapsed="false">
      <c r="A23" s="3" t="s">
        <v>19</v>
      </c>
    </row>
    <row r="24" customFormat="false" ht="17.15" hidden="false" customHeight="false" outlineLevel="0" collapsed="false">
      <c r="A24" s="3" t="s">
        <v>20</v>
      </c>
    </row>
    <row r="25" customFormat="false" ht="17.15" hidden="false" customHeight="false" outlineLevel="0" collapsed="false">
      <c r="A25" s="3" t="s">
        <v>21</v>
      </c>
    </row>
    <row r="26" customFormat="false" ht="17.15" hidden="false" customHeight="false" outlineLevel="0" collapsed="false">
      <c r="A26" s="3" t="s">
        <v>22</v>
      </c>
    </row>
    <row r="27" customFormat="false" ht="17.15" hidden="false" customHeight="false" outlineLevel="0" collapsed="false">
      <c r="A27" s="3" t="s">
        <v>23</v>
      </c>
    </row>
    <row r="28" customFormat="false" ht="15" hidden="false" customHeight="false" outlineLevel="0" collapsed="false">
      <c r="A28" s="0" t="str">
        <f aca="false">"投資建議："&amp;Val!B185&amp;"（依上檔空間固定規則）"</f>
        <v>投資建議：強力買進（依上檔空間固定規則）</v>
      </c>
    </row>
    <row r="29" customFormat="false" ht="17.15" hidden="false" customHeight="false" outlineLevel="0" collapsed="false">
      <c r="A29" s="0" t="str">
        <f aca="false">"重點觀察 1：目標價 ₩"&amp;TEXT(Val!$B$161,"#,##0")&amp;"（DCF "&amp;TEXT(Val!$B$146,"#,##0")&amp;"、Comparable（相對倍數調整後）"&amp;TEXT(tp_comp_adj,"#,##0")&amp;"；DCF 權重 "&amp;TEXT(tp_w_dcf,"0%")&amp;"），比現價 "&amp;TEXT(px,"#,##0")&amp;"（2026-10-23）"&amp;IF(Val!$B$164&gt;=0,"高 "&amp;TEXT(Val!$B$164,"0.0%"),"低 "&amp;TEXT(-Val!$B$164,"0.0%"))&amp;"，級距 "&amp;Val!$B$184&amp;"、投資建議 "&amp;Val!$B$185&amp;"。相對倍數調整係數 "&amp;TEXT(rm_factor,"0.00")&amp;"（本公司 10 年前瞻倍數中位數 ÷ 同業的中位數，夾在 0.5–2.0；Val 第 0.5 節），調整前加權上檔空間 "&amp;TEXT((tp_w_dcf*Val!$B$146+(1-tp_w_dcf)*Val!$B$156)/px-1,"+0.0%;−0.0%")&amp;"；Comparable 單獨（市場主流同業法、未調整）為 "&amp;TEXT(Val!$B$165,"+0.0%;−0.0%")&amp;"。"&amp;"以下為 2026-10-29 相對倍數調整前撰寫的說明，其中數字為調整前：目標價 ₩498,385（DCF 506,370、Comparable 相對倍數調整後 490,401 各半），比現價 215,500（2026-10-23）高 131.3%，級距 大於 50%；Comparable（市場主流同業法）單獨為 +119.3%。主因仍是倍數不是 EPS：v0.4 滾入 3Q26 實績與 4Q 指"&amp;"引後，2028 年底每股淨值 243,619 只比共識 232,055 高 5.0%，現價隱含的前瞻 P/B 不到 0.9 倍，記憶體同業中位數 1.94 倍。"</f>
        <v>重點觀察 1：目標價 ₩494,191（DCF 500,913、Comparable（相對倍數調整後）487,469；DCF 權重 50%），比現價 215,500（2026-10-23）高 129.3%，級距 大於 50%、投資建議 強力買進。相對倍數調整係數 1.04（本公司 10 年前瞻倍數中位數 ÷ 同業的中位數，夾在 0.5–2.0；Val 第 0.5 節），調整前加權上檔空間 +125.2%；Comparable 單獨（市場主流同業法、未調整）為 +118.0%。以下為 2026-10-29 相對倍數調整前撰寫的說明，其中數字為調整前：目標價 ₩498,385（DCF 506,370、Comparable 相對倍數調整後 490,401 各半），比現價 215,500（2026-10-23）高 131.3%，級距 大於 50%；Comparable（市場主流同業法）單獨為 +119.3%。主因仍是倍數不是 EPS：v0.4 滾入 3Q26 實績與 4Q 指引後，2028 年底每股淨值 243,619 只比共識 232,055 高 5.0%，現價隱含的前瞻 P/B 不到 0.9 倍，記憶體同業中位數 1.94 倍。</v>
      </c>
    </row>
    <row r="30" customFormat="false" ht="17.15" hidden="false" customHeight="false" outlineLevel="0" collapsed="false">
      <c r="A30" s="4" t="s">
        <v>24</v>
      </c>
    </row>
    <row r="31" customFormat="false" ht="17.15" hidden="false" customHeight="false" outlineLevel="0" collapsed="false">
      <c r="A31" s="4" t="s">
        <v>25</v>
      </c>
    </row>
    <row r="33" customFormat="false" ht="17.15" hidden="false" customHeight="false" outlineLevel="0" collapsed="false">
      <c r="A33" s="0" t="s">
        <v>26</v>
      </c>
    </row>
    <row r="35" customFormat="false" ht="17.15" hidden="false" customHeight="false" outlineLevel="0" collapsed="false">
      <c r="A35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28</v>
      </c>
    </row>
    <row r="3" customFormat="false" ht="15" hidden="false" customHeight="false" outlineLevel="0" collapsed="false">
      <c r="A3" s="5" t="s">
        <v>29</v>
      </c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36</v>
      </c>
    </row>
    <row r="4" customFormat="false" ht="17.15" hidden="false" customHeight="false" outlineLevel="0" collapsed="false">
      <c r="A4" s="6" t="s">
        <v>37</v>
      </c>
    </row>
    <row r="5" customFormat="false" ht="17.15" hidden="false" customHeight="false" outlineLevel="0" collapsed="false">
      <c r="A5" s="0" t="s">
        <v>38</v>
      </c>
      <c r="B5" s="4" t="s">
        <v>39</v>
      </c>
      <c r="C5" s="0" t="s">
        <v>40</v>
      </c>
      <c r="D5" s="7" t="n">
        <v>1350</v>
      </c>
      <c r="E5" s="7" t="n">
        <v>1420</v>
      </c>
      <c r="F5" s="7" t="n">
        <v>1500</v>
      </c>
      <c r="G5" s="8" t="s">
        <v>41</v>
      </c>
      <c r="H5" s="4" t="s">
        <v>42</v>
      </c>
    </row>
    <row r="6" customFormat="false" ht="17.15" hidden="false" customHeight="false" outlineLevel="0" collapsed="false">
      <c r="A6" s="0" t="s">
        <v>43</v>
      </c>
      <c r="B6" s="4" t="s">
        <v>44</v>
      </c>
      <c r="C6" s="0" t="s">
        <v>45</v>
      </c>
      <c r="E6" s="7" t="n">
        <v>215500</v>
      </c>
      <c r="G6" s="8" t="s">
        <v>46</v>
      </c>
      <c r="H6" s="8" t="s">
        <v>47</v>
      </c>
    </row>
    <row r="7" customFormat="false" ht="17.15" hidden="false" customHeight="false" outlineLevel="0" collapsed="false">
      <c r="A7" s="6" t="s">
        <v>48</v>
      </c>
    </row>
    <row r="8" customFormat="false" ht="17.15" hidden="false" customHeight="false" outlineLevel="0" collapsed="false">
      <c r="A8" s="0" t="s">
        <v>49</v>
      </c>
      <c r="B8" s="0" t="s">
        <v>50</v>
      </c>
      <c r="C8" s="0" t="s">
        <v>51</v>
      </c>
      <c r="D8" s="7" t="n">
        <v>0.03</v>
      </c>
      <c r="E8" s="7" t="n">
        <v>0.05</v>
      </c>
      <c r="F8" s="7" t="n">
        <v>0.07</v>
      </c>
      <c r="G8" s="8" t="s">
        <v>52</v>
      </c>
      <c r="H8" s="4" t="s">
        <v>53</v>
      </c>
    </row>
    <row r="9" customFormat="false" ht="17.15" hidden="false" customHeight="false" outlineLevel="0" collapsed="false">
      <c r="A9" s="0" t="s">
        <v>54</v>
      </c>
      <c r="B9" s="0" t="s">
        <v>55</v>
      </c>
      <c r="C9" s="0" t="s">
        <v>51</v>
      </c>
      <c r="D9" s="7" t="n">
        <v>0.08</v>
      </c>
      <c r="E9" s="7" t="n">
        <v>0.1</v>
      </c>
      <c r="F9" s="7" t="n">
        <v>0.15</v>
      </c>
      <c r="G9" s="8" t="s">
        <v>41</v>
      </c>
      <c r="H9" s="8" t="s">
        <v>56</v>
      </c>
    </row>
    <row r="10" customFormat="false" ht="17.15" hidden="false" customHeight="false" outlineLevel="0" collapsed="false">
      <c r="A10" s="0" t="s">
        <v>57</v>
      </c>
      <c r="B10" s="0" t="s">
        <v>58</v>
      </c>
      <c r="C10" s="0" t="s">
        <v>51</v>
      </c>
      <c r="D10" s="7" t="n">
        <v>0.06</v>
      </c>
      <c r="E10" s="7" t="n">
        <v>0.08</v>
      </c>
      <c r="F10" s="7" t="n">
        <v>0.09</v>
      </c>
      <c r="G10" s="8" t="s">
        <v>52</v>
      </c>
      <c r="H10" s="8" t="s">
        <v>59</v>
      </c>
    </row>
    <row r="11" customFormat="false" ht="17.15" hidden="false" customHeight="false" outlineLevel="0" collapsed="false">
      <c r="A11" s="0" t="s">
        <v>60</v>
      </c>
      <c r="B11" s="0" t="s">
        <v>61</v>
      </c>
      <c r="C11" s="0" t="s">
        <v>51</v>
      </c>
      <c r="D11" s="7" t="n">
        <v>0.08</v>
      </c>
      <c r="E11" s="7" t="n">
        <v>0.1</v>
      </c>
      <c r="F11" s="7" t="n">
        <v>0.15</v>
      </c>
      <c r="G11" s="8" t="s">
        <v>41</v>
      </c>
      <c r="H11" s="8" t="s">
        <v>62</v>
      </c>
    </row>
    <row r="12" customFormat="false" ht="17.15" hidden="false" customHeight="false" outlineLevel="0" collapsed="false">
      <c r="A12" s="0" t="s">
        <v>63</v>
      </c>
      <c r="B12" s="0" t="s">
        <v>64</v>
      </c>
      <c r="C12" s="0" t="s">
        <v>51</v>
      </c>
      <c r="D12" s="7" t="n">
        <v>0.12</v>
      </c>
      <c r="E12" s="7" t="n">
        <v>0.16</v>
      </c>
      <c r="F12" s="7" t="n">
        <v>0.19</v>
      </c>
      <c r="G12" s="8" t="s">
        <v>52</v>
      </c>
      <c r="H12" s="4" t="s">
        <v>65</v>
      </c>
    </row>
    <row r="13" customFormat="false" ht="17.15" hidden="false" customHeight="false" outlineLevel="0" collapsed="false">
      <c r="A13" s="0" t="s">
        <v>66</v>
      </c>
      <c r="B13" s="0" t="s">
        <v>67</v>
      </c>
      <c r="C13" s="0" t="s">
        <v>51</v>
      </c>
      <c r="D13" s="7" t="n">
        <v>0.05</v>
      </c>
      <c r="E13" s="7" t="n">
        <v>0.1</v>
      </c>
      <c r="F13" s="7" t="n">
        <v>0.15</v>
      </c>
      <c r="G13" s="8" t="s">
        <v>52</v>
      </c>
      <c r="H13" s="8" t="s">
        <v>68</v>
      </c>
    </row>
    <row r="14" customFormat="false" ht="17.15" hidden="false" customHeight="false" outlineLevel="0" collapsed="false">
      <c r="A14" s="0" t="s">
        <v>69</v>
      </c>
      <c r="B14" s="0" t="s">
        <v>70</v>
      </c>
      <c r="C14" s="0" t="s">
        <v>51</v>
      </c>
      <c r="D14" s="7" t="n">
        <v>0.12</v>
      </c>
      <c r="E14" s="7" t="n">
        <v>0.15</v>
      </c>
      <c r="F14" s="7" t="n">
        <v>0.18</v>
      </c>
      <c r="G14" s="8" t="s">
        <v>52</v>
      </c>
      <c r="H14" s="4" t="s">
        <v>71</v>
      </c>
    </row>
    <row r="15" customFormat="false" ht="17.15" hidden="false" customHeight="false" outlineLevel="0" collapsed="false">
      <c r="A15" s="0" t="s">
        <v>72</v>
      </c>
      <c r="B15" s="0" t="s">
        <v>73</v>
      </c>
      <c r="C15" s="0" t="s">
        <v>51</v>
      </c>
      <c r="D15" s="7" t="n">
        <v>0.1</v>
      </c>
      <c r="E15" s="7" t="n">
        <v>0.175</v>
      </c>
      <c r="F15" s="7" t="n">
        <v>0.2</v>
      </c>
      <c r="G15" s="8" t="s">
        <v>52</v>
      </c>
      <c r="H15" s="8" t="s">
        <v>74</v>
      </c>
    </row>
    <row r="16" customFormat="false" ht="17.15" hidden="false" customHeight="false" outlineLevel="0" collapsed="false">
      <c r="A16" s="0" t="s">
        <v>75</v>
      </c>
      <c r="B16" s="0" t="s">
        <v>76</v>
      </c>
      <c r="C16" s="4" t="s">
        <v>77</v>
      </c>
      <c r="E16" s="7" t="n">
        <v>6.6</v>
      </c>
      <c r="G16" s="8" t="s">
        <v>78</v>
      </c>
      <c r="H16" s="4" t="s">
        <v>79</v>
      </c>
    </row>
    <row r="17" customFormat="false" ht="17.15" hidden="false" customHeight="false" outlineLevel="0" collapsed="false">
      <c r="A17" s="0" t="s">
        <v>80</v>
      </c>
      <c r="B17" s="0" t="s">
        <v>81</v>
      </c>
      <c r="C17" s="4" t="s">
        <v>77</v>
      </c>
      <c r="E17" s="7" t="n">
        <v>7</v>
      </c>
      <c r="G17" s="8" t="s">
        <v>78</v>
      </c>
    </row>
    <row r="18" customFormat="false" ht="15" hidden="false" customHeight="false" outlineLevel="0" collapsed="false">
      <c r="A18" s="0" t="s">
        <v>82</v>
      </c>
      <c r="B18" s="4" t="s">
        <v>83</v>
      </c>
      <c r="C18" s="0" t="s">
        <v>51</v>
      </c>
      <c r="D18" s="7" t="n">
        <v>0.01</v>
      </c>
      <c r="E18" s="7" t="n">
        <v>0.03</v>
      </c>
      <c r="F18" s="7" t="n">
        <v>0.05</v>
      </c>
      <c r="G18" s="8" t="s">
        <v>78</v>
      </c>
    </row>
    <row r="19" customFormat="false" ht="17.15" hidden="false" customHeight="false" outlineLevel="0" collapsed="false">
      <c r="A19" s="0" t="s">
        <v>84</v>
      </c>
      <c r="B19" s="4" t="s">
        <v>85</v>
      </c>
      <c r="C19" s="4" t="s">
        <v>77</v>
      </c>
      <c r="E19" s="7" t="n">
        <v>1</v>
      </c>
      <c r="G19" s="8" t="s">
        <v>78</v>
      </c>
      <c r="H19" s="4" t="s">
        <v>86</v>
      </c>
    </row>
    <row r="20" customFormat="false" ht="17.15" hidden="false" customHeight="false" outlineLevel="0" collapsed="false">
      <c r="A20" s="0" t="s">
        <v>87</v>
      </c>
      <c r="B20" s="4" t="s">
        <v>88</v>
      </c>
      <c r="C20" s="4" t="s">
        <v>77</v>
      </c>
      <c r="D20" s="7" t="n">
        <v>0.5</v>
      </c>
      <c r="E20" s="7" t="n">
        <v>1.5</v>
      </c>
      <c r="F20" s="7" t="n">
        <v>2.5</v>
      </c>
      <c r="G20" s="8" t="s">
        <v>78</v>
      </c>
      <c r="H20" s="4" t="s">
        <v>89</v>
      </c>
    </row>
    <row r="21" customFormat="false" ht="17.15" hidden="false" customHeight="false" outlineLevel="0" collapsed="false">
      <c r="A21" s="0" t="s">
        <v>90</v>
      </c>
      <c r="B21" s="4" t="s">
        <v>91</v>
      </c>
      <c r="C21" s="4" t="s">
        <v>77</v>
      </c>
      <c r="D21" s="7" t="n">
        <v>-1</v>
      </c>
      <c r="E21" s="7" t="n">
        <v>2</v>
      </c>
      <c r="F21" s="7" t="n">
        <v>4</v>
      </c>
      <c r="G21" s="8" t="s">
        <v>78</v>
      </c>
      <c r="H21" s="8" t="s">
        <v>92</v>
      </c>
    </row>
    <row r="22" customFormat="false" ht="17.15" hidden="false" customHeight="false" outlineLevel="0" collapsed="false">
      <c r="A22" s="6" t="s">
        <v>93</v>
      </c>
    </row>
    <row r="23" customFormat="false" ht="17.15" hidden="false" customHeight="false" outlineLevel="0" collapsed="false">
      <c r="A23" s="0" t="s">
        <v>94</v>
      </c>
      <c r="B23" s="4" t="s">
        <v>95</v>
      </c>
      <c r="C23" s="0" t="s">
        <v>51</v>
      </c>
      <c r="D23" s="7" t="n">
        <v>0.1</v>
      </c>
      <c r="E23" s="7" t="n">
        <v>0.15</v>
      </c>
      <c r="F23" s="7" t="n">
        <v>0.2</v>
      </c>
      <c r="G23" s="8" t="s">
        <v>41</v>
      </c>
      <c r="H23" s="8" t="s">
        <v>96</v>
      </c>
    </row>
    <row r="24" customFormat="false" ht="17.15" hidden="false" customHeight="false" outlineLevel="0" collapsed="false">
      <c r="A24" s="0" t="s">
        <v>97</v>
      </c>
      <c r="B24" s="4" t="s">
        <v>98</v>
      </c>
      <c r="C24" s="0" t="s">
        <v>51</v>
      </c>
      <c r="D24" s="7" t="n">
        <v>0.12</v>
      </c>
      <c r="E24" s="7" t="n">
        <v>0.18</v>
      </c>
      <c r="F24" s="7" t="n">
        <v>0.22</v>
      </c>
      <c r="G24" s="8" t="s">
        <v>41</v>
      </c>
      <c r="H24" s="8" t="s">
        <v>99</v>
      </c>
    </row>
    <row r="25" customFormat="false" ht="17.15" hidden="false" customHeight="false" outlineLevel="0" collapsed="false">
      <c r="A25" s="0" t="s">
        <v>100</v>
      </c>
      <c r="B25" s="4" t="s">
        <v>101</v>
      </c>
      <c r="C25" s="0" t="s">
        <v>51</v>
      </c>
      <c r="D25" s="7" t="n">
        <v>0.1</v>
      </c>
      <c r="E25" s="7" t="n">
        <v>0.15</v>
      </c>
      <c r="F25" s="7" t="n">
        <v>0.2</v>
      </c>
      <c r="G25" s="8" t="s">
        <v>78</v>
      </c>
    </row>
    <row r="26" customFormat="false" ht="17.15" hidden="false" customHeight="false" outlineLevel="0" collapsed="false">
      <c r="A26" s="0" t="s">
        <v>102</v>
      </c>
      <c r="B26" s="0" t="s">
        <v>103</v>
      </c>
      <c r="C26" s="0" t="s">
        <v>51</v>
      </c>
      <c r="D26" s="7" t="n">
        <v>0.1</v>
      </c>
      <c r="E26" s="7" t="n">
        <v>0.15</v>
      </c>
      <c r="F26" s="7" t="n">
        <v>0.2</v>
      </c>
      <c r="G26" s="8" t="s">
        <v>78</v>
      </c>
    </row>
    <row r="27" customFormat="false" ht="17.15" hidden="false" customHeight="false" outlineLevel="0" collapsed="false">
      <c r="A27" s="0" t="s">
        <v>104</v>
      </c>
      <c r="B27" s="0" t="s">
        <v>105</v>
      </c>
      <c r="C27" s="0" t="s">
        <v>51</v>
      </c>
      <c r="D27" s="7" t="n">
        <v>0.12</v>
      </c>
      <c r="E27" s="7" t="n">
        <v>0.18</v>
      </c>
      <c r="F27" s="7" t="n">
        <v>0.22</v>
      </c>
      <c r="G27" s="8" t="s">
        <v>78</v>
      </c>
    </row>
    <row r="28" customFormat="false" ht="17.15" hidden="false" customHeight="false" outlineLevel="0" collapsed="false">
      <c r="A28" s="0" t="s">
        <v>106</v>
      </c>
      <c r="B28" s="0" t="s">
        <v>107</v>
      </c>
      <c r="C28" s="0" t="s">
        <v>51</v>
      </c>
      <c r="D28" s="7" t="n">
        <v>0.12</v>
      </c>
      <c r="E28" s="7" t="n">
        <v>0.18</v>
      </c>
      <c r="F28" s="7" t="n">
        <v>0.22</v>
      </c>
      <c r="G28" s="8" t="s">
        <v>78</v>
      </c>
    </row>
    <row r="29" customFormat="false" ht="17.15" hidden="false" customHeight="false" outlineLevel="0" collapsed="false">
      <c r="A29" s="0" t="s">
        <v>108</v>
      </c>
      <c r="B29" s="0" t="s">
        <v>109</v>
      </c>
      <c r="C29" s="0" t="s">
        <v>51</v>
      </c>
      <c r="D29" s="7" t="n">
        <v>0.15</v>
      </c>
      <c r="E29" s="7" t="n">
        <v>0.17</v>
      </c>
      <c r="F29" s="7" t="n">
        <v>0.22</v>
      </c>
      <c r="G29" s="8" t="s">
        <v>52</v>
      </c>
      <c r="H29" s="8" t="s">
        <v>110</v>
      </c>
    </row>
    <row r="30" customFormat="false" ht="17.15" hidden="false" customHeight="false" outlineLevel="0" collapsed="false">
      <c r="A30" s="0" t="s">
        <v>111</v>
      </c>
      <c r="B30" s="0" t="s">
        <v>112</v>
      </c>
      <c r="C30" s="0" t="s">
        <v>51</v>
      </c>
      <c r="D30" s="7" t="n">
        <v>0.25</v>
      </c>
      <c r="E30" s="7" t="n">
        <v>0.29</v>
      </c>
      <c r="F30" s="7" t="n">
        <v>0.33</v>
      </c>
      <c r="G30" s="8" t="s">
        <v>52</v>
      </c>
      <c r="H30" s="8" t="s">
        <v>113</v>
      </c>
    </row>
    <row r="31" customFormat="false" ht="17.15" hidden="false" customHeight="false" outlineLevel="0" collapsed="false">
      <c r="A31" s="0" t="s">
        <v>114</v>
      </c>
      <c r="B31" s="0" t="s">
        <v>115</v>
      </c>
      <c r="C31" s="0" t="s">
        <v>51</v>
      </c>
      <c r="D31" s="7" t="n">
        <v>0.33</v>
      </c>
      <c r="E31" s="7" t="n">
        <v>0.38</v>
      </c>
      <c r="F31" s="7" t="n">
        <v>0.41</v>
      </c>
      <c r="G31" s="8" t="s">
        <v>52</v>
      </c>
      <c r="H31" s="8" t="s">
        <v>116</v>
      </c>
    </row>
    <row r="32" customFormat="false" ht="17.15" hidden="false" customHeight="false" outlineLevel="0" collapsed="false">
      <c r="A32" s="0" t="s">
        <v>117</v>
      </c>
      <c r="B32" s="0" t="s">
        <v>118</v>
      </c>
      <c r="C32" s="0" t="s">
        <v>51</v>
      </c>
      <c r="D32" s="7" t="n">
        <v>0.35</v>
      </c>
      <c r="E32" s="7" t="n">
        <v>0.4</v>
      </c>
      <c r="F32" s="7" t="n">
        <v>0.45</v>
      </c>
      <c r="G32" s="8" t="s">
        <v>78</v>
      </c>
      <c r="H32" s="4" t="s">
        <v>119</v>
      </c>
    </row>
    <row r="33" customFormat="false" ht="17.15" hidden="false" customHeight="false" outlineLevel="0" collapsed="false">
      <c r="A33" s="0" t="s">
        <v>120</v>
      </c>
      <c r="B33" s="0" t="s">
        <v>121</v>
      </c>
      <c r="C33" s="0" t="s">
        <v>51</v>
      </c>
      <c r="D33" s="7" t="n">
        <v>0.35</v>
      </c>
      <c r="E33" s="7" t="n">
        <v>0.4</v>
      </c>
      <c r="F33" s="7" t="n">
        <v>0.45</v>
      </c>
      <c r="G33" s="8" t="s">
        <v>78</v>
      </c>
    </row>
    <row r="34" customFormat="false" ht="17.15" hidden="false" customHeight="false" outlineLevel="0" collapsed="false">
      <c r="A34" s="0" t="s">
        <v>122</v>
      </c>
      <c r="B34" s="4" t="s">
        <v>123</v>
      </c>
      <c r="C34" s="4" t="s">
        <v>77</v>
      </c>
      <c r="E34" s="7" t="n">
        <v>0</v>
      </c>
      <c r="G34" s="8" t="s">
        <v>41</v>
      </c>
      <c r="H34" s="8" t="s">
        <v>124</v>
      </c>
    </row>
    <row r="35" customFormat="false" ht="17.15" hidden="false" customHeight="false" outlineLevel="0" collapsed="false">
      <c r="A35" s="0" t="s">
        <v>125</v>
      </c>
      <c r="B35" s="4" t="s">
        <v>126</v>
      </c>
      <c r="C35" s="0" t="s">
        <v>51</v>
      </c>
      <c r="E35" s="7" t="n">
        <v>0.55</v>
      </c>
      <c r="G35" s="8" t="s">
        <v>78</v>
      </c>
    </row>
    <row r="36" customFormat="false" ht="17.15" hidden="false" customHeight="false" outlineLevel="0" collapsed="false">
      <c r="A36" s="0" t="s">
        <v>127</v>
      </c>
      <c r="B36" s="4" t="s">
        <v>128</v>
      </c>
      <c r="C36" s="0" t="s">
        <v>51</v>
      </c>
      <c r="E36" s="7" t="n">
        <v>0.15</v>
      </c>
      <c r="G36" s="8" t="s">
        <v>78</v>
      </c>
    </row>
    <row r="37" customFormat="false" ht="17.15" hidden="false" customHeight="false" outlineLevel="0" collapsed="false">
      <c r="A37" s="0" t="s">
        <v>129</v>
      </c>
      <c r="B37" s="4" t="s">
        <v>130</v>
      </c>
      <c r="C37" s="0" t="s">
        <v>51</v>
      </c>
      <c r="E37" s="7" t="n">
        <v>0.3</v>
      </c>
      <c r="G37" s="8" t="s">
        <v>78</v>
      </c>
    </row>
    <row r="38" customFormat="false" ht="15" hidden="false" customHeight="false" outlineLevel="0" collapsed="false">
      <c r="A38" s="0" t="s">
        <v>131</v>
      </c>
      <c r="B38" s="4" t="s">
        <v>132</v>
      </c>
      <c r="C38" s="0" t="s">
        <v>51</v>
      </c>
      <c r="D38" s="7" t="n">
        <v>0.05</v>
      </c>
      <c r="E38" s="7" t="n">
        <v>0.1</v>
      </c>
      <c r="F38" s="7" t="n">
        <v>0.15</v>
      </c>
      <c r="G38" s="8" t="s">
        <v>78</v>
      </c>
    </row>
    <row r="39" customFormat="false" ht="15" hidden="false" customHeight="false" outlineLevel="0" collapsed="false">
      <c r="A39" s="0" t="s">
        <v>133</v>
      </c>
      <c r="B39" s="4" t="s">
        <v>134</v>
      </c>
      <c r="C39" s="4" t="s">
        <v>135</v>
      </c>
      <c r="D39" s="7" t="n">
        <v>4</v>
      </c>
      <c r="E39" s="7" t="n">
        <v>5</v>
      </c>
      <c r="F39" s="7" t="n">
        <v>6</v>
      </c>
      <c r="G39" s="8" t="s">
        <v>78</v>
      </c>
    </row>
    <row r="40" customFormat="false" ht="15" hidden="false" customHeight="false" outlineLevel="0" collapsed="false">
      <c r="A40" s="0" t="s">
        <v>136</v>
      </c>
      <c r="B40" s="4" t="s">
        <v>137</v>
      </c>
      <c r="C40" s="0" t="s">
        <v>51</v>
      </c>
      <c r="E40" s="7" t="n">
        <v>0.9</v>
      </c>
      <c r="G40" s="8" t="s">
        <v>78</v>
      </c>
    </row>
    <row r="41" customFormat="false" ht="15" hidden="false" customHeight="false" outlineLevel="0" collapsed="false">
      <c r="A41" s="0" t="s">
        <v>138</v>
      </c>
      <c r="B41" s="4" t="s">
        <v>139</v>
      </c>
      <c r="C41" s="4" t="s">
        <v>77</v>
      </c>
      <c r="E41" s="7" t="n">
        <v>4</v>
      </c>
      <c r="G41" s="8" t="s">
        <v>78</v>
      </c>
    </row>
    <row r="42" customFormat="false" ht="17.15" hidden="false" customHeight="false" outlineLevel="0" collapsed="false">
      <c r="A42" s="0" t="s">
        <v>140</v>
      </c>
      <c r="B42" s="4" t="s">
        <v>141</v>
      </c>
      <c r="C42" s="0" t="s">
        <v>142</v>
      </c>
      <c r="D42" s="7" t="n">
        <v>0.04</v>
      </c>
      <c r="E42" s="7" t="n">
        <v>0.06</v>
      </c>
      <c r="F42" s="7" t="n">
        <v>0.08</v>
      </c>
      <c r="G42" s="8" t="s">
        <v>78</v>
      </c>
      <c r="H42" s="4" t="s">
        <v>79</v>
      </c>
    </row>
    <row r="43" customFormat="false" ht="15" hidden="false" customHeight="false" outlineLevel="0" collapsed="false">
      <c r="A43" s="0" t="s">
        <v>143</v>
      </c>
      <c r="B43" s="4" t="s">
        <v>144</v>
      </c>
      <c r="C43" s="0" t="s">
        <v>51</v>
      </c>
      <c r="E43" s="7" t="n">
        <v>0.1</v>
      </c>
      <c r="G43" s="8" t="s">
        <v>78</v>
      </c>
    </row>
    <row r="44" customFormat="false" ht="17.15" hidden="false" customHeight="false" outlineLevel="0" collapsed="false">
      <c r="A44" s="0" t="s">
        <v>145</v>
      </c>
      <c r="B44" s="4" t="s">
        <v>146</v>
      </c>
      <c r="C44" s="0" t="s">
        <v>51</v>
      </c>
      <c r="D44" s="7" t="n">
        <v>0.15</v>
      </c>
      <c r="E44" s="7" t="n">
        <v>0.2</v>
      </c>
      <c r="F44" s="7" t="n">
        <v>0.24</v>
      </c>
      <c r="G44" s="8" t="s">
        <v>41</v>
      </c>
      <c r="H44" s="8" t="s">
        <v>147</v>
      </c>
    </row>
    <row r="45" customFormat="false" ht="15" hidden="false" customHeight="false" outlineLevel="0" collapsed="false">
      <c r="A45" s="0" t="s">
        <v>148</v>
      </c>
      <c r="B45" s="4" t="s">
        <v>149</v>
      </c>
      <c r="C45" s="0" t="s">
        <v>51</v>
      </c>
      <c r="E45" s="7" t="n">
        <v>0.03</v>
      </c>
      <c r="G45" s="8" t="s">
        <v>78</v>
      </c>
    </row>
    <row r="46" customFormat="false" ht="17.15" hidden="false" customHeight="false" outlineLevel="0" collapsed="false">
      <c r="A46" s="0" t="s">
        <v>150</v>
      </c>
      <c r="B46" s="4" t="s">
        <v>151</v>
      </c>
      <c r="C46" s="4" t="s">
        <v>77</v>
      </c>
      <c r="D46" s="7" t="n">
        <v>55</v>
      </c>
      <c r="E46" s="7" t="n">
        <v>63.3</v>
      </c>
      <c r="F46" s="7" t="n">
        <v>70</v>
      </c>
      <c r="G46" s="8" t="s">
        <v>152</v>
      </c>
      <c r="H46" s="4" t="s">
        <v>153</v>
      </c>
    </row>
    <row r="47" customFormat="false" ht="17.15" hidden="false" customHeight="false" outlineLevel="0" collapsed="false">
      <c r="A47" s="0" t="s">
        <v>154</v>
      </c>
      <c r="B47" s="4" t="s">
        <v>155</v>
      </c>
      <c r="C47" s="4" t="s">
        <v>77</v>
      </c>
      <c r="D47" s="7" t="n">
        <v>50</v>
      </c>
      <c r="E47" s="7" t="n">
        <v>60</v>
      </c>
      <c r="F47" s="7" t="n">
        <v>75</v>
      </c>
      <c r="G47" s="8" t="s">
        <v>78</v>
      </c>
      <c r="H47" s="8" t="s">
        <v>156</v>
      </c>
    </row>
    <row r="48" customFormat="false" ht="17.15" hidden="false" customHeight="false" outlineLevel="0" collapsed="false">
      <c r="A48" s="0" t="s">
        <v>157</v>
      </c>
      <c r="B48" s="4" t="s">
        <v>158</v>
      </c>
      <c r="C48" s="4" t="s">
        <v>77</v>
      </c>
      <c r="D48" s="7" t="n">
        <v>55</v>
      </c>
      <c r="E48" s="7" t="n">
        <v>66</v>
      </c>
      <c r="F48" s="7" t="n">
        <v>80</v>
      </c>
      <c r="G48" s="8" t="s">
        <v>78</v>
      </c>
    </row>
    <row r="49" customFormat="false" ht="17.15" hidden="false" customHeight="false" outlineLevel="0" collapsed="false">
      <c r="A49" s="0" t="s">
        <v>159</v>
      </c>
      <c r="B49" s="4" t="s">
        <v>160</v>
      </c>
      <c r="C49" s="4" t="s">
        <v>77</v>
      </c>
      <c r="D49" s="7" t="n">
        <v>55</v>
      </c>
      <c r="E49" s="7" t="n">
        <v>66</v>
      </c>
      <c r="F49" s="7" t="n">
        <v>80</v>
      </c>
      <c r="G49" s="8" t="s">
        <v>78</v>
      </c>
    </row>
    <row r="50" customFormat="false" ht="17.15" hidden="false" customHeight="false" outlineLevel="0" collapsed="false">
      <c r="A50" s="0" t="s">
        <v>161</v>
      </c>
      <c r="B50" s="4" t="s">
        <v>162</v>
      </c>
      <c r="C50" s="4" t="s">
        <v>77</v>
      </c>
      <c r="E50" s="7" t="n">
        <v>224.4</v>
      </c>
      <c r="G50" s="8" t="s">
        <v>152</v>
      </c>
      <c r="H50" s="4" t="s">
        <v>163</v>
      </c>
    </row>
    <row r="51" customFormat="false" ht="17.15" hidden="false" customHeight="false" outlineLevel="0" collapsed="false">
      <c r="A51" s="0" t="s">
        <v>164</v>
      </c>
      <c r="B51" s="4" t="s">
        <v>165</v>
      </c>
      <c r="C51" s="4" t="s">
        <v>77</v>
      </c>
      <c r="E51" s="7" t="n">
        <v>1.2</v>
      </c>
      <c r="G51" s="8" t="s">
        <v>152</v>
      </c>
      <c r="H51" s="8" t="s">
        <v>166</v>
      </c>
    </row>
    <row r="52" customFormat="false" ht="17.15" hidden="false" customHeight="false" outlineLevel="0" collapsed="false">
      <c r="A52" s="0" t="s">
        <v>167</v>
      </c>
      <c r="B52" s="4" t="s">
        <v>168</v>
      </c>
      <c r="C52" s="4" t="s">
        <v>77</v>
      </c>
      <c r="E52" s="7" t="n">
        <v>230</v>
      </c>
      <c r="G52" s="8" t="s">
        <v>78</v>
      </c>
    </row>
    <row r="53" customFormat="false" ht="17.15" hidden="false" customHeight="false" outlineLevel="0" collapsed="false">
      <c r="A53" s="0" t="s">
        <v>169</v>
      </c>
      <c r="B53" s="4" t="s">
        <v>170</v>
      </c>
      <c r="C53" s="4" t="s">
        <v>77</v>
      </c>
      <c r="D53" s="7" t="n">
        <v>0</v>
      </c>
      <c r="E53" s="7" t="n">
        <v>6</v>
      </c>
      <c r="F53" s="7" t="n">
        <v>12</v>
      </c>
      <c r="G53" s="8" t="s">
        <v>78</v>
      </c>
      <c r="H53" s="4" t="s">
        <v>171</v>
      </c>
    </row>
    <row r="54" customFormat="false" ht="17.15" hidden="false" customHeight="false" outlineLevel="0" collapsed="false">
      <c r="A54" s="0" t="s">
        <v>172</v>
      </c>
      <c r="B54" s="4" t="s">
        <v>173</v>
      </c>
      <c r="C54" s="4" t="s">
        <v>77</v>
      </c>
      <c r="E54" s="7" t="n">
        <v>240</v>
      </c>
      <c r="G54" s="8" t="s">
        <v>78</v>
      </c>
    </row>
    <row r="55" customFormat="false" ht="17.15" hidden="false" customHeight="false" outlineLevel="0" collapsed="false">
      <c r="A55" s="0" t="s">
        <v>174</v>
      </c>
      <c r="B55" s="4" t="s">
        <v>175</v>
      </c>
      <c r="C55" s="4" t="s">
        <v>77</v>
      </c>
      <c r="D55" s="7" t="n">
        <v>0</v>
      </c>
      <c r="E55" s="7" t="n">
        <v>8</v>
      </c>
      <c r="F55" s="7" t="n">
        <v>15</v>
      </c>
      <c r="G55" s="8" t="s">
        <v>78</v>
      </c>
      <c r="H55" s="4" t="s">
        <v>176</v>
      </c>
    </row>
    <row r="56" customFormat="false" ht="17.15" hidden="false" customHeight="false" outlineLevel="0" collapsed="false">
      <c r="A56" s="0" t="s">
        <v>177</v>
      </c>
      <c r="B56" s="4" t="s">
        <v>178</v>
      </c>
      <c r="C56" s="4" t="s">
        <v>77</v>
      </c>
      <c r="E56" s="7" t="n">
        <v>250</v>
      </c>
      <c r="G56" s="8" t="s">
        <v>78</v>
      </c>
    </row>
    <row r="57" customFormat="false" ht="17.15" hidden="false" customHeight="false" outlineLevel="0" collapsed="false">
      <c r="A57" s="0" t="s">
        <v>179</v>
      </c>
      <c r="B57" s="4" t="s">
        <v>180</v>
      </c>
      <c r="C57" s="4" t="s">
        <v>77</v>
      </c>
      <c r="D57" s="7" t="n">
        <v>0</v>
      </c>
      <c r="E57" s="7" t="n">
        <v>8</v>
      </c>
      <c r="F57" s="7" t="n">
        <v>15</v>
      </c>
      <c r="G57" s="8" t="s">
        <v>78</v>
      </c>
    </row>
    <row r="58" customFormat="false" ht="17.15" hidden="false" customHeight="false" outlineLevel="0" collapsed="false">
      <c r="A58" s="6" t="s">
        <v>181</v>
      </c>
    </row>
    <row r="59" customFormat="false" ht="17.15" hidden="false" customHeight="false" outlineLevel="0" collapsed="false">
      <c r="A59" s="0" t="s">
        <v>182</v>
      </c>
      <c r="B59" s="4" t="s">
        <v>183</v>
      </c>
      <c r="C59" s="4" t="s">
        <v>77</v>
      </c>
      <c r="E59" s="7" t="n">
        <f aca="false">565.06+74.8-2.45</f>
        <v>637.41</v>
      </c>
      <c r="G59" s="8" t="s">
        <v>152</v>
      </c>
      <c r="H59" s="8" t="s">
        <v>184</v>
      </c>
    </row>
    <row r="60" customFormat="false" ht="17.15" hidden="false" customHeight="false" outlineLevel="0" collapsed="false">
      <c r="A60" s="0" t="s">
        <v>185</v>
      </c>
      <c r="B60" s="4" t="s">
        <v>186</v>
      </c>
      <c r="C60" s="4" t="s">
        <v>77</v>
      </c>
      <c r="E60" s="7" t="n">
        <f aca="false">167.59+74.8+6.6-29*0.75-2.45</f>
        <v>224.79</v>
      </c>
      <c r="G60" s="8" t="s">
        <v>152</v>
      </c>
      <c r="H60" s="8" t="s">
        <v>187</v>
      </c>
    </row>
    <row r="61" customFormat="false" ht="17.15" hidden="false" customHeight="false" outlineLevel="0" collapsed="false">
      <c r="A61" s="0" t="s">
        <v>188</v>
      </c>
      <c r="B61" s="4" t="s">
        <v>189</v>
      </c>
      <c r="C61" s="4" t="s">
        <v>190</v>
      </c>
      <c r="E61" s="7" t="n">
        <v>6566.56</v>
      </c>
      <c r="G61" s="8" t="s">
        <v>46</v>
      </c>
      <c r="H61" s="4" t="s">
        <v>191</v>
      </c>
    </row>
    <row r="62" customFormat="false" ht="15" hidden="false" customHeight="false" outlineLevel="0" collapsed="false">
      <c r="A62" s="0" t="s">
        <v>192</v>
      </c>
      <c r="B62" s="4" t="s">
        <v>193</v>
      </c>
      <c r="C62" s="4" t="s">
        <v>77</v>
      </c>
      <c r="E62" s="7" t="n">
        <v>0</v>
      </c>
      <c r="G62" s="8" t="s">
        <v>46</v>
      </c>
    </row>
    <row r="63" customFormat="false" ht="15" hidden="false" customHeight="false" outlineLevel="0" collapsed="false">
      <c r="A63" s="0" t="s">
        <v>194</v>
      </c>
      <c r="B63" s="4" t="s">
        <v>195</v>
      </c>
      <c r="C63" s="4" t="s">
        <v>190</v>
      </c>
      <c r="E63" s="7" t="n">
        <v>0</v>
      </c>
      <c r="G63" s="8" t="s">
        <v>46</v>
      </c>
    </row>
    <row r="64" customFormat="false" ht="17.15" hidden="false" customHeight="false" outlineLevel="0" collapsed="false">
      <c r="A64" s="0" t="s">
        <v>196</v>
      </c>
      <c r="B64" s="0" t="s">
        <v>197</v>
      </c>
      <c r="C64" s="4" t="s">
        <v>77</v>
      </c>
      <c r="E64" s="7" t="n">
        <v>15</v>
      </c>
      <c r="G64" s="8" t="s">
        <v>198</v>
      </c>
      <c r="H64" s="8" t="s">
        <v>199</v>
      </c>
    </row>
    <row r="65" customFormat="false" ht="17.15" hidden="false" customHeight="false" outlineLevel="0" collapsed="false">
      <c r="A65" s="0" t="s">
        <v>200</v>
      </c>
      <c r="B65" s="0" t="s">
        <v>201</v>
      </c>
      <c r="C65" s="4" t="s">
        <v>190</v>
      </c>
      <c r="E65" s="7" t="n">
        <v>57.3</v>
      </c>
      <c r="G65" s="8" t="s">
        <v>41</v>
      </c>
      <c r="H65" s="8" t="s">
        <v>202</v>
      </c>
    </row>
    <row r="66" customFormat="false" ht="17.15" hidden="false" customHeight="false" outlineLevel="0" collapsed="false">
      <c r="A66" s="0" t="s">
        <v>203</v>
      </c>
      <c r="B66" s="0" t="s">
        <v>204</v>
      </c>
      <c r="C66" s="4" t="s">
        <v>77</v>
      </c>
      <c r="E66" s="7" t="n">
        <v>32.5</v>
      </c>
      <c r="G66" s="8" t="s">
        <v>205</v>
      </c>
      <c r="H66" s="8" t="s">
        <v>206</v>
      </c>
    </row>
    <row r="67" customFormat="false" ht="17.15" hidden="false" customHeight="false" outlineLevel="0" collapsed="false">
      <c r="A67" s="0" t="s">
        <v>207</v>
      </c>
      <c r="B67" s="0" t="s">
        <v>208</v>
      </c>
      <c r="C67" s="4" t="s">
        <v>77</v>
      </c>
      <c r="E67" s="7" t="n">
        <f aca="false">(84.4-56.9)*0.75</f>
        <v>20.625</v>
      </c>
      <c r="G67" s="8" t="s">
        <v>41</v>
      </c>
      <c r="H67" s="4" t="s">
        <v>209</v>
      </c>
    </row>
    <row r="68" customFormat="false" ht="17.15" hidden="false" customHeight="false" outlineLevel="0" collapsed="false">
      <c r="A68" s="0" t="s">
        <v>210</v>
      </c>
      <c r="B68" s="4" t="s">
        <v>211</v>
      </c>
      <c r="C68" s="0" t="s">
        <v>45</v>
      </c>
      <c r="E68" s="7" t="n">
        <v>1500</v>
      </c>
      <c r="G68" s="8" t="s">
        <v>46</v>
      </c>
      <c r="H68" s="4" t="s">
        <v>212</v>
      </c>
    </row>
    <row r="69" customFormat="false" ht="17.15" hidden="false" customHeight="false" outlineLevel="0" collapsed="false">
      <c r="A69" s="0" t="s">
        <v>213</v>
      </c>
      <c r="B69" s="4" t="s">
        <v>214</v>
      </c>
      <c r="C69" s="0" t="s">
        <v>45</v>
      </c>
      <c r="E69" s="7" t="n">
        <v>1500</v>
      </c>
      <c r="G69" s="8" t="s">
        <v>46</v>
      </c>
      <c r="H69" s="4" t="s">
        <v>215</v>
      </c>
    </row>
    <row r="70" customFormat="false" ht="17.15" hidden="false" customHeight="false" outlineLevel="0" collapsed="false">
      <c r="A70" s="0" t="s">
        <v>216</v>
      </c>
      <c r="B70" s="4" t="s">
        <v>217</v>
      </c>
      <c r="C70" s="0" t="s">
        <v>45</v>
      </c>
      <c r="E70" s="7" t="n">
        <v>1500</v>
      </c>
      <c r="G70" s="8" t="s">
        <v>78</v>
      </c>
    </row>
    <row r="71" customFormat="false" ht="17.15" hidden="false" customHeight="false" outlineLevel="0" collapsed="false">
      <c r="A71" s="0" t="s">
        <v>218</v>
      </c>
      <c r="B71" s="4" t="s">
        <v>219</v>
      </c>
      <c r="C71" s="0" t="s">
        <v>51</v>
      </c>
      <c r="D71" s="7" t="n">
        <v>0.3</v>
      </c>
      <c r="E71" s="7" t="n">
        <v>0.5</v>
      </c>
      <c r="F71" s="7" t="n">
        <v>0.7</v>
      </c>
      <c r="G71" s="8" t="s">
        <v>41</v>
      </c>
      <c r="H71" s="8" t="s">
        <v>220</v>
      </c>
    </row>
    <row r="72" customFormat="false" ht="15" hidden="false" customHeight="false" outlineLevel="0" collapsed="false">
      <c r="A72" s="0" t="s">
        <v>221</v>
      </c>
      <c r="B72" s="4" t="s">
        <v>222</v>
      </c>
      <c r="C72" s="0" t="s">
        <v>45</v>
      </c>
      <c r="E72" s="7" t="n">
        <v>262000</v>
      </c>
      <c r="G72" s="8" t="s">
        <v>78</v>
      </c>
      <c r="H72" s="4" t="s">
        <v>223</v>
      </c>
    </row>
    <row r="73" customFormat="false" ht="17.15" hidden="false" customHeight="false" outlineLevel="0" collapsed="false">
      <c r="A73" s="6" t="s">
        <v>224</v>
      </c>
    </row>
    <row r="74" customFormat="false" ht="17.15" hidden="false" customHeight="false" outlineLevel="0" collapsed="false">
      <c r="A74" s="0" t="s">
        <v>225</v>
      </c>
      <c r="B74" s="0" t="s">
        <v>226</v>
      </c>
      <c r="C74" s="0" t="s">
        <v>227</v>
      </c>
      <c r="E74" s="7" t="n">
        <v>1</v>
      </c>
      <c r="G74" s="8" t="s">
        <v>52</v>
      </c>
      <c r="H74" s="8" t="s">
        <v>228</v>
      </c>
    </row>
    <row r="75" customFormat="false" ht="17.15" hidden="false" customHeight="false" outlineLevel="0" collapsed="false">
      <c r="A75" s="0" t="s">
        <v>229</v>
      </c>
      <c r="B75" s="0" t="s">
        <v>230</v>
      </c>
      <c r="C75" s="0" t="s">
        <v>227</v>
      </c>
      <c r="E75" s="7" t="n">
        <v>1.4</v>
      </c>
      <c r="G75" s="8" t="s">
        <v>52</v>
      </c>
      <c r="H75" s="8" t="s">
        <v>231</v>
      </c>
    </row>
    <row r="76" customFormat="false" ht="17.15" hidden="false" customHeight="false" outlineLevel="0" collapsed="false">
      <c r="A76" s="0" t="s">
        <v>232</v>
      </c>
      <c r="B76" s="0" t="s">
        <v>233</v>
      </c>
      <c r="C76" s="0" t="s">
        <v>227</v>
      </c>
      <c r="E76" s="7" t="n">
        <v>2</v>
      </c>
      <c r="G76" s="8" t="s">
        <v>52</v>
      </c>
      <c r="H76" s="8" t="s">
        <v>234</v>
      </c>
    </row>
    <row r="77" customFormat="false" ht="17.15" hidden="false" customHeight="false" outlineLevel="0" collapsed="false">
      <c r="A77" s="0" t="s">
        <v>235</v>
      </c>
      <c r="B77" s="0" t="s">
        <v>236</v>
      </c>
      <c r="C77" s="0" t="s">
        <v>227</v>
      </c>
      <c r="E77" s="7" t="n">
        <v>4</v>
      </c>
      <c r="G77" s="8" t="s">
        <v>78</v>
      </c>
      <c r="H77" s="4" t="s">
        <v>237</v>
      </c>
    </row>
    <row r="78" customFormat="false" ht="15" hidden="false" customHeight="false" outlineLevel="0" collapsed="false">
      <c r="A78" s="0" t="s">
        <v>238</v>
      </c>
      <c r="B78" s="0" t="s">
        <v>239</v>
      </c>
      <c r="C78" s="0" t="s">
        <v>227</v>
      </c>
      <c r="E78" s="7" t="n">
        <v>8</v>
      </c>
      <c r="G78" s="8" t="s">
        <v>78</v>
      </c>
    </row>
    <row r="79" customFormat="false" ht="15" hidden="false" customHeight="false" outlineLevel="0" collapsed="false">
      <c r="A79" s="0" t="s">
        <v>240</v>
      </c>
      <c r="B79" s="0" t="s">
        <v>241</v>
      </c>
      <c r="C79" s="0" t="s">
        <v>227</v>
      </c>
      <c r="E79" s="7" t="n">
        <v>12</v>
      </c>
      <c r="G79" s="8" t="s">
        <v>78</v>
      </c>
    </row>
    <row r="80" customFormat="false" ht="17.15" hidden="false" customHeight="false" outlineLevel="0" collapsed="false">
      <c r="A80" s="6" t="s">
        <v>242</v>
      </c>
    </row>
    <row r="81" customFormat="false" ht="17.15" hidden="false" customHeight="false" outlineLevel="0" collapsed="false">
      <c r="A81" s="0" t="s">
        <v>243</v>
      </c>
      <c r="B81" s="4" t="s">
        <v>244</v>
      </c>
      <c r="C81" s="0" t="s">
        <v>51</v>
      </c>
      <c r="E81" s="7" t="n">
        <v>-0.025</v>
      </c>
      <c r="G81" s="8" t="s">
        <v>52</v>
      </c>
      <c r="H81" s="8" t="s">
        <v>245</v>
      </c>
    </row>
    <row r="82" customFormat="false" ht="17.15" hidden="false" customHeight="false" outlineLevel="0" collapsed="false">
      <c r="A82" s="0" t="s">
        <v>246</v>
      </c>
      <c r="B82" s="4" t="s">
        <v>247</v>
      </c>
      <c r="C82" s="0" t="s">
        <v>51</v>
      </c>
      <c r="E82" s="7" t="n">
        <v>0.125</v>
      </c>
      <c r="G82" s="8" t="s">
        <v>52</v>
      </c>
      <c r="H82" s="4" t="s">
        <v>215</v>
      </c>
    </row>
    <row r="83" customFormat="false" ht="17.15" hidden="false" customHeight="false" outlineLevel="0" collapsed="false">
      <c r="A83" s="0" t="s">
        <v>248</v>
      </c>
      <c r="B83" s="4" t="s">
        <v>249</v>
      </c>
      <c r="C83" s="0" t="s">
        <v>51</v>
      </c>
      <c r="E83" s="7" t="n">
        <v>0.475</v>
      </c>
      <c r="G83" s="8" t="s">
        <v>52</v>
      </c>
      <c r="H83" s="4" t="s">
        <v>215</v>
      </c>
    </row>
    <row r="84" customFormat="false" ht="17.15" hidden="false" customHeight="false" outlineLevel="0" collapsed="false">
      <c r="A84" s="0" t="s">
        <v>250</v>
      </c>
      <c r="B84" s="4" t="s">
        <v>251</v>
      </c>
      <c r="C84" s="0" t="s">
        <v>51</v>
      </c>
      <c r="E84" s="7" t="n">
        <v>0.95</v>
      </c>
      <c r="G84" s="8" t="s">
        <v>52</v>
      </c>
      <c r="H84" s="4" t="s">
        <v>215</v>
      </c>
    </row>
    <row r="85" customFormat="false" ht="17.15" hidden="false" customHeight="false" outlineLevel="0" collapsed="false">
      <c r="A85" s="0" t="s">
        <v>252</v>
      </c>
      <c r="B85" s="4" t="s">
        <v>253</v>
      </c>
      <c r="C85" s="0" t="s">
        <v>51</v>
      </c>
      <c r="E85" s="7" t="n">
        <v>0.605</v>
      </c>
      <c r="G85" s="8" t="s">
        <v>52</v>
      </c>
      <c r="H85" s="4" t="s">
        <v>215</v>
      </c>
    </row>
    <row r="86" customFormat="false" ht="17.15" hidden="false" customHeight="false" outlineLevel="0" collapsed="false">
      <c r="A86" s="0" t="s">
        <v>254</v>
      </c>
      <c r="B86" s="4" t="s">
        <v>255</v>
      </c>
      <c r="C86" s="0" t="s">
        <v>51</v>
      </c>
      <c r="E86" s="7" t="n">
        <v>0.155</v>
      </c>
      <c r="G86" s="8" t="s">
        <v>52</v>
      </c>
      <c r="H86" s="4" t="s">
        <v>215</v>
      </c>
    </row>
    <row r="87" customFormat="false" ht="17.15" hidden="false" customHeight="false" outlineLevel="0" collapsed="false">
      <c r="A87" s="0" t="s">
        <v>256</v>
      </c>
      <c r="B87" s="4" t="s">
        <v>257</v>
      </c>
      <c r="C87" s="0" t="s">
        <v>51</v>
      </c>
      <c r="E87" s="7" t="n">
        <v>0.125</v>
      </c>
      <c r="G87" s="8" t="s">
        <v>52</v>
      </c>
      <c r="H87" s="4" t="s">
        <v>215</v>
      </c>
    </row>
    <row r="88" customFormat="false" ht="17.15" hidden="false" customHeight="false" outlineLevel="0" collapsed="false">
      <c r="A88" s="0" t="s">
        <v>258</v>
      </c>
      <c r="B88" s="4" t="s">
        <v>259</v>
      </c>
      <c r="C88" s="0" t="s">
        <v>51</v>
      </c>
      <c r="E88" s="7" t="n">
        <v>0.03</v>
      </c>
      <c r="G88" s="8" t="s">
        <v>41</v>
      </c>
      <c r="H88" s="4" t="s">
        <v>260</v>
      </c>
    </row>
    <row r="89" customFormat="false" ht="17.15" hidden="false" customHeight="false" outlineLevel="0" collapsed="false">
      <c r="A89" s="0" t="s">
        <v>261</v>
      </c>
      <c r="B89" s="4" t="s">
        <v>262</v>
      </c>
      <c r="C89" s="0" t="s">
        <v>51</v>
      </c>
      <c r="E89" s="7" t="n">
        <v>0</v>
      </c>
      <c r="G89" s="8" t="s">
        <v>41</v>
      </c>
      <c r="H89" s="4" t="s">
        <v>215</v>
      </c>
    </row>
    <row r="90" customFormat="false" ht="17.15" hidden="false" customHeight="false" outlineLevel="0" collapsed="false">
      <c r="A90" s="0" t="s">
        <v>263</v>
      </c>
      <c r="B90" s="4" t="s">
        <v>264</v>
      </c>
      <c r="C90" s="0" t="s">
        <v>51</v>
      </c>
      <c r="E90" s="7" t="n">
        <v>-0.02</v>
      </c>
      <c r="G90" s="8" t="s">
        <v>41</v>
      </c>
      <c r="H90" s="4" t="s">
        <v>215</v>
      </c>
    </row>
    <row r="91" customFormat="false" ht="17.15" hidden="false" customHeight="false" outlineLevel="0" collapsed="false">
      <c r="A91" s="0" t="s">
        <v>265</v>
      </c>
      <c r="B91" s="4" t="s">
        <v>266</v>
      </c>
      <c r="C91" s="0" t="s">
        <v>51</v>
      </c>
      <c r="E91" s="7" t="n">
        <v>-0.03</v>
      </c>
      <c r="G91" s="8" t="s">
        <v>41</v>
      </c>
      <c r="H91" s="4" t="s">
        <v>215</v>
      </c>
    </row>
    <row r="92" customFormat="false" ht="17.15" hidden="false" customHeight="false" outlineLevel="0" collapsed="false">
      <c r="A92" s="0" t="s">
        <v>267</v>
      </c>
      <c r="B92" s="4" t="s">
        <v>268</v>
      </c>
      <c r="C92" s="0" t="s">
        <v>51</v>
      </c>
      <c r="E92" s="7" t="n">
        <v>-0.03</v>
      </c>
      <c r="G92" s="8" t="s">
        <v>41</v>
      </c>
      <c r="H92" s="4" t="s">
        <v>215</v>
      </c>
    </row>
    <row r="93" customFormat="false" ht="17.15" hidden="false" customHeight="false" outlineLevel="0" collapsed="false">
      <c r="A93" s="0" t="s">
        <v>269</v>
      </c>
      <c r="B93" s="4" t="s">
        <v>270</v>
      </c>
      <c r="C93" s="0" t="s">
        <v>51</v>
      </c>
      <c r="E93" s="7" t="n">
        <v>-0.03</v>
      </c>
      <c r="G93" s="8" t="s">
        <v>41</v>
      </c>
      <c r="H93" s="4" t="s">
        <v>215</v>
      </c>
    </row>
    <row r="94" customFormat="false" ht="17.15" hidden="false" customHeight="false" outlineLevel="0" collapsed="false">
      <c r="A94" s="0" t="s">
        <v>271</v>
      </c>
      <c r="B94" s="4" t="s">
        <v>272</v>
      </c>
      <c r="C94" s="0" t="s">
        <v>51</v>
      </c>
      <c r="E94" s="7" t="n">
        <v>-0.02</v>
      </c>
      <c r="G94" s="8" t="s">
        <v>41</v>
      </c>
      <c r="H94" s="4" t="s">
        <v>215</v>
      </c>
    </row>
    <row r="95" customFormat="false" ht="17.15" hidden="false" customHeight="false" outlineLevel="0" collapsed="false">
      <c r="A95" s="0" t="s">
        <v>273</v>
      </c>
      <c r="B95" s="4" t="s">
        <v>274</v>
      </c>
      <c r="C95" s="0" t="s">
        <v>51</v>
      </c>
      <c r="E95" s="7" t="n">
        <v>-0.02</v>
      </c>
      <c r="G95" s="8" t="s">
        <v>41</v>
      </c>
      <c r="H95" s="4" t="s">
        <v>215</v>
      </c>
    </row>
    <row r="96" customFormat="false" ht="17.15" hidden="false" customHeight="false" outlineLevel="0" collapsed="false">
      <c r="A96" s="0" t="s">
        <v>275</v>
      </c>
      <c r="B96" s="4" t="s">
        <v>276</v>
      </c>
      <c r="C96" s="0" t="s">
        <v>51</v>
      </c>
      <c r="D96" s="7" t="n">
        <v>-0.03</v>
      </c>
      <c r="E96" s="7" t="n">
        <v>-0.03</v>
      </c>
      <c r="F96" s="7" t="n">
        <v>0.05</v>
      </c>
      <c r="G96" s="8" t="s">
        <v>78</v>
      </c>
      <c r="H96" s="8" t="s">
        <v>277</v>
      </c>
    </row>
    <row r="97" customFormat="false" ht="17.15" hidden="false" customHeight="false" outlineLevel="0" collapsed="false">
      <c r="A97" s="0" t="s">
        <v>278</v>
      </c>
      <c r="B97" s="4" t="s">
        <v>279</v>
      </c>
      <c r="C97" s="0" t="s">
        <v>51</v>
      </c>
      <c r="D97" s="7" t="n">
        <v>-0.03</v>
      </c>
      <c r="E97" s="7" t="n">
        <v>-0.03</v>
      </c>
      <c r="F97" s="7" t="n">
        <v>0.05</v>
      </c>
      <c r="G97" s="8" t="s">
        <v>78</v>
      </c>
      <c r="H97" s="4" t="s">
        <v>215</v>
      </c>
    </row>
    <row r="98" customFormat="false" ht="17.15" hidden="false" customHeight="false" outlineLevel="0" collapsed="false">
      <c r="A98" s="0" t="s">
        <v>280</v>
      </c>
      <c r="B98" s="4" t="s">
        <v>281</v>
      </c>
      <c r="C98" s="0" t="s">
        <v>51</v>
      </c>
      <c r="D98" s="7" t="n">
        <v>-0.02</v>
      </c>
      <c r="E98" s="7" t="n">
        <v>-0.02</v>
      </c>
      <c r="F98" s="7" t="n">
        <v>0.03</v>
      </c>
      <c r="G98" s="8" t="s">
        <v>78</v>
      </c>
      <c r="H98" s="4" t="s">
        <v>215</v>
      </c>
    </row>
    <row r="99" customFormat="false" ht="17.15" hidden="false" customHeight="false" outlineLevel="0" collapsed="false">
      <c r="A99" s="0" t="s">
        <v>282</v>
      </c>
      <c r="B99" s="4" t="s">
        <v>283</v>
      </c>
      <c r="C99" s="0" t="s">
        <v>51</v>
      </c>
      <c r="D99" s="7" t="n">
        <v>-0.02</v>
      </c>
      <c r="E99" s="7" t="n">
        <v>-0.02</v>
      </c>
      <c r="F99" s="7" t="n">
        <v>0.03</v>
      </c>
      <c r="G99" s="8" t="s">
        <v>78</v>
      </c>
      <c r="H99" s="4" t="s">
        <v>215</v>
      </c>
    </row>
    <row r="100" customFormat="false" ht="17.15" hidden="false" customHeight="false" outlineLevel="0" collapsed="false">
      <c r="A100" s="0" t="s">
        <v>284</v>
      </c>
      <c r="B100" s="4" t="s">
        <v>285</v>
      </c>
      <c r="C100" s="0" t="s">
        <v>51</v>
      </c>
      <c r="E100" s="7" t="n">
        <v>0.05</v>
      </c>
      <c r="G100" s="8" t="s">
        <v>41</v>
      </c>
      <c r="H100" s="4" t="s">
        <v>286</v>
      </c>
    </row>
    <row r="101" customFormat="false" ht="17.15" hidden="false" customHeight="false" outlineLevel="0" collapsed="false">
      <c r="A101" s="0" t="s">
        <v>287</v>
      </c>
      <c r="B101" s="4" t="s">
        <v>288</v>
      </c>
      <c r="C101" s="0" t="s">
        <v>51</v>
      </c>
      <c r="E101" s="7" t="n">
        <v>0.02</v>
      </c>
      <c r="G101" s="8" t="s">
        <v>41</v>
      </c>
      <c r="H101" s="4" t="s">
        <v>215</v>
      </c>
    </row>
    <row r="102" customFormat="false" ht="17.15" hidden="false" customHeight="false" outlineLevel="0" collapsed="false">
      <c r="A102" s="0" t="s">
        <v>289</v>
      </c>
      <c r="B102" s="4" t="s">
        <v>290</v>
      </c>
      <c r="C102" s="0" t="s">
        <v>51</v>
      </c>
      <c r="E102" s="7" t="n">
        <v>-0.08</v>
      </c>
      <c r="G102" s="8" t="s">
        <v>41</v>
      </c>
      <c r="H102" s="4" t="s">
        <v>215</v>
      </c>
    </row>
    <row r="103" customFormat="false" ht="17.15" hidden="false" customHeight="false" outlineLevel="0" collapsed="false">
      <c r="A103" s="0" t="s">
        <v>291</v>
      </c>
      <c r="B103" s="4" t="s">
        <v>292</v>
      </c>
      <c r="C103" s="0" t="s">
        <v>51</v>
      </c>
      <c r="E103" s="7" t="n">
        <v>-0.15</v>
      </c>
      <c r="G103" s="8" t="s">
        <v>41</v>
      </c>
      <c r="H103" s="4" t="s">
        <v>215</v>
      </c>
    </row>
    <row r="104" customFormat="false" ht="17.15" hidden="false" customHeight="false" outlineLevel="0" collapsed="false">
      <c r="A104" s="0" t="s">
        <v>293</v>
      </c>
      <c r="B104" s="4" t="s">
        <v>294</v>
      </c>
      <c r="C104" s="0" t="s">
        <v>51</v>
      </c>
      <c r="E104" s="7" t="n">
        <v>-0.25</v>
      </c>
      <c r="G104" s="8" t="s">
        <v>41</v>
      </c>
      <c r="H104" s="4" t="s">
        <v>215</v>
      </c>
    </row>
    <row r="105" customFormat="false" ht="17.15" hidden="false" customHeight="false" outlineLevel="0" collapsed="false">
      <c r="A105" s="0" t="s">
        <v>295</v>
      </c>
      <c r="B105" s="4" t="s">
        <v>296</v>
      </c>
      <c r="C105" s="0" t="s">
        <v>51</v>
      </c>
      <c r="E105" s="7" t="n">
        <v>-0.15</v>
      </c>
      <c r="G105" s="8" t="s">
        <v>41</v>
      </c>
      <c r="H105" s="4" t="s">
        <v>215</v>
      </c>
    </row>
    <row r="106" customFormat="false" ht="17.15" hidden="false" customHeight="false" outlineLevel="0" collapsed="false">
      <c r="A106" s="0" t="s">
        <v>297</v>
      </c>
      <c r="B106" s="4" t="s">
        <v>298</v>
      </c>
      <c r="C106" s="0" t="s">
        <v>51</v>
      </c>
      <c r="E106" s="7" t="n">
        <v>-0.1</v>
      </c>
      <c r="G106" s="8" t="s">
        <v>41</v>
      </c>
      <c r="H106" s="4" t="s">
        <v>215</v>
      </c>
    </row>
    <row r="107" customFormat="false" ht="17.15" hidden="false" customHeight="false" outlineLevel="0" collapsed="false">
      <c r="A107" s="0" t="s">
        <v>299</v>
      </c>
      <c r="B107" s="4" t="s">
        <v>300</v>
      </c>
      <c r="C107" s="0" t="s">
        <v>51</v>
      </c>
      <c r="E107" s="7" t="n">
        <v>-0.05</v>
      </c>
      <c r="G107" s="8" t="s">
        <v>41</v>
      </c>
      <c r="H107" s="4" t="s">
        <v>215</v>
      </c>
    </row>
    <row r="108" customFormat="false" ht="17.15" hidden="false" customHeight="false" outlineLevel="0" collapsed="false">
      <c r="A108" s="0" t="s">
        <v>301</v>
      </c>
      <c r="B108" s="4" t="s">
        <v>302</v>
      </c>
      <c r="C108" s="0" t="s">
        <v>51</v>
      </c>
      <c r="D108" s="7" t="n">
        <v>-0.03</v>
      </c>
      <c r="E108" s="7" t="n">
        <v>0.05</v>
      </c>
      <c r="F108" s="7" t="n">
        <v>0.05</v>
      </c>
      <c r="G108" s="8" t="s">
        <v>78</v>
      </c>
      <c r="H108" s="8" t="s">
        <v>277</v>
      </c>
    </row>
    <row r="109" customFormat="false" ht="17.15" hidden="false" customHeight="false" outlineLevel="0" collapsed="false">
      <c r="A109" s="0" t="s">
        <v>303</v>
      </c>
      <c r="B109" s="4" t="s">
        <v>304</v>
      </c>
      <c r="C109" s="0" t="s">
        <v>51</v>
      </c>
      <c r="D109" s="7" t="n">
        <v>-0.03</v>
      </c>
      <c r="E109" s="7" t="n">
        <v>0.05</v>
      </c>
      <c r="F109" s="7" t="n">
        <v>0.05</v>
      </c>
      <c r="G109" s="8" t="s">
        <v>78</v>
      </c>
      <c r="H109" s="4" t="s">
        <v>215</v>
      </c>
    </row>
    <row r="110" customFormat="false" ht="17.15" hidden="false" customHeight="false" outlineLevel="0" collapsed="false">
      <c r="A110" s="0" t="s">
        <v>305</v>
      </c>
      <c r="B110" s="4" t="s">
        <v>306</v>
      </c>
      <c r="C110" s="0" t="s">
        <v>51</v>
      </c>
      <c r="D110" s="7" t="n">
        <v>-0.02</v>
      </c>
      <c r="E110" s="7" t="n">
        <v>0.03</v>
      </c>
      <c r="F110" s="7" t="n">
        <v>0.03</v>
      </c>
      <c r="G110" s="8" t="s">
        <v>78</v>
      </c>
      <c r="H110" s="4" t="s">
        <v>215</v>
      </c>
    </row>
    <row r="111" customFormat="false" ht="17.15" hidden="false" customHeight="false" outlineLevel="0" collapsed="false">
      <c r="A111" s="0" t="s">
        <v>307</v>
      </c>
      <c r="B111" s="4" t="s">
        <v>308</v>
      </c>
      <c r="C111" s="0" t="s">
        <v>51</v>
      </c>
      <c r="D111" s="7" t="n">
        <v>-0.02</v>
      </c>
      <c r="E111" s="7" t="n">
        <v>0.03</v>
      </c>
      <c r="F111" s="7" t="n">
        <v>0.03</v>
      </c>
      <c r="G111" s="8" t="s">
        <v>78</v>
      </c>
      <c r="H111" s="4" t="s">
        <v>215</v>
      </c>
    </row>
    <row r="112" customFormat="false" ht="17.15" hidden="false" customHeight="false" outlineLevel="0" collapsed="false">
      <c r="A112" s="0" t="s">
        <v>309</v>
      </c>
      <c r="B112" s="4" t="s">
        <v>310</v>
      </c>
      <c r="C112" s="0" t="s">
        <v>51</v>
      </c>
      <c r="D112" s="7" t="n">
        <v>0</v>
      </c>
      <c r="E112" s="7" t="n">
        <v>0.05</v>
      </c>
      <c r="F112" s="7" t="n">
        <v>0.1</v>
      </c>
      <c r="G112" s="8" t="s">
        <v>78</v>
      </c>
      <c r="H112" s="8" t="s">
        <v>311</v>
      </c>
    </row>
    <row r="113" customFormat="false" ht="17.15" hidden="false" customHeight="false" outlineLevel="0" collapsed="false">
      <c r="A113" s="0" t="s">
        <v>312</v>
      </c>
      <c r="B113" s="4" t="s">
        <v>313</v>
      </c>
      <c r="C113" s="0" t="s">
        <v>51</v>
      </c>
      <c r="D113" s="7" t="n">
        <v>-0.03</v>
      </c>
      <c r="E113" s="7" t="n">
        <v>0.02</v>
      </c>
      <c r="F113" s="7" t="n">
        <v>0.07</v>
      </c>
      <c r="G113" s="8" t="s">
        <v>78</v>
      </c>
      <c r="H113" s="4" t="s">
        <v>215</v>
      </c>
    </row>
    <row r="114" customFormat="false" ht="17.15" hidden="false" customHeight="false" outlineLevel="0" collapsed="false">
      <c r="A114" s="0" t="s">
        <v>314</v>
      </c>
      <c r="B114" s="4" t="s">
        <v>315</v>
      </c>
      <c r="C114" s="0" t="s">
        <v>51</v>
      </c>
      <c r="D114" s="7" t="n">
        <v>-0.13</v>
      </c>
      <c r="E114" s="7" t="n">
        <v>-0.08</v>
      </c>
      <c r="F114" s="7" t="n">
        <v>-0.03</v>
      </c>
      <c r="G114" s="8" t="s">
        <v>78</v>
      </c>
      <c r="H114" s="4" t="s">
        <v>215</v>
      </c>
    </row>
    <row r="115" customFormat="false" ht="17.15" hidden="false" customHeight="false" outlineLevel="0" collapsed="false">
      <c r="A115" s="0" t="s">
        <v>316</v>
      </c>
      <c r="B115" s="4" t="s">
        <v>317</v>
      </c>
      <c r="C115" s="0" t="s">
        <v>51</v>
      </c>
      <c r="D115" s="7" t="n">
        <v>-0.2</v>
      </c>
      <c r="E115" s="7" t="n">
        <v>-0.15</v>
      </c>
      <c r="F115" s="7" t="n">
        <v>-0.1</v>
      </c>
      <c r="G115" s="8" t="s">
        <v>78</v>
      </c>
      <c r="H115" s="4" t="s">
        <v>215</v>
      </c>
    </row>
    <row r="116" customFormat="false" ht="17.15" hidden="false" customHeight="false" outlineLevel="0" collapsed="false">
      <c r="A116" s="0" t="s">
        <v>318</v>
      </c>
      <c r="B116" s="4" t="s">
        <v>319</v>
      </c>
      <c r="C116" s="0" t="s">
        <v>51</v>
      </c>
      <c r="D116" s="7" t="n">
        <v>-0.45</v>
      </c>
      <c r="E116" s="7" t="n">
        <v>-0.35</v>
      </c>
      <c r="F116" s="7" t="n">
        <v>-0.25</v>
      </c>
      <c r="G116" s="8" t="s">
        <v>78</v>
      </c>
      <c r="H116" s="4" t="s">
        <v>215</v>
      </c>
    </row>
    <row r="117" customFormat="false" ht="17.15" hidden="false" customHeight="false" outlineLevel="0" collapsed="false">
      <c r="A117" s="0" t="s">
        <v>320</v>
      </c>
      <c r="B117" s="4" t="s">
        <v>321</v>
      </c>
      <c r="C117" s="0" t="s">
        <v>51</v>
      </c>
      <c r="D117" s="7" t="n">
        <v>-0.4</v>
      </c>
      <c r="E117" s="7" t="n">
        <v>-0.3</v>
      </c>
      <c r="F117" s="7" t="n">
        <v>-0.2</v>
      </c>
      <c r="G117" s="8" t="s">
        <v>78</v>
      </c>
      <c r="H117" s="4" t="s">
        <v>215</v>
      </c>
    </row>
    <row r="118" customFormat="false" ht="17.15" hidden="false" customHeight="false" outlineLevel="0" collapsed="false">
      <c r="A118" s="0" t="s">
        <v>322</v>
      </c>
      <c r="B118" s="4" t="s">
        <v>323</v>
      </c>
      <c r="C118" s="0" t="s">
        <v>51</v>
      </c>
      <c r="D118" s="7" t="n">
        <v>-0.35</v>
      </c>
      <c r="E118" s="7" t="n">
        <v>-0.25</v>
      </c>
      <c r="F118" s="7" t="n">
        <v>-0.15</v>
      </c>
      <c r="G118" s="8" t="s">
        <v>78</v>
      </c>
      <c r="H118" s="4" t="s">
        <v>215</v>
      </c>
    </row>
    <row r="119" customFormat="false" ht="17.15" hidden="false" customHeight="false" outlineLevel="0" collapsed="false">
      <c r="A119" s="0" t="s">
        <v>324</v>
      </c>
      <c r="B119" s="4" t="s">
        <v>325</v>
      </c>
      <c r="C119" s="0" t="s">
        <v>51</v>
      </c>
      <c r="D119" s="7" t="n">
        <v>-0.3</v>
      </c>
      <c r="E119" s="7" t="n">
        <v>-0.2</v>
      </c>
      <c r="F119" s="7" t="n">
        <v>-0.1</v>
      </c>
      <c r="G119" s="8" t="s">
        <v>78</v>
      </c>
      <c r="H119" s="4" t="s">
        <v>215</v>
      </c>
    </row>
    <row r="120" customFormat="false" ht="17.15" hidden="false" customHeight="false" outlineLevel="0" collapsed="false">
      <c r="A120" s="0" t="s">
        <v>326</v>
      </c>
      <c r="B120" s="4" t="s">
        <v>327</v>
      </c>
      <c r="C120" s="0" t="s">
        <v>51</v>
      </c>
      <c r="D120" s="7" t="n">
        <v>-0.1</v>
      </c>
      <c r="E120" s="7" t="n">
        <v>0</v>
      </c>
      <c r="F120" s="7" t="n">
        <v>0.1</v>
      </c>
      <c r="G120" s="8" t="s">
        <v>78</v>
      </c>
      <c r="H120" s="4" t="s">
        <v>215</v>
      </c>
    </row>
    <row r="121" customFormat="false" ht="17.15" hidden="false" customHeight="false" outlineLevel="0" collapsed="false">
      <c r="A121" s="0" t="s">
        <v>328</v>
      </c>
      <c r="B121" s="4" t="s">
        <v>329</v>
      </c>
      <c r="C121" s="0" t="s">
        <v>51</v>
      </c>
      <c r="D121" s="7" t="n">
        <v>-0.05</v>
      </c>
      <c r="E121" s="7" t="n">
        <v>0.05</v>
      </c>
      <c r="F121" s="7" t="n">
        <v>0.15</v>
      </c>
      <c r="G121" s="8" t="s">
        <v>78</v>
      </c>
      <c r="H121" s="4" t="s">
        <v>215</v>
      </c>
    </row>
    <row r="122" customFormat="false" ht="17.15" hidden="false" customHeight="false" outlineLevel="0" collapsed="false">
      <c r="A122" s="0" t="s">
        <v>330</v>
      </c>
      <c r="B122" s="4" t="s">
        <v>331</v>
      </c>
      <c r="C122" s="0" t="s">
        <v>51</v>
      </c>
      <c r="D122" s="7" t="n">
        <v>-0.02</v>
      </c>
      <c r="E122" s="7" t="n">
        <v>0.08</v>
      </c>
      <c r="F122" s="7" t="n">
        <v>0.18</v>
      </c>
      <c r="G122" s="8" t="s">
        <v>78</v>
      </c>
      <c r="H122" s="4" t="s">
        <v>215</v>
      </c>
    </row>
    <row r="123" customFormat="false" ht="17.15" hidden="false" customHeight="false" outlineLevel="0" collapsed="false">
      <c r="A123" s="0" t="s">
        <v>332</v>
      </c>
      <c r="B123" s="4" t="s">
        <v>333</v>
      </c>
      <c r="C123" s="0" t="s">
        <v>51</v>
      </c>
      <c r="D123" s="7" t="n">
        <v>0</v>
      </c>
      <c r="E123" s="7" t="n">
        <v>0.1</v>
      </c>
      <c r="F123" s="7" t="n">
        <v>0.2</v>
      </c>
      <c r="G123" s="8" t="s">
        <v>78</v>
      </c>
      <c r="H123" s="4" t="s">
        <v>215</v>
      </c>
    </row>
    <row r="124" customFormat="false" ht="17.15" hidden="false" customHeight="false" outlineLevel="0" collapsed="false">
      <c r="A124" s="0" t="s">
        <v>334</v>
      </c>
      <c r="B124" s="0" t="s">
        <v>335</v>
      </c>
      <c r="C124" s="0" t="s">
        <v>51</v>
      </c>
      <c r="E124" s="7" t="n">
        <v>0</v>
      </c>
      <c r="G124" s="8" t="s">
        <v>52</v>
      </c>
      <c r="H124" s="8" t="s">
        <v>336</v>
      </c>
    </row>
    <row r="125" customFormat="false" ht="17.15" hidden="false" customHeight="false" outlineLevel="0" collapsed="false">
      <c r="A125" s="0" t="s">
        <v>337</v>
      </c>
      <c r="B125" s="0" t="s">
        <v>338</v>
      </c>
      <c r="C125" s="0" t="s">
        <v>51</v>
      </c>
      <c r="E125" s="7" t="n">
        <v>0.05</v>
      </c>
      <c r="G125" s="8" t="s">
        <v>52</v>
      </c>
      <c r="H125" s="4" t="s">
        <v>215</v>
      </c>
    </row>
    <row r="126" customFormat="false" ht="17.15" hidden="false" customHeight="false" outlineLevel="0" collapsed="false">
      <c r="A126" s="0" t="s">
        <v>339</v>
      </c>
      <c r="B126" s="0" t="s">
        <v>340</v>
      </c>
      <c r="C126" s="0" t="s">
        <v>51</v>
      </c>
      <c r="E126" s="7" t="n">
        <v>0.3</v>
      </c>
      <c r="G126" s="8" t="s">
        <v>52</v>
      </c>
      <c r="H126" s="4" t="s">
        <v>215</v>
      </c>
    </row>
    <row r="127" customFormat="false" ht="17.15" hidden="false" customHeight="false" outlineLevel="0" collapsed="false">
      <c r="A127" s="0" t="s">
        <v>341</v>
      </c>
      <c r="B127" s="0" t="s">
        <v>342</v>
      </c>
      <c r="C127" s="0" t="s">
        <v>51</v>
      </c>
      <c r="E127" s="7" t="n">
        <v>0.875</v>
      </c>
      <c r="G127" s="8" t="s">
        <v>52</v>
      </c>
      <c r="H127" s="4" t="s">
        <v>215</v>
      </c>
    </row>
    <row r="128" customFormat="false" ht="17.15" hidden="false" customHeight="false" outlineLevel="0" collapsed="false">
      <c r="A128" s="0" t="s">
        <v>343</v>
      </c>
      <c r="B128" s="0" t="s">
        <v>344</v>
      </c>
      <c r="C128" s="0" t="s">
        <v>51</v>
      </c>
      <c r="E128" s="7" t="n">
        <v>0.725</v>
      </c>
      <c r="G128" s="8" t="s">
        <v>52</v>
      </c>
      <c r="H128" s="4" t="s">
        <v>215</v>
      </c>
    </row>
    <row r="129" customFormat="false" ht="17.15" hidden="false" customHeight="false" outlineLevel="0" collapsed="false">
      <c r="A129" s="0" t="s">
        <v>345</v>
      </c>
      <c r="B129" s="0" t="s">
        <v>346</v>
      </c>
      <c r="C129" s="0" t="s">
        <v>51</v>
      </c>
      <c r="E129" s="7" t="n">
        <v>0.25</v>
      </c>
      <c r="G129" s="8" t="s">
        <v>46</v>
      </c>
      <c r="H129" s="8" t="s">
        <v>347</v>
      </c>
    </row>
    <row r="130" customFormat="false" ht="17.15" hidden="false" customHeight="false" outlineLevel="0" collapsed="false">
      <c r="A130" s="0" t="s">
        <v>348</v>
      </c>
      <c r="B130" s="0" t="s">
        <v>349</v>
      </c>
      <c r="C130" s="0" t="s">
        <v>51</v>
      </c>
      <c r="D130" s="7" t="n">
        <v>0.032</v>
      </c>
      <c r="E130" s="7" t="n">
        <v>0.081</v>
      </c>
      <c r="F130" s="7" t="n">
        <v>0.175</v>
      </c>
      <c r="G130" s="8" t="s">
        <v>41</v>
      </c>
      <c r="H130" s="4" t="s">
        <v>350</v>
      </c>
    </row>
    <row r="131" customFormat="false" ht="17.15" hidden="false" customHeight="false" outlineLevel="0" collapsed="false">
      <c r="A131" s="0" t="s">
        <v>351</v>
      </c>
      <c r="B131" s="0" t="s">
        <v>352</v>
      </c>
      <c r="C131" s="0" t="s">
        <v>51</v>
      </c>
      <c r="E131" s="7" t="n">
        <v>0.03</v>
      </c>
      <c r="G131" s="8" t="s">
        <v>41</v>
      </c>
      <c r="H131" s="4" t="s">
        <v>353</v>
      </c>
    </row>
    <row r="132" customFormat="false" ht="17.15" hidden="false" customHeight="false" outlineLevel="0" collapsed="false">
      <c r="A132" s="0" t="s">
        <v>354</v>
      </c>
      <c r="B132" s="0" t="s">
        <v>355</v>
      </c>
      <c r="C132" s="0" t="s">
        <v>51</v>
      </c>
      <c r="E132" s="7" t="n">
        <v>0</v>
      </c>
      <c r="G132" s="8" t="s">
        <v>41</v>
      </c>
      <c r="H132" s="4" t="s">
        <v>215</v>
      </c>
    </row>
    <row r="133" customFormat="false" ht="17.15" hidden="false" customHeight="false" outlineLevel="0" collapsed="false">
      <c r="A133" s="0" t="s">
        <v>356</v>
      </c>
      <c r="B133" s="0" t="s">
        <v>357</v>
      </c>
      <c r="C133" s="0" t="s">
        <v>51</v>
      </c>
      <c r="E133" s="7" t="n">
        <v>-0.05</v>
      </c>
      <c r="G133" s="8" t="s">
        <v>41</v>
      </c>
      <c r="H133" s="4" t="s">
        <v>215</v>
      </c>
    </row>
    <row r="134" customFormat="false" ht="17.15" hidden="false" customHeight="false" outlineLevel="0" collapsed="false">
      <c r="A134" s="0" t="s">
        <v>358</v>
      </c>
      <c r="B134" s="0" t="s">
        <v>359</v>
      </c>
      <c r="C134" s="0" t="s">
        <v>51</v>
      </c>
      <c r="E134" s="7" t="n">
        <v>-0.07</v>
      </c>
      <c r="G134" s="8" t="s">
        <v>41</v>
      </c>
      <c r="H134" s="4" t="s">
        <v>215</v>
      </c>
    </row>
    <row r="135" customFormat="false" ht="17.15" hidden="false" customHeight="false" outlineLevel="0" collapsed="false">
      <c r="A135" s="0" t="s">
        <v>360</v>
      </c>
      <c r="B135" s="0" t="s">
        <v>361</v>
      </c>
      <c r="C135" s="0" t="s">
        <v>51</v>
      </c>
      <c r="E135" s="7" t="n">
        <v>-0.05</v>
      </c>
      <c r="G135" s="8" t="s">
        <v>41</v>
      </c>
      <c r="H135" s="4" t="s">
        <v>215</v>
      </c>
    </row>
    <row r="136" customFormat="false" ht="17.15" hidden="false" customHeight="false" outlineLevel="0" collapsed="false">
      <c r="A136" s="0" t="s">
        <v>362</v>
      </c>
      <c r="B136" s="0" t="s">
        <v>363</v>
      </c>
      <c r="C136" s="0" t="s">
        <v>51</v>
      </c>
      <c r="E136" s="7" t="n">
        <v>-0.05</v>
      </c>
      <c r="G136" s="8" t="s">
        <v>41</v>
      </c>
      <c r="H136" s="4" t="s">
        <v>215</v>
      </c>
    </row>
    <row r="137" customFormat="false" ht="17.15" hidden="false" customHeight="false" outlineLevel="0" collapsed="false">
      <c r="A137" s="0" t="s">
        <v>364</v>
      </c>
      <c r="B137" s="0" t="s">
        <v>365</v>
      </c>
      <c r="C137" s="0" t="s">
        <v>51</v>
      </c>
      <c r="E137" s="7" t="n">
        <v>-0.05</v>
      </c>
      <c r="G137" s="8" t="s">
        <v>41</v>
      </c>
      <c r="H137" s="4" t="s">
        <v>215</v>
      </c>
    </row>
    <row r="138" customFormat="false" ht="17.15" hidden="false" customHeight="false" outlineLevel="0" collapsed="false">
      <c r="A138" s="0" t="s">
        <v>366</v>
      </c>
      <c r="B138" s="0" t="s">
        <v>367</v>
      </c>
      <c r="C138" s="0" t="s">
        <v>51</v>
      </c>
      <c r="E138" s="7" t="n">
        <v>-0.05</v>
      </c>
      <c r="G138" s="8" t="s">
        <v>41</v>
      </c>
      <c r="H138" s="4" t="s">
        <v>215</v>
      </c>
    </row>
    <row r="139" customFormat="false" ht="17.15" hidden="false" customHeight="false" outlineLevel="0" collapsed="false">
      <c r="A139" s="0" t="s">
        <v>368</v>
      </c>
      <c r="B139" s="0" t="s">
        <v>369</v>
      </c>
      <c r="C139" s="0" t="s">
        <v>51</v>
      </c>
      <c r="D139" s="7" t="n">
        <v>-0.03</v>
      </c>
      <c r="E139" s="7" t="n">
        <v>-0.03</v>
      </c>
      <c r="F139" s="7" t="n">
        <v>0.05</v>
      </c>
      <c r="G139" s="8" t="s">
        <v>78</v>
      </c>
      <c r="H139" s="8" t="s">
        <v>277</v>
      </c>
    </row>
    <row r="140" customFormat="false" ht="17.15" hidden="false" customHeight="false" outlineLevel="0" collapsed="false">
      <c r="A140" s="0" t="s">
        <v>370</v>
      </c>
      <c r="B140" s="0" t="s">
        <v>371</v>
      </c>
      <c r="C140" s="0" t="s">
        <v>51</v>
      </c>
      <c r="D140" s="7" t="n">
        <v>-0.03</v>
      </c>
      <c r="E140" s="7" t="n">
        <v>-0.03</v>
      </c>
      <c r="F140" s="7" t="n">
        <v>0.05</v>
      </c>
      <c r="G140" s="8" t="s">
        <v>78</v>
      </c>
      <c r="H140" s="4" t="s">
        <v>215</v>
      </c>
    </row>
    <row r="141" customFormat="false" ht="17.15" hidden="false" customHeight="false" outlineLevel="0" collapsed="false">
      <c r="A141" s="0" t="s">
        <v>372</v>
      </c>
      <c r="B141" s="0" t="s">
        <v>373</v>
      </c>
      <c r="C141" s="0" t="s">
        <v>51</v>
      </c>
      <c r="D141" s="7" t="n">
        <v>-0.03</v>
      </c>
      <c r="E141" s="7" t="n">
        <v>-0.03</v>
      </c>
      <c r="F141" s="7" t="n">
        <v>0.03</v>
      </c>
      <c r="G141" s="8" t="s">
        <v>78</v>
      </c>
      <c r="H141" s="4" t="s">
        <v>215</v>
      </c>
    </row>
    <row r="142" customFormat="false" ht="17.15" hidden="false" customHeight="false" outlineLevel="0" collapsed="false">
      <c r="A142" s="0" t="s">
        <v>374</v>
      </c>
      <c r="B142" s="0" t="s">
        <v>375</v>
      </c>
      <c r="C142" s="0" t="s">
        <v>51</v>
      </c>
      <c r="D142" s="7" t="n">
        <v>-0.03</v>
      </c>
      <c r="E142" s="7" t="n">
        <v>-0.03</v>
      </c>
      <c r="F142" s="7" t="n">
        <v>0.03</v>
      </c>
      <c r="G142" s="8" t="s">
        <v>78</v>
      </c>
      <c r="H142" s="4" t="s">
        <v>215</v>
      </c>
    </row>
    <row r="143" customFormat="false" ht="17.15" hidden="false" customHeight="false" outlineLevel="0" collapsed="false">
      <c r="A143" s="0" t="s">
        <v>376</v>
      </c>
      <c r="B143" s="0" t="s">
        <v>377</v>
      </c>
      <c r="C143" s="0" t="s">
        <v>51</v>
      </c>
      <c r="E143" s="7" t="n">
        <v>0.05</v>
      </c>
      <c r="G143" s="8" t="s">
        <v>41</v>
      </c>
      <c r="H143" s="4" t="s">
        <v>378</v>
      </c>
    </row>
    <row r="144" customFormat="false" ht="17.15" hidden="false" customHeight="false" outlineLevel="0" collapsed="false">
      <c r="A144" s="0" t="s">
        <v>379</v>
      </c>
      <c r="B144" s="0" t="s">
        <v>380</v>
      </c>
      <c r="C144" s="0" t="s">
        <v>51</v>
      </c>
      <c r="E144" s="7" t="n">
        <v>0.02</v>
      </c>
      <c r="G144" s="8" t="s">
        <v>41</v>
      </c>
      <c r="H144" s="4" t="s">
        <v>215</v>
      </c>
    </row>
    <row r="145" customFormat="false" ht="17.15" hidden="false" customHeight="false" outlineLevel="0" collapsed="false">
      <c r="A145" s="0" t="s">
        <v>381</v>
      </c>
      <c r="B145" s="0" t="s">
        <v>382</v>
      </c>
      <c r="C145" s="0" t="s">
        <v>51</v>
      </c>
      <c r="E145" s="7" t="n">
        <v>-0.1</v>
      </c>
      <c r="G145" s="8" t="s">
        <v>41</v>
      </c>
      <c r="H145" s="4" t="s">
        <v>215</v>
      </c>
    </row>
    <row r="146" customFormat="false" ht="17.15" hidden="false" customHeight="false" outlineLevel="0" collapsed="false">
      <c r="A146" s="0" t="s">
        <v>383</v>
      </c>
      <c r="B146" s="0" t="s">
        <v>384</v>
      </c>
      <c r="C146" s="0" t="s">
        <v>51</v>
      </c>
      <c r="E146" s="7" t="n">
        <v>-0.2</v>
      </c>
      <c r="G146" s="8" t="s">
        <v>41</v>
      </c>
      <c r="H146" s="4" t="s">
        <v>215</v>
      </c>
    </row>
    <row r="147" customFormat="false" ht="17.15" hidden="false" customHeight="false" outlineLevel="0" collapsed="false">
      <c r="A147" s="0" t="s">
        <v>385</v>
      </c>
      <c r="B147" s="0" t="s">
        <v>386</v>
      </c>
      <c r="C147" s="0" t="s">
        <v>51</v>
      </c>
      <c r="E147" s="7" t="n">
        <v>-0.3</v>
      </c>
      <c r="G147" s="8" t="s">
        <v>41</v>
      </c>
      <c r="H147" s="4" t="s">
        <v>215</v>
      </c>
    </row>
    <row r="148" customFormat="false" ht="17.15" hidden="false" customHeight="false" outlineLevel="0" collapsed="false">
      <c r="A148" s="0" t="s">
        <v>387</v>
      </c>
      <c r="B148" s="0" t="s">
        <v>388</v>
      </c>
      <c r="C148" s="0" t="s">
        <v>51</v>
      </c>
      <c r="E148" s="7" t="n">
        <v>-0.25</v>
      </c>
      <c r="G148" s="8" t="s">
        <v>41</v>
      </c>
      <c r="H148" s="4" t="s">
        <v>215</v>
      </c>
    </row>
    <row r="149" customFormat="false" ht="17.15" hidden="false" customHeight="false" outlineLevel="0" collapsed="false">
      <c r="A149" s="0" t="s">
        <v>389</v>
      </c>
      <c r="B149" s="0" t="s">
        <v>390</v>
      </c>
      <c r="C149" s="0" t="s">
        <v>51</v>
      </c>
      <c r="E149" s="7" t="n">
        <v>-0.2</v>
      </c>
      <c r="G149" s="8" t="s">
        <v>41</v>
      </c>
      <c r="H149" s="4" t="s">
        <v>215</v>
      </c>
    </row>
    <row r="150" customFormat="false" ht="17.15" hidden="false" customHeight="false" outlineLevel="0" collapsed="false">
      <c r="A150" s="0" t="s">
        <v>391</v>
      </c>
      <c r="B150" s="0" t="s">
        <v>392</v>
      </c>
      <c r="C150" s="0" t="s">
        <v>51</v>
      </c>
      <c r="E150" s="7" t="n">
        <v>-0.1</v>
      </c>
      <c r="G150" s="8" t="s">
        <v>41</v>
      </c>
      <c r="H150" s="4" t="s">
        <v>215</v>
      </c>
    </row>
    <row r="151" customFormat="false" ht="17.15" hidden="false" customHeight="false" outlineLevel="0" collapsed="false">
      <c r="A151" s="0" t="s">
        <v>393</v>
      </c>
      <c r="B151" s="0" t="s">
        <v>394</v>
      </c>
      <c r="C151" s="0" t="s">
        <v>51</v>
      </c>
      <c r="D151" s="7" t="n">
        <v>-0.03</v>
      </c>
      <c r="E151" s="7" t="n">
        <v>0.05</v>
      </c>
      <c r="F151" s="7" t="n">
        <v>0.05</v>
      </c>
      <c r="G151" s="8" t="s">
        <v>78</v>
      </c>
      <c r="H151" s="8" t="s">
        <v>277</v>
      </c>
    </row>
    <row r="152" customFormat="false" ht="17.15" hidden="false" customHeight="false" outlineLevel="0" collapsed="false">
      <c r="A152" s="0" t="s">
        <v>395</v>
      </c>
      <c r="B152" s="0" t="s">
        <v>396</v>
      </c>
      <c r="C152" s="0" t="s">
        <v>51</v>
      </c>
      <c r="D152" s="7" t="n">
        <v>-0.03</v>
      </c>
      <c r="E152" s="7" t="n">
        <v>0.05</v>
      </c>
      <c r="F152" s="7" t="n">
        <v>0.05</v>
      </c>
      <c r="G152" s="8" t="s">
        <v>78</v>
      </c>
      <c r="H152" s="4" t="s">
        <v>215</v>
      </c>
    </row>
    <row r="153" customFormat="false" ht="17.15" hidden="false" customHeight="false" outlineLevel="0" collapsed="false">
      <c r="A153" s="0" t="s">
        <v>397</v>
      </c>
      <c r="B153" s="0" t="s">
        <v>398</v>
      </c>
      <c r="C153" s="0" t="s">
        <v>51</v>
      </c>
      <c r="D153" s="7" t="n">
        <v>-0.03</v>
      </c>
      <c r="E153" s="7" t="n">
        <v>0.03</v>
      </c>
      <c r="F153" s="7" t="n">
        <v>0.03</v>
      </c>
      <c r="G153" s="8" t="s">
        <v>78</v>
      </c>
      <c r="H153" s="4" t="s">
        <v>215</v>
      </c>
    </row>
    <row r="154" customFormat="false" ht="17.15" hidden="false" customHeight="false" outlineLevel="0" collapsed="false">
      <c r="A154" s="0" t="s">
        <v>399</v>
      </c>
      <c r="B154" s="0" t="s">
        <v>400</v>
      </c>
      <c r="C154" s="0" t="s">
        <v>51</v>
      </c>
      <c r="D154" s="7" t="n">
        <v>-0.03</v>
      </c>
      <c r="E154" s="7" t="n">
        <v>0.03</v>
      </c>
      <c r="F154" s="7" t="n">
        <v>0.03</v>
      </c>
      <c r="G154" s="8" t="s">
        <v>78</v>
      </c>
      <c r="H154" s="4" t="s">
        <v>215</v>
      </c>
    </row>
    <row r="155" customFormat="false" ht="17.15" hidden="false" customHeight="false" outlineLevel="0" collapsed="false">
      <c r="A155" s="0" t="s">
        <v>401</v>
      </c>
      <c r="B155" s="0" t="s">
        <v>402</v>
      </c>
      <c r="C155" s="0" t="s">
        <v>51</v>
      </c>
      <c r="D155" s="7" t="n">
        <v>0</v>
      </c>
      <c r="E155" s="7" t="n">
        <v>0.05</v>
      </c>
      <c r="F155" s="7" t="n">
        <v>0.1</v>
      </c>
      <c r="G155" s="8" t="s">
        <v>78</v>
      </c>
      <c r="H155" s="8" t="s">
        <v>403</v>
      </c>
    </row>
    <row r="156" customFormat="false" ht="17.15" hidden="false" customHeight="false" outlineLevel="0" collapsed="false">
      <c r="A156" s="0" t="s">
        <v>404</v>
      </c>
      <c r="B156" s="0" t="s">
        <v>405</v>
      </c>
      <c r="C156" s="0" t="s">
        <v>51</v>
      </c>
      <c r="D156" s="7" t="n">
        <v>-0.03</v>
      </c>
      <c r="E156" s="7" t="n">
        <v>0.02</v>
      </c>
      <c r="F156" s="7" t="n">
        <v>0.07</v>
      </c>
      <c r="G156" s="8" t="s">
        <v>78</v>
      </c>
      <c r="H156" s="4" t="s">
        <v>215</v>
      </c>
    </row>
    <row r="157" customFormat="false" ht="17.15" hidden="false" customHeight="false" outlineLevel="0" collapsed="false">
      <c r="A157" s="0" t="s">
        <v>406</v>
      </c>
      <c r="B157" s="0" t="s">
        <v>407</v>
      </c>
      <c r="C157" s="0" t="s">
        <v>51</v>
      </c>
      <c r="D157" s="7" t="n">
        <v>-0.15</v>
      </c>
      <c r="E157" s="7" t="n">
        <v>-0.1</v>
      </c>
      <c r="F157" s="7" t="n">
        <v>-0.05</v>
      </c>
      <c r="G157" s="8" t="s">
        <v>78</v>
      </c>
      <c r="H157" s="4" t="s">
        <v>215</v>
      </c>
    </row>
    <row r="158" customFormat="false" ht="17.15" hidden="false" customHeight="false" outlineLevel="0" collapsed="false">
      <c r="A158" s="0" t="s">
        <v>408</v>
      </c>
      <c r="B158" s="0" t="s">
        <v>409</v>
      </c>
      <c r="C158" s="0" t="s">
        <v>51</v>
      </c>
      <c r="D158" s="7" t="n">
        <v>-0.25</v>
      </c>
      <c r="E158" s="7" t="n">
        <v>-0.2</v>
      </c>
      <c r="F158" s="7" t="n">
        <v>-0.15</v>
      </c>
      <c r="G158" s="8" t="s">
        <v>78</v>
      </c>
      <c r="H158" s="4" t="s">
        <v>215</v>
      </c>
    </row>
    <row r="159" customFormat="false" ht="17.15" hidden="false" customHeight="false" outlineLevel="0" collapsed="false">
      <c r="A159" s="0" t="s">
        <v>410</v>
      </c>
      <c r="B159" s="0" t="s">
        <v>411</v>
      </c>
      <c r="C159" s="0" t="s">
        <v>51</v>
      </c>
      <c r="D159" s="7" t="n">
        <v>-0.45</v>
      </c>
      <c r="E159" s="7" t="n">
        <v>-0.35</v>
      </c>
      <c r="F159" s="7" t="n">
        <v>-0.25</v>
      </c>
      <c r="G159" s="8" t="s">
        <v>78</v>
      </c>
      <c r="H159" s="4" t="s">
        <v>215</v>
      </c>
    </row>
    <row r="160" customFormat="false" ht="17.15" hidden="false" customHeight="false" outlineLevel="0" collapsed="false">
      <c r="A160" s="0" t="s">
        <v>412</v>
      </c>
      <c r="B160" s="0" t="s">
        <v>413</v>
      </c>
      <c r="C160" s="0" t="s">
        <v>51</v>
      </c>
      <c r="D160" s="7" t="n">
        <v>-0.45</v>
      </c>
      <c r="E160" s="7" t="n">
        <v>-0.35</v>
      </c>
      <c r="F160" s="7" t="n">
        <v>-0.25</v>
      </c>
      <c r="G160" s="8" t="s">
        <v>78</v>
      </c>
      <c r="H160" s="4" t="s">
        <v>215</v>
      </c>
    </row>
    <row r="161" customFormat="false" ht="17.15" hidden="false" customHeight="false" outlineLevel="0" collapsed="false">
      <c r="A161" s="0" t="s">
        <v>414</v>
      </c>
      <c r="B161" s="0" t="s">
        <v>415</v>
      </c>
      <c r="C161" s="0" t="s">
        <v>51</v>
      </c>
      <c r="D161" s="7" t="n">
        <v>-0.35</v>
      </c>
      <c r="E161" s="7" t="n">
        <v>-0.25</v>
      </c>
      <c r="F161" s="7" t="n">
        <v>-0.15</v>
      </c>
      <c r="G161" s="8" t="s">
        <v>78</v>
      </c>
      <c r="H161" s="4" t="s">
        <v>215</v>
      </c>
    </row>
    <row r="162" customFormat="false" ht="17.15" hidden="false" customHeight="false" outlineLevel="0" collapsed="false">
      <c r="A162" s="0" t="s">
        <v>416</v>
      </c>
      <c r="B162" s="0" t="s">
        <v>417</v>
      </c>
      <c r="C162" s="0" t="s">
        <v>51</v>
      </c>
      <c r="D162" s="7" t="n">
        <v>-0.3</v>
      </c>
      <c r="E162" s="7" t="n">
        <v>-0.2</v>
      </c>
      <c r="F162" s="7" t="n">
        <v>-0.1</v>
      </c>
      <c r="G162" s="8" t="s">
        <v>78</v>
      </c>
      <c r="H162" s="4" t="s">
        <v>215</v>
      </c>
    </row>
    <row r="163" customFormat="false" ht="17.15" hidden="false" customHeight="false" outlineLevel="0" collapsed="false">
      <c r="A163" s="0" t="s">
        <v>418</v>
      </c>
      <c r="B163" s="0" t="s">
        <v>419</v>
      </c>
      <c r="C163" s="0" t="s">
        <v>51</v>
      </c>
      <c r="D163" s="7" t="n">
        <v>-0.1</v>
      </c>
      <c r="E163" s="7" t="n">
        <v>0</v>
      </c>
      <c r="F163" s="7" t="n">
        <v>0.1</v>
      </c>
      <c r="G163" s="8" t="s">
        <v>78</v>
      </c>
      <c r="H163" s="4" t="s">
        <v>215</v>
      </c>
    </row>
    <row r="164" customFormat="false" ht="17.15" hidden="false" customHeight="false" outlineLevel="0" collapsed="false">
      <c r="A164" s="0" t="s">
        <v>420</v>
      </c>
      <c r="B164" s="0" t="s">
        <v>421</v>
      </c>
      <c r="C164" s="0" t="s">
        <v>51</v>
      </c>
      <c r="D164" s="7" t="n">
        <v>-0.05</v>
      </c>
      <c r="E164" s="7" t="n">
        <v>0.05</v>
      </c>
      <c r="F164" s="7" t="n">
        <v>0.15</v>
      </c>
      <c r="G164" s="8" t="s">
        <v>78</v>
      </c>
      <c r="H164" s="4" t="s">
        <v>215</v>
      </c>
    </row>
    <row r="165" customFormat="false" ht="17.15" hidden="false" customHeight="false" outlineLevel="0" collapsed="false">
      <c r="A165" s="0" t="s">
        <v>422</v>
      </c>
      <c r="B165" s="0" t="s">
        <v>423</v>
      </c>
      <c r="C165" s="0" t="s">
        <v>51</v>
      </c>
      <c r="D165" s="7" t="n">
        <v>-0.02</v>
      </c>
      <c r="E165" s="7" t="n">
        <v>0.08</v>
      </c>
      <c r="F165" s="7" t="n">
        <v>0.18</v>
      </c>
      <c r="G165" s="8" t="s">
        <v>78</v>
      </c>
      <c r="H165" s="4" t="s">
        <v>215</v>
      </c>
    </row>
    <row r="166" customFormat="false" ht="17.15" hidden="false" customHeight="false" outlineLevel="0" collapsed="false">
      <c r="A166" s="0" t="s">
        <v>424</v>
      </c>
      <c r="B166" s="0" t="s">
        <v>425</v>
      </c>
      <c r="C166" s="0" t="s">
        <v>51</v>
      </c>
      <c r="D166" s="7" t="n">
        <v>0</v>
      </c>
      <c r="E166" s="7" t="n">
        <v>0.1</v>
      </c>
      <c r="F166" s="7" t="n">
        <v>0.2</v>
      </c>
      <c r="G166" s="8" t="s">
        <v>78</v>
      </c>
      <c r="H166" s="4" t="s">
        <v>215</v>
      </c>
    </row>
    <row r="167" customFormat="false" ht="17.15" hidden="false" customHeight="false" outlineLevel="0" collapsed="false">
      <c r="A167" s="6" t="s">
        <v>426</v>
      </c>
    </row>
    <row r="168" customFormat="false" ht="17.15" hidden="false" customHeight="false" outlineLevel="0" collapsed="false">
      <c r="A168" s="0" t="s">
        <v>427</v>
      </c>
      <c r="B168" s="0" t="s">
        <v>428</v>
      </c>
      <c r="C168" s="4" t="s">
        <v>429</v>
      </c>
      <c r="E168" s="7" t="n">
        <v>5.4</v>
      </c>
      <c r="G168" s="8" t="s">
        <v>52</v>
      </c>
      <c r="H168" s="4" t="s">
        <v>430</v>
      </c>
    </row>
    <row r="169" customFormat="false" ht="17.15" hidden="false" customHeight="false" outlineLevel="0" collapsed="false">
      <c r="A169" s="0" t="s">
        <v>431</v>
      </c>
      <c r="B169" s="0" t="s">
        <v>432</v>
      </c>
      <c r="C169" s="4" t="s">
        <v>429</v>
      </c>
      <c r="E169" s="7" t="n">
        <v>2.4</v>
      </c>
      <c r="G169" s="8" t="s">
        <v>52</v>
      </c>
      <c r="H169" s="4" t="s">
        <v>215</v>
      </c>
    </row>
    <row r="170" customFormat="false" ht="17.15" hidden="false" customHeight="false" outlineLevel="0" collapsed="false">
      <c r="A170" s="0" t="s">
        <v>433</v>
      </c>
      <c r="B170" s="0" t="s">
        <v>434</v>
      </c>
      <c r="C170" s="4" t="s">
        <v>429</v>
      </c>
      <c r="E170" s="7" t="n">
        <v>0.5</v>
      </c>
      <c r="G170" s="8" t="s">
        <v>52</v>
      </c>
      <c r="H170" s="4" t="s">
        <v>215</v>
      </c>
    </row>
    <row r="171" customFormat="false" ht="17.15" hidden="false" customHeight="false" outlineLevel="0" collapsed="false">
      <c r="A171" s="0" t="s">
        <v>435</v>
      </c>
      <c r="B171" s="0" t="s">
        <v>436</v>
      </c>
      <c r="C171" s="0" t="s">
        <v>437</v>
      </c>
      <c r="E171" s="7" t="n">
        <v>260</v>
      </c>
      <c r="G171" s="8" t="s">
        <v>52</v>
      </c>
      <c r="H171" s="4" t="s">
        <v>215</v>
      </c>
    </row>
    <row r="172" customFormat="false" ht="17.15" hidden="false" customHeight="false" outlineLevel="0" collapsed="false">
      <c r="A172" s="0" t="s">
        <v>438</v>
      </c>
      <c r="B172" s="0" t="s">
        <v>439</v>
      </c>
      <c r="C172" s="0" t="s">
        <v>437</v>
      </c>
      <c r="E172" s="7" t="n">
        <v>280</v>
      </c>
      <c r="G172" s="8" t="s">
        <v>52</v>
      </c>
      <c r="H172" s="4" t="s">
        <v>215</v>
      </c>
    </row>
    <row r="173" customFormat="false" ht="17.15" hidden="false" customHeight="false" outlineLevel="0" collapsed="false">
      <c r="A173" s="0" t="s">
        <v>440</v>
      </c>
      <c r="B173" s="0" t="s">
        <v>441</v>
      </c>
      <c r="C173" s="0" t="s">
        <v>437</v>
      </c>
      <c r="E173" s="7" t="n">
        <v>288</v>
      </c>
      <c r="G173" s="8" t="s">
        <v>52</v>
      </c>
      <c r="H173" s="4" t="s">
        <v>215</v>
      </c>
    </row>
    <row r="174" customFormat="false" ht="17.15" hidden="false" customHeight="false" outlineLevel="0" collapsed="false">
      <c r="A174" s="0" t="s">
        <v>442</v>
      </c>
      <c r="B174" s="0" t="s">
        <v>443</v>
      </c>
      <c r="C174" s="4" t="s">
        <v>429</v>
      </c>
      <c r="E174" s="7" t="n">
        <v>1.7</v>
      </c>
      <c r="G174" s="8" t="s">
        <v>52</v>
      </c>
      <c r="H174" s="8" t="s">
        <v>444</v>
      </c>
    </row>
    <row r="175" customFormat="false" ht="17.15" hidden="false" customHeight="false" outlineLevel="0" collapsed="false">
      <c r="A175" s="0" t="s">
        <v>445</v>
      </c>
      <c r="B175" s="0" t="s">
        <v>446</v>
      </c>
      <c r="C175" s="4" t="s">
        <v>429</v>
      </c>
      <c r="E175" s="7" t="n">
        <v>7</v>
      </c>
      <c r="G175" s="8" t="s">
        <v>52</v>
      </c>
      <c r="H175" s="4" t="s">
        <v>215</v>
      </c>
    </row>
    <row r="176" customFormat="false" ht="17.15" hidden="false" customHeight="false" outlineLevel="0" collapsed="false">
      <c r="A176" s="0" t="s">
        <v>447</v>
      </c>
      <c r="B176" s="0" t="s">
        <v>448</v>
      </c>
      <c r="C176" s="4" t="s">
        <v>429</v>
      </c>
      <c r="E176" s="7" t="n">
        <v>7</v>
      </c>
      <c r="G176" s="8" t="s">
        <v>52</v>
      </c>
      <c r="H176" s="4" t="s">
        <v>215</v>
      </c>
    </row>
    <row r="177" customFormat="false" ht="17.15" hidden="false" customHeight="false" outlineLevel="0" collapsed="false">
      <c r="A177" s="0" t="s">
        <v>449</v>
      </c>
      <c r="B177" s="0" t="s">
        <v>450</v>
      </c>
      <c r="C177" s="0" t="s">
        <v>437</v>
      </c>
      <c r="E177" s="7" t="n">
        <v>288</v>
      </c>
      <c r="G177" s="8" t="s">
        <v>52</v>
      </c>
      <c r="H177" s="4" t="s">
        <v>215</v>
      </c>
    </row>
    <row r="178" customFormat="false" ht="17.15" hidden="false" customHeight="false" outlineLevel="0" collapsed="false">
      <c r="A178" s="0" t="s">
        <v>451</v>
      </c>
      <c r="B178" s="0" t="s">
        <v>452</v>
      </c>
      <c r="C178" s="0" t="s">
        <v>437</v>
      </c>
      <c r="E178" s="7" t="n">
        <v>288</v>
      </c>
      <c r="G178" s="8" t="s">
        <v>52</v>
      </c>
      <c r="H178" s="4" t="s">
        <v>215</v>
      </c>
    </row>
    <row r="179" customFormat="false" ht="17.15" hidden="false" customHeight="false" outlineLevel="0" collapsed="false">
      <c r="A179" s="0" t="s">
        <v>453</v>
      </c>
      <c r="B179" s="0" t="s">
        <v>454</v>
      </c>
      <c r="C179" s="0" t="s">
        <v>437</v>
      </c>
      <c r="E179" s="7" t="n">
        <v>288</v>
      </c>
      <c r="G179" s="8" t="s">
        <v>52</v>
      </c>
      <c r="H179" s="4" t="s">
        <v>215</v>
      </c>
    </row>
    <row r="180" customFormat="false" ht="17.15" hidden="false" customHeight="false" outlineLevel="0" collapsed="false">
      <c r="A180" s="0" t="s">
        <v>455</v>
      </c>
      <c r="B180" s="0" t="s">
        <v>456</v>
      </c>
      <c r="C180" s="4" t="s">
        <v>429</v>
      </c>
      <c r="D180" s="7" t="n">
        <v>0</v>
      </c>
      <c r="E180" s="7" t="n">
        <v>0</v>
      </c>
      <c r="F180" s="7" t="n">
        <v>0</v>
      </c>
      <c r="G180" s="8" t="s">
        <v>78</v>
      </c>
      <c r="H180" s="4" t="s">
        <v>457</v>
      </c>
    </row>
    <row r="181" customFormat="false" ht="17.15" hidden="false" customHeight="false" outlineLevel="0" collapsed="false">
      <c r="A181" s="0" t="s">
        <v>458</v>
      </c>
      <c r="B181" s="0" t="s">
        <v>459</v>
      </c>
      <c r="C181" s="4" t="s">
        <v>429</v>
      </c>
      <c r="D181" s="7" t="n">
        <v>0</v>
      </c>
      <c r="E181" s="7" t="n">
        <v>0.3</v>
      </c>
      <c r="F181" s="7" t="n">
        <v>0.6</v>
      </c>
      <c r="G181" s="8" t="s">
        <v>78</v>
      </c>
      <c r="H181" s="4" t="s">
        <v>215</v>
      </c>
    </row>
    <row r="182" customFormat="false" ht="17.15" hidden="false" customHeight="false" outlineLevel="0" collapsed="false">
      <c r="A182" s="0" t="s">
        <v>460</v>
      </c>
      <c r="B182" s="0" t="s">
        <v>461</v>
      </c>
      <c r="C182" s="4" t="s">
        <v>429</v>
      </c>
      <c r="D182" s="7" t="n">
        <v>1</v>
      </c>
      <c r="E182" s="7" t="n">
        <v>2</v>
      </c>
      <c r="F182" s="7" t="n">
        <v>3</v>
      </c>
      <c r="G182" s="8" t="s">
        <v>78</v>
      </c>
      <c r="H182" s="4" t="s">
        <v>215</v>
      </c>
    </row>
    <row r="183" customFormat="false" ht="17.15" hidden="false" customHeight="false" outlineLevel="0" collapsed="false">
      <c r="A183" s="0" t="s">
        <v>462</v>
      </c>
      <c r="B183" s="0" t="s">
        <v>463</v>
      </c>
      <c r="C183" s="0" t="s">
        <v>437</v>
      </c>
      <c r="E183" s="7" t="n">
        <v>1024</v>
      </c>
      <c r="G183" s="8" t="s">
        <v>52</v>
      </c>
      <c r="H183" s="8" t="s">
        <v>464</v>
      </c>
    </row>
    <row r="184" customFormat="false" ht="17.15" hidden="false" customHeight="false" outlineLevel="0" collapsed="false">
      <c r="A184" s="0" t="s">
        <v>465</v>
      </c>
      <c r="B184" s="0" t="s">
        <v>466</v>
      </c>
      <c r="C184" s="0" t="s">
        <v>437</v>
      </c>
      <c r="E184" s="7" t="n">
        <v>1024</v>
      </c>
      <c r="G184" s="8" t="s">
        <v>52</v>
      </c>
      <c r="H184" s="4" t="s">
        <v>215</v>
      </c>
    </row>
    <row r="185" customFormat="false" ht="17.15" hidden="false" customHeight="false" outlineLevel="0" collapsed="false">
      <c r="A185" s="0" t="s">
        <v>467</v>
      </c>
      <c r="B185" s="0" t="s">
        <v>468</v>
      </c>
      <c r="C185" s="0" t="s">
        <v>437</v>
      </c>
      <c r="E185" s="7" t="n">
        <v>1024</v>
      </c>
      <c r="G185" s="8" t="s">
        <v>52</v>
      </c>
      <c r="H185" s="4" t="s">
        <v>215</v>
      </c>
    </row>
    <row r="186" customFormat="false" ht="17.15" hidden="false" customHeight="false" outlineLevel="0" collapsed="false">
      <c r="A186" s="0" t="s">
        <v>469</v>
      </c>
      <c r="B186" s="0" t="s">
        <v>470</v>
      </c>
      <c r="C186" s="4" t="s">
        <v>429</v>
      </c>
      <c r="E186" s="7" t="n">
        <v>0.5</v>
      </c>
      <c r="G186" s="8" t="s">
        <v>52</v>
      </c>
      <c r="H186" s="8" t="s">
        <v>471</v>
      </c>
    </row>
    <row r="187" customFormat="false" ht="17.15" hidden="false" customHeight="false" outlineLevel="0" collapsed="false">
      <c r="A187" s="0" t="s">
        <v>472</v>
      </c>
      <c r="B187" s="0" t="s">
        <v>473</v>
      </c>
      <c r="C187" s="4" t="s">
        <v>429</v>
      </c>
      <c r="E187" s="7" t="n">
        <v>0</v>
      </c>
      <c r="G187" s="8" t="s">
        <v>52</v>
      </c>
      <c r="H187" s="4" t="s">
        <v>215</v>
      </c>
    </row>
    <row r="188" customFormat="false" ht="17.15" hidden="false" customHeight="false" outlineLevel="0" collapsed="false">
      <c r="A188" s="0" t="s">
        <v>474</v>
      </c>
      <c r="B188" s="0" t="s">
        <v>475</v>
      </c>
      <c r="C188" s="4" t="s">
        <v>429</v>
      </c>
      <c r="E188" s="7" t="n">
        <v>0</v>
      </c>
      <c r="G188" s="8" t="s">
        <v>52</v>
      </c>
      <c r="H188" s="4" t="s">
        <v>215</v>
      </c>
    </row>
    <row r="189" customFormat="false" ht="17.15" hidden="false" customHeight="false" outlineLevel="0" collapsed="false">
      <c r="A189" s="0" t="s">
        <v>476</v>
      </c>
      <c r="B189" s="0" t="s">
        <v>477</v>
      </c>
      <c r="C189" s="0" t="s">
        <v>437</v>
      </c>
      <c r="E189" s="7" t="n">
        <v>141</v>
      </c>
      <c r="G189" s="8" t="s">
        <v>52</v>
      </c>
      <c r="H189" s="4" t="s">
        <v>215</v>
      </c>
    </row>
    <row r="190" customFormat="false" ht="17.15" hidden="false" customHeight="false" outlineLevel="0" collapsed="false">
      <c r="A190" s="0" t="s">
        <v>478</v>
      </c>
      <c r="B190" s="0" t="s">
        <v>479</v>
      </c>
      <c r="C190" s="0" t="s">
        <v>437</v>
      </c>
      <c r="E190" s="7" t="n">
        <v>141</v>
      </c>
      <c r="G190" s="8" t="s">
        <v>52</v>
      </c>
      <c r="H190" s="4" t="s">
        <v>215</v>
      </c>
    </row>
    <row r="191" customFormat="false" ht="17.15" hidden="false" customHeight="false" outlineLevel="0" collapsed="false">
      <c r="A191" s="0" t="s">
        <v>480</v>
      </c>
      <c r="B191" s="0" t="s">
        <v>481</v>
      </c>
      <c r="C191" s="0" t="s">
        <v>437</v>
      </c>
      <c r="E191" s="7" t="n">
        <v>141</v>
      </c>
      <c r="G191" s="8" t="s">
        <v>52</v>
      </c>
      <c r="H191" s="4" t="s">
        <v>215</v>
      </c>
    </row>
    <row r="192" customFormat="false" ht="17.15" hidden="false" customHeight="false" outlineLevel="0" collapsed="false">
      <c r="A192" s="0" t="s">
        <v>482</v>
      </c>
      <c r="B192" s="0" t="s">
        <v>483</v>
      </c>
      <c r="C192" s="4" t="s">
        <v>429</v>
      </c>
      <c r="D192" s="7" t="n">
        <v>0.6</v>
      </c>
      <c r="E192" s="7" t="n">
        <v>0.75</v>
      </c>
      <c r="F192" s="7" t="n">
        <v>0.9</v>
      </c>
      <c r="G192" s="8" t="s">
        <v>484</v>
      </c>
      <c r="H192" s="8" t="s">
        <v>485</v>
      </c>
    </row>
    <row r="193" customFormat="false" ht="17.15" hidden="false" customHeight="false" outlineLevel="0" collapsed="false">
      <c r="A193" s="0" t="s">
        <v>486</v>
      </c>
      <c r="B193" s="0" t="s">
        <v>487</v>
      </c>
      <c r="C193" s="4" t="s">
        <v>429</v>
      </c>
      <c r="D193" s="7" t="n">
        <v>1.2</v>
      </c>
      <c r="E193" s="7" t="n">
        <v>1.5</v>
      </c>
      <c r="F193" s="7" t="n">
        <v>1.8</v>
      </c>
      <c r="G193" s="8" t="s">
        <v>484</v>
      </c>
      <c r="H193" s="4" t="s">
        <v>215</v>
      </c>
    </row>
    <row r="194" customFormat="false" ht="17.15" hidden="false" customHeight="false" outlineLevel="0" collapsed="false">
      <c r="A194" s="0" t="s">
        <v>488</v>
      </c>
      <c r="B194" s="0" t="s">
        <v>489</v>
      </c>
      <c r="C194" s="4" t="s">
        <v>429</v>
      </c>
      <c r="D194" s="7" t="n">
        <v>1.5</v>
      </c>
      <c r="E194" s="7" t="n">
        <v>2</v>
      </c>
      <c r="F194" s="7" t="n">
        <v>2.5</v>
      </c>
      <c r="G194" s="8" t="s">
        <v>484</v>
      </c>
      <c r="H194" s="4" t="s">
        <v>215</v>
      </c>
    </row>
    <row r="195" customFormat="false" ht="17.15" hidden="false" customHeight="false" outlineLevel="0" collapsed="false">
      <c r="A195" s="0" t="s">
        <v>490</v>
      </c>
      <c r="B195" s="0" t="s">
        <v>491</v>
      </c>
      <c r="C195" s="0" t="s">
        <v>437</v>
      </c>
      <c r="D195" s="7" t="n">
        <v>288</v>
      </c>
      <c r="E195" s="7" t="n">
        <v>288</v>
      </c>
      <c r="F195" s="7" t="n">
        <v>288</v>
      </c>
      <c r="G195" s="8" t="s">
        <v>484</v>
      </c>
      <c r="H195" s="4" t="s">
        <v>215</v>
      </c>
    </row>
    <row r="196" customFormat="false" ht="17.15" hidden="false" customHeight="false" outlineLevel="0" collapsed="false">
      <c r="A196" s="0" t="s">
        <v>492</v>
      </c>
      <c r="B196" s="0" t="s">
        <v>493</v>
      </c>
      <c r="C196" s="0" t="s">
        <v>437</v>
      </c>
      <c r="D196" s="7" t="n">
        <v>288</v>
      </c>
      <c r="E196" s="7" t="n">
        <v>360</v>
      </c>
      <c r="F196" s="7" t="n">
        <v>432</v>
      </c>
      <c r="G196" s="8" t="s">
        <v>484</v>
      </c>
      <c r="H196" s="4" t="s">
        <v>215</v>
      </c>
    </row>
    <row r="197" customFormat="false" ht="17.15" hidden="false" customHeight="false" outlineLevel="0" collapsed="false">
      <c r="A197" s="0" t="s">
        <v>494</v>
      </c>
      <c r="B197" s="0" t="s">
        <v>495</v>
      </c>
      <c r="C197" s="0" t="s">
        <v>437</v>
      </c>
      <c r="D197" s="7" t="n">
        <v>432</v>
      </c>
      <c r="E197" s="7" t="n">
        <v>432</v>
      </c>
      <c r="F197" s="7" t="n">
        <v>432</v>
      </c>
      <c r="G197" s="8" t="s">
        <v>484</v>
      </c>
      <c r="H197" s="4" t="s">
        <v>215</v>
      </c>
    </row>
    <row r="198" customFormat="false" ht="17.15" hidden="false" customHeight="false" outlineLevel="0" collapsed="false">
      <c r="A198" s="0" t="s">
        <v>496</v>
      </c>
      <c r="B198" s="0" t="s">
        <v>497</v>
      </c>
      <c r="C198" s="4" t="s">
        <v>429</v>
      </c>
      <c r="E198" s="7" t="n">
        <v>3.85</v>
      </c>
      <c r="G198" s="8" t="s">
        <v>52</v>
      </c>
      <c r="H198" s="8" t="s">
        <v>498</v>
      </c>
    </row>
    <row r="199" customFormat="false" ht="17.15" hidden="false" customHeight="false" outlineLevel="0" collapsed="false">
      <c r="A199" s="0" t="s">
        <v>499</v>
      </c>
      <c r="B199" s="0" t="s">
        <v>500</v>
      </c>
      <c r="C199" s="4" t="s">
        <v>429</v>
      </c>
      <c r="E199" s="7" t="n">
        <v>5.5</v>
      </c>
      <c r="G199" s="8" t="s">
        <v>52</v>
      </c>
      <c r="H199" s="4" t="s">
        <v>215</v>
      </c>
    </row>
    <row r="200" customFormat="false" ht="17.15" hidden="false" customHeight="false" outlineLevel="0" collapsed="false">
      <c r="A200" s="0" t="s">
        <v>501</v>
      </c>
      <c r="B200" s="0" t="s">
        <v>502</v>
      </c>
      <c r="C200" s="4" t="s">
        <v>429</v>
      </c>
      <c r="E200" s="7" t="n">
        <v>7</v>
      </c>
      <c r="G200" s="8" t="s">
        <v>52</v>
      </c>
      <c r="H200" s="4" t="s">
        <v>215</v>
      </c>
    </row>
    <row r="201" customFormat="false" ht="17.15" hidden="false" customHeight="false" outlineLevel="0" collapsed="false">
      <c r="A201" s="0" t="s">
        <v>503</v>
      </c>
      <c r="B201" s="0" t="s">
        <v>504</v>
      </c>
      <c r="C201" s="0" t="s">
        <v>437</v>
      </c>
      <c r="E201" s="7" t="n">
        <v>192</v>
      </c>
      <c r="G201" s="8" t="s">
        <v>52</v>
      </c>
      <c r="H201" s="4" t="s">
        <v>215</v>
      </c>
    </row>
    <row r="202" customFormat="false" ht="17.15" hidden="false" customHeight="false" outlineLevel="0" collapsed="false">
      <c r="A202" s="0" t="s">
        <v>505</v>
      </c>
      <c r="B202" s="0" t="s">
        <v>506</v>
      </c>
      <c r="C202" s="0" t="s">
        <v>437</v>
      </c>
      <c r="E202" s="7" t="n">
        <v>250</v>
      </c>
      <c r="G202" s="8" t="s">
        <v>52</v>
      </c>
      <c r="H202" s="4" t="s">
        <v>215</v>
      </c>
    </row>
    <row r="203" customFormat="false" ht="17.15" hidden="false" customHeight="false" outlineLevel="0" collapsed="false">
      <c r="A203" s="0" t="s">
        <v>507</v>
      </c>
      <c r="B203" s="0" t="s">
        <v>508</v>
      </c>
      <c r="C203" s="0" t="s">
        <v>437</v>
      </c>
      <c r="E203" s="7" t="n">
        <v>288</v>
      </c>
      <c r="G203" s="8" t="s">
        <v>52</v>
      </c>
      <c r="H203" s="4" t="s">
        <v>215</v>
      </c>
    </row>
    <row r="204" customFormat="false" ht="17.15" hidden="false" customHeight="false" outlineLevel="0" collapsed="false">
      <c r="A204" s="0" t="s">
        <v>509</v>
      </c>
      <c r="B204" s="0" t="s">
        <v>510</v>
      </c>
      <c r="C204" s="4" t="s">
        <v>429</v>
      </c>
      <c r="D204" s="7" t="n">
        <v>1.5</v>
      </c>
      <c r="E204" s="7" t="n">
        <v>2</v>
      </c>
      <c r="F204" s="7" t="n">
        <v>2.5</v>
      </c>
      <c r="G204" s="8" t="s">
        <v>78</v>
      </c>
      <c r="H204" s="4" t="s">
        <v>511</v>
      </c>
    </row>
    <row r="205" customFormat="false" ht="17.15" hidden="false" customHeight="false" outlineLevel="0" collapsed="false">
      <c r="A205" s="0" t="s">
        <v>512</v>
      </c>
      <c r="B205" s="0" t="s">
        <v>513</v>
      </c>
      <c r="C205" s="4" t="s">
        <v>429</v>
      </c>
      <c r="D205" s="7" t="n">
        <v>2</v>
      </c>
      <c r="E205" s="7" t="n">
        <v>2.5</v>
      </c>
      <c r="F205" s="7" t="n">
        <v>3.5</v>
      </c>
      <c r="G205" s="8" t="s">
        <v>78</v>
      </c>
      <c r="H205" s="4" t="s">
        <v>215</v>
      </c>
    </row>
    <row r="206" customFormat="false" ht="17.15" hidden="false" customHeight="false" outlineLevel="0" collapsed="false">
      <c r="A206" s="0" t="s">
        <v>514</v>
      </c>
      <c r="B206" s="0" t="s">
        <v>515</v>
      </c>
      <c r="C206" s="4" t="s">
        <v>429</v>
      </c>
      <c r="D206" s="7" t="n">
        <v>2</v>
      </c>
      <c r="E206" s="7" t="n">
        <v>3</v>
      </c>
      <c r="F206" s="7" t="n">
        <v>4</v>
      </c>
      <c r="G206" s="8" t="s">
        <v>78</v>
      </c>
      <c r="H206" s="4" t="s">
        <v>215</v>
      </c>
    </row>
    <row r="207" customFormat="false" ht="17.15" hidden="false" customHeight="false" outlineLevel="0" collapsed="false">
      <c r="A207" s="0" t="s">
        <v>516</v>
      </c>
      <c r="B207" s="0" t="s">
        <v>517</v>
      </c>
      <c r="C207" s="0" t="s">
        <v>437</v>
      </c>
      <c r="D207" s="7" t="n">
        <v>96</v>
      </c>
      <c r="E207" s="7" t="n">
        <v>110</v>
      </c>
      <c r="F207" s="7" t="n">
        <v>144</v>
      </c>
      <c r="G207" s="8" t="s">
        <v>78</v>
      </c>
      <c r="H207" s="4" t="s">
        <v>215</v>
      </c>
    </row>
    <row r="208" customFormat="false" ht="17.15" hidden="false" customHeight="false" outlineLevel="0" collapsed="false">
      <c r="A208" s="0" t="s">
        <v>518</v>
      </c>
      <c r="B208" s="0" t="s">
        <v>519</v>
      </c>
      <c r="C208" s="0" t="s">
        <v>437</v>
      </c>
      <c r="D208" s="7" t="n">
        <v>120</v>
      </c>
      <c r="E208" s="7" t="n">
        <v>144</v>
      </c>
      <c r="F208" s="7" t="n">
        <v>144</v>
      </c>
      <c r="G208" s="8" t="s">
        <v>78</v>
      </c>
      <c r="H208" s="4" t="s">
        <v>215</v>
      </c>
    </row>
    <row r="209" customFormat="false" ht="17.15" hidden="false" customHeight="false" outlineLevel="0" collapsed="false">
      <c r="A209" s="0" t="s">
        <v>520</v>
      </c>
      <c r="B209" s="0" t="s">
        <v>521</v>
      </c>
      <c r="C209" s="0" t="s">
        <v>437</v>
      </c>
      <c r="D209" s="7" t="n">
        <v>144</v>
      </c>
      <c r="E209" s="7" t="n">
        <v>200</v>
      </c>
      <c r="F209" s="7" t="n">
        <v>256</v>
      </c>
      <c r="G209" s="8" t="s">
        <v>78</v>
      </c>
      <c r="H209" s="4" t="s">
        <v>215</v>
      </c>
    </row>
    <row r="210" customFormat="false" ht="17.15" hidden="false" customHeight="false" outlineLevel="0" collapsed="false">
      <c r="A210" s="0" t="s">
        <v>522</v>
      </c>
      <c r="B210" s="4" t="s">
        <v>523</v>
      </c>
      <c r="C210" s="4" t="s">
        <v>429</v>
      </c>
      <c r="D210" s="7" t="n">
        <v>0.5</v>
      </c>
      <c r="E210" s="7" t="n">
        <v>1</v>
      </c>
      <c r="F210" s="7" t="n">
        <v>1.5</v>
      </c>
      <c r="G210" s="8" t="s">
        <v>152</v>
      </c>
      <c r="H210" s="8" t="s">
        <v>524</v>
      </c>
    </row>
    <row r="211" customFormat="false" ht="17.15" hidden="false" customHeight="false" outlineLevel="0" collapsed="false">
      <c r="A211" s="0" t="s">
        <v>525</v>
      </c>
      <c r="B211" s="4" t="s">
        <v>526</v>
      </c>
      <c r="C211" s="4" t="s">
        <v>429</v>
      </c>
      <c r="D211" s="7" t="n">
        <v>3</v>
      </c>
      <c r="E211" s="7" t="n">
        <v>4.5</v>
      </c>
      <c r="F211" s="7" t="n">
        <v>6</v>
      </c>
      <c r="G211" s="8" t="s">
        <v>152</v>
      </c>
      <c r="H211" s="4" t="s">
        <v>215</v>
      </c>
    </row>
    <row r="212" customFormat="false" ht="17.15" hidden="false" customHeight="false" outlineLevel="0" collapsed="false">
      <c r="A212" s="0" t="s">
        <v>527</v>
      </c>
      <c r="B212" s="4" t="s">
        <v>528</v>
      </c>
      <c r="C212" s="4" t="s">
        <v>429</v>
      </c>
      <c r="D212" s="7" t="n">
        <v>3.5</v>
      </c>
      <c r="E212" s="7" t="n">
        <v>5</v>
      </c>
      <c r="F212" s="7" t="n">
        <v>7</v>
      </c>
      <c r="G212" s="8" t="s">
        <v>152</v>
      </c>
      <c r="H212" s="4" t="s">
        <v>215</v>
      </c>
    </row>
    <row r="213" customFormat="false" ht="17.15" hidden="false" customHeight="false" outlineLevel="0" collapsed="false">
      <c r="A213" s="0" t="s">
        <v>529</v>
      </c>
      <c r="B213" s="4" t="s">
        <v>530</v>
      </c>
      <c r="C213" s="0" t="s">
        <v>437</v>
      </c>
      <c r="D213" s="7" t="n">
        <v>100</v>
      </c>
      <c r="E213" s="7" t="n">
        <v>150</v>
      </c>
      <c r="F213" s="7" t="n">
        <v>200</v>
      </c>
      <c r="G213" s="8" t="s">
        <v>152</v>
      </c>
      <c r="H213" s="4" t="s">
        <v>215</v>
      </c>
    </row>
    <row r="214" customFormat="false" ht="17.15" hidden="false" customHeight="false" outlineLevel="0" collapsed="false">
      <c r="A214" s="0" t="s">
        <v>531</v>
      </c>
      <c r="B214" s="4" t="s">
        <v>532</v>
      </c>
      <c r="C214" s="0" t="s">
        <v>437</v>
      </c>
      <c r="D214" s="7" t="n">
        <v>150</v>
      </c>
      <c r="E214" s="7" t="n">
        <v>200</v>
      </c>
      <c r="F214" s="7" t="n">
        <v>250</v>
      </c>
      <c r="G214" s="8" t="s">
        <v>152</v>
      </c>
      <c r="H214" s="4" t="s">
        <v>215</v>
      </c>
    </row>
    <row r="215" customFormat="false" ht="17.15" hidden="false" customHeight="false" outlineLevel="0" collapsed="false">
      <c r="A215" s="0" t="s">
        <v>533</v>
      </c>
      <c r="B215" s="4" t="s">
        <v>534</v>
      </c>
      <c r="C215" s="0" t="s">
        <v>437</v>
      </c>
      <c r="D215" s="7" t="n">
        <v>200</v>
      </c>
      <c r="E215" s="7" t="n">
        <v>250</v>
      </c>
      <c r="F215" s="7" t="n">
        <v>300</v>
      </c>
      <c r="G215" s="8" t="s">
        <v>152</v>
      </c>
      <c r="H215" s="4" t="s">
        <v>215</v>
      </c>
    </row>
    <row r="216" customFormat="false" ht="17.15" hidden="false" customHeight="false" outlineLevel="0" collapsed="false">
      <c r="A216" s="6" t="s">
        <v>535</v>
      </c>
    </row>
    <row r="217" customFormat="false" ht="17.15" hidden="false" customHeight="false" outlineLevel="0" collapsed="false">
      <c r="A217" s="0" t="s">
        <v>536</v>
      </c>
      <c r="B217" s="4" t="s">
        <v>537</v>
      </c>
      <c r="C217" s="0" t="s">
        <v>227</v>
      </c>
      <c r="E217" s="7" t="n">
        <v>1</v>
      </c>
      <c r="G217" s="8" t="s">
        <v>41</v>
      </c>
      <c r="H217" s="8" t="s">
        <v>538</v>
      </c>
    </row>
    <row r="218" customFormat="false" ht="17.15" hidden="false" customHeight="false" outlineLevel="0" collapsed="false">
      <c r="A218" s="0" t="s">
        <v>539</v>
      </c>
      <c r="B218" s="4" t="s">
        <v>540</v>
      </c>
      <c r="C218" s="0" t="s">
        <v>227</v>
      </c>
      <c r="E218" s="7" t="n">
        <v>1</v>
      </c>
      <c r="G218" s="8" t="s">
        <v>41</v>
      </c>
      <c r="H218" s="4" t="s">
        <v>215</v>
      </c>
    </row>
    <row r="219" customFormat="false" ht="17.15" hidden="false" customHeight="false" outlineLevel="0" collapsed="false">
      <c r="A219" s="0" t="s">
        <v>541</v>
      </c>
      <c r="B219" s="4" t="s">
        <v>542</v>
      </c>
      <c r="C219" s="0" t="s">
        <v>227</v>
      </c>
      <c r="D219" s="7" t="n">
        <v>0.7</v>
      </c>
      <c r="E219" s="7" t="n">
        <v>0.8</v>
      </c>
      <c r="F219" s="7" t="n">
        <v>0.9</v>
      </c>
      <c r="G219" s="8" t="s">
        <v>78</v>
      </c>
      <c r="H219" s="4" t="s">
        <v>215</v>
      </c>
    </row>
    <row r="220" customFormat="false" ht="17.15" hidden="false" customHeight="false" outlineLevel="0" collapsed="false">
      <c r="A220" s="0" t="s">
        <v>543</v>
      </c>
      <c r="B220" s="4" t="s">
        <v>544</v>
      </c>
      <c r="C220" s="0" t="s">
        <v>227</v>
      </c>
      <c r="D220" s="7" t="n">
        <v>0.75</v>
      </c>
      <c r="E220" s="7" t="n">
        <v>0.85</v>
      </c>
      <c r="F220" s="7" t="n">
        <v>0.95</v>
      </c>
      <c r="G220" s="8" t="s">
        <v>78</v>
      </c>
      <c r="H220" s="4" t="s">
        <v>215</v>
      </c>
    </row>
    <row r="221" customFormat="false" ht="17.15" hidden="false" customHeight="false" outlineLevel="0" collapsed="false">
      <c r="A221" s="0" t="s">
        <v>545</v>
      </c>
      <c r="B221" s="4" t="s">
        <v>546</v>
      </c>
      <c r="C221" s="0" t="s">
        <v>227</v>
      </c>
      <c r="D221" s="7" t="n">
        <v>0.5</v>
      </c>
      <c r="E221" s="7" t="n">
        <v>0.6</v>
      </c>
      <c r="F221" s="7" t="n">
        <v>0.7</v>
      </c>
      <c r="G221" s="8" t="s">
        <v>78</v>
      </c>
      <c r="H221" s="4" t="s">
        <v>215</v>
      </c>
    </row>
    <row r="222" customFormat="false" ht="17.15" hidden="false" customHeight="false" outlineLevel="0" collapsed="false">
      <c r="A222" s="0" t="s">
        <v>547</v>
      </c>
      <c r="B222" s="4" t="s">
        <v>548</v>
      </c>
      <c r="C222" s="0" t="s">
        <v>227</v>
      </c>
      <c r="D222" s="7" t="n">
        <v>0.5</v>
      </c>
      <c r="E222" s="7" t="n">
        <v>0.6</v>
      </c>
      <c r="F222" s="7" t="n">
        <v>0.7</v>
      </c>
      <c r="G222" s="8" t="s">
        <v>78</v>
      </c>
      <c r="H222" s="4" t="s">
        <v>215</v>
      </c>
    </row>
    <row r="223" customFormat="false" ht="17.15" hidden="false" customHeight="false" outlineLevel="0" collapsed="false">
      <c r="A223" s="6" t="s">
        <v>549</v>
      </c>
    </row>
    <row r="224" customFormat="false" ht="17.15" hidden="false" customHeight="false" outlineLevel="0" collapsed="false">
      <c r="A224" s="0" t="s">
        <v>550</v>
      </c>
      <c r="B224" s="0" t="s">
        <v>551</v>
      </c>
      <c r="C224" s="0" t="s">
        <v>552</v>
      </c>
      <c r="D224" s="7" t="n">
        <v>34</v>
      </c>
      <c r="E224" s="7" t="n">
        <v>35</v>
      </c>
      <c r="F224" s="7" t="n">
        <v>35</v>
      </c>
      <c r="G224" s="8" t="s">
        <v>46</v>
      </c>
      <c r="H224" s="8" t="s">
        <v>553</v>
      </c>
    </row>
    <row r="225" customFormat="false" ht="17.15" hidden="false" customHeight="false" outlineLevel="0" collapsed="false">
      <c r="A225" s="0" t="s">
        <v>554</v>
      </c>
      <c r="B225" s="0" t="s">
        <v>555</v>
      </c>
      <c r="C225" s="0" t="s">
        <v>51</v>
      </c>
      <c r="D225" s="7" t="n">
        <v>0.6</v>
      </c>
      <c r="E225" s="7" t="n">
        <v>0.7</v>
      </c>
      <c r="F225" s="7" t="n">
        <v>0.8</v>
      </c>
      <c r="G225" s="8" t="s">
        <v>52</v>
      </c>
      <c r="H225" s="8" t="s">
        <v>556</v>
      </c>
    </row>
    <row r="226" customFormat="false" ht="17.15" hidden="false" customHeight="false" outlineLevel="0" collapsed="false">
      <c r="A226" s="0" t="s">
        <v>557</v>
      </c>
      <c r="B226" s="4" t="s">
        <v>558</v>
      </c>
      <c r="C226" s="0" t="s">
        <v>227</v>
      </c>
      <c r="D226" s="7" t="n">
        <v>1</v>
      </c>
      <c r="E226" s="7" t="n">
        <v>1.15</v>
      </c>
      <c r="F226" s="7" t="n">
        <v>1.3</v>
      </c>
      <c r="G226" s="8" t="s">
        <v>78</v>
      </c>
      <c r="H226" s="4" t="s">
        <v>559</v>
      </c>
    </row>
    <row r="227" customFormat="false" ht="17.15" hidden="false" customHeight="false" outlineLevel="0" collapsed="false">
      <c r="A227" s="0" t="s">
        <v>560</v>
      </c>
      <c r="B227" s="0" t="s">
        <v>561</v>
      </c>
      <c r="C227" s="0" t="s">
        <v>51</v>
      </c>
      <c r="D227" s="7" t="n">
        <v>0.5</v>
      </c>
      <c r="E227" s="7" t="n">
        <v>0.55</v>
      </c>
      <c r="F227" s="7" t="n">
        <v>0.63</v>
      </c>
      <c r="G227" s="8" t="s">
        <v>52</v>
      </c>
      <c r="H227" s="8" t="s">
        <v>562</v>
      </c>
    </row>
    <row r="228" customFormat="false" ht="17.15" hidden="false" customHeight="false" outlineLevel="0" collapsed="false">
      <c r="A228" s="0" t="s">
        <v>563</v>
      </c>
      <c r="B228" s="0" t="s">
        <v>564</v>
      </c>
      <c r="C228" s="0" t="s">
        <v>51</v>
      </c>
      <c r="D228" s="7" t="n">
        <v>0.3</v>
      </c>
      <c r="E228" s="7" t="n">
        <v>0.45</v>
      </c>
      <c r="F228" s="7" t="n">
        <v>0.63</v>
      </c>
      <c r="G228" s="8" t="s">
        <v>78</v>
      </c>
      <c r="H228" s="4" t="s">
        <v>565</v>
      </c>
    </row>
    <row r="229" customFormat="false" ht="17.15" hidden="false" customHeight="false" outlineLevel="0" collapsed="false">
      <c r="A229" s="0" t="s">
        <v>566</v>
      </c>
      <c r="B229" s="0" t="s">
        <v>567</v>
      </c>
      <c r="C229" s="0" t="s">
        <v>568</v>
      </c>
      <c r="D229" s="7" t="n">
        <v>12.5</v>
      </c>
      <c r="E229" s="7" t="n">
        <v>14.6</v>
      </c>
      <c r="F229" s="7" t="n">
        <v>16</v>
      </c>
      <c r="G229" s="8" t="s">
        <v>52</v>
      </c>
      <c r="H229" s="8" t="s">
        <v>569</v>
      </c>
    </row>
    <row r="230" customFormat="false" ht="17.15" hidden="false" customHeight="false" outlineLevel="0" collapsed="false">
      <c r="A230" s="0" t="s">
        <v>570</v>
      </c>
      <c r="B230" s="0" t="s">
        <v>571</v>
      </c>
      <c r="C230" s="0" t="s">
        <v>51</v>
      </c>
      <c r="D230" s="7" t="n">
        <v>0.38</v>
      </c>
      <c r="E230" s="7" t="n">
        <v>0.8</v>
      </c>
      <c r="F230" s="7" t="n">
        <v>1.21</v>
      </c>
      <c r="G230" s="8" t="s">
        <v>52</v>
      </c>
      <c r="H230" s="8" t="s">
        <v>572</v>
      </c>
    </row>
    <row r="231" customFormat="false" ht="17.15" hidden="false" customHeight="false" outlineLevel="0" collapsed="false">
      <c r="A231" s="0" t="s">
        <v>573</v>
      </c>
      <c r="B231" s="0" t="s">
        <v>574</v>
      </c>
      <c r="C231" s="0" t="s">
        <v>51</v>
      </c>
      <c r="D231" s="7" t="n">
        <v>0</v>
      </c>
      <c r="E231" s="7" t="n">
        <v>0.1</v>
      </c>
      <c r="F231" s="7" t="n">
        <v>0.25</v>
      </c>
      <c r="G231" s="8" t="s">
        <v>52</v>
      </c>
      <c r="H231" s="8" t="s">
        <v>575</v>
      </c>
    </row>
    <row r="232" customFormat="false" ht="17.15" hidden="false" customHeight="false" outlineLevel="0" collapsed="false">
      <c r="A232" s="0" t="s">
        <v>576</v>
      </c>
      <c r="B232" s="0" t="s">
        <v>577</v>
      </c>
      <c r="C232" s="0" t="s">
        <v>51</v>
      </c>
      <c r="D232" s="7" t="n">
        <v>-0.4</v>
      </c>
      <c r="E232" s="7" t="n">
        <v>-0.25</v>
      </c>
      <c r="F232" s="7" t="n">
        <v>-0.1</v>
      </c>
      <c r="G232" s="8" t="s">
        <v>78</v>
      </c>
      <c r="H232" s="4" t="s">
        <v>578</v>
      </c>
    </row>
    <row r="233" customFormat="false" ht="17.15" hidden="false" customHeight="false" outlineLevel="0" collapsed="false">
      <c r="A233" s="0" t="s">
        <v>579</v>
      </c>
      <c r="B233" s="0" t="s">
        <v>580</v>
      </c>
      <c r="C233" s="0" t="s">
        <v>51</v>
      </c>
      <c r="D233" s="7" t="n">
        <v>-0.55</v>
      </c>
      <c r="E233" s="7" t="n">
        <v>-0.4</v>
      </c>
      <c r="F233" s="7" t="n">
        <v>-0.25</v>
      </c>
      <c r="G233" s="8" t="s">
        <v>78</v>
      </c>
      <c r="H233" s="4" t="s">
        <v>581</v>
      </c>
    </row>
    <row r="234" customFormat="false" ht="17.15" hidden="false" customHeight="false" outlineLevel="0" collapsed="false">
      <c r="A234" s="0" t="s">
        <v>582</v>
      </c>
      <c r="B234" s="0" t="s">
        <v>583</v>
      </c>
      <c r="C234" s="0" t="s">
        <v>51</v>
      </c>
      <c r="D234" s="7" t="n">
        <v>0.2</v>
      </c>
      <c r="E234" s="7" t="n">
        <v>0.3</v>
      </c>
      <c r="F234" s="7" t="n">
        <v>0.45</v>
      </c>
      <c r="G234" s="8" t="s">
        <v>78</v>
      </c>
      <c r="H234" s="8" t="s">
        <v>584</v>
      </c>
    </row>
    <row r="235" customFormat="false" ht="17.15" hidden="false" customHeight="false" outlineLevel="0" collapsed="false">
      <c r="A235" s="0" t="s">
        <v>585</v>
      </c>
      <c r="B235" s="0" t="s">
        <v>586</v>
      </c>
      <c r="C235" s="0" t="s">
        <v>51</v>
      </c>
      <c r="D235" s="7" t="n">
        <v>0.25</v>
      </c>
      <c r="E235" s="7" t="n">
        <v>0.35</v>
      </c>
      <c r="F235" s="7" t="n">
        <v>0.5</v>
      </c>
      <c r="G235" s="8" t="s">
        <v>78</v>
      </c>
      <c r="H235" s="8" t="s">
        <v>587</v>
      </c>
    </row>
    <row r="236" customFormat="false" ht="17.15" hidden="false" customHeight="false" outlineLevel="0" collapsed="false">
      <c r="A236" s="0" t="s">
        <v>588</v>
      </c>
      <c r="B236" s="0" t="s">
        <v>589</v>
      </c>
      <c r="C236" s="0" t="s">
        <v>51</v>
      </c>
      <c r="D236" s="7" t="n">
        <v>-0.15</v>
      </c>
      <c r="E236" s="7" t="n">
        <v>-0.05</v>
      </c>
      <c r="F236" s="7" t="n">
        <v>0.05</v>
      </c>
      <c r="G236" s="8" t="s">
        <v>78</v>
      </c>
      <c r="H236" s="8" t="s">
        <v>590</v>
      </c>
    </row>
    <row r="237" customFormat="false" ht="17.15" hidden="false" customHeight="false" outlineLevel="0" collapsed="false">
      <c r="A237" s="0" t="s">
        <v>591</v>
      </c>
      <c r="B237" s="0" t="s">
        <v>592</v>
      </c>
      <c r="C237" s="0" t="s">
        <v>51</v>
      </c>
      <c r="D237" s="7" t="n">
        <v>-0.1</v>
      </c>
      <c r="E237" s="7" t="n">
        <v>0</v>
      </c>
      <c r="F237" s="7" t="n">
        <v>0.1</v>
      </c>
      <c r="G237" s="8" t="s">
        <v>78</v>
      </c>
      <c r="H237" s="8" t="s">
        <v>593</v>
      </c>
    </row>
    <row r="238" customFormat="false" ht="17.15" hidden="false" customHeight="false" outlineLevel="0" collapsed="false">
      <c r="A238" s="0" t="s">
        <v>594</v>
      </c>
      <c r="B238" s="0" t="s">
        <v>595</v>
      </c>
      <c r="C238" s="0" t="s">
        <v>51</v>
      </c>
      <c r="D238" s="7" t="n">
        <v>-0.1</v>
      </c>
      <c r="E238" s="7" t="n">
        <v>0.05</v>
      </c>
      <c r="F238" s="7" t="n">
        <v>0.15</v>
      </c>
      <c r="G238" s="8" t="s">
        <v>78</v>
      </c>
      <c r="H238" s="4" t="s">
        <v>596</v>
      </c>
    </row>
    <row r="239" customFormat="false" ht="17.15" hidden="false" customHeight="false" outlineLevel="0" collapsed="false">
      <c r="A239" s="6" t="s">
        <v>597</v>
      </c>
    </row>
    <row r="240" customFormat="false" ht="17.15" hidden="false" customHeight="false" outlineLevel="0" collapsed="false">
      <c r="A240" s="0" t="s">
        <v>598</v>
      </c>
      <c r="B240" s="0" t="s">
        <v>599</v>
      </c>
      <c r="C240" s="0" t="s">
        <v>552</v>
      </c>
      <c r="D240" s="7" t="n">
        <v>340</v>
      </c>
      <c r="E240" s="7" t="n">
        <v>374</v>
      </c>
      <c r="F240" s="7" t="n">
        <v>400</v>
      </c>
      <c r="G240" s="8" t="s">
        <v>198</v>
      </c>
      <c r="H240" s="8" t="s">
        <v>600</v>
      </c>
    </row>
    <row r="241" customFormat="false" ht="17.15" hidden="false" customHeight="false" outlineLevel="0" collapsed="false">
      <c r="A241" s="0" t="s">
        <v>601</v>
      </c>
      <c r="B241" s="4" t="s">
        <v>602</v>
      </c>
      <c r="C241" s="0" t="s">
        <v>603</v>
      </c>
      <c r="D241" s="7" t="n">
        <v>38</v>
      </c>
      <c r="E241" s="7" t="n">
        <v>42.8</v>
      </c>
      <c r="F241" s="7" t="n">
        <v>48</v>
      </c>
      <c r="G241" s="8" t="s">
        <v>41</v>
      </c>
      <c r="H241" s="8" t="s">
        <v>604</v>
      </c>
    </row>
    <row r="242" customFormat="false" ht="17.15" hidden="false" customHeight="false" outlineLevel="0" collapsed="false">
      <c r="A242" s="0" t="s">
        <v>605</v>
      </c>
      <c r="B242" s="4" t="s">
        <v>606</v>
      </c>
      <c r="C242" s="0" t="s">
        <v>603</v>
      </c>
      <c r="D242" s="7" t="n">
        <v>3.5</v>
      </c>
      <c r="E242" s="7" t="n">
        <v>4.46</v>
      </c>
      <c r="F242" s="7" t="n">
        <v>4.9</v>
      </c>
      <c r="G242" s="8" t="s">
        <v>41</v>
      </c>
      <c r="H242" s="8" t="s">
        <v>607</v>
      </c>
    </row>
    <row r="243" customFormat="false" ht="17.15" hidden="false" customHeight="false" outlineLevel="0" collapsed="false">
      <c r="A243" s="0" t="s">
        <v>608</v>
      </c>
      <c r="B243" s="4" t="s">
        <v>609</v>
      </c>
      <c r="C243" s="0" t="s">
        <v>552</v>
      </c>
      <c r="E243" s="7" t="n">
        <v>54.6</v>
      </c>
      <c r="G243" s="8" t="s">
        <v>52</v>
      </c>
      <c r="H243" s="8" t="s">
        <v>610</v>
      </c>
    </row>
    <row r="244" customFormat="false" ht="17.15" hidden="false" customHeight="false" outlineLevel="0" collapsed="false">
      <c r="A244" s="0" t="s">
        <v>611</v>
      </c>
      <c r="B244" s="4" t="s">
        <v>612</v>
      </c>
      <c r="C244" s="0" t="s">
        <v>552</v>
      </c>
      <c r="E244" s="7" t="n">
        <v>77.4</v>
      </c>
      <c r="G244" s="8" t="s">
        <v>52</v>
      </c>
      <c r="H244" s="8" t="s">
        <v>613</v>
      </c>
    </row>
    <row r="245" customFormat="false" ht="17.15" hidden="false" customHeight="false" outlineLevel="0" collapsed="false">
      <c r="A245" s="0" t="s">
        <v>614</v>
      </c>
      <c r="B245" s="4" t="s">
        <v>615</v>
      </c>
      <c r="C245" s="0" t="s">
        <v>552</v>
      </c>
      <c r="E245" s="7" t="n">
        <v>152.8</v>
      </c>
      <c r="G245" s="8" t="s">
        <v>52</v>
      </c>
      <c r="H245" s="8" t="s">
        <v>616</v>
      </c>
    </row>
    <row r="246" customFormat="false" ht="17.15" hidden="false" customHeight="false" outlineLevel="0" collapsed="false">
      <c r="A246" s="1" t="s">
        <v>617</v>
      </c>
    </row>
    <row r="247" customFormat="false" ht="17.15" hidden="false" customHeight="false" outlineLevel="0" collapsed="false">
      <c r="A247" s="9" t="s">
        <v>618</v>
      </c>
      <c r="B247" s="10" t="s">
        <v>619</v>
      </c>
      <c r="C247" s="9" t="s">
        <v>51</v>
      </c>
      <c r="D247" s="9"/>
      <c r="E247" s="11" t="n">
        <v>0.3</v>
      </c>
      <c r="F247" s="9"/>
      <c r="G247" s="9" t="s">
        <v>78</v>
      </c>
      <c r="H247" s="9" t="s">
        <v>620</v>
      </c>
    </row>
    <row r="248" customFormat="false" ht="17.15" hidden="false" customHeight="false" outlineLevel="0" collapsed="false">
      <c r="A248" s="9" t="s">
        <v>621</v>
      </c>
      <c r="B248" s="10" t="s">
        <v>622</v>
      </c>
      <c r="C248" s="9" t="s">
        <v>51</v>
      </c>
      <c r="D248" s="9"/>
      <c r="E248" s="11" t="n">
        <v>0.5</v>
      </c>
      <c r="F248" s="9"/>
      <c r="G248" s="9" t="s">
        <v>78</v>
      </c>
      <c r="H248" s="9" t="s">
        <v>620</v>
      </c>
    </row>
    <row r="249" customFormat="false" ht="17.15" hidden="false" customHeight="false" outlineLevel="0" collapsed="false">
      <c r="A249" s="9" t="s">
        <v>623</v>
      </c>
      <c r="B249" s="10" t="s">
        <v>624</v>
      </c>
      <c r="C249" s="9" t="s">
        <v>51</v>
      </c>
      <c r="D249" s="9"/>
      <c r="E249" s="11" t="n">
        <v>0.2</v>
      </c>
      <c r="F249" s="9"/>
      <c r="G249" s="9" t="s">
        <v>78</v>
      </c>
      <c r="H249" s="9" t="s">
        <v>620</v>
      </c>
    </row>
    <row r="250" customFormat="false" ht="17.15" hidden="false" customHeight="false" outlineLevel="0" collapsed="false">
      <c r="A250" s="9" t="s">
        <v>625</v>
      </c>
      <c r="B250" s="10" t="s">
        <v>626</v>
      </c>
      <c r="C250" s="9" t="s">
        <v>51</v>
      </c>
      <c r="D250" s="9"/>
      <c r="E250" s="11" t="n">
        <v>0.1</v>
      </c>
      <c r="F250" s="9"/>
      <c r="G250" s="9" t="s">
        <v>78</v>
      </c>
      <c r="H250" s="9" t="s">
        <v>627</v>
      </c>
    </row>
    <row r="251" customFormat="false" ht="17.15" hidden="false" customHeight="false" outlineLevel="0" collapsed="false">
      <c r="A251" s="9" t="s">
        <v>628</v>
      </c>
      <c r="B251" s="10" t="s">
        <v>629</v>
      </c>
      <c r="C251" s="9" t="s">
        <v>51</v>
      </c>
      <c r="D251" s="9"/>
      <c r="E251" s="11" t="n">
        <v>0.04</v>
      </c>
      <c r="F251" s="9"/>
      <c r="G251" s="9" t="s">
        <v>78</v>
      </c>
      <c r="H251" s="9" t="s">
        <v>630</v>
      </c>
    </row>
    <row r="252" customFormat="false" ht="17.15" hidden="false" customHeight="false" outlineLevel="0" collapsed="false">
      <c r="A252" s="9" t="s">
        <v>631</v>
      </c>
      <c r="B252" s="9" t="s">
        <v>632</v>
      </c>
      <c r="C252" s="9" t="s">
        <v>51</v>
      </c>
      <c r="D252" s="9"/>
      <c r="E252" s="12" t="n">
        <f aca="false">AVERAGE(0.0431,0.09,0.1078)</f>
        <v>0.0803</v>
      </c>
      <c r="F252" s="9"/>
      <c r="G252" s="9" t="s">
        <v>41</v>
      </c>
      <c r="H252" s="9" t="s">
        <v>633</v>
      </c>
    </row>
    <row r="253" customFormat="false" ht="17.15" hidden="false" customHeight="false" outlineLevel="0" collapsed="false">
      <c r="A253" s="9" t="s">
        <v>634</v>
      </c>
      <c r="B253" s="10" t="s">
        <v>635</v>
      </c>
      <c r="C253" s="9" t="s">
        <v>51</v>
      </c>
      <c r="D253" s="9"/>
      <c r="E253" s="11" t="n">
        <v>0.5</v>
      </c>
      <c r="F253" s="9"/>
      <c r="G253" s="9" t="s">
        <v>78</v>
      </c>
      <c r="H253" s="9" t="s">
        <v>636</v>
      </c>
    </row>
    <row r="254" customFormat="false" ht="17.15" hidden="false" customHeight="false" outlineLevel="0" collapsed="false">
      <c r="A254" s="9" t="s">
        <v>637</v>
      </c>
      <c r="B254" s="10" t="s">
        <v>638</v>
      </c>
      <c r="C254" s="9" t="s">
        <v>51</v>
      </c>
      <c r="D254" s="9"/>
      <c r="E254" s="12" t="n">
        <f aca="false">AVERAGE(22.726/201.867,42.187/239.575,44.345/243.771,21.739/230.401,26.408/236.807,0.1404,0.1811,0.0559,0.1118,0.1327)</f>
        <v>0.129835246430572</v>
      </c>
      <c r="F254" s="9"/>
      <c r="G254" s="9" t="s">
        <v>41</v>
      </c>
      <c r="H254" s="9" t="s">
        <v>639</v>
      </c>
    </row>
    <row r="255" customFormat="false" ht="17.15" hidden="false" customHeight="false" outlineLevel="0" collapsed="false">
      <c r="A255" s="9" t="s">
        <v>640</v>
      </c>
      <c r="B255" s="10" t="s">
        <v>641</v>
      </c>
      <c r="C255" s="9" t="s">
        <v>51</v>
      </c>
      <c r="D255" s="9"/>
      <c r="E255" s="12" t="n">
        <f aca="false">tp_g+0.02</f>
        <v>0.06</v>
      </c>
      <c r="F255" s="9"/>
      <c r="G255" s="9" t="s">
        <v>78</v>
      </c>
      <c r="H255" s="10" t="s">
        <v>642</v>
      </c>
    </row>
    <row r="256" customFormat="false" ht="17.15" hidden="false" customHeight="false" outlineLevel="0" collapsed="false">
      <c r="A256" s="9" t="s">
        <v>643</v>
      </c>
      <c r="B256" s="10" t="s">
        <v>644</v>
      </c>
      <c r="C256" s="9" t="s">
        <v>51</v>
      </c>
      <c r="D256" s="9"/>
      <c r="E256" s="12" t="n">
        <f aca="false">tp_g</f>
        <v>0.04</v>
      </c>
      <c r="F256" s="9"/>
      <c r="G256" s="9" t="s">
        <v>78</v>
      </c>
      <c r="H256" s="10" t="s">
        <v>642</v>
      </c>
    </row>
    <row r="257" customFormat="false" ht="17.15" hidden="false" customHeight="false" outlineLevel="0" collapsed="false">
      <c r="A257" s="9" t="s">
        <v>645</v>
      </c>
      <c r="B257" s="10" t="s">
        <v>646</v>
      </c>
      <c r="C257" s="9" t="s">
        <v>51</v>
      </c>
      <c r="D257" s="9"/>
      <c r="E257" s="12" t="n">
        <f aca="false">tp_g-0.02</f>
        <v>0.02</v>
      </c>
      <c r="F257" s="9"/>
      <c r="G257" s="9" t="s">
        <v>78</v>
      </c>
      <c r="H257" s="10" t="s">
        <v>642</v>
      </c>
    </row>
    <row r="258" customFormat="false" ht="17.15" hidden="false" customHeight="false" outlineLevel="0" collapsed="false">
      <c r="A258" s="9" t="s">
        <v>647</v>
      </c>
      <c r="B258" s="10" t="s">
        <v>648</v>
      </c>
      <c r="C258" s="9" t="s">
        <v>227</v>
      </c>
      <c r="D258" s="9"/>
      <c r="E258" s="11" t="n">
        <v>1.2</v>
      </c>
      <c r="F258" s="9"/>
      <c r="G258" s="9" t="s">
        <v>78</v>
      </c>
      <c r="H258" s="9" t="s">
        <v>649</v>
      </c>
    </row>
    <row r="259" customFormat="false" ht="17.15" hidden="false" customHeight="false" outlineLevel="0" collapsed="false">
      <c r="A259" s="9" t="s">
        <v>650</v>
      </c>
      <c r="B259" s="10" t="s">
        <v>651</v>
      </c>
      <c r="C259" s="9" t="s">
        <v>227</v>
      </c>
      <c r="D259" s="9"/>
      <c r="E259" s="11" t="n">
        <v>0.8</v>
      </c>
      <c r="F259" s="9"/>
      <c r="G259" s="9" t="s">
        <v>78</v>
      </c>
      <c r="H259" s="9" t="s">
        <v>652</v>
      </c>
    </row>
    <row r="260" customFormat="false" ht="17.15" hidden="false" customHeight="false" outlineLevel="0" collapsed="false">
      <c r="A260" s="9" t="s">
        <v>653</v>
      </c>
      <c r="B260" s="10" t="s">
        <v>654</v>
      </c>
      <c r="C260" s="9" t="s">
        <v>51</v>
      </c>
      <c r="D260" s="9"/>
      <c r="E260" s="12" t="n">
        <f aca="false">nim10*cyc_mA</f>
        <v>0.155802295716687</v>
      </c>
      <c r="F260" s="9"/>
      <c r="G260" s="9" t="s">
        <v>41</v>
      </c>
      <c r="H260" s="9" t="s">
        <v>655</v>
      </c>
    </row>
    <row r="261" customFormat="false" ht="17.15" hidden="false" customHeight="false" outlineLevel="0" collapsed="false">
      <c r="A261" s="9" t="s">
        <v>656</v>
      </c>
      <c r="B261" s="10" t="s">
        <v>657</v>
      </c>
      <c r="C261" s="9" t="s">
        <v>51</v>
      </c>
      <c r="D261" s="9"/>
      <c r="E261" s="12" t="n">
        <f aca="false">nim10</f>
        <v>0.129835246430572</v>
      </c>
      <c r="F261" s="9"/>
      <c r="G261" s="9" t="s">
        <v>41</v>
      </c>
      <c r="H261" s="9" t="s">
        <v>655</v>
      </c>
    </row>
    <row r="262" customFormat="false" ht="17.15" hidden="false" customHeight="false" outlineLevel="0" collapsed="false">
      <c r="A262" s="9" t="s">
        <v>658</v>
      </c>
      <c r="B262" s="10" t="s">
        <v>659</v>
      </c>
      <c r="C262" s="9" t="s">
        <v>51</v>
      </c>
      <c r="D262" s="9"/>
      <c r="E262" s="12" t="n">
        <f aca="false">nim10*cyc_mC</f>
        <v>0.103868197144458</v>
      </c>
      <c r="F262" s="9"/>
      <c r="G262" s="9" t="s">
        <v>41</v>
      </c>
      <c r="H262" s="9" t="s">
        <v>655</v>
      </c>
    </row>
    <row r="263" customFormat="false" ht="17.15" hidden="false" customHeight="false" outlineLevel="0" collapsed="false">
      <c r="A263" s="9" t="s">
        <v>660</v>
      </c>
      <c r="B263" s="10" t="s">
        <v>661</v>
      </c>
      <c r="C263" s="9" t="s">
        <v>45</v>
      </c>
      <c r="D263" s="11" t="n">
        <v>290000</v>
      </c>
      <c r="E263" s="11" t="n">
        <v>478906</v>
      </c>
      <c r="F263" s="11" t="n">
        <v>725000</v>
      </c>
      <c r="G263" s="9" t="s">
        <v>52</v>
      </c>
      <c r="H263" s="9" t="s">
        <v>662</v>
      </c>
    </row>
    <row r="264" customFormat="false" ht="17.15" hidden="false" customHeight="false" outlineLevel="0" collapsed="false">
      <c r="A264" s="9" t="s">
        <v>663</v>
      </c>
      <c r="B264" s="10" t="s">
        <v>664</v>
      </c>
      <c r="C264" s="9" t="s">
        <v>45</v>
      </c>
      <c r="D264" s="9"/>
      <c r="E264" s="11" t="n">
        <v>72279</v>
      </c>
      <c r="F264" s="9"/>
      <c r="G264" s="9" t="s">
        <v>52</v>
      </c>
      <c r="H264" s="9" t="s">
        <v>665</v>
      </c>
    </row>
    <row r="265" customFormat="false" ht="17.15" hidden="false" customHeight="false" outlineLevel="0" collapsed="false">
      <c r="A265" s="9" t="s">
        <v>666</v>
      </c>
      <c r="B265" s="10" t="s">
        <v>667</v>
      </c>
      <c r="C265" s="9" t="s">
        <v>45</v>
      </c>
      <c r="D265" s="9"/>
      <c r="E265" s="11" t="n">
        <v>75531</v>
      </c>
      <c r="F265" s="9"/>
      <c r="G265" s="9" t="s">
        <v>52</v>
      </c>
      <c r="H265" s="9" t="s">
        <v>665</v>
      </c>
    </row>
    <row r="266" customFormat="false" ht="17.15" hidden="false" customHeight="false" outlineLevel="0" collapsed="false">
      <c r="A266" s="9" t="s">
        <v>668</v>
      </c>
      <c r="B266" s="10" t="s">
        <v>669</v>
      </c>
      <c r="C266" s="9" t="s">
        <v>45</v>
      </c>
      <c r="D266" s="9"/>
      <c r="E266" s="11" t="n">
        <v>232055</v>
      </c>
      <c r="F266" s="9"/>
      <c r="G266" s="9" t="s">
        <v>52</v>
      </c>
      <c r="H266" s="9" t="s">
        <v>665</v>
      </c>
    </row>
    <row r="268" customFormat="false" ht="17.15" hidden="false" customHeight="false" outlineLevel="0" collapsed="false">
      <c r="A268" s="1" t="s">
        <v>670</v>
      </c>
    </row>
    <row r="269" customFormat="false" ht="17.15" hidden="false" customHeight="false" outlineLevel="0" collapsed="false">
      <c r="A269" s="1" t="s">
        <v>29</v>
      </c>
      <c r="B269" s="1" t="s">
        <v>30</v>
      </c>
      <c r="C269" s="1" t="s">
        <v>31</v>
      </c>
      <c r="D269" s="1" t="s">
        <v>671</v>
      </c>
      <c r="E269" s="1" t="s">
        <v>672</v>
      </c>
      <c r="F269" s="1" t="s">
        <v>673</v>
      </c>
      <c r="G269" s="1" t="s">
        <v>35</v>
      </c>
      <c r="H269" s="1" t="s">
        <v>674</v>
      </c>
    </row>
    <row r="270" customFormat="false" ht="17.15" hidden="false" customHeight="false" outlineLevel="0" collapsed="false">
      <c r="A270" s="0" t="s">
        <v>675</v>
      </c>
      <c r="B270" s="4" t="s">
        <v>676</v>
      </c>
      <c r="C270" s="0" t="s">
        <v>51</v>
      </c>
      <c r="D270" s="0" t="n">
        <f aca="false">E88</f>
        <v>0.03</v>
      </c>
      <c r="E270" s="0" t="n">
        <f aca="false">E100</f>
        <v>0.05</v>
      </c>
      <c r="F270" s="0" t="n">
        <f aca="false">E112</f>
        <v>0.05</v>
      </c>
      <c r="G270" s="0" t="s">
        <v>41</v>
      </c>
      <c r="H270" s="4" t="s">
        <v>677</v>
      </c>
    </row>
    <row r="271" customFormat="false" ht="17.15" hidden="false" customHeight="false" outlineLevel="0" collapsed="false">
      <c r="A271" s="0" t="s">
        <v>678</v>
      </c>
      <c r="B271" s="4" t="s">
        <v>679</v>
      </c>
      <c r="C271" s="0" t="s">
        <v>51</v>
      </c>
      <c r="D271" s="0" t="n">
        <f aca="false">E89</f>
        <v>0</v>
      </c>
      <c r="E271" s="0" t="n">
        <f aca="false">E101</f>
        <v>0.02</v>
      </c>
      <c r="F271" s="0" t="n">
        <f aca="false">E113</f>
        <v>0.02</v>
      </c>
      <c r="G271" s="0" t="s">
        <v>41</v>
      </c>
      <c r="H271" s="4" t="s">
        <v>680</v>
      </c>
    </row>
    <row r="272" customFormat="false" ht="17.15" hidden="false" customHeight="false" outlineLevel="0" collapsed="false">
      <c r="A272" s="0" t="s">
        <v>681</v>
      </c>
      <c r="B272" s="4" t="s">
        <v>682</v>
      </c>
      <c r="C272" s="0" t="s">
        <v>51</v>
      </c>
      <c r="D272" s="0" t="n">
        <f aca="false">E90</f>
        <v>-0.02</v>
      </c>
      <c r="E272" s="0" t="n">
        <f aca="false">E102</f>
        <v>-0.08</v>
      </c>
      <c r="F272" s="0" t="n">
        <f aca="false">E114</f>
        <v>-0.08</v>
      </c>
      <c r="G272" s="0" t="s">
        <v>41</v>
      </c>
      <c r="H272" s="4" t="s">
        <v>683</v>
      </c>
    </row>
    <row r="273" customFormat="false" ht="17.15" hidden="false" customHeight="false" outlineLevel="0" collapsed="false">
      <c r="A273" s="0" t="s">
        <v>684</v>
      </c>
      <c r="B273" s="4" t="s">
        <v>685</v>
      </c>
      <c r="C273" s="0" t="s">
        <v>51</v>
      </c>
      <c r="D273" s="0" t="n">
        <f aca="false">E91</f>
        <v>-0.03</v>
      </c>
      <c r="E273" s="0" t="n">
        <f aca="false">E103</f>
        <v>-0.15</v>
      </c>
      <c r="F273" s="0" t="n">
        <f aca="false">E115</f>
        <v>-0.15</v>
      </c>
      <c r="G273" s="0" t="s">
        <v>41</v>
      </c>
      <c r="H273" s="4" t="s">
        <v>686</v>
      </c>
    </row>
    <row r="274" customFormat="false" ht="17.15" hidden="false" customHeight="false" outlineLevel="0" collapsed="false">
      <c r="A274" s="0" t="s">
        <v>687</v>
      </c>
      <c r="B274" s="4" t="s">
        <v>688</v>
      </c>
      <c r="C274" s="0" t="s">
        <v>51</v>
      </c>
      <c r="D274" s="0" t="n">
        <f aca="false">E92</f>
        <v>-0.03</v>
      </c>
      <c r="E274" s="0" t="n">
        <f aca="false">E104</f>
        <v>-0.25</v>
      </c>
      <c r="F274" s="0" t="n">
        <f aca="false">E116</f>
        <v>-0.35</v>
      </c>
      <c r="G274" s="0" t="s">
        <v>41</v>
      </c>
      <c r="H274" s="4" t="s">
        <v>689</v>
      </c>
    </row>
    <row r="275" customFormat="false" ht="17.15" hidden="false" customHeight="false" outlineLevel="0" collapsed="false">
      <c r="A275" s="0" t="s">
        <v>690</v>
      </c>
      <c r="B275" s="4" t="s">
        <v>691</v>
      </c>
      <c r="C275" s="0" t="s">
        <v>51</v>
      </c>
      <c r="D275" s="0" t="n">
        <f aca="false">E93</f>
        <v>-0.03</v>
      </c>
      <c r="E275" s="0" t="n">
        <f aca="false">E105</f>
        <v>-0.15</v>
      </c>
      <c r="F275" s="0" t="n">
        <f aca="false">E117</f>
        <v>-0.3</v>
      </c>
      <c r="G275" s="0" t="s">
        <v>41</v>
      </c>
      <c r="H275" s="4" t="s">
        <v>692</v>
      </c>
    </row>
    <row r="276" customFormat="false" ht="17.15" hidden="false" customHeight="false" outlineLevel="0" collapsed="false">
      <c r="A276" s="0" t="s">
        <v>693</v>
      </c>
      <c r="B276" s="4" t="s">
        <v>694</v>
      </c>
      <c r="C276" s="0" t="s">
        <v>51</v>
      </c>
      <c r="D276" s="0" t="n">
        <f aca="false">E94</f>
        <v>-0.02</v>
      </c>
      <c r="E276" s="0" t="n">
        <f aca="false">E106</f>
        <v>-0.1</v>
      </c>
      <c r="F276" s="0" t="n">
        <f aca="false">E118</f>
        <v>-0.25</v>
      </c>
      <c r="G276" s="0" t="s">
        <v>41</v>
      </c>
      <c r="H276" s="4" t="s">
        <v>695</v>
      </c>
    </row>
    <row r="277" customFormat="false" ht="17.15" hidden="false" customHeight="false" outlineLevel="0" collapsed="false">
      <c r="A277" s="0" t="s">
        <v>696</v>
      </c>
      <c r="B277" s="4" t="s">
        <v>697</v>
      </c>
      <c r="C277" s="0" t="s">
        <v>51</v>
      </c>
      <c r="D277" s="0" t="n">
        <f aca="false">E95</f>
        <v>-0.02</v>
      </c>
      <c r="E277" s="0" t="n">
        <f aca="false">E107</f>
        <v>-0.05</v>
      </c>
      <c r="F277" s="0" t="n">
        <f aca="false">E119</f>
        <v>-0.2</v>
      </c>
      <c r="G277" s="0" t="s">
        <v>41</v>
      </c>
      <c r="H277" s="4" t="s">
        <v>698</v>
      </c>
    </row>
    <row r="278" customFormat="false" ht="17.15" hidden="false" customHeight="false" outlineLevel="0" collapsed="false">
      <c r="A278" s="0" t="s">
        <v>699</v>
      </c>
      <c r="B278" s="4" t="s">
        <v>700</v>
      </c>
      <c r="C278" s="0" t="s">
        <v>51</v>
      </c>
      <c r="D278" s="0" t="n">
        <f aca="false">E96</f>
        <v>-0.03</v>
      </c>
      <c r="E278" s="0" t="n">
        <f aca="false">E108</f>
        <v>0.05</v>
      </c>
      <c r="F278" s="0" t="n">
        <f aca="false">E120</f>
        <v>0</v>
      </c>
      <c r="G278" s="0" t="s">
        <v>41</v>
      </c>
      <c r="H278" s="4" t="s">
        <v>701</v>
      </c>
    </row>
    <row r="279" customFormat="false" ht="17.15" hidden="false" customHeight="false" outlineLevel="0" collapsed="false">
      <c r="A279" s="0" t="s">
        <v>702</v>
      </c>
      <c r="B279" s="4" t="s">
        <v>703</v>
      </c>
      <c r="C279" s="0" t="s">
        <v>51</v>
      </c>
      <c r="D279" s="0" t="n">
        <f aca="false">E97</f>
        <v>-0.03</v>
      </c>
      <c r="E279" s="0" t="n">
        <f aca="false">E109</f>
        <v>0.05</v>
      </c>
      <c r="F279" s="0" t="n">
        <f aca="false">E121</f>
        <v>0.05</v>
      </c>
      <c r="G279" s="0" t="s">
        <v>41</v>
      </c>
      <c r="H279" s="4" t="s">
        <v>704</v>
      </c>
    </row>
    <row r="280" customFormat="false" ht="17.15" hidden="false" customHeight="false" outlineLevel="0" collapsed="false">
      <c r="A280" s="0" t="s">
        <v>705</v>
      </c>
      <c r="B280" s="4" t="s">
        <v>706</v>
      </c>
      <c r="C280" s="0" t="s">
        <v>51</v>
      </c>
      <c r="D280" s="0" t="n">
        <f aca="false">E98</f>
        <v>-0.02</v>
      </c>
      <c r="E280" s="0" t="n">
        <f aca="false">E110</f>
        <v>0.03</v>
      </c>
      <c r="F280" s="0" t="n">
        <f aca="false">E122</f>
        <v>0.08</v>
      </c>
      <c r="G280" s="0" t="s">
        <v>41</v>
      </c>
      <c r="H280" s="4" t="s">
        <v>707</v>
      </c>
    </row>
    <row r="281" customFormat="false" ht="17.15" hidden="false" customHeight="false" outlineLevel="0" collapsed="false">
      <c r="A281" s="0" t="s">
        <v>708</v>
      </c>
      <c r="B281" s="4" t="s">
        <v>709</v>
      </c>
      <c r="C281" s="0" t="s">
        <v>51</v>
      </c>
      <c r="D281" s="0" t="n">
        <f aca="false">E99</f>
        <v>-0.02</v>
      </c>
      <c r="E281" s="0" t="n">
        <f aca="false">E111</f>
        <v>0.03</v>
      </c>
      <c r="F281" s="0" t="n">
        <f aca="false">E123</f>
        <v>0.1</v>
      </c>
      <c r="G281" s="0" t="s">
        <v>41</v>
      </c>
      <c r="H281" s="4" t="s">
        <v>710</v>
      </c>
    </row>
    <row r="282" customFormat="false" ht="17.15" hidden="false" customHeight="false" outlineLevel="0" collapsed="false">
      <c r="A282" s="0" t="s">
        <v>711</v>
      </c>
      <c r="B282" s="0" t="s">
        <v>712</v>
      </c>
      <c r="C282" s="0" t="s">
        <v>51</v>
      </c>
      <c r="D282" s="0" t="n">
        <f aca="false">E131</f>
        <v>0.03</v>
      </c>
      <c r="E282" s="0" t="n">
        <f aca="false">E143</f>
        <v>0.05</v>
      </c>
      <c r="F282" s="0" t="n">
        <f aca="false">E155</f>
        <v>0.05</v>
      </c>
      <c r="G282" s="0" t="s">
        <v>41</v>
      </c>
      <c r="H282" s="4" t="s">
        <v>713</v>
      </c>
    </row>
    <row r="283" customFormat="false" ht="17.15" hidden="false" customHeight="false" outlineLevel="0" collapsed="false">
      <c r="A283" s="0" t="s">
        <v>714</v>
      </c>
      <c r="B283" s="0" t="s">
        <v>715</v>
      </c>
      <c r="C283" s="0" t="s">
        <v>51</v>
      </c>
      <c r="D283" s="0" t="n">
        <f aca="false">E132</f>
        <v>0</v>
      </c>
      <c r="E283" s="0" t="n">
        <f aca="false">E144</f>
        <v>0.02</v>
      </c>
      <c r="F283" s="0" t="n">
        <f aca="false">E156</f>
        <v>0.02</v>
      </c>
      <c r="G283" s="0" t="s">
        <v>41</v>
      </c>
      <c r="H283" s="4" t="s">
        <v>716</v>
      </c>
    </row>
    <row r="284" customFormat="false" ht="17.15" hidden="false" customHeight="false" outlineLevel="0" collapsed="false">
      <c r="A284" s="0" t="s">
        <v>717</v>
      </c>
      <c r="B284" s="0" t="s">
        <v>718</v>
      </c>
      <c r="C284" s="0" t="s">
        <v>51</v>
      </c>
      <c r="D284" s="0" t="n">
        <f aca="false">E133</f>
        <v>-0.05</v>
      </c>
      <c r="E284" s="0" t="n">
        <f aca="false">E145</f>
        <v>-0.1</v>
      </c>
      <c r="F284" s="0" t="n">
        <f aca="false">E157</f>
        <v>-0.1</v>
      </c>
      <c r="G284" s="0" t="s">
        <v>41</v>
      </c>
      <c r="H284" s="4" t="s">
        <v>719</v>
      </c>
    </row>
    <row r="285" customFormat="false" ht="17.15" hidden="false" customHeight="false" outlineLevel="0" collapsed="false">
      <c r="A285" s="0" t="s">
        <v>720</v>
      </c>
      <c r="B285" s="0" t="s">
        <v>721</v>
      </c>
      <c r="C285" s="0" t="s">
        <v>51</v>
      </c>
      <c r="D285" s="0" t="n">
        <f aca="false">E134</f>
        <v>-0.07</v>
      </c>
      <c r="E285" s="0" t="n">
        <f aca="false">E146</f>
        <v>-0.2</v>
      </c>
      <c r="F285" s="0" t="n">
        <f aca="false">E158</f>
        <v>-0.2</v>
      </c>
      <c r="G285" s="0" t="s">
        <v>41</v>
      </c>
      <c r="H285" s="4" t="s">
        <v>722</v>
      </c>
    </row>
    <row r="286" customFormat="false" ht="17.15" hidden="false" customHeight="false" outlineLevel="0" collapsed="false">
      <c r="A286" s="0" t="s">
        <v>723</v>
      </c>
      <c r="B286" s="0" t="s">
        <v>724</v>
      </c>
      <c r="C286" s="0" t="s">
        <v>51</v>
      </c>
      <c r="D286" s="0" t="n">
        <f aca="false">E135</f>
        <v>-0.05</v>
      </c>
      <c r="E286" s="0" t="n">
        <f aca="false">E147</f>
        <v>-0.3</v>
      </c>
      <c r="F286" s="0" t="n">
        <f aca="false">E159</f>
        <v>-0.35</v>
      </c>
      <c r="G286" s="0" t="s">
        <v>41</v>
      </c>
      <c r="H286" s="4" t="s">
        <v>725</v>
      </c>
    </row>
    <row r="287" customFormat="false" ht="17.15" hidden="false" customHeight="false" outlineLevel="0" collapsed="false">
      <c r="A287" s="0" t="s">
        <v>726</v>
      </c>
      <c r="B287" s="0" t="s">
        <v>727</v>
      </c>
      <c r="C287" s="0" t="s">
        <v>51</v>
      </c>
      <c r="D287" s="0" t="n">
        <f aca="false">E136</f>
        <v>-0.05</v>
      </c>
      <c r="E287" s="0" t="n">
        <f aca="false">E148</f>
        <v>-0.25</v>
      </c>
      <c r="F287" s="0" t="n">
        <f aca="false">E160</f>
        <v>-0.35</v>
      </c>
      <c r="G287" s="0" t="s">
        <v>41</v>
      </c>
      <c r="H287" s="4" t="s">
        <v>728</v>
      </c>
    </row>
    <row r="288" customFormat="false" ht="17.15" hidden="false" customHeight="false" outlineLevel="0" collapsed="false">
      <c r="A288" s="0" t="s">
        <v>729</v>
      </c>
      <c r="B288" s="0" t="s">
        <v>730</v>
      </c>
      <c r="C288" s="0" t="s">
        <v>51</v>
      </c>
      <c r="D288" s="0" t="n">
        <f aca="false">E137</f>
        <v>-0.05</v>
      </c>
      <c r="E288" s="0" t="n">
        <f aca="false">E149</f>
        <v>-0.2</v>
      </c>
      <c r="F288" s="0" t="n">
        <f aca="false">E161</f>
        <v>-0.25</v>
      </c>
      <c r="G288" s="0" t="s">
        <v>41</v>
      </c>
      <c r="H288" s="4" t="s">
        <v>731</v>
      </c>
    </row>
    <row r="289" customFormat="false" ht="17.15" hidden="false" customHeight="false" outlineLevel="0" collapsed="false">
      <c r="A289" s="0" t="s">
        <v>732</v>
      </c>
      <c r="B289" s="0" t="s">
        <v>733</v>
      </c>
      <c r="C289" s="0" t="s">
        <v>51</v>
      </c>
      <c r="D289" s="0" t="n">
        <f aca="false">E138</f>
        <v>-0.05</v>
      </c>
      <c r="E289" s="0" t="n">
        <f aca="false">E150</f>
        <v>-0.1</v>
      </c>
      <c r="F289" s="0" t="n">
        <f aca="false">E162</f>
        <v>-0.2</v>
      </c>
      <c r="G289" s="0" t="s">
        <v>41</v>
      </c>
      <c r="H289" s="4" t="s">
        <v>734</v>
      </c>
    </row>
    <row r="290" customFormat="false" ht="17.15" hidden="false" customHeight="false" outlineLevel="0" collapsed="false">
      <c r="A290" s="0" t="s">
        <v>735</v>
      </c>
      <c r="B290" s="0" t="s">
        <v>736</v>
      </c>
      <c r="C290" s="0" t="s">
        <v>51</v>
      </c>
      <c r="D290" s="0" t="n">
        <f aca="false">E139</f>
        <v>-0.03</v>
      </c>
      <c r="E290" s="0" t="n">
        <f aca="false">E151</f>
        <v>0.05</v>
      </c>
      <c r="F290" s="0" t="n">
        <f aca="false">E163</f>
        <v>0</v>
      </c>
      <c r="G290" s="0" t="s">
        <v>41</v>
      </c>
      <c r="H290" s="4" t="s">
        <v>737</v>
      </c>
    </row>
    <row r="291" customFormat="false" ht="17.15" hidden="false" customHeight="false" outlineLevel="0" collapsed="false">
      <c r="A291" s="0" t="s">
        <v>738</v>
      </c>
      <c r="B291" s="0" t="s">
        <v>739</v>
      </c>
      <c r="C291" s="0" t="s">
        <v>51</v>
      </c>
      <c r="D291" s="0" t="n">
        <f aca="false">E140</f>
        <v>-0.03</v>
      </c>
      <c r="E291" s="0" t="n">
        <f aca="false">E152</f>
        <v>0.05</v>
      </c>
      <c r="F291" s="0" t="n">
        <f aca="false">E164</f>
        <v>0.05</v>
      </c>
      <c r="G291" s="0" t="s">
        <v>41</v>
      </c>
      <c r="H291" s="4" t="s">
        <v>740</v>
      </c>
    </row>
    <row r="292" customFormat="false" ht="17.15" hidden="false" customHeight="false" outlineLevel="0" collapsed="false">
      <c r="A292" s="0" t="s">
        <v>741</v>
      </c>
      <c r="B292" s="0" t="s">
        <v>742</v>
      </c>
      <c r="C292" s="0" t="s">
        <v>51</v>
      </c>
      <c r="D292" s="0" t="n">
        <f aca="false">E141</f>
        <v>-0.03</v>
      </c>
      <c r="E292" s="0" t="n">
        <f aca="false">E153</f>
        <v>0.03</v>
      </c>
      <c r="F292" s="0" t="n">
        <f aca="false">E165</f>
        <v>0.08</v>
      </c>
      <c r="G292" s="0" t="s">
        <v>41</v>
      </c>
      <c r="H292" s="4" t="s">
        <v>743</v>
      </c>
    </row>
    <row r="293" customFormat="false" ht="17.15" hidden="false" customHeight="false" outlineLevel="0" collapsed="false">
      <c r="A293" s="0" t="s">
        <v>744</v>
      </c>
      <c r="B293" s="0" t="s">
        <v>745</v>
      </c>
      <c r="C293" s="0" t="s">
        <v>51</v>
      </c>
      <c r="D293" s="0" t="n">
        <f aca="false">E142</f>
        <v>-0.03</v>
      </c>
      <c r="E293" s="0" t="n">
        <f aca="false">E154</f>
        <v>0.03</v>
      </c>
      <c r="F293" s="0" t="n">
        <f aca="false">E166</f>
        <v>0.1</v>
      </c>
      <c r="G293" s="0" t="s">
        <v>41</v>
      </c>
      <c r="H293" s="4" t="s">
        <v>746</v>
      </c>
    </row>
    <row r="294" customFormat="false" ht="17.15" hidden="false" customHeight="false" outlineLevel="0" collapsed="false">
      <c r="A294" s="0" t="s">
        <v>747</v>
      </c>
      <c r="B294" s="0" t="s">
        <v>748</v>
      </c>
      <c r="C294" s="0" t="s">
        <v>227</v>
      </c>
      <c r="D294" s="0" t="n">
        <f aca="false">E217</f>
        <v>1</v>
      </c>
      <c r="E294" s="0" t="n">
        <f aca="false">E219</f>
        <v>0.8</v>
      </c>
      <c r="F294" s="0" t="n">
        <f aca="false">E221</f>
        <v>0.6</v>
      </c>
      <c r="G294" s="0" t="s">
        <v>41</v>
      </c>
      <c r="H294" s="4" t="s">
        <v>749</v>
      </c>
    </row>
    <row r="295" customFormat="false" ht="17.15" hidden="false" customHeight="false" outlineLevel="0" collapsed="false">
      <c r="A295" s="0" t="s">
        <v>750</v>
      </c>
      <c r="B295" s="0" t="s">
        <v>751</v>
      </c>
      <c r="C295" s="0" t="s">
        <v>227</v>
      </c>
      <c r="D295" s="0" t="n">
        <f aca="false">E218</f>
        <v>1</v>
      </c>
      <c r="E295" s="0" t="n">
        <f aca="false">E220</f>
        <v>0.85</v>
      </c>
      <c r="F295" s="0" t="n">
        <f aca="false">E222</f>
        <v>0.6</v>
      </c>
      <c r="G295" s="0" t="s">
        <v>41</v>
      </c>
      <c r="H295" s="4" t="s">
        <v>752</v>
      </c>
    </row>
    <row r="296" customFormat="false" ht="17.15" hidden="false" customHeight="false" outlineLevel="0" collapsed="false">
      <c r="A296" s="0" t="s">
        <v>753</v>
      </c>
      <c r="B296" s="0" t="s">
        <v>754</v>
      </c>
      <c r="C296" s="0" t="s">
        <v>51</v>
      </c>
      <c r="D296" s="0" t="n">
        <f aca="false">E231</f>
        <v>0.1</v>
      </c>
      <c r="E296" s="0" t="n">
        <f aca="false">E232</f>
        <v>-0.25</v>
      </c>
      <c r="F296" s="0" t="n">
        <f aca="false">E233</f>
        <v>-0.4</v>
      </c>
      <c r="G296" s="0" t="s">
        <v>41</v>
      </c>
      <c r="H296" s="4" t="s">
        <v>755</v>
      </c>
    </row>
    <row r="297" customFormat="false" ht="17.15" hidden="false" customHeight="false" outlineLevel="0" collapsed="false">
      <c r="A297" s="0" t="s">
        <v>756</v>
      </c>
      <c r="B297" s="0" t="s">
        <v>757</v>
      </c>
      <c r="C297" s="0" t="s">
        <v>51</v>
      </c>
      <c r="D297" s="0" t="n">
        <f aca="false">E236</f>
        <v>-0.05</v>
      </c>
      <c r="E297" s="0" t="n">
        <f aca="false">E237</f>
        <v>0</v>
      </c>
      <c r="F297" s="0" t="n">
        <f aca="false">E238</f>
        <v>0.05</v>
      </c>
      <c r="G297" s="0" t="s">
        <v>41</v>
      </c>
      <c r="H297" s="4" t="s">
        <v>758</v>
      </c>
    </row>
    <row r="298" customFormat="false" ht="17.15" hidden="false" customHeight="false" outlineLevel="0" collapsed="false">
      <c r="A298" s="0" t="s">
        <v>759</v>
      </c>
      <c r="B298" s="0" t="s">
        <v>760</v>
      </c>
      <c r="C298" s="0" t="s">
        <v>51</v>
      </c>
      <c r="D298" s="0" t="n">
        <f aca="false">E255</f>
        <v>0.06</v>
      </c>
      <c r="E298" s="0" t="n">
        <f aca="false">E256</f>
        <v>0.04</v>
      </c>
      <c r="F298" s="0" t="n">
        <f aca="false">E257</f>
        <v>0.02</v>
      </c>
      <c r="G298" s="0" t="s">
        <v>41</v>
      </c>
      <c r="H298" s="4" t="s">
        <v>761</v>
      </c>
    </row>
    <row r="299" customFormat="false" ht="17.15" hidden="false" customHeight="false" outlineLevel="0" collapsed="false">
      <c r="A299" s="0" t="s">
        <v>762</v>
      </c>
      <c r="B299" s="4" t="s">
        <v>651</v>
      </c>
      <c r="C299" s="0" t="s">
        <v>227</v>
      </c>
      <c r="D299" s="0" t="n">
        <f aca="false">E258</f>
        <v>1.2</v>
      </c>
      <c r="E299" s="0" t="n">
        <v>0</v>
      </c>
      <c r="F299" s="0" t="n">
        <f aca="false">E259</f>
        <v>0.8</v>
      </c>
      <c r="G299" s="0" t="s">
        <v>41</v>
      </c>
      <c r="H299" s="4" t="s">
        <v>763</v>
      </c>
    </row>
    <row r="300" customFormat="false" ht="17.15" hidden="false" customHeight="false" outlineLevel="0" collapsed="false">
      <c r="A300" s="0" t="s">
        <v>764</v>
      </c>
      <c r="B300" s="0" t="s">
        <v>765</v>
      </c>
      <c r="C300" s="0" t="s">
        <v>51</v>
      </c>
      <c r="D300" s="0" t="n">
        <f aca="false">E260</f>
        <v>0.155802295716687</v>
      </c>
      <c r="E300" s="0" t="n">
        <f aca="false">E261</f>
        <v>0.129835246430572</v>
      </c>
      <c r="F300" s="0" t="n">
        <f aca="false">E262</f>
        <v>0.103868197144458</v>
      </c>
      <c r="G300" s="0" t="s">
        <v>41</v>
      </c>
      <c r="H300" s="4" t="s">
        <v>766</v>
      </c>
    </row>
    <row r="301" customFormat="false" ht="17.15" hidden="false" customHeight="false" outlineLevel="0" collapsed="false">
      <c r="A301" s="0" t="s">
        <v>767</v>
      </c>
      <c r="B301" s="4" t="s">
        <v>768</v>
      </c>
      <c r="C301" s="0" t="s">
        <v>51</v>
      </c>
      <c r="D301" s="0" t="n">
        <f aca="false">E247</f>
        <v>0.3</v>
      </c>
      <c r="E301" s="0" t="n">
        <f aca="false">E248</f>
        <v>0.5</v>
      </c>
      <c r="F301" s="0" t="n">
        <f aca="false">E249</f>
        <v>0.2</v>
      </c>
      <c r="G301" s="0" t="s">
        <v>41</v>
      </c>
      <c r="H301" s="4" t="s">
        <v>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770</v>
      </c>
    </row>
    <row r="3" customFormat="false" ht="15" hidden="false" customHeight="false" outlineLevel="0" collapsed="false">
      <c r="A3" s="5" t="s">
        <v>771</v>
      </c>
      <c r="B3" s="5" t="s">
        <v>772</v>
      </c>
      <c r="C3" s="13" t="s">
        <v>773</v>
      </c>
      <c r="D3" s="13" t="s">
        <v>774</v>
      </c>
      <c r="E3" s="13" t="s">
        <v>775</v>
      </c>
      <c r="F3" s="13" t="s">
        <v>776</v>
      </c>
      <c r="G3" s="13" t="s">
        <v>777</v>
      </c>
      <c r="H3" s="13" t="s">
        <v>778</v>
      </c>
      <c r="I3" s="13" t="s">
        <v>779</v>
      </c>
      <c r="J3" s="13" t="s">
        <v>780</v>
      </c>
      <c r="K3" s="13" t="s">
        <v>781</v>
      </c>
      <c r="L3" s="13" t="s">
        <v>782</v>
      </c>
      <c r="M3" s="13" t="s">
        <v>783</v>
      </c>
      <c r="N3" s="13" t="s">
        <v>784</v>
      </c>
      <c r="O3" s="13" t="s">
        <v>785</v>
      </c>
      <c r="P3" s="13" t="s">
        <v>786</v>
      </c>
      <c r="Q3" s="13" t="s">
        <v>787</v>
      </c>
      <c r="R3" s="13" t="s">
        <v>788</v>
      </c>
      <c r="S3" s="13" t="s">
        <v>789</v>
      </c>
      <c r="T3" s="13" t="s">
        <v>790</v>
      </c>
      <c r="U3" s="13" t="s">
        <v>791</v>
      </c>
      <c r="V3" s="13" t="s">
        <v>792</v>
      </c>
    </row>
    <row r="4" customFormat="false" ht="17.15" hidden="false" customHeight="false" outlineLevel="0" collapsed="false">
      <c r="A4" s="4" t="s">
        <v>793</v>
      </c>
      <c r="B4" s="0" t="s">
        <v>794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4" t="s">
        <v>793</v>
      </c>
      <c r="B5" s="0" t="s">
        <v>795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4" t="s">
        <v>793</v>
      </c>
      <c r="B6" s="0" t="s">
        <v>796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797</v>
      </c>
      <c r="B8" s="0" t="s">
        <v>794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5.51865234375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797</v>
      </c>
      <c r="B9" s="0" t="s">
        <v>795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5.51865234375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797</v>
      </c>
      <c r="B10" s="0" t="s">
        <v>796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5.51865234375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1" t="s">
        <v>798</v>
      </c>
    </row>
    <row r="13" customFormat="false" ht="15" hidden="false" customHeight="false" outlineLevel="0" collapsed="false">
      <c r="A13" s="5" t="s">
        <v>771</v>
      </c>
      <c r="B13" s="5" t="s">
        <v>772</v>
      </c>
      <c r="C13" s="13" t="s">
        <v>799</v>
      </c>
      <c r="D13" s="13" t="s">
        <v>800</v>
      </c>
      <c r="E13" s="13" t="s">
        <v>801</v>
      </c>
      <c r="F13" s="13" t="s">
        <v>802</v>
      </c>
      <c r="G13" s="13" t="s">
        <v>803</v>
      </c>
      <c r="H13" s="13" t="s">
        <v>804</v>
      </c>
      <c r="I13" s="13" t="s">
        <v>805</v>
      </c>
      <c r="J13" s="13" t="s">
        <v>806</v>
      </c>
      <c r="K13" s="13" t="s">
        <v>807</v>
      </c>
    </row>
    <row r="14" customFormat="false" ht="17.15" hidden="false" customHeight="false" outlineLevel="0" collapsed="false">
      <c r="A14" s="4" t="s">
        <v>793</v>
      </c>
      <c r="B14" s="0" t="s">
        <v>794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4" t="s">
        <v>793</v>
      </c>
      <c r="B15" s="0" t="s">
        <v>795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4" t="s">
        <v>793</v>
      </c>
      <c r="B16" s="0" t="s">
        <v>796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797</v>
      </c>
      <c r="B17" s="0" t="s">
        <v>794</v>
      </c>
      <c r="C17" s="14" t="n">
        <f aca="false">AVERAGE(C8:F8)</f>
        <v>1.10375</v>
      </c>
      <c r="D17" s="14" t="n">
        <f aca="false">AVERAGE(G8:J8)</f>
        <v>4.61465310058594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3.18088616134626</v>
      </c>
      <c r="I17" s="15" t="n">
        <f aca="false">E17/D17-1</f>
        <v>0.276122516432759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797</v>
      </c>
      <c r="B18" s="0" t="s">
        <v>795</v>
      </c>
      <c r="C18" s="14" t="n">
        <f aca="false">AVERAGE(C9:F9)</f>
        <v>1.10375</v>
      </c>
      <c r="D18" s="14" t="n">
        <f aca="false">AVERAGE(G9:J9)</f>
        <v>4.61465310058594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3.18088616134626</v>
      </c>
      <c r="I18" s="15" t="n">
        <f aca="false">E18/D18-1</f>
        <v>0.24623216782429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797</v>
      </c>
      <c r="B19" s="0" t="s">
        <v>796</v>
      </c>
      <c r="C19" s="14" t="n">
        <f aca="false">AVERAGE(C10:F10)</f>
        <v>1.10375</v>
      </c>
      <c r="D19" s="14" t="n">
        <f aca="false">AVERAGE(G10:J10)</f>
        <v>4.61465310058594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3.18088616134626</v>
      </c>
      <c r="I19" s="15" t="n">
        <f aca="false">E19/D19-1</f>
        <v>0.24623216782429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808</v>
      </c>
    </row>
    <row r="3" customFormat="false" ht="15" hidden="false" customHeight="false" outlineLevel="0" collapsed="false">
      <c r="A3" s="5" t="s">
        <v>30</v>
      </c>
      <c r="B3" s="5" t="s">
        <v>31</v>
      </c>
      <c r="C3" s="13" t="s">
        <v>799</v>
      </c>
      <c r="D3" s="13" t="s">
        <v>800</v>
      </c>
      <c r="E3" s="13" t="s">
        <v>801</v>
      </c>
      <c r="F3" s="13" t="s">
        <v>802</v>
      </c>
      <c r="G3" s="13" t="s">
        <v>803</v>
      </c>
      <c r="H3" s="5" t="s">
        <v>674</v>
      </c>
    </row>
    <row r="4" customFormat="false" ht="17.15" hidden="false" customHeight="false" outlineLevel="0" collapsed="false">
      <c r="A4" s="1" t="s">
        <v>809</v>
      </c>
    </row>
    <row r="5" customFormat="false" ht="17.15" hidden="false" customHeight="false" outlineLevel="0" collapsed="false">
      <c r="A5" s="0" t="s">
        <v>810</v>
      </c>
      <c r="B5" s="0" t="s">
        <v>811</v>
      </c>
      <c r="D5" s="16" t="n">
        <f aca="false">u_bw_26*g_bw_26</f>
        <v>1404</v>
      </c>
      <c r="E5" s="16" t="n">
        <f aca="false">u_bw_27*g_bw_27</f>
        <v>672</v>
      </c>
      <c r="F5" s="16" t="n">
        <f aca="false">u_bw_28*g_bw_28</f>
        <v>144</v>
      </c>
    </row>
    <row r="6" customFormat="false" ht="15" hidden="false" customHeight="false" outlineLevel="0" collapsed="false">
      <c r="A6" s="0" t="s">
        <v>812</v>
      </c>
      <c r="B6" s="0" t="s">
        <v>811</v>
      </c>
      <c r="D6" s="16" t="n">
        <f aca="false">u_rb_26*g_rb_26</f>
        <v>489.6</v>
      </c>
      <c r="E6" s="16" t="n">
        <f aca="false">u_rb_27*g_rb_27</f>
        <v>2016</v>
      </c>
      <c r="F6" s="16" t="n">
        <f aca="false">u_rb_28*g_rb_28</f>
        <v>2016</v>
      </c>
    </row>
    <row r="7" customFormat="false" ht="15" hidden="false" customHeight="false" outlineLevel="0" collapsed="false">
      <c r="A7" s="0" t="s">
        <v>813</v>
      </c>
      <c r="B7" s="0" t="s">
        <v>811</v>
      </c>
      <c r="D7" s="16" t="n">
        <f aca="false">u_ru_26*g_ru_26</f>
        <v>0</v>
      </c>
      <c r="E7" s="16" t="n">
        <f aca="false">u_ru_27*g_ru_27</f>
        <v>307.2</v>
      </c>
      <c r="F7" s="16" t="n">
        <f aca="false">u_ru_28*g_ru_28</f>
        <v>2048</v>
      </c>
    </row>
    <row r="8" customFormat="false" ht="17.15" hidden="false" customHeight="false" outlineLevel="0" collapsed="false">
      <c r="A8" s="0" t="s">
        <v>814</v>
      </c>
      <c r="B8" s="0" t="s">
        <v>811</v>
      </c>
      <c r="D8" s="16" t="n">
        <f aca="false">u_hp_26*g_hp_26</f>
        <v>70.5</v>
      </c>
      <c r="E8" s="16" t="n">
        <f aca="false">u_hp_27*g_hp_27</f>
        <v>0</v>
      </c>
      <c r="F8" s="16" t="n">
        <f aca="false">u_hp_28*g_hp_28</f>
        <v>0</v>
      </c>
    </row>
    <row r="9" customFormat="false" ht="15" hidden="false" customHeight="false" outlineLevel="0" collapsed="false">
      <c r="A9" s="0" t="s">
        <v>815</v>
      </c>
      <c r="B9" s="0" t="s">
        <v>811</v>
      </c>
      <c r="D9" s="16" t="n">
        <f aca="false">u_amd_26*g_amd_26</f>
        <v>216</v>
      </c>
      <c r="E9" s="16" t="n">
        <f aca="false">u_amd_27*g_amd_27</f>
        <v>540</v>
      </c>
      <c r="F9" s="16" t="n">
        <f aca="false">u_amd_28*g_amd_28</f>
        <v>864</v>
      </c>
    </row>
    <row r="10" customFormat="false" ht="15" hidden="false" customHeight="false" outlineLevel="0" collapsed="false">
      <c r="A10" s="0" t="s">
        <v>816</v>
      </c>
      <c r="B10" s="0" t="s">
        <v>811</v>
      </c>
      <c r="D10" s="16" t="n">
        <f aca="false">u_tpu_26*g_tpu_26</f>
        <v>739.2</v>
      </c>
      <c r="E10" s="16" t="n">
        <f aca="false">u_tpu_27*g_tpu_27</f>
        <v>1375</v>
      </c>
      <c r="F10" s="16" t="n">
        <f aca="false">u_tpu_28*g_tpu_28</f>
        <v>2016</v>
      </c>
    </row>
    <row r="11" customFormat="false" ht="15" hidden="false" customHeight="false" outlineLevel="0" collapsed="false">
      <c r="A11" s="0" t="s">
        <v>817</v>
      </c>
      <c r="B11" s="0" t="s">
        <v>811</v>
      </c>
      <c r="D11" s="16" t="n">
        <f aca="false">u_trn_26*g_trn_26</f>
        <v>220</v>
      </c>
      <c r="E11" s="16" t="n">
        <f aca="false">u_trn_27*g_trn_27</f>
        <v>360</v>
      </c>
      <c r="F11" s="16" t="n">
        <f aca="false">u_trn_28*g_trn_28</f>
        <v>600</v>
      </c>
    </row>
    <row r="12" customFormat="false" ht="17.15" hidden="false" customHeight="false" outlineLevel="0" collapsed="false">
      <c r="A12" s="4" t="s">
        <v>818</v>
      </c>
      <c r="B12" s="0" t="s">
        <v>811</v>
      </c>
      <c r="D12" s="16" t="n">
        <f aca="false">u_oth_26*g_oth_26</f>
        <v>150</v>
      </c>
      <c r="E12" s="16" t="n">
        <f aca="false">u_oth_27*g_oth_27</f>
        <v>900</v>
      </c>
      <c r="F12" s="16" t="n">
        <f aca="false">u_oth_28*g_oth_28</f>
        <v>1250</v>
      </c>
    </row>
    <row r="13" customFormat="false" ht="15" hidden="false" customHeight="false" outlineLevel="0" collapsed="false">
      <c r="A13" s="4" t="s">
        <v>819</v>
      </c>
      <c r="B13" s="0" t="s">
        <v>820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4" t="s">
        <v>821</v>
      </c>
      <c r="B14" s="0" t="s">
        <v>820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4" t="s">
        <v>822</v>
      </c>
      <c r="B15" s="4" t="s">
        <v>429</v>
      </c>
      <c r="D15" s="17" t="n">
        <f aca="false">u_bw_26+u_rb_26+u_ru_26+u_hp_26+u_amd_26+u_tpu_26+u_trn_26+u_oth_26</f>
        <v>15.2</v>
      </c>
      <c r="E15" s="17" t="n">
        <f aca="false">u_bw_27+u_rb_27+u_ru_27+u_hp_27+u_amd_27+u_tpu_27+u_trn_27+u_oth_27</f>
        <v>23.7</v>
      </c>
      <c r="F15" s="17" t="n">
        <f aca="false">u_bw_28+u_rb_28+u_ru_28+u_hp_28+u_amd_28+u_tpu_28+u_trn_28+u_oth_28</f>
        <v>26.5</v>
      </c>
      <c r="H15" s="8" t="s">
        <v>823</v>
      </c>
    </row>
    <row r="16" customFormat="false" ht="17.15" hidden="false" customHeight="false" outlineLevel="0" collapsed="false">
      <c r="A16" s="4" t="s">
        <v>824</v>
      </c>
      <c r="B16" s="0" t="s">
        <v>437</v>
      </c>
      <c r="D16" s="16" t="n">
        <f aca="false">D13*1000/D15</f>
        <v>216.401315789474</v>
      </c>
      <c r="E16" s="16" t="n">
        <f aca="false">E13*1000/E15</f>
        <v>260.345991561181</v>
      </c>
      <c r="F16" s="16" t="n">
        <f aca="false">F13*1000/F15</f>
        <v>337.283018867925</v>
      </c>
    </row>
    <row r="17" customFormat="false" ht="17.15" hidden="false" customHeight="false" outlineLevel="0" collapsed="false">
      <c r="A17" s="4" t="s">
        <v>825</v>
      </c>
      <c r="B17" s="0" t="s">
        <v>820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8" t="s">
        <v>826</v>
      </c>
    </row>
    <row r="18" customFormat="false" ht="17.15" hidden="false" customHeight="false" outlineLevel="0" collapsed="false">
      <c r="A18" s="4" t="s">
        <v>827</v>
      </c>
      <c r="B18" s="0" t="s">
        <v>227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8" t="s">
        <v>828</v>
      </c>
    </row>
    <row r="19" customFormat="false" ht="17.15" hidden="false" customHeight="false" outlineLevel="0" collapsed="false">
      <c r="A19" s="4" t="s">
        <v>829</v>
      </c>
      <c r="B19" s="0" t="s">
        <v>227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8" t="s">
        <v>828</v>
      </c>
    </row>
    <row r="20" customFormat="false" ht="17.15" hidden="false" customHeight="false" outlineLevel="0" collapsed="false">
      <c r="A20" s="4" t="s">
        <v>830</v>
      </c>
      <c r="B20" s="0" t="s">
        <v>227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8" t="s">
        <v>828</v>
      </c>
    </row>
    <row r="21" customFormat="false" ht="17.15" hidden="false" customHeight="false" outlineLevel="0" collapsed="false">
      <c r="A21" s="4" t="s">
        <v>831</v>
      </c>
      <c r="B21" s="0" t="s">
        <v>820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4" t="s">
        <v>832</v>
      </c>
      <c r="B22" s="0" t="s">
        <v>820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4" t="s">
        <v>833</v>
      </c>
      <c r="B23" s="0" t="s">
        <v>820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4" t="s">
        <v>834</v>
      </c>
      <c r="B24" s="0" t="s">
        <v>820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4" t="s">
        <v>835</v>
      </c>
    </row>
    <row r="25" customFormat="false" ht="17.15" hidden="false" customHeight="false" outlineLevel="0" collapsed="false">
      <c r="A25" s="4" t="s">
        <v>836</v>
      </c>
      <c r="B25" s="0" t="s">
        <v>820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4" t="s">
        <v>837</v>
      </c>
      <c r="B26" s="0" t="s">
        <v>820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4" t="s">
        <v>838</v>
      </c>
      <c r="B27" s="0" t="s">
        <v>820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4" t="s">
        <v>839</v>
      </c>
      <c r="B28" s="0" t="s">
        <v>820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4" t="s">
        <v>840</v>
      </c>
      <c r="B29" s="0" t="s">
        <v>820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841</v>
      </c>
      <c r="B30" s="0" t="s">
        <v>568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8" t="n">
        <f aca="false">F30*(1+hbm_p29_A)</f>
        <v>27.4626</v>
      </c>
    </row>
    <row r="31" customFormat="false" ht="17.15" hidden="false" customHeight="false" outlineLevel="0" collapsed="false">
      <c r="A31" s="0" t="s">
        <v>842</v>
      </c>
      <c r="B31" s="0" t="s">
        <v>568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8" t="n">
        <f aca="false">F31*(1+hbm_p29_B)</f>
        <v>19.71</v>
      </c>
    </row>
    <row r="32" customFormat="false" ht="17.15" hidden="false" customHeight="false" outlineLevel="0" collapsed="false">
      <c r="A32" s="0" t="s">
        <v>843</v>
      </c>
      <c r="B32" s="0" t="s">
        <v>568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8" t="n">
        <f aca="false">F32*(1+hbm_p29_C)</f>
        <v>16.5564</v>
      </c>
    </row>
    <row r="33" customFormat="false" ht="17.15" hidden="false" customHeight="false" outlineLevel="0" collapsed="false">
      <c r="A33" s="0" t="s">
        <v>844</v>
      </c>
      <c r="B33" s="0" t="s">
        <v>552</v>
      </c>
      <c r="C33" s="17" t="n">
        <f aca="false">C24*C30</f>
        <v>35</v>
      </c>
      <c r="D33" s="17" t="n">
        <f aca="false">D24*D30</f>
        <v>55.227347</v>
      </c>
      <c r="E33" s="17" t="n">
        <f aca="false">E24*E30</f>
        <v>154.08429813</v>
      </c>
      <c r="F33" s="17" t="n">
        <f aca="false">F24*F30</f>
        <v>245.76445551735</v>
      </c>
      <c r="G33" s="17" t="n">
        <f aca="false">G24*G30</f>
        <v>315.192914201001</v>
      </c>
    </row>
    <row r="34" customFormat="false" ht="17.15" hidden="false" customHeight="false" outlineLevel="0" collapsed="false">
      <c r="A34" s="0" t="s">
        <v>845</v>
      </c>
      <c r="B34" s="0" t="s">
        <v>552</v>
      </c>
      <c r="C34" s="17" t="n">
        <f aca="false">C25*C31</f>
        <v>35</v>
      </c>
      <c r="D34" s="17" t="n">
        <f aca="false">D25*D31</f>
        <v>55.227347</v>
      </c>
      <c r="E34" s="17" t="n">
        <f aca="false">E25*E31</f>
        <v>154.08429813</v>
      </c>
      <c r="F34" s="17" t="n">
        <f aca="false">F25*F31</f>
        <v>162.0745416</v>
      </c>
      <c r="G34" s="17" t="n">
        <f aca="false">G25*G31</f>
        <v>223.865460585</v>
      </c>
    </row>
    <row r="35" customFormat="false" ht="17.15" hidden="false" customHeight="false" outlineLevel="0" collapsed="false">
      <c r="A35" s="0" t="s">
        <v>846</v>
      </c>
      <c r="B35" s="0" t="s">
        <v>552</v>
      </c>
      <c r="C35" s="17" t="n">
        <f aca="false">C26*C32</f>
        <v>35</v>
      </c>
      <c r="D35" s="17" t="n">
        <f aca="false">D26*D32</f>
        <v>55.227347</v>
      </c>
      <c r="E35" s="17" t="n">
        <f aca="false">E26*E32</f>
        <v>154.08429813</v>
      </c>
      <c r="F35" s="17" t="n">
        <f aca="false">F26*F32</f>
        <v>97.24472496</v>
      </c>
      <c r="G35" s="17" t="n">
        <f aca="false">G26*G32</f>
        <v>132.7390495704</v>
      </c>
    </row>
    <row r="37" customFormat="false" ht="17.15" hidden="false" customHeight="false" outlineLevel="0" collapsed="false">
      <c r="A37" s="1" t="s">
        <v>847</v>
      </c>
    </row>
    <row r="38" customFormat="false" ht="17.15" hidden="false" customHeight="false" outlineLevel="0" collapsed="false">
      <c r="A38" s="4" t="s">
        <v>848</v>
      </c>
      <c r="B38" s="0" t="s">
        <v>552</v>
      </c>
      <c r="D38" s="17" t="n">
        <f aca="false">(D5+D6+D7+D8)/1000*hbm_p26</f>
        <v>28.67586</v>
      </c>
    </row>
    <row r="39" customFormat="false" ht="17.15" hidden="false" customHeight="false" outlineLevel="0" collapsed="false">
      <c r="A39" s="4" t="s">
        <v>849</v>
      </c>
      <c r="B39" s="0" t="s">
        <v>552</v>
      </c>
      <c r="D39" s="17" t="n">
        <f aca="false">nv_dc26*nv_hbm/nv_content</f>
        <v>38.9728971962617</v>
      </c>
      <c r="H39" s="4" t="s">
        <v>850</v>
      </c>
    </row>
    <row r="40" customFormat="false" ht="15" hidden="false" customHeight="false" outlineLevel="0" collapsed="false">
      <c r="A40" s="4" t="s">
        <v>851</v>
      </c>
      <c r="B40" s="0" t="s">
        <v>51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4" t="s">
        <v>852</v>
      </c>
      <c r="B41" s="4" t="s">
        <v>429</v>
      </c>
      <c r="D41" s="17" t="n">
        <f aca="false">nv_dc26/nv_content</f>
        <v>8.73831775700935</v>
      </c>
      <c r="E41" s="17" t="n">
        <f aca="false">u_bw_26+u_rb_26+u_hp_26</f>
        <v>7.6</v>
      </c>
      <c r="H41" s="8" t="s">
        <v>853</v>
      </c>
    </row>
    <row r="42" customFormat="false" ht="17.15" hidden="false" customHeight="false" outlineLevel="0" collapsed="false">
      <c r="A42" s="4" t="s">
        <v>854</v>
      </c>
      <c r="B42" s="0" t="s">
        <v>552</v>
      </c>
      <c r="D42" s="17" t="n">
        <f aca="false">pub26_lo</f>
        <v>54.6</v>
      </c>
      <c r="E42" s="17" t="n">
        <f aca="false">pub26_hi</f>
        <v>77.4</v>
      </c>
      <c r="F42" s="17" t="n">
        <f aca="false">pub27</f>
        <v>152.8</v>
      </c>
    </row>
    <row r="43" customFormat="false" ht="17.15" hidden="false" customHeight="false" outlineLevel="0" collapsed="false">
      <c r="A43" s="4" t="s">
        <v>855</v>
      </c>
      <c r="B43" s="0" t="s">
        <v>51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856</v>
      </c>
    </row>
    <row r="3" customFormat="false" ht="17.15" hidden="false" customHeight="false" outlineLevel="0" collapsed="false">
      <c r="A3" s="5" t="s">
        <v>30</v>
      </c>
      <c r="B3" s="13" t="s">
        <v>773</v>
      </c>
      <c r="C3" s="13" t="s">
        <v>774</v>
      </c>
      <c r="D3" s="13" t="s">
        <v>775</v>
      </c>
      <c r="E3" s="13" t="s">
        <v>776</v>
      </c>
      <c r="F3" s="13" t="s">
        <v>777</v>
      </c>
      <c r="G3" s="13" t="s">
        <v>778</v>
      </c>
      <c r="H3" s="13" t="s">
        <v>779</v>
      </c>
      <c r="I3" s="13" t="s">
        <v>857</v>
      </c>
      <c r="J3" s="13" t="s">
        <v>858</v>
      </c>
    </row>
    <row r="4" customFormat="false" ht="15" hidden="false" customHeight="false" outlineLevel="0" collapsed="false">
      <c r="A4" s="4" t="s">
        <v>859</v>
      </c>
      <c r="B4" s="18" t="n">
        <v>19.1</v>
      </c>
      <c r="C4" s="18" t="n">
        <v>21.2</v>
      </c>
      <c r="D4" s="18" t="n">
        <v>26.7</v>
      </c>
      <c r="E4" s="18" t="n">
        <v>37.1</v>
      </c>
      <c r="F4" s="18" t="n">
        <v>74.8</v>
      </c>
      <c r="G4" s="18" t="n">
        <v>120.8</v>
      </c>
      <c r="H4" s="18" t="n">
        <v>140.7</v>
      </c>
      <c r="I4" s="8" t="n">
        <f aca="false">I5+I6+I7</f>
        <v>182.921256</v>
      </c>
      <c r="J4" s="14" t="n">
        <f aca="false">SUM(F4:I4)</f>
        <v>519.221256</v>
      </c>
    </row>
    <row r="5" customFormat="false" ht="17.15" hidden="false" customHeight="false" outlineLevel="0" collapsed="false">
      <c r="A5" s="0" t="s">
        <v>860</v>
      </c>
      <c r="F5" s="14" t="n">
        <f aca="false">F4*0.68</f>
        <v>50.864</v>
      </c>
      <c r="G5" s="14" t="n">
        <f aca="false">G4*0.68</f>
        <v>82.144</v>
      </c>
      <c r="H5" s="14" t="n">
        <f aca="false">H4*0.68</f>
        <v>95.676</v>
      </c>
      <c r="I5" s="8" t="n">
        <f aca="false">H5*(1+q4_db)*(1+q4_dp)</f>
        <v>122.082576</v>
      </c>
      <c r="J5" s="14" t="n">
        <f aca="false">SUM(F5:I5)</f>
        <v>350.766576</v>
      </c>
    </row>
    <row r="6" customFormat="false" ht="15" hidden="false" customHeight="false" outlineLevel="0" collapsed="false">
      <c r="A6" s="0" t="s">
        <v>861</v>
      </c>
      <c r="F6" s="14" t="n">
        <f aca="false">F4*0.32</f>
        <v>23.936</v>
      </c>
      <c r="G6" s="14" t="n">
        <f aca="false">G4*0.32</f>
        <v>38.656</v>
      </c>
      <c r="H6" s="14" t="n">
        <f aca="false">H4*0.32</f>
        <v>45.024</v>
      </c>
      <c r="I6" s="8" t="n">
        <f aca="false">H6*(1+q4_nb)*(1+q4_np)</f>
        <v>60.83868</v>
      </c>
      <c r="J6" s="14" t="n">
        <f aca="false">SUM(F6:I6)</f>
        <v>168.45468</v>
      </c>
    </row>
    <row r="7" customFormat="false" ht="15" hidden="false" customHeight="false" outlineLevel="0" collapsed="false">
      <c r="A7" s="4" t="s">
        <v>862</v>
      </c>
      <c r="F7" s="0" t="n">
        <f aca="false">F4-F5-F6</f>
        <v>0</v>
      </c>
      <c r="G7" s="0" t="n">
        <f aca="false">G4-G5-G6</f>
        <v>0</v>
      </c>
      <c r="H7" s="0" t="n">
        <f aca="false">H4-H5-H6</f>
        <v>0</v>
      </c>
      <c r="I7" s="0" t="n">
        <f aca="false">other_y/4</f>
        <v>0</v>
      </c>
      <c r="J7" s="14" t="n">
        <f aca="false">SUM(F7:I7)</f>
        <v>0</v>
      </c>
    </row>
    <row r="8" customFormat="false" ht="15" hidden="false" customHeight="false" outlineLevel="0" collapsed="false">
      <c r="A8" s="4" t="s">
        <v>863</v>
      </c>
      <c r="F8" s="14" t="n">
        <f aca="false">F4*(1-0.745-0.07)</f>
        <v>13.838</v>
      </c>
      <c r="G8" s="14" t="n">
        <f aca="false">G4*(1-0.755-0.07)</f>
        <v>21.14</v>
      </c>
      <c r="H8" s="14" t="n">
        <f aca="false">H4*(1-0.768-0.07)</f>
        <v>22.7934</v>
      </c>
      <c r="I8" s="8" t="n">
        <f aca="false">(H8-da_cogs*H13)*((w_c+w_h)*I14/H14+w_n*I15/H15)*(1-costdn_q)+da_cogs*da_q4</f>
        <v>25.214402286</v>
      </c>
      <c r="J8" s="14" t="n">
        <f aca="false">SUM(F8:I8)</f>
        <v>82.985802286</v>
      </c>
    </row>
    <row r="9" customFormat="false" ht="15" hidden="false" customHeight="false" outlineLevel="0" collapsed="false">
      <c r="A9" s="4" t="s">
        <v>864</v>
      </c>
      <c r="F9" s="0" t="n">
        <f aca="false">F4-F8-F10</f>
        <v>5.26199999999999</v>
      </c>
      <c r="G9" s="0" t="n">
        <f aca="false">G4-G8-G10</f>
        <v>8.45999999999999</v>
      </c>
      <c r="H9" s="0" t="n">
        <f aca="false">H4-H8-H10</f>
        <v>9.9066</v>
      </c>
      <c r="I9" s="0" t="n">
        <f aca="false">opex_fix_q+opex_var*I4</f>
        <v>11.97527536</v>
      </c>
      <c r="J9" s="14" t="n">
        <f aca="false">SUM(F9:I9)</f>
        <v>35.60387536</v>
      </c>
    </row>
    <row r="10" customFormat="false" ht="15" hidden="false" customHeight="false" outlineLevel="0" collapsed="false">
      <c r="A10" s="4" t="s">
        <v>865</v>
      </c>
      <c r="B10" s="18" t="n">
        <v>3.1</v>
      </c>
      <c r="C10" s="18" t="n">
        <v>2.4</v>
      </c>
      <c r="D10" s="18" t="n">
        <v>9</v>
      </c>
      <c r="E10" s="18" t="n">
        <v>18.4</v>
      </c>
      <c r="F10" s="18" t="n">
        <v>55.7</v>
      </c>
      <c r="G10" s="18" t="n">
        <v>91.2</v>
      </c>
      <c r="H10" s="18" t="n">
        <v>108</v>
      </c>
      <c r="I10" s="8" t="n">
        <f aca="false">I4-I8-I9</f>
        <v>145.731578354</v>
      </c>
      <c r="J10" s="14" t="n">
        <f aca="false">SUM(F10:I10)</f>
        <v>400.631578354</v>
      </c>
    </row>
    <row r="11" customFormat="false" ht="15" hidden="false" customHeight="false" outlineLevel="0" collapsed="false">
      <c r="A11" s="4" t="s">
        <v>866</v>
      </c>
      <c r="B11" s="19" t="n">
        <f aca="false">IF(B4=0,"",B10/B4)</f>
        <v>0.162303664921466</v>
      </c>
      <c r="C11" s="19" t="n">
        <f aca="false">IF(C4=0,"",C10/C4)</f>
        <v>0.113207547169811</v>
      </c>
      <c r="D11" s="19" t="n">
        <f aca="false">IF(D4=0,"",D10/D4)</f>
        <v>0.337078651685393</v>
      </c>
      <c r="E11" s="19" t="n">
        <f aca="false">IF(E4=0,"",E10/E4)</f>
        <v>0.495956873315364</v>
      </c>
      <c r="F11" s="19" t="n">
        <f aca="false">IF(F4=0,"",F10/F4)</f>
        <v>0.744652406417112</v>
      </c>
      <c r="G11" s="19" t="n">
        <f aca="false">IF(G4=0,"",G10/G4)</f>
        <v>0.754966887417219</v>
      </c>
      <c r="H11" s="19" t="n">
        <f aca="false">IF(H4=0,"",H10/H4)</f>
        <v>0.767590618336887</v>
      </c>
      <c r="I11" s="19" t="n">
        <f aca="false">IF(I4=0,"",I10/I4)</f>
        <v>0.796690234589249</v>
      </c>
      <c r="J11" s="19" t="n">
        <f aca="false">J10/J4</f>
        <v>0.77160088059646</v>
      </c>
    </row>
    <row r="12" customFormat="false" ht="15" hidden="false" customHeight="false" outlineLevel="0" collapsed="false">
      <c r="A12" s="4" t="s">
        <v>867</v>
      </c>
      <c r="B12" s="18" t="n">
        <v>8</v>
      </c>
      <c r="C12" s="18" t="n">
        <v>4.9</v>
      </c>
      <c r="D12" s="18" t="n">
        <v>12</v>
      </c>
      <c r="E12" s="18" t="n">
        <v>19.3</v>
      </c>
      <c r="F12" s="18" t="n">
        <v>47.1</v>
      </c>
      <c r="G12" s="18" t="n">
        <v>71.3</v>
      </c>
      <c r="H12" s="18" t="n">
        <v>74.8</v>
      </c>
      <c r="I12" s="8" t="n">
        <f aca="false">(I10+nonop_q+nm_op_q)*(1-tax)</f>
        <v>119.3852626832</v>
      </c>
      <c r="J12" s="14" t="n">
        <f aca="false">SUM(F12:I12)</f>
        <v>312.5852626832</v>
      </c>
    </row>
    <row r="13" customFormat="false" ht="15" hidden="false" customHeight="false" outlineLevel="0" collapsed="false">
      <c r="A13" s="4" t="s">
        <v>868</v>
      </c>
      <c r="B13" s="18" t="n">
        <v>5</v>
      </c>
      <c r="C13" s="18" t="n">
        <v>5</v>
      </c>
      <c r="D13" s="18" t="n">
        <v>5</v>
      </c>
      <c r="E13" s="18" t="n">
        <v>5</v>
      </c>
      <c r="F13" s="18" t="n">
        <v>6</v>
      </c>
      <c r="G13" s="18" t="n">
        <v>6.3</v>
      </c>
      <c r="H13" s="18" t="n">
        <v>6.6</v>
      </c>
      <c r="I13" s="8" t="n">
        <f aca="false">da_q4</f>
        <v>7</v>
      </c>
      <c r="J13" s="14" t="n">
        <f aca="false">SUM(F13:I13)</f>
        <v>25.9</v>
      </c>
    </row>
    <row r="14" customFormat="false" ht="17.15" hidden="false" customHeight="false" outlineLevel="0" collapsed="false">
      <c r="A14" s="0" t="s">
        <v>869</v>
      </c>
      <c r="H14" s="0" t="n">
        <v>1</v>
      </c>
      <c r="I14" s="0" t="n">
        <f aca="false">H14*(1+q4_db)</f>
        <v>1.16</v>
      </c>
    </row>
    <row r="15" customFormat="false" ht="17.15" hidden="false" customHeight="false" outlineLevel="0" collapsed="false">
      <c r="A15" s="0" t="s">
        <v>870</v>
      </c>
      <c r="H15" s="0" t="n">
        <v>1</v>
      </c>
      <c r="I15" s="0" t="n">
        <f aca="false">H15*(1+q4_nb)</f>
        <v>1.15</v>
      </c>
    </row>
    <row r="18" customFormat="false" ht="17.15" hidden="false" customHeight="false" outlineLevel="0" collapsed="false">
      <c r="A18" s="4" t="s">
        <v>871</v>
      </c>
    </row>
    <row r="20" customFormat="false" ht="17.15" hidden="false" customHeight="false" outlineLevel="0" collapsed="false">
      <c r="A20" s="1" t="s">
        <v>872</v>
      </c>
    </row>
    <row r="21" customFormat="false" ht="17.15" hidden="false" customHeight="false" outlineLevel="0" collapsed="false">
      <c r="A21" s="0" t="s">
        <v>873</v>
      </c>
      <c r="B21" s="20" t="n">
        <v>51.7</v>
      </c>
      <c r="C21" s="20" t="n">
        <v>43.6</v>
      </c>
      <c r="D21" s="20" t="n">
        <v>48.4</v>
      </c>
      <c r="E21" s="20" t="n">
        <v>44.3</v>
      </c>
      <c r="F21" s="20" t="n">
        <v>52.7</v>
      </c>
      <c r="G21" s="20" t="n">
        <v>48</v>
      </c>
      <c r="H21" s="20" t="n">
        <v>52.1</v>
      </c>
    </row>
    <row r="22" customFormat="false" ht="17.15" hidden="false" customHeight="false" outlineLevel="0" collapsed="false">
      <c r="A22" s="0" t="s">
        <v>874</v>
      </c>
      <c r="B22" s="20" t="n">
        <v>25.1</v>
      </c>
      <c r="C22" s="20" t="n">
        <v>27.9</v>
      </c>
      <c r="D22" s="20" t="n">
        <v>33.1</v>
      </c>
      <c r="E22" s="20" t="n">
        <v>44</v>
      </c>
      <c r="F22" s="20" t="n">
        <v>81.7</v>
      </c>
      <c r="G22" s="20" t="n">
        <v>127.5</v>
      </c>
      <c r="H22" s="20" t="n">
        <v>147.1</v>
      </c>
    </row>
    <row r="23" customFormat="false" ht="17.15" hidden="false" customHeight="false" outlineLevel="0" collapsed="false">
      <c r="A23" s="0" t="s">
        <v>875</v>
      </c>
      <c r="B23" s="20" t="n">
        <v>5.9</v>
      </c>
      <c r="C23" s="20" t="n">
        <v>6.4</v>
      </c>
      <c r="D23" s="20" t="n">
        <v>8.1</v>
      </c>
      <c r="E23" s="20" t="n">
        <v>9.5</v>
      </c>
      <c r="F23" s="20" t="n">
        <v>6.7</v>
      </c>
      <c r="G23" s="20" t="n">
        <v>7.5</v>
      </c>
      <c r="H23" s="20" t="n">
        <v>8</v>
      </c>
    </row>
    <row r="24" customFormat="false" ht="15" hidden="false" customHeight="false" outlineLevel="0" collapsed="false">
      <c r="A24" s="0" t="s">
        <v>876</v>
      </c>
      <c r="B24" s="20" t="n">
        <v>3.4</v>
      </c>
      <c r="C24" s="20" t="n">
        <v>3.8</v>
      </c>
      <c r="E24" s="20" t="n">
        <v>4.6</v>
      </c>
      <c r="F24" s="20" t="n">
        <v>3.8</v>
      </c>
      <c r="G24" s="20" t="n">
        <v>4.6</v>
      </c>
      <c r="H24" s="20" t="n">
        <v>4.3</v>
      </c>
    </row>
    <row r="25" customFormat="false" ht="17.15" hidden="false" customHeight="false" outlineLevel="0" collapsed="false">
      <c r="A25" s="4" t="s">
        <v>877</v>
      </c>
      <c r="B25" s="20" t="n">
        <v>-7</v>
      </c>
      <c r="C25" s="20" t="n">
        <v>-7.1</v>
      </c>
      <c r="E25" s="20" t="n">
        <v>-8.6</v>
      </c>
      <c r="F25" s="20" t="n">
        <v>-11</v>
      </c>
      <c r="G25" s="20" t="n">
        <v>-16.1</v>
      </c>
      <c r="H25" s="20" t="n">
        <v>-16.2468</v>
      </c>
    </row>
    <row r="26" customFormat="false" ht="15" hidden="false" customHeight="false" outlineLevel="0" collapsed="false">
      <c r="A26" s="4" t="s">
        <v>878</v>
      </c>
      <c r="B26" s="20" t="n">
        <v>79.1</v>
      </c>
      <c r="C26" s="20" t="n">
        <v>74.6</v>
      </c>
      <c r="D26" s="20" t="n">
        <v>86.1</v>
      </c>
      <c r="E26" s="20" t="n">
        <v>93.8</v>
      </c>
      <c r="F26" s="20" t="n">
        <v>133.9</v>
      </c>
      <c r="G26" s="20" t="n">
        <v>171.5</v>
      </c>
      <c r="H26" s="20" t="n">
        <v>195.2532</v>
      </c>
    </row>
    <row r="27" customFormat="false" ht="15" hidden="false" customHeight="false" outlineLevel="0" collapsed="false">
      <c r="A27" s="4" t="s">
        <v>879</v>
      </c>
      <c r="B27" s="21" t="n">
        <f aca="false">B21+B22+B23+B24+B25-B26</f>
        <v>0</v>
      </c>
      <c r="C27" s="21" t="n">
        <f aca="false">C21+C22+C23+C24+C25-C26</f>
        <v>0</v>
      </c>
      <c r="E27" s="21" t="n">
        <f aca="false">E21+E22+E23+E24+E25-E26</f>
        <v>0</v>
      </c>
      <c r="F27" s="21" t="n">
        <f aca="false">F21+F22+F23+F24+F25-F26</f>
        <v>0</v>
      </c>
      <c r="G27" s="21" t="n">
        <f aca="false">G21+G22+G23+G24+G25-G26</f>
        <v>0</v>
      </c>
      <c r="H27" s="21" t="n">
        <f aca="false">H21+H22+H23+H24+H25-H26</f>
        <v>0</v>
      </c>
    </row>
    <row r="28" customFormat="false" ht="17.15" hidden="false" customHeight="false" outlineLevel="0" collapsed="false">
      <c r="A28" s="4" t="s">
        <v>880</v>
      </c>
    </row>
    <row r="29" customFormat="false" ht="17.15" hidden="false" customHeight="false" outlineLevel="0" collapsed="false">
      <c r="A29" s="0" t="s">
        <v>881</v>
      </c>
    </row>
    <row r="30" customFormat="false" ht="17.15" hidden="false" customHeight="false" outlineLevel="0" collapsed="false">
      <c r="A30" s="4" t="s">
        <v>882</v>
      </c>
    </row>
    <row r="31" customFormat="false" ht="17.15" hidden="false" customHeight="false" outlineLevel="0" collapsed="false">
      <c r="A31" s="0" t="s">
        <v>883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1" min="2" style="0" width="12"/>
    <col collapsed="false" customWidth="true" hidden="false" outlineLevel="0" max="22" min="22" style="0" width="50"/>
  </cols>
  <sheetData>
    <row r="1" customFormat="false" ht="17.15" hidden="false" customHeight="false" outlineLevel="0" collapsed="false">
      <c r="A1" s="0" t="s">
        <v>884</v>
      </c>
    </row>
    <row r="2" customFormat="false" ht="17.15" hidden="false" customHeight="false" outlineLevel="0" collapsed="false">
      <c r="A2" s="4" t="s">
        <v>885</v>
      </c>
    </row>
    <row r="3" customFormat="false" ht="17.15" hidden="false" customHeight="false" outlineLevel="0" collapsed="false">
      <c r="A3" s="5" t="s">
        <v>30</v>
      </c>
      <c r="B3" s="13" t="s">
        <v>886</v>
      </c>
      <c r="C3" s="13" t="s">
        <v>887</v>
      </c>
      <c r="D3" s="13" t="s">
        <v>888</v>
      </c>
      <c r="E3" s="13" t="s">
        <v>889</v>
      </c>
      <c r="F3" s="13" t="s">
        <v>890</v>
      </c>
      <c r="G3" s="13" t="s">
        <v>891</v>
      </c>
      <c r="H3" s="13" t="s">
        <v>892</v>
      </c>
      <c r="I3" s="13" t="s">
        <v>893</v>
      </c>
      <c r="J3" s="13" t="s">
        <v>894</v>
      </c>
      <c r="K3" s="13" t="s">
        <v>895</v>
      </c>
      <c r="L3" s="13" t="s">
        <v>896</v>
      </c>
      <c r="M3" s="13" t="s">
        <v>897</v>
      </c>
      <c r="N3" s="13" t="s">
        <v>898</v>
      </c>
      <c r="O3" s="13" t="s">
        <v>899</v>
      </c>
      <c r="P3" s="13" t="s">
        <v>900</v>
      </c>
      <c r="Q3" s="13" t="s">
        <v>901</v>
      </c>
      <c r="R3" s="13" t="s">
        <v>902</v>
      </c>
      <c r="S3" s="13" t="s">
        <v>903</v>
      </c>
      <c r="T3" s="13" t="s">
        <v>904</v>
      </c>
      <c r="U3" s="13" t="s">
        <v>905</v>
      </c>
      <c r="V3" s="5" t="s">
        <v>674</v>
      </c>
    </row>
    <row r="4" customFormat="false" ht="15" hidden="false" customHeight="false" outlineLevel="0" collapsed="false">
      <c r="A4" s="4" t="s">
        <v>859</v>
      </c>
      <c r="B4" s="17" t="n">
        <f aca="false">SUM(Q!B4:E4)</f>
        <v>104.1</v>
      </c>
      <c r="C4" s="17" t="n">
        <f aca="false">Q!J4</f>
        <v>519.221256</v>
      </c>
      <c r="D4" s="17" t="n">
        <f aca="false">D5+D6+D7+D8</f>
        <v>817.042709345976</v>
      </c>
      <c r="E4" s="17" t="n">
        <f aca="false">E5+E6+E7+E8</f>
        <v>895.516849681481</v>
      </c>
      <c r="F4" s="17" t="n">
        <f aca="false">F5+F6+F7+F8</f>
        <v>957.996699668866</v>
      </c>
      <c r="G4" s="17" t="n">
        <f aca="false">G5+G6+G7+G8</f>
        <v>798.668843812026</v>
      </c>
      <c r="H4" s="17" t="n">
        <f aca="false">H5+H6+H7+H8</f>
        <v>505.06732605163</v>
      </c>
      <c r="I4" s="17" t="n">
        <f aca="false">I5+I6+I7+I8</f>
        <v>572.390326326324</v>
      </c>
      <c r="J4" s="17" t="n">
        <f aca="false">J5+J6+J7+J8</f>
        <v>798.668843812026</v>
      </c>
      <c r="K4" s="17" t="n">
        <f aca="false">K5+K6+K7+K8</f>
        <v>353.082440688986</v>
      </c>
      <c r="L4" s="17" t="n">
        <f aca="false">L5+L6+L7+L8</f>
        <v>316.19709221303</v>
      </c>
    </row>
    <row r="5" customFormat="false" ht="17.15" hidden="false" customHeight="false" outlineLevel="0" collapsed="false">
      <c r="A5" s="4" t="s">
        <v>906</v>
      </c>
      <c r="C5" s="17" t="n">
        <f aca="false">Q!J5-C6</f>
        <v>328.0239545054</v>
      </c>
      <c r="D5" s="17" t="n">
        <f aca="false">C5*(1+cb_1)*(AVERAGE(Path!K4:N4)/AVERAGE(Path!G4:J4))</f>
        <v>486.684690406582</v>
      </c>
      <c r="E5" s="17" t="n">
        <f aca="false">D5*(1+cb_2)*(AVERAGE(Path!O4:R4)/AVERAGE(Path!K4:N4))</f>
        <v>518.976700553398</v>
      </c>
      <c r="F5" s="17" t="n">
        <f aca="false">E5*(1+cb_3)*(AVERAGE(Path!S4:V4)/AVERAGE(Path!O4:R4))</f>
        <v>539.313536397637</v>
      </c>
      <c r="G5" s="17" t="n">
        <f aca="false">C5*(1+cb_1)*(AVERAGE(Path!K5:N5)/AVERAGE(Path!G5:J5))</f>
        <v>474.101269349049</v>
      </c>
      <c r="H5" s="17" t="n">
        <f aca="false">G5*(1+cb_2)*(AVERAGE(Path!O5:R5)/AVERAGE(Path!K5:N5))</f>
        <v>297.759112746584</v>
      </c>
      <c r="I5" s="17" t="n">
        <f aca="false">H5*(1+cb_3)*(AVERAGE(Path!S5:V5)/AVERAGE(Path!O5:R5))</f>
        <v>331.960571639242</v>
      </c>
      <c r="J5" s="17" t="n">
        <f aca="false">C5*(1+cb_1)*(AVERAGE(Path!K6:N6)/AVERAGE(Path!G6:J6))</f>
        <v>474.101269349049</v>
      </c>
      <c r="K5" s="17" t="n">
        <f aca="false">J5*(1+cb_2)*(AVERAGE(Path!O6:R6)/AVERAGE(Path!K6:N6))</f>
        <v>204.253202499515</v>
      </c>
      <c r="L5" s="17" t="n">
        <f aca="false">K5*(1+cb_3)*(AVERAGE(Path!S6:V6)/AVERAGE(Path!O6:R6))</f>
        <v>165.284178023333</v>
      </c>
      <c r="V5" s="4" t="s">
        <v>907</v>
      </c>
    </row>
    <row r="6" customFormat="false" ht="17.15" hidden="false" customHeight="false" outlineLevel="0" collapsed="false">
      <c r="A6" s="0" t="s">
        <v>908</v>
      </c>
      <c r="C6" s="17" t="n">
        <f aca="false">(Mkt!D33/4*sh26+Mkt!D33/4*sh26+Mkt!D33/4*sh26+Mkt!D33/4*sh26)*fx/1000</f>
        <v>22.7426214946</v>
      </c>
      <c r="D6" s="17" t="n">
        <f aca="false">(Mkt!E33/4*sh27+Mkt!E33/4*sh27+Mkt!E33/4*sh27+Mkt!E33/4*sh27)*fx/1000</f>
        <v>83.143887270948</v>
      </c>
      <c r="E6" s="17" t="n">
        <f aca="false">(Mkt!F33/4*sh28+Mkt!F33/4*sh28+Mkt!F33/4*sh28+Mkt!F33/4*sh28)*fx/1000</f>
        <v>139.594210733855</v>
      </c>
      <c r="F6" s="17" t="n">
        <f aca="false">(Mkt!G33/4*sh29+Mkt!G33/4*sh29+Mkt!G33/4*sh29+Mkt!G33/4*sh29)*fx/1000</f>
        <v>179.029575266169</v>
      </c>
      <c r="G6" s="17" t="n">
        <f aca="false">(Mkt!E34/4*sh27+Mkt!E34/4*sh27+Mkt!E34/4*sh27+Mkt!E34/4*sh27)*fx/1000</f>
        <v>83.143887270948</v>
      </c>
      <c r="H6" s="17" t="n">
        <f aca="false">(Mkt!F34/4*sh28+Mkt!F34/4*sh28+Mkt!F34/4*sh28+Mkt!F34/4*sh28)*fx/1000</f>
        <v>92.0583396288</v>
      </c>
      <c r="I6" s="17" t="n">
        <f aca="false">(Mkt!G34/4*sh29+Mkt!G34/4*sh29+Mkt!G34/4*sh29+Mkt!G34/4*sh29)*fx/1000</f>
        <v>127.15558161228</v>
      </c>
      <c r="J6" s="17" t="n">
        <f aca="false">(Mkt!E35/4*sh27+Mkt!E35/4*sh27+Mkt!E35/4*sh27+Mkt!E35/4*sh27)*fx/1000</f>
        <v>83.143887270948</v>
      </c>
      <c r="K6" s="17" t="n">
        <f aca="false">(Mkt!F35/4*sh28+Mkt!F35/4*sh28+Mkt!F35/4*sh28+Mkt!F35/4*sh28)*fx/1000</f>
        <v>55.23500377728</v>
      </c>
      <c r="L6" s="17" t="n">
        <f aca="false">(Mkt!G35/4*sh29+Mkt!G35/4*sh29+Mkt!G35/4*sh29+Mkt!G35/4*sh29)*fx/1000</f>
        <v>75.3957801559872</v>
      </c>
      <c r="V6" s="8" t="s">
        <v>909</v>
      </c>
    </row>
    <row r="7" customFormat="false" ht="15" hidden="false" customHeight="false" outlineLevel="0" collapsed="false">
      <c r="A7" s="0" t="s">
        <v>861</v>
      </c>
      <c r="C7" s="17" t="n">
        <f aca="false">Q!J6</f>
        <v>168.45468</v>
      </c>
      <c r="D7" s="17" t="n">
        <f aca="false">C7*(1+nb_1)*(AVERAGE(Path!K8:N8)/AVERAGE(Path!G8:J8))</f>
        <v>247.214131668446</v>
      </c>
      <c r="E7" s="17" t="n">
        <f aca="false">D7*(1+nb_2)*(AVERAGE(Path!O8:R8)/AVERAGE(Path!K8:N8))</f>
        <v>236.945938394229</v>
      </c>
      <c r="F7" s="17" t="n">
        <f aca="false">E7*(1+nb_3)*(AVERAGE(Path!S8:V8)/AVERAGE(Path!O8:R8))</f>
        <v>239.65358800506</v>
      </c>
      <c r="G7" s="17" t="n">
        <f aca="false">C7*(1+nb_1)*(AVERAGE(Path!K9:N9)/AVERAGE(Path!G9:J9))</f>
        <v>241.423687192029</v>
      </c>
      <c r="H7" s="17" t="n">
        <f aca="false">G7*(1+nb_2)*(AVERAGE(Path!O9:R9)/AVERAGE(Path!K9:N9))</f>
        <v>115.249873676246</v>
      </c>
      <c r="I7" s="17" t="n">
        <f aca="false">H7*(1+nb_3)*(AVERAGE(Path!S9:V9)/AVERAGE(Path!O9:R9))</f>
        <v>113.274173074802</v>
      </c>
      <c r="J7" s="17" t="n">
        <f aca="false">C7*(1+nb_1)*(AVERAGE(Path!K10:N10)/AVERAGE(Path!G10:J10))</f>
        <v>241.423687192029</v>
      </c>
      <c r="K7" s="17" t="n">
        <f aca="false">J7*(1+nb_2)*(AVERAGE(Path!O10:R10)/AVERAGE(Path!K10:N10))</f>
        <v>93.594234412191</v>
      </c>
      <c r="L7" s="17" t="n">
        <f aca="false">K7*(1+nb_3)*(AVERAGE(Path!S10:V10)/AVERAGE(Path!O10:R10))</f>
        <v>75.5171340337089</v>
      </c>
    </row>
    <row r="8" customFormat="false" ht="15" hidden="false" customHeight="false" outlineLevel="0" collapsed="false">
      <c r="A8" s="4" t="s">
        <v>862</v>
      </c>
      <c r="C8" s="17" t="n">
        <f aca="false">Q!J7</f>
        <v>0</v>
      </c>
      <c r="D8" s="17" t="n">
        <f aca="false">other_y</f>
        <v>0</v>
      </c>
      <c r="E8" s="17" t="n">
        <f aca="false">other_y</f>
        <v>0</v>
      </c>
      <c r="F8" s="17" t="n">
        <f aca="false">other_y</f>
        <v>0</v>
      </c>
      <c r="G8" s="17" t="n">
        <f aca="false">other_y</f>
        <v>0</v>
      </c>
      <c r="H8" s="17" t="n">
        <f aca="false">other_y</f>
        <v>0</v>
      </c>
      <c r="I8" s="17" t="n">
        <f aca="false">other_y</f>
        <v>0</v>
      </c>
      <c r="J8" s="17" t="n">
        <f aca="false">other_y</f>
        <v>0</v>
      </c>
      <c r="K8" s="17" t="n">
        <f aca="false">other_y</f>
        <v>0</v>
      </c>
      <c r="L8" s="17" t="n">
        <f aca="false">other_y</f>
        <v>0</v>
      </c>
    </row>
    <row r="9" customFormat="false" ht="17.15" hidden="false" customHeight="false" outlineLevel="0" collapsed="false">
      <c r="A9" s="0" t="s">
        <v>910</v>
      </c>
      <c r="C9" s="19" t="n">
        <f aca="false">C6/C4</f>
        <v>0.0438014068796136</v>
      </c>
      <c r="D9" s="19" t="n">
        <f aca="false">D6/D4</f>
        <v>0.101761984189912</v>
      </c>
      <c r="E9" s="19" t="n">
        <f aca="false">E6/E4</f>
        <v>0.155881166036693</v>
      </c>
      <c r="F9" s="19" t="n">
        <f aca="false">F6/F4</f>
        <v>0.186879114852954</v>
      </c>
      <c r="G9" s="19" t="n">
        <f aca="false">G6/G4</f>
        <v>0.104103080914117</v>
      </c>
      <c r="H9" s="19" t="n">
        <f aca="false">H6/H4</f>
        <v>0.18226944187514</v>
      </c>
      <c r="I9" s="19" t="n">
        <f aca="false">I6/I4</f>
        <v>0.222148376315828</v>
      </c>
      <c r="J9" s="19" t="n">
        <f aca="false">J6/J4</f>
        <v>0.104103080914117</v>
      </c>
      <c r="K9" s="19" t="n">
        <f aca="false">K6/K4</f>
        <v>0.15643656385035</v>
      </c>
      <c r="L9" s="19" t="n">
        <f aca="false">L6/L4</f>
        <v>0.238445520255421</v>
      </c>
    </row>
    <row r="10" customFormat="false" ht="15" hidden="false" customHeight="false" outlineLevel="0" collapsed="false">
      <c r="A10" s="4" t="s">
        <v>868</v>
      </c>
      <c r="B10" s="17" t="n">
        <f aca="false">SUM(Q!B13:E13)</f>
        <v>20</v>
      </c>
      <c r="C10" s="17" t="n">
        <f aca="false">Q!J13</f>
        <v>25.9</v>
      </c>
      <c r="D10" s="17" t="n">
        <f aca="false">C10+(C21-C10)/da_life</f>
        <v>33.38</v>
      </c>
      <c r="E10" s="17" t="n">
        <f aca="false">D10+(D21-D10)/da_life</f>
        <v>38.704</v>
      </c>
      <c r="F10" s="17" t="n">
        <f aca="false">E10+(E21-E10)/da_life</f>
        <v>44.1632</v>
      </c>
      <c r="G10" s="17" t="n">
        <f aca="false">C10+(C21-C10)/da_life</f>
        <v>33.38</v>
      </c>
      <c r="H10" s="17" t="n">
        <f aca="false">G10+(G21-G10)/da_life</f>
        <v>38.704</v>
      </c>
      <c r="I10" s="17" t="n">
        <f aca="false">H10+(H21-H10)/da_life</f>
        <v>44.1632</v>
      </c>
      <c r="J10" s="17" t="n">
        <f aca="false">C10+(C21-C10)/da_life</f>
        <v>33.38</v>
      </c>
      <c r="K10" s="17" t="n">
        <f aca="false">J10+(J21-J10)/da_life</f>
        <v>38.704</v>
      </c>
      <c r="L10" s="17" t="n">
        <f aca="false">K10+(K21-K10)/da_life</f>
        <v>44.1632</v>
      </c>
    </row>
    <row r="11" customFormat="false" ht="17.15" hidden="false" customHeight="false" outlineLevel="0" collapsed="false">
      <c r="A11" s="4" t="s">
        <v>911</v>
      </c>
      <c r="D11" s="14" t="n">
        <f aca="false">w_c*(1+cb_1)+w_h*D31/C31+w_n*(1+nb_1)</f>
        <v>1.28215517241379</v>
      </c>
      <c r="E11" s="14" t="n">
        <f aca="false">w_c*(1+cb_2)+w_h*E31/D31+w_n*(1+nb_2)</f>
        <v>1.23194736842105</v>
      </c>
      <c r="F11" s="14" t="n">
        <f aca="false">w_c*(1+cb_3)+w_h*F31/E31+w_n*(1+nb_3)</f>
        <v>1.189</v>
      </c>
      <c r="G11" s="14" t="n">
        <f aca="false">w_c*(1+cb_1)+w_h*G31/C31+w_n*(1+nb_1)</f>
        <v>1.28215517241379</v>
      </c>
      <c r="H11" s="14" t="n">
        <f aca="false">w_c*(1+cb_2)+w_h*H31/G31+w_n*(1+nb_2)</f>
        <v>1.22444343414881</v>
      </c>
      <c r="I11" s="14" t="n">
        <f aca="false">w_c*(1+cb_3)+w_h*I31/H31+w_n*(1+nb_3)</f>
        <v>1.1936875</v>
      </c>
      <c r="J11" s="14" t="n">
        <f aca="false">w_c*(1+cb_1)+w_h*J31/C31+w_n*(1+nb_1)</f>
        <v>1.28215517241379</v>
      </c>
      <c r="K11" s="14" t="n">
        <f aca="false">w_c*(1+cb_2)+w_h*K31/J31+w_n*(1+nb_2)</f>
        <v>1.16908257561161</v>
      </c>
      <c r="L11" s="14" t="n">
        <f aca="false">w_c*(1+cb_3)+w_h*L31/K31+w_n*(1+nb_3)</f>
        <v>1.1815</v>
      </c>
    </row>
    <row r="12" customFormat="false" ht="17.15" hidden="false" customHeight="false" outlineLevel="0" collapsed="false">
      <c r="A12" s="4" t="s">
        <v>863</v>
      </c>
      <c r="C12" s="17" t="n">
        <f aca="false">Q!J8</f>
        <v>82.985802286</v>
      </c>
      <c r="D12" s="17" t="n">
        <f aca="false">(C12-da_cogs*C10)*D11*(1-costdn_y)+da_cogs*D10</f>
        <v>98.904274712044</v>
      </c>
      <c r="E12" s="17" t="n">
        <f aca="false">(D12-da_cogs*D10)*E11*(1-costdn_y)+da_cogs*E10</f>
        <v>111.184828303491</v>
      </c>
      <c r="F12" s="17" t="n">
        <f aca="false">(E12-da_cogs*E10)*F11*(1-costdn_y)+da_cogs*F10</f>
        <v>121.450329407566</v>
      </c>
      <c r="G12" s="17" t="n">
        <f aca="false">(C12-da_cogs*C10)*G11*(1-costdn_y)+da_cogs*G10</f>
        <v>98.904274712044</v>
      </c>
      <c r="H12" s="17" t="n">
        <f aca="false">(G12-da_cogs*G10)*H11*(1-costdn_y)+da_cogs*H10</f>
        <v>110.719764118542</v>
      </c>
      <c r="I12" s="17" t="n">
        <f aca="false">(H12-da_cogs*H10)*I11*(1-costdn_y)+da_cogs*I10</f>
        <v>121.272808978127</v>
      </c>
      <c r="J12" s="17" t="n">
        <f aca="false">(C12-da_cogs*C10)*J11*(1-costdn_y)+da_cogs*J10</f>
        <v>98.904274712044</v>
      </c>
      <c r="K12" s="17" t="n">
        <f aca="false">(J12-da_cogs*J10)*K11*(1-costdn_y)+da_cogs*K10</f>
        <v>107.288716934547</v>
      </c>
      <c r="L12" s="17" t="n">
        <f aca="false">(K12-da_cogs*K10)*L11*(1-costdn_y)+da_cogs*L10</f>
        <v>116.792028592351</v>
      </c>
      <c r="V12" s="4" t="s">
        <v>912</v>
      </c>
    </row>
    <row r="13" customFormat="false" ht="15" hidden="false" customHeight="false" outlineLevel="0" collapsed="false">
      <c r="A13" s="4" t="s">
        <v>864</v>
      </c>
      <c r="C13" s="17" t="n">
        <f aca="false">Q!J9</f>
        <v>35.60387536</v>
      </c>
      <c r="D13" s="17" t="n">
        <f aca="false">opex_fix_y*(1+opex_g)^1+opex_var*D4</f>
        <v>53.4225625607586</v>
      </c>
      <c r="E13" s="17" t="n">
        <f aca="false">opex_fix_y*(1+opex_g)^2+opex_var*E4</f>
        <v>58.5710109808889</v>
      </c>
      <c r="F13" s="17" t="n">
        <f aca="false">opex_fix_y*(1+opex_g)^3+opex_var*F4</f>
        <v>62.8038019801319</v>
      </c>
      <c r="G13" s="17" t="n">
        <f aca="false">opex_fix_y*(1+opex_g)^1+opex_var*G4</f>
        <v>52.3201306287216</v>
      </c>
      <c r="H13" s="17" t="n">
        <f aca="false">opex_fix_y*(1+opex_g)^2+opex_var*H4</f>
        <v>35.1440395630978</v>
      </c>
      <c r="I13" s="17" t="n">
        <f aca="false">opex_fix_y*(1+opex_g)^3+opex_var*I4</f>
        <v>39.6674195795795</v>
      </c>
      <c r="J13" s="17" t="n">
        <f aca="false">opex_fix_y*(1+opex_g)^1+opex_var*J4</f>
        <v>52.3201306287216</v>
      </c>
      <c r="K13" s="17" t="n">
        <f aca="false">opex_fix_y*(1+opex_g)^2+opex_var*K4</f>
        <v>26.0249464413392</v>
      </c>
      <c r="L13" s="17" t="n">
        <f aca="false">opex_fix_y*(1+opex_g)^3+opex_var*L4</f>
        <v>24.2958255327818</v>
      </c>
    </row>
    <row r="14" customFormat="false" ht="15" hidden="false" customHeight="false" outlineLevel="0" collapsed="false">
      <c r="A14" s="4" t="s">
        <v>865</v>
      </c>
      <c r="B14" s="17" t="n">
        <f aca="false">SUM(Q!B10:E10)</f>
        <v>32.9</v>
      </c>
      <c r="C14" s="17" t="n">
        <f aca="false">Q!J10</f>
        <v>400.631578354</v>
      </c>
      <c r="D14" s="17" t="n">
        <f aca="false">D4-D12-D13</f>
        <v>664.715872073174</v>
      </c>
      <c r="E14" s="17" t="n">
        <f aca="false">E4-E12-E13</f>
        <v>725.761010397101</v>
      </c>
      <c r="F14" s="17" t="n">
        <f aca="false">F4-F12-F13</f>
        <v>773.742568281168</v>
      </c>
      <c r="G14" s="17" t="n">
        <f aca="false">G4-G12-G13</f>
        <v>647.444438471261</v>
      </c>
      <c r="H14" s="17" t="n">
        <f aca="false">H4-H12-H13</f>
        <v>359.20352236999</v>
      </c>
      <c r="I14" s="17" t="n">
        <f aca="false">I4-I12-I13</f>
        <v>411.450097768618</v>
      </c>
      <c r="J14" s="17" t="n">
        <f aca="false">J4-J12-J13</f>
        <v>647.444438471261</v>
      </c>
      <c r="K14" s="17" t="n">
        <f aca="false">K4-K12-K13</f>
        <v>219.768777313099</v>
      </c>
      <c r="L14" s="17" t="n">
        <f aca="false">L4-L12-L13</f>
        <v>175.109238087897</v>
      </c>
    </row>
    <row r="15" customFormat="false" ht="15" hidden="false" customHeight="false" outlineLevel="0" collapsed="false">
      <c r="A15" s="4" t="s">
        <v>866</v>
      </c>
      <c r="B15" s="19" t="n">
        <f aca="false">B14/B4</f>
        <v>0.316042267050913</v>
      </c>
      <c r="C15" s="19" t="n">
        <f aca="false">C14/C4</f>
        <v>0.77160088059646</v>
      </c>
      <c r="D15" s="19" t="n">
        <f aca="false">D14/D4</f>
        <v>0.813563188887963</v>
      </c>
      <c r="E15" s="19" t="n">
        <f aca="false">E14/E4</f>
        <v>0.810438140449553</v>
      </c>
      <c r="F15" s="19" t="n">
        <f aca="false">F14/F4</f>
        <v>0.807667258716668</v>
      </c>
      <c r="G15" s="19" t="n">
        <f aca="false">G14/G4</f>
        <v>0.810654432669521</v>
      </c>
      <c r="H15" s="19" t="n">
        <f aca="false">H14/H4</f>
        <v>0.711199287386234</v>
      </c>
      <c r="I15" s="19" t="n">
        <f aca="false">I14/I4</f>
        <v>0.718827832764676</v>
      </c>
      <c r="J15" s="19" t="n">
        <f aca="false">J14/J4</f>
        <v>0.810654432669521</v>
      </c>
      <c r="K15" s="19" t="n">
        <f aca="false">K14/K4</f>
        <v>0.622429076009146</v>
      </c>
      <c r="L15" s="19" t="n">
        <f aca="false">L14/L4</f>
        <v>0.553797749569189</v>
      </c>
    </row>
    <row r="16" customFormat="false" ht="15" hidden="false" customHeight="false" outlineLevel="0" collapsed="false">
      <c r="A16" s="4" t="s">
        <v>913</v>
      </c>
      <c r="C16" s="17" t="n">
        <f aca="false">nm_rev_0</f>
        <v>224.4</v>
      </c>
      <c r="D16" s="17" t="n">
        <f aca="false">nm_rev_1</f>
        <v>230</v>
      </c>
      <c r="E16" s="17" t="n">
        <f aca="false">nm_rev_2</f>
        <v>240</v>
      </c>
      <c r="F16" s="17" t="n">
        <f aca="false">nm_rev_3</f>
        <v>250</v>
      </c>
      <c r="G16" s="17" t="n">
        <f aca="false">nm_rev_1</f>
        <v>230</v>
      </c>
      <c r="H16" s="17" t="n">
        <f aca="false">nm_rev_2</f>
        <v>240</v>
      </c>
      <c r="I16" s="17" t="n">
        <f aca="false">nm_rev_3</f>
        <v>250</v>
      </c>
      <c r="J16" s="17" t="n">
        <f aca="false">nm_rev_1</f>
        <v>230</v>
      </c>
      <c r="K16" s="17" t="n">
        <f aca="false">nm_rev_2</f>
        <v>240</v>
      </c>
      <c r="L16" s="17" t="n">
        <f aca="false">nm_rev_3</f>
        <v>250</v>
      </c>
    </row>
    <row r="17" customFormat="false" ht="15" hidden="false" customHeight="false" outlineLevel="0" collapsed="false">
      <c r="A17" s="4" t="s">
        <v>914</v>
      </c>
      <c r="C17" s="17" t="n">
        <f aca="false">nm_op_0</f>
        <v>1.2</v>
      </c>
      <c r="D17" s="17" t="n">
        <f aca="false">nm_op_1</f>
        <v>6</v>
      </c>
      <c r="E17" s="17" t="n">
        <f aca="false">nm_op_2</f>
        <v>8</v>
      </c>
      <c r="F17" s="17" t="n">
        <f aca="false">nm_op_3</f>
        <v>8</v>
      </c>
      <c r="G17" s="17" t="n">
        <f aca="false">nm_op_1</f>
        <v>6</v>
      </c>
      <c r="H17" s="17" t="n">
        <f aca="false">nm_op_2</f>
        <v>8</v>
      </c>
      <c r="I17" s="17" t="n">
        <f aca="false">nm_op_3</f>
        <v>8</v>
      </c>
      <c r="J17" s="17" t="n">
        <f aca="false">nm_op_1</f>
        <v>6</v>
      </c>
      <c r="K17" s="17" t="n">
        <f aca="false">nm_op_2</f>
        <v>8</v>
      </c>
      <c r="L17" s="17" t="n">
        <f aca="false">nm_op_3</f>
        <v>8</v>
      </c>
    </row>
    <row r="18" customFormat="false" ht="17.15" hidden="false" customHeight="false" outlineLevel="0" collapsed="false">
      <c r="A18" s="4" t="s">
        <v>878</v>
      </c>
      <c r="C18" s="17" t="n">
        <f aca="false">C4+C16</f>
        <v>743.621256</v>
      </c>
      <c r="D18" s="17" t="n">
        <f aca="false">D4+D16</f>
        <v>1047.04270934598</v>
      </c>
      <c r="E18" s="17" t="n">
        <f aca="false">E4+E16</f>
        <v>1135.51684968148</v>
      </c>
      <c r="F18" s="17" t="n">
        <f aca="false">F4+F16</f>
        <v>1207.99669966887</v>
      </c>
      <c r="G18" s="17" t="n">
        <f aca="false">G4+G16</f>
        <v>1028.66884381203</v>
      </c>
      <c r="H18" s="17" t="n">
        <f aca="false">H4+H16</f>
        <v>745.06732605163</v>
      </c>
      <c r="I18" s="17" t="n">
        <f aca="false">I4+I16</f>
        <v>822.390326326324</v>
      </c>
      <c r="J18" s="17" t="n">
        <f aca="false">J4+J16</f>
        <v>1028.66884381203</v>
      </c>
      <c r="K18" s="17" t="n">
        <f aca="false">K4+K16</f>
        <v>593.082440688986</v>
      </c>
      <c r="L18" s="17" t="n">
        <f aca="false">L4+L16</f>
        <v>566.19709221303</v>
      </c>
      <c r="M18" s="22" t="n">
        <f aca="false">F18*(1+M32)</f>
        <v>1283.56078476272</v>
      </c>
      <c r="N18" s="22" t="n">
        <f aca="false">M18*(1+N32)</f>
        <v>1362.2130393277</v>
      </c>
      <c r="O18" s="22" t="n">
        <f aca="false">N18*(1+O32)</f>
        <v>1443.94582168736</v>
      </c>
      <c r="P18" s="22" t="n">
        <f aca="false">I18*(1+P32)</f>
        <v>890.253912165827</v>
      </c>
      <c r="Q18" s="22" t="n">
        <f aca="false">P18*(1+Q32)</f>
        <v>944.790832244577</v>
      </c>
      <c r="R18" s="22" t="n">
        <f aca="false">Q18*(1+R32)</f>
        <v>982.58246553436</v>
      </c>
      <c r="S18" s="22" t="n">
        <f aca="false">L18*(1+S32)</f>
        <v>552.860676921612</v>
      </c>
      <c r="T18" s="22" t="n">
        <f aca="false">S18*(1+T32)</f>
        <v>551.87814146922</v>
      </c>
      <c r="U18" s="22" t="n">
        <f aca="false">T18*(1+U32)</f>
        <v>562.915704298604</v>
      </c>
      <c r="V18" s="8" t="s">
        <v>915</v>
      </c>
    </row>
    <row r="19" customFormat="false" ht="15" hidden="false" customHeight="false" outlineLevel="0" collapsed="false">
      <c r="A19" s="4" t="s">
        <v>916</v>
      </c>
      <c r="C19" s="17" t="n">
        <f aca="false">C14+C17</f>
        <v>401.831578354</v>
      </c>
      <c r="D19" s="17" t="n">
        <f aca="false">D14+D17</f>
        <v>670.715872073174</v>
      </c>
      <c r="E19" s="17" t="n">
        <f aca="false">E14+E17</f>
        <v>733.761010397101</v>
      </c>
      <c r="F19" s="17" t="n">
        <f aca="false">F14+F17</f>
        <v>781.742568281168</v>
      </c>
      <c r="G19" s="17" t="n">
        <f aca="false">G14+G17</f>
        <v>653.444438471261</v>
      </c>
      <c r="H19" s="17" t="n">
        <f aca="false">H14+H17</f>
        <v>367.20352236999</v>
      </c>
      <c r="I19" s="17" t="n">
        <f aca="false">I14+I17</f>
        <v>419.450097768618</v>
      </c>
      <c r="J19" s="17" t="n">
        <f aca="false">J14+J17</f>
        <v>653.444438471261</v>
      </c>
      <c r="K19" s="17" t="n">
        <f aca="false">K14+K17</f>
        <v>227.768777313099</v>
      </c>
      <c r="L19" s="17" t="n">
        <f aca="false">L14+L17</f>
        <v>183.109238087897</v>
      </c>
    </row>
    <row r="20" customFormat="false" ht="17.15" hidden="false" customHeight="false" outlineLevel="0" collapsed="false">
      <c r="A20" s="4" t="s">
        <v>917</v>
      </c>
      <c r="B20" s="17" t="n">
        <f aca="false">SUM(Q!B12:E12)</f>
        <v>44.2</v>
      </c>
      <c r="C20" s="17" t="n">
        <f aca="false">Q!J12</f>
        <v>312.5852626832</v>
      </c>
      <c r="D20" s="17" t="n">
        <f aca="false">(D19+rf*C26)*(1-tax)</f>
        <v>543.365903962936</v>
      </c>
      <c r="E20" s="17" t="n">
        <f aca="false">(E19+rf*D26)*(1-tax)</f>
        <v>600.002965469633</v>
      </c>
      <c r="F20" s="17" t="n">
        <f aca="false">(F19+rf*E26)*(1-tax)</f>
        <v>645.260695362522</v>
      </c>
      <c r="G20" s="17" t="n">
        <f aca="false">(G19+rf*C26)*(1-tax)</f>
        <v>529.548757081406</v>
      </c>
      <c r="H20" s="17" t="n">
        <f aca="false">(H19+rf*G26)*(1-tax)</f>
        <v>306.591169285366</v>
      </c>
      <c r="I20" s="17" t="n">
        <f aca="false">(I19+rf*H26)*(1-tax)</f>
        <v>351.739971635692</v>
      </c>
      <c r="J20" s="17" t="n">
        <f aca="false">(J19+rf*C26)*(1-tax)</f>
        <v>529.548757081406</v>
      </c>
      <c r="K20" s="17" t="n">
        <f aca="false">(K19+rf*J26)*(1-tax)</f>
        <v>195.043373239853</v>
      </c>
      <c r="L20" s="17" t="n">
        <f aca="false">(L19+rf*K26)*(1-tax)</f>
        <v>161.32871033857</v>
      </c>
      <c r="M20" s="22" t="n">
        <f aca="false">M18*M33</f>
        <v>523.743126017844</v>
      </c>
      <c r="N20" s="22" t="n">
        <f aca="false">N18*N33</f>
        <v>384.036124229698</v>
      </c>
      <c r="O20" s="22" t="n">
        <f aca="false">O18*O33</f>
        <v>224.970073909409</v>
      </c>
      <c r="P20" s="22" t="n">
        <f aca="false">P18*P33</f>
        <v>292.372463203601</v>
      </c>
      <c r="Q20" s="22" t="n">
        <f aca="false">Q18*Q33</f>
        <v>216.47516973626</v>
      </c>
      <c r="R20" s="22" t="n">
        <f aca="false">R18*R33</f>
        <v>127.573836551013</v>
      </c>
      <c r="S20" s="22" t="n">
        <f aca="false">S18*S33</f>
        <v>124.160690160887</v>
      </c>
      <c r="T20" s="22" t="n">
        <f aca="false">T18*T33</f>
        <v>90.6313106493336</v>
      </c>
      <c r="U20" s="22" t="n">
        <f aca="false">U18*U33</f>
        <v>58.4690393497987</v>
      </c>
      <c r="V20" s="4" t="s">
        <v>918</v>
      </c>
    </row>
    <row r="21" customFormat="false" ht="15" hidden="false" customHeight="false" outlineLevel="0" collapsed="false">
      <c r="A21" s="4" t="s">
        <v>919</v>
      </c>
      <c r="C21" s="17" t="n">
        <f aca="false">cap_0</f>
        <v>63.3</v>
      </c>
      <c r="D21" s="17" t="n">
        <f aca="false">cap_1</f>
        <v>60</v>
      </c>
      <c r="E21" s="17" t="n">
        <f aca="false">cap_2</f>
        <v>66</v>
      </c>
      <c r="F21" s="17" t="n">
        <f aca="false">cap_3</f>
        <v>66</v>
      </c>
      <c r="G21" s="17" t="n">
        <f aca="false">cap_1</f>
        <v>60</v>
      </c>
      <c r="H21" s="17" t="n">
        <f aca="false">cap_2</f>
        <v>66</v>
      </c>
      <c r="I21" s="17" t="n">
        <f aca="false">cap_3</f>
        <v>66</v>
      </c>
      <c r="J21" s="17" t="n">
        <f aca="false">cap_1</f>
        <v>60</v>
      </c>
      <c r="K21" s="17" t="n">
        <f aca="false">cap_2</f>
        <v>66</v>
      </c>
      <c r="L21" s="17" t="n">
        <f aca="false">cap_3</f>
        <v>66</v>
      </c>
    </row>
    <row r="22" customFormat="false" ht="15" hidden="false" customHeight="false" outlineLevel="0" collapsed="false">
      <c r="A22" s="4" t="s">
        <v>920</v>
      </c>
      <c r="C22" s="17" t="n">
        <f aca="false">C20+C10-C21</f>
        <v>275.1852626832</v>
      </c>
      <c r="D22" s="17" t="n">
        <f aca="false">D20+D10-D21</f>
        <v>516.745903962936</v>
      </c>
      <c r="E22" s="17" t="n">
        <f aca="false">E20+E10-E21</f>
        <v>572.706965469633</v>
      </c>
      <c r="F22" s="17" t="n">
        <f aca="false">F20+F10-F21</f>
        <v>623.423895362522</v>
      </c>
      <c r="G22" s="17" t="n">
        <f aca="false">G20+G10-G21</f>
        <v>502.928757081406</v>
      </c>
      <c r="H22" s="17" t="n">
        <f aca="false">H20+H10-H21</f>
        <v>279.295169285366</v>
      </c>
      <c r="I22" s="17" t="n">
        <f aca="false">I20+I10-I21</f>
        <v>329.903171635692</v>
      </c>
      <c r="J22" s="17" t="n">
        <f aca="false">J20+J10-J21</f>
        <v>502.928757081406</v>
      </c>
      <c r="K22" s="17" t="n">
        <f aca="false">K20+K10-K21</f>
        <v>167.747373239853</v>
      </c>
      <c r="L22" s="17" t="n">
        <f aca="false">L20+L10-L21</f>
        <v>139.491910338569</v>
      </c>
    </row>
    <row r="23" customFormat="false" ht="15" hidden="false" customHeight="false" outlineLevel="0" collapsed="false">
      <c r="A23" s="4" t="s">
        <v>921</v>
      </c>
      <c r="C23" s="17" t="n">
        <f aca="false">div_0</f>
        <v>32.5</v>
      </c>
      <c r="D23" s="17" t="n">
        <f aca="false">dps_1*C27/1000000</f>
        <v>9.76389</v>
      </c>
      <c r="E23" s="17" t="n">
        <f aca="false">dps_2*D27/1000000</f>
        <v>8.34055567567862</v>
      </c>
      <c r="F23" s="17" t="n">
        <f aca="false">dps_3*E27/1000000</f>
        <v>6.74887861236295</v>
      </c>
      <c r="G23" s="17" t="n">
        <f aca="false">dps_1*C27/1000000</f>
        <v>9.76389</v>
      </c>
      <c r="H23" s="17" t="n">
        <f aca="false">dps_2*G27/1000000</f>
        <v>8.38010857705705</v>
      </c>
      <c r="I23" s="17" t="n">
        <f aca="false">dps_3*H27/1000000</f>
        <v>7.62857722553629</v>
      </c>
      <c r="J23" s="17" t="n">
        <f aca="false">dps_1*C27/1000000</f>
        <v>9.76389</v>
      </c>
      <c r="K23" s="17" t="n">
        <f aca="false">dps_2*J27/1000000</f>
        <v>8.38010857705705</v>
      </c>
      <c r="L23" s="17" t="n">
        <f aca="false">dps_3*K27/1000000</f>
        <v>7.94789343559024</v>
      </c>
    </row>
    <row r="24" customFormat="false" ht="17.15" hidden="false" customHeight="false" outlineLevel="0" collapsed="false">
      <c r="A24" s="4" t="s">
        <v>922</v>
      </c>
      <c r="C24" s="17" t="n">
        <f aca="false">bb_0</f>
        <v>15</v>
      </c>
      <c r="D24" s="17" t="n">
        <f aca="false">MAX(0,payout*D22-D23)</f>
        <v>248.609061981468</v>
      </c>
      <c r="E24" s="17" t="n">
        <f aca="false">MAX(0,payout*E22-E23)</f>
        <v>278.012927059138</v>
      </c>
      <c r="F24" s="17" t="n">
        <f aca="false">MAX(0,payout*F22-F23)</f>
        <v>304.963069068898</v>
      </c>
      <c r="G24" s="17" t="n">
        <f aca="false">MAX(0,payout*G22-G23)</f>
        <v>241.700488540703</v>
      </c>
      <c r="H24" s="17" t="n">
        <f aca="false">MAX(0,payout*H22-H23)</f>
        <v>131.267476065626</v>
      </c>
      <c r="I24" s="17" t="n">
        <f aca="false">MAX(0,payout*I22-I23)</f>
        <v>157.32300859231</v>
      </c>
      <c r="J24" s="17" t="n">
        <f aca="false">MAX(0,payout*J22-J23)</f>
        <v>241.700488540703</v>
      </c>
      <c r="K24" s="17" t="n">
        <f aca="false">MAX(0,payout*K22-K23)</f>
        <v>75.4935780428696</v>
      </c>
      <c r="L24" s="17" t="n">
        <f aca="false">MAX(0,payout*L22-L23)</f>
        <v>61.7980617336945</v>
      </c>
      <c r="V24" s="4" t="s">
        <v>923</v>
      </c>
    </row>
    <row r="25" customFormat="false" ht="15" hidden="false" customHeight="false" outlineLevel="0" collapsed="false">
      <c r="A25" s="4" t="s">
        <v>924</v>
      </c>
      <c r="C25" s="17" t="n">
        <f aca="false">eq_last+(Q!I12)+extra_eq-C24-C23</f>
        <v>709.2952626832</v>
      </c>
      <c r="D25" s="17" t="n">
        <f aca="false">C25+D20-D23-D24</f>
        <v>994.288214664668</v>
      </c>
      <c r="E25" s="17" t="n">
        <f aca="false">D25+E20-E23-E24</f>
        <v>1307.93769739948</v>
      </c>
      <c r="F25" s="17" t="n">
        <f aca="false">E25+F20-F23-F24</f>
        <v>1641.48644508075</v>
      </c>
      <c r="G25" s="17" t="n">
        <f aca="false">C25+G20-G23-G24</f>
        <v>987.379641223903</v>
      </c>
      <c r="H25" s="17" t="n">
        <f aca="false">G25+H20-H23-H24</f>
        <v>1154.32322586659</v>
      </c>
      <c r="I25" s="17" t="n">
        <f aca="false">H25+I20-I23-I24</f>
        <v>1341.11161168443</v>
      </c>
      <c r="J25" s="17" t="n">
        <f aca="false">C25+J20-J23-J24</f>
        <v>987.379641223903</v>
      </c>
      <c r="K25" s="17" t="n">
        <f aca="false">J25+K20-K23-K24</f>
        <v>1098.54932784383</v>
      </c>
      <c r="L25" s="17" t="n">
        <f aca="false">K25+L20-L23-L24</f>
        <v>1190.13208301311</v>
      </c>
    </row>
    <row r="26" customFormat="false" ht="15" hidden="false" customHeight="false" outlineLevel="0" collapsed="false">
      <c r="A26" s="4" t="s">
        <v>925</v>
      </c>
      <c r="C26" s="17" t="n">
        <f aca="false">nc_last+(Q!I12)+(Q!I13)-capex_rem+extra_eq-C24-C23</f>
        <v>283.0502626832</v>
      </c>
      <c r="D26" s="17" t="n">
        <f aca="false">C26+D22-D23-D24</f>
        <v>541.423214664668</v>
      </c>
      <c r="E26" s="17" t="n">
        <f aca="false">D26+E22-E23-E24</f>
        <v>827.776697399484</v>
      </c>
      <c r="F26" s="17" t="n">
        <f aca="false">E26+F22-F23-F24</f>
        <v>1139.48864508075</v>
      </c>
      <c r="G26" s="17" t="n">
        <f aca="false">C26+G22-G23-G24</f>
        <v>534.514641223903</v>
      </c>
      <c r="H26" s="17" t="n">
        <f aca="false">G26+H22-H23-H24</f>
        <v>674.162225866586</v>
      </c>
      <c r="I26" s="17" t="n">
        <f aca="false">H26+I22-I23-I24</f>
        <v>839.113811684432</v>
      </c>
      <c r="J26" s="17" t="n">
        <f aca="false">C26+J22-J23-J24</f>
        <v>534.514641223903</v>
      </c>
      <c r="K26" s="17" t="n">
        <f aca="false">J26+K22-K23-K24</f>
        <v>618.388327843829</v>
      </c>
      <c r="L26" s="17" t="n">
        <f aca="false">K26+L22-L23-L24</f>
        <v>688.134283013114</v>
      </c>
    </row>
    <row r="27" customFormat="false" ht="15" hidden="false" customHeight="false" outlineLevel="0" collapsed="false">
      <c r="A27" s="4" t="s">
        <v>926</v>
      </c>
      <c r="C27" s="17" t="n">
        <f aca="false">sh_last+extra_sh-bb_sh_0</f>
        <v>6509.26</v>
      </c>
      <c r="D27" s="17" t="n">
        <f aca="false">C27-D24/bb_px*1000000</f>
        <v>5560.37045045241</v>
      </c>
      <c r="E27" s="17" t="n">
        <f aca="false">D27-E24/bb_px*1000000</f>
        <v>4499.25240824196</v>
      </c>
      <c r="F27" s="17" t="n">
        <f aca="false">E27-F24/bb_px*1000000</f>
        <v>3335.27122858968</v>
      </c>
      <c r="G27" s="17" t="n">
        <f aca="false">C27-G24/bb_px*1000000</f>
        <v>5586.73905137136</v>
      </c>
      <c r="H27" s="17" t="n">
        <f aca="false">G27-H24/bb_px*1000000</f>
        <v>5085.71815035753</v>
      </c>
      <c r="I27" s="17" t="n">
        <f aca="false">H27-I24/bb_px*1000000</f>
        <v>4485.2486519136</v>
      </c>
      <c r="J27" s="17" t="n">
        <f aca="false">C27-J24/bb_px*1000000</f>
        <v>5586.73905137136</v>
      </c>
      <c r="K27" s="17" t="n">
        <f aca="false">J27-K24/bb_px*1000000</f>
        <v>5298.59562372682</v>
      </c>
      <c r="L27" s="17" t="n">
        <f aca="false">K27-L24/bb_px*1000000</f>
        <v>5062.7251590944</v>
      </c>
      <c r="M27" s="22" t="n">
        <f aca="false">F27</f>
        <v>3335.27122858968</v>
      </c>
      <c r="N27" s="22" t="n">
        <f aca="false">M27</f>
        <v>3335.27122858968</v>
      </c>
      <c r="O27" s="22" t="n">
        <f aca="false">N27</f>
        <v>3335.27122858968</v>
      </c>
      <c r="P27" s="22" t="n">
        <f aca="false">I27</f>
        <v>4485.2486519136</v>
      </c>
      <c r="Q27" s="22" t="n">
        <f aca="false">P27</f>
        <v>4485.2486519136</v>
      </c>
      <c r="R27" s="22" t="n">
        <f aca="false">Q27</f>
        <v>4485.2486519136</v>
      </c>
      <c r="S27" s="22" t="n">
        <f aca="false">L27</f>
        <v>5062.7251590944</v>
      </c>
      <c r="T27" s="22" t="n">
        <f aca="false">S27</f>
        <v>5062.7251590944</v>
      </c>
      <c r="U27" s="22" t="n">
        <f aca="false">T27</f>
        <v>5062.7251590944</v>
      </c>
    </row>
    <row r="28" customFormat="false" ht="17.15" hidden="false" customHeight="false" outlineLevel="0" collapsed="false">
      <c r="A28" s="4" t="s">
        <v>927</v>
      </c>
      <c r="C28" s="23" t="n">
        <f aca="false">C25/C27*1000000</f>
        <v>108967.111881105</v>
      </c>
      <c r="D28" s="23" t="n">
        <f aca="false">D25/D27*1000000</f>
        <v>178816.901414144</v>
      </c>
      <c r="E28" s="23" t="n">
        <f aca="false">E25/E27*1000000</f>
        <v>290701.116257345</v>
      </c>
      <c r="F28" s="23" t="n">
        <f aca="false">F25/F27*1000000</f>
        <v>492159.807277457</v>
      </c>
      <c r="G28" s="23" t="n">
        <f aca="false">G25/G27*1000000</f>
        <v>176736.309346958</v>
      </c>
      <c r="H28" s="23" t="n">
        <f aca="false">H25/H27*1000000</f>
        <v>226973.495529916</v>
      </c>
      <c r="I28" s="23" t="n">
        <f aca="false">I25/I27*1000000</f>
        <v>299004.963997315</v>
      </c>
      <c r="J28" s="23" t="n">
        <f aca="false">J25/J27*1000000</f>
        <v>176736.309346958</v>
      </c>
      <c r="K28" s="23" t="n">
        <f aca="false">K25/K27*1000000</f>
        <v>207328.395268472</v>
      </c>
      <c r="L28" s="23" t="n">
        <f aca="false">L25/L27*1000000</f>
        <v>235077.363596407</v>
      </c>
    </row>
    <row r="29" customFormat="false" ht="17.15" hidden="false" customHeight="false" outlineLevel="0" collapsed="false">
      <c r="A29" s="4" t="s">
        <v>928</v>
      </c>
      <c r="C29" s="23" t="n">
        <f aca="false">C20/C27*1000000</f>
        <v>48021.6280626676</v>
      </c>
      <c r="D29" s="23" t="n">
        <f aca="false">D20/D27*1000000</f>
        <v>97721.1696243594</v>
      </c>
      <c r="E29" s="23" t="n">
        <f aca="false">E20/E27*1000000</f>
        <v>133356.146983556</v>
      </c>
      <c r="F29" s="23" t="n">
        <f aca="false">F20/F27*1000000</f>
        <v>193465.73371047</v>
      </c>
      <c r="G29" s="23" t="n">
        <f aca="false">G20/G27*1000000</f>
        <v>94786.7355557655</v>
      </c>
      <c r="H29" s="23" t="n">
        <f aca="false">H20/H27*1000000</f>
        <v>60284.7346669836</v>
      </c>
      <c r="I29" s="23" t="n">
        <f aca="false">I20/I27*1000000</f>
        <v>78421.509916875</v>
      </c>
      <c r="J29" s="23" t="n">
        <f aca="false">J20/J27*1000000</f>
        <v>94786.7355557655</v>
      </c>
      <c r="K29" s="23" t="n">
        <f aca="false">K20/K27*1000000</f>
        <v>36810.3903544667</v>
      </c>
      <c r="L29" s="23" t="n">
        <f aca="false">L20/L27*1000000</f>
        <v>31865.9823057484</v>
      </c>
      <c r="M29" s="24" t="n">
        <f aca="false">M20/M27*1000000</f>
        <v>157031.644541637</v>
      </c>
      <c r="N29" s="24" t="n">
        <f aca="false">N20/N27*1000000</f>
        <v>115143.896225821</v>
      </c>
      <c r="O29" s="24" t="n">
        <f aca="false">O20/O27*1000000</f>
        <v>67451.8078113058</v>
      </c>
      <c r="P29" s="24" t="n">
        <f aca="false">P20/P27*1000000</f>
        <v>65185.3410800006</v>
      </c>
      <c r="Q29" s="24" t="n">
        <f aca="false">Q20/Q27*1000000</f>
        <v>48263.8057633444</v>
      </c>
      <c r="R29" s="24" t="n">
        <f aca="false">R20/R27*1000000</f>
        <v>28442.9797435165</v>
      </c>
      <c r="S29" s="24" t="n">
        <f aca="false">S20/S27*1000000</f>
        <v>24524.4776793485</v>
      </c>
      <c r="T29" s="24" t="n">
        <f aca="false">T20/T27*1000000</f>
        <v>17901.6849228974</v>
      </c>
      <c r="U29" s="24" t="n">
        <f aca="false">U20/U27*1000000</f>
        <v>11548.9262230181</v>
      </c>
    </row>
    <row r="30" customFormat="false" ht="17.15" hidden="false" customHeight="false" outlineLevel="0" collapsed="false">
      <c r="A30" s="0" t="s">
        <v>929</v>
      </c>
      <c r="C30" s="15" t="n">
        <f aca="false">C20/C25</f>
        <v>0.440698365164203</v>
      </c>
      <c r="D30" s="15" t="n">
        <f aca="false">D20/D25</f>
        <v>0.546487322236029</v>
      </c>
      <c r="E30" s="15" t="n">
        <f aca="false">E20/E25</f>
        <v>0.4587397141795</v>
      </c>
      <c r="F30" s="15" t="n">
        <f aca="false">F20/F25</f>
        <v>0.393095354089739</v>
      </c>
      <c r="G30" s="15" t="n">
        <f aca="false">G20/G25</f>
        <v>0.536317273490676</v>
      </c>
      <c r="H30" s="15" t="n">
        <f aca="false">H20/H25</f>
        <v>0.26560253004976</v>
      </c>
      <c r="I30" s="15" t="n">
        <f aca="false">I20/I25</f>
        <v>0.262274943092848</v>
      </c>
      <c r="J30" s="15" t="n">
        <f aca="false">J20/J25</f>
        <v>0.536317273490676</v>
      </c>
      <c r="K30" s="15" t="n">
        <f aca="false">K20/K25</f>
        <v>0.177546304290835</v>
      </c>
      <c r="L30" s="15" t="n">
        <f aca="false">L20/L25</f>
        <v>0.135555298980031</v>
      </c>
    </row>
    <row r="31" customFormat="false" ht="17.15" hidden="false" customHeight="false" outlineLevel="0" collapsed="false">
      <c r="A31" s="0" t="s">
        <v>930</v>
      </c>
      <c r="C31" s="14" t="n">
        <f aca="false">(Mkt!D24/4*sh26+Mkt!D24/4*sh26+Mkt!D24/4*sh26+Mkt!D24/4*sh26)</f>
        <v>1.09698155</v>
      </c>
      <c r="D31" s="14" t="n">
        <f aca="false">(Mkt!E24/4*sh27+Mkt!E24/4*sh27+Mkt!E24/4*sh27+Mkt!E24/4*sh27)</f>
        <v>2.228007355</v>
      </c>
      <c r="E31" s="14" t="n">
        <f aca="false">(Mkt!F24/4*sh28+Mkt!F24/4*sh28+Mkt!F24/4*sh28+Mkt!F24/4*sh28)</f>
        <v>3.400642805</v>
      </c>
      <c r="F31" s="14" t="n">
        <f aca="false">(Mkt!G24/4*sh29+Mkt!G24/4*sh29+Mkt!G24/4*sh29+Mkt!G24/4*sh29)</f>
        <v>4.59086778675</v>
      </c>
      <c r="G31" s="14" t="n">
        <f aca="false">(Mkt!E25/4*sh27+Mkt!E25/4*sh27+Mkt!E25/4*sh27+Mkt!E25/4*sh27)</f>
        <v>2.228007355</v>
      </c>
      <c r="H31" s="14" t="n">
        <f aca="false">(Mkt!F25/4*sh28+Mkt!F25/4*sh28+Mkt!F25/4*sh28+Mkt!F25/4*sh28)</f>
        <v>3.289184</v>
      </c>
      <c r="I31" s="14" t="n">
        <f aca="false">(Mkt!G25/4*sh29+Mkt!G25/4*sh29+Mkt!G25/4*sh29+Mkt!G25/4*sh29)</f>
        <v>4.5431854</v>
      </c>
      <c r="J31" s="14" t="n">
        <f aca="false">(Mkt!E26/4*sh27+Mkt!E26/4*sh27+Mkt!E26/4*sh27+Mkt!E26/4*sh27)</f>
        <v>2.228007355</v>
      </c>
      <c r="K31" s="14" t="n">
        <f aca="false">(Mkt!F26/4*sh28+Mkt!F26/4*sh28+Mkt!F26/4*sh28+Mkt!F26/4*sh28)</f>
        <v>2.466888</v>
      </c>
      <c r="L31" s="14" t="n">
        <f aca="false">(Mkt!G26/4*sh29+Mkt!G26/4*sh29+Mkt!G26/4*sh29+Mkt!G26/4*sh29)</f>
        <v>3.2069544</v>
      </c>
    </row>
    <row r="32" customFormat="false" ht="15" hidden="false" customHeight="false" outlineLevel="0" collapsed="false">
      <c r="A32" s="4" t="s">
        <v>931</v>
      </c>
      <c r="D32" s="19" t="n">
        <f aca="false">D18/C18-1</f>
        <v>0.408032248806476</v>
      </c>
      <c r="E32" s="19" t="n">
        <f aca="false">E18/D18-1</f>
        <v>0.0844990749143073</v>
      </c>
      <c r="F32" s="19" t="n">
        <f aca="false">F18/E18-1</f>
        <v>0.0638298322105175</v>
      </c>
      <c r="G32" s="19" t="n">
        <f aca="false">G18/C18-1</f>
        <v>0.383323614692405</v>
      </c>
      <c r="H32" s="19" t="n">
        <f aca="false">H18/G18-1</f>
        <v>-0.27569758670772</v>
      </c>
      <c r="I32" s="19" t="n">
        <f aca="false">I18/H18-1</f>
        <v>0.103779883469666</v>
      </c>
      <c r="J32" s="19" t="n">
        <f aca="false">J18/C18-1</f>
        <v>0.383323614692405</v>
      </c>
      <c r="K32" s="19" t="n">
        <f aca="false">K18/J18-1</f>
        <v>-0.423446676491971</v>
      </c>
      <c r="L32" s="19" t="n">
        <f aca="false">L18/K18-1</f>
        <v>-0.0453315536449259</v>
      </c>
      <c r="M32" s="25" t="n">
        <f aca="false">$F32+(fade_gA-$F32)*1/3</f>
        <v>0.0625532214736784</v>
      </c>
      <c r="N32" s="25" t="n">
        <f aca="false">$F32+(fade_gA-$F32)*2/3</f>
        <v>0.0612766107368392</v>
      </c>
      <c r="O32" s="25" t="n">
        <f aca="false">$F32+(fade_gA-$F32)*3/3</f>
        <v>0.06</v>
      </c>
      <c r="P32" s="25" t="n">
        <f aca="false">$I32+(fade_gB-$I32)*1/3</f>
        <v>0.0825199223131109</v>
      </c>
      <c r="Q32" s="25" t="n">
        <f aca="false">$I32+(fade_gB-$I32)*2/3</f>
        <v>0.0612599611565555</v>
      </c>
      <c r="R32" s="25" t="n">
        <f aca="false">$I32+(fade_gB-$I32)*3/3</f>
        <v>0.04</v>
      </c>
      <c r="S32" s="25" t="n">
        <f aca="false">$L32+(fade_gC-$L32)*1/3</f>
        <v>-0.0235543690966173</v>
      </c>
      <c r="T32" s="25" t="n">
        <f aca="false">$L32+(fade_gC-$L32)*2/3</f>
        <v>-0.00177718454830864</v>
      </c>
      <c r="U32" s="25" t="n">
        <f aca="false">$L32+(fade_gC-$L32)*3/3</f>
        <v>0.02</v>
      </c>
    </row>
    <row r="33" customFormat="false" ht="17.15" hidden="false" customHeight="false" outlineLevel="0" collapsed="false">
      <c r="A33" s="4" t="s">
        <v>932</v>
      </c>
      <c r="C33" s="19" t="n">
        <f aca="false">C20/C18</f>
        <v>0.420355470155092</v>
      </c>
      <c r="D33" s="19" t="n">
        <f aca="false">D20/D18</f>
        <v>0.518952951119199</v>
      </c>
      <c r="E33" s="19" t="n">
        <f aca="false">E20/E18</f>
        <v>0.528396355930726</v>
      </c>
      <c r="F33" s="19" t="n">
        <f aca="false">F20/F18</f>
        <v>0.534157664122261</v>
      </c>
      <c r="G33" s="19" t="n">
        <f aca="false">G20/G18</f>
        <v>0.514790313974137</v>
      </c>
      <c r="H33" s="19" t="n">
        <f aca="false">H20/H18</f>
        <v>0.411494583865459</v>
      </c>
      <c r="I33" s="19" t="n">
        <f aca="false">I20/I18</f>
        <v>0.427704412826619</v>
      </c>
      <c r="J33" s="19" t="n">
        <f aca="false">J20/J18</f>
        <v>0.514790313974137</v>
      </c>
      <c r="K33" s="19" t="n">
        <f aca="false">K20/K18</f>
        <v>0.328863847348559</v>
      </c>
      <c r="L33" s="19" t="n">
        <f aca="false">L20/L18</f>
        <v>0.284933837628877</v>
      </c>
      <c r="M33" s="25" t="n">
        <f aca="false">$F33+(fade_mA-$F33)*1/3</f>
        <v>0.40803920798707</v>
      </c>
      <c r="N33" s="25" t="n">
        <f aca="false">$F33+(fade_mA-$F33)*2/3</f>
        <v>0.281920751851878</v>
      </c>
      <c r="O33" s="25" t="n">
        <f aca="false">$F33+(fade_mA-$F33)*3/3</f>
        <v>0.155802295716687</v>
      </c>
      <c r="P33" s="25" t="n">
        <f aca="false">$I33+(fade_mB-$I33)*1/3</f>
        <v>0.328414690694603</v>
      </c>
      <c r="Q33" s="25" t="n">
        <f aca="false">$I33+(fade_mB-$I33)*2/3</f>
        <v>0.229124968562588</v>
      </c>
      <c r="R33" s="25" t="n">
        <f aca="false">$I33+(fade_mB-$I33)*3/3</f>
        <v>0.129835246430572</v>
      </c>
      <c r="S33" s="25" t="n">
        <f aca="false">$L33+(fade_mC-$L33)*1/3</f>
        <v>0.22457862413407</v>
      </c>
      <c r="T33" s="25" t="n">
        <f aca="false">$L33+(fade_mC-$L33)*2/3</f>
        <v>0.164223410639264</v>
      </c>
      <c r="U33" s="25" t="n">
        <f aca="false">$L33+(fade_mC-$L33)*3/3</f>
        <v>0.103868197144458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933</v>
      </c>
    </row>
    <row r="3" customFormat="false" ht="15" hidden="false" customHeight="false" outlineLevel="0" collapsed="false">
      <c r="A3" s="5" t="s">
        <v>934</v>
      </c>
      <c r="B3" s="5" t="s">
        <v>935</v>
      </c>
      <c r="C3" s="5" t="s">
        <v>33</v>
      </c>
      <c r="D3" s="5" t="s">
        <v>772</v>
      </c>
      <c r="E3" s="5" t="s">
        <v>936</v>
      </c>
      <c r="F3" s="5" t="s">
        <v>937</v>
      </c>
      <c r="G3" s="5" t="s">
        <v>938</v>
      </c>
    </row>
    <row r="4" customFormat="false" ht="17.15" hidden="false" customHeight="false" outlineLevel="0" collapsed="false">
      <c r="A4" s="0" t="s">
        <v>226</v>
      </c>
      <c r="B4" s="0" t="n">
        <f aca="false">pb_1</f>
        <v>1</v>
      </c>
      <c r="C4" s="0" t="s">
        <v>939</v>
      </c>
      <c r="D4" s="4" t="s">
        <v>940</v>
      </c>
      <c r="E4" s="23" t="n">
        <f aca="false">Y!C28</f>
        <v>108967.111881105</v>
      </c>
      <c r="F4" s="23" t="n">
        <f aca="false">B4*E4</f>
        <v>108967.111881105</v>
      </c>
      <c r="G4" s="15" t="n">
        <f aca="false">F4/px-1</f>
        <v>-0.494352149043598</v>
      </c>
    </row>
    <row r="5" customFormat="false" ht="17.15" hidden="false" customHeight="false" outlineLevel="0" collapsed="false">
      <c r="A5" s="0" t="s">
        <v>941</v>
      </c>
      <c r="B5" s="0" t="n">
        <f aca="false">pb_2</f>
        <v>1.4</v>
      </c>
      <c r="C5" s="0" t="s">
        <v>939</v>
      </c>
      <c r="D5" s="4" t="s">
        <v>940</v>
      </c>
      <c r="E5" s="23" t="n">
        <f aca="false">Y!C28</f>
        <v>108967.111881105</v>
      </c>
      <c r="F5" s="23" t="n">
        <f aca="false">B5*E5</f>
        <v>152553.956633547</v>
      </c>
      <c r="G5" s="15" t="n">
        <f aca="false">F5/px-1</f>
        <v>-0.292093008661037</v>
      </c>
    </row>
    <row r="6" customFormat="false" ht="17.15" hidden="false" customHeight="false" outlineLevel="0" collapsed="false">
      <c r="A6" s="0" t="s">
        <v>942</v>
      </c>
      <c r="B6" s="0" t="n">
        <f aca="false">pb_3</f>
        <v>2</v>
      </c>
      <c r="C6" s="0" t="s">
        <v>939</v>
      </c>
      <c r="D6" s="4" t="s">
        <v>940</v>
      </c>
      <c r="E6" s="23" t="n">
        <f aca="false">Y!C28</f>
        <v>108967.111881105</v>
      </c>
      <c r="F6" s="23" t="n">
        <f aca="false">B6*E6</f>
        <v>217934.223762209</v>
      </c>
      <c r="G6" s="15" t="n">
        <f aca="false">F6/px-1</f>
        <v>0.0112957019128048</v>
      </c>
    </row>
    <row r="7" customFormat="false" ht="17.15" hidden="false" customHeight="false" outlineLevel="0" collapsed="false">
      <c r="A7" s="0" t="s">
        <v>226</v>
      </c>
      <c r="B7" s="0" t="n">
        <f aca="false">pb_1</f>
        <v>1</v>
      </c>
      <c r="C7" s="0" t="s">
        <v>943</v>
      </c>
      <c r="D7" s="0" t="s">
        <v>794</v>
      </c>
      <c r="E7" s="23" t="n">
        <f aca="false">Y!D28</f>
        <v>178816.901414144</v>
      </c>
      <c r="F7" s="23" t="n">
        <f aca="false">B7*E7</f>
        <v>178816.901414144</v>
      </c>
      <c r="G7" s="15" t="n">
        <f aca="false">F7/px-1</f>
        <v>-0.170223195293996</v>
      </c>
    </row>
    <row r="8" customFormat="false" ht="17.15" hidden="false" customHeight="false" outlineLevel="0" collapsed="false">
      <c r="A8" s="0" t="s">
        <v>941</v>
      </c>
      <c r="B8" s="0" t="n">
        <f aca="false">pb_2</f>
        <v>1.4</v>
      </c>
      <c r="C8" s="0" t="s">
        <v>943</v>
      </c>
      <c r="D8" s="0" t="s">
        <v>794</v>
      </c>
      <c r="E8" s="23" t="n">
        <f aca="false">Y!D28</f>
        <v>178816.901414144</v>
      </c>
      <c r="F8" s="23" t="n">
        <f aca="false">B8*E8</f>
        <v>250343.661979801</v>
      </c>
      <c r="G8" s="15" t="n">
        <f aca="false">F8/px-1</f>
        <v>0.161687526588405</v>
      </c>
    </row>
    <row r="9" customFormat="false" ht="17.15" hidden="false" customHeight="false" outlineLevel="0" collapsed="false">
      <c r="A9" s="0" t="s">
        <v>942</v>
      </c>
      <c r="B9" s="0" t="n">
        <f aca="false">pb_3</f>
        <v>2</v>
      </c>
      <c r="C9" s="0" t="s">
        <v>943</v>
      </c>
      <c r="D9" s="0" t="s">
        <v>794</v>
      </c>
      <c r="E9" s="23" t="n">
        <f aca="false">Y!D28</f>
        <v>178816.901414144</v>
      </c>
      <c r="F9" s="23" t="n">
        <f aca="false">B9*E9</f>
        <v>357633.802828288</v>
      </c>
      <c r="G9" s="15" t="n">
        <f aca="false">F9/px-1</f>
        <v>0.659553609412008</v>
      </c>
    </row>
    <row r="10" customFormat="false" ht="17.15" hidden="false" customHeight="false" outlineLevel="0" collapsed="false">
      <c r="A10" s="0" t="s">
        <v>226</v>
      </c>
      <c r="B10" s="0" t="n">
        <f aca="false">pb_1</f>
        <v>1</v>
      </c>
      <c r="C10" s="0" t="s">
        <v>943</v>
      </c>
      <c r="D10" s="0" t="s">
        <v>795</v>
      </c>
      <c r="E10" s="23" t="n">
        <f aca="false">Y!G28</f>
        <v>176736.309346958</v>
      </c>
      <c r="F10" s="23" t="n">
        <f aca="false">B10*E10</f>
        <v>176736.309346958</v>
      </c>
      <c r="G10" s="15" t="n">
        <f aca="false">F10/px-1</f>
        <v>-0.179877914863302</v>
      </c>
    </row>
    <row r="11" customFormat="false" ht="17.15" hidden="false" customHeight="false" outlineLevel="0" collapsed="false">
      <c r="A11" s="0" t="s">
        <v>941</v>
      </c>
      <c r="B11" s="0" t="n">
        <f aca="false">pb_2</f>
        <v>1.4</v>
      </c>
      <c r="C11" s="0" t="s">
        <v>943</v>
      </c>
      <c r="D11" s="0" t="s">
        <v>795</v>
      </c>
      <c r="E11" s="23" t="n">
        <f aca="false">Y!G28</f>
        <v>176736.309346958</v>
      </c>
      <c r="F11" s="23" t="n">
        <f aca="false">B11*E11</f>
        <v>247430.833085742</v>
      </c>
      <c r="G11" s="15" t="n">
        <f aca="false">F11/px-1</f>
        <v>0.148170919191378</v>
      </c>
    </row>
    <row r="12" customFormat="false" ht="17.15" hidden="false" customHeight="false" outlineLevel="0" collapsed="false">
      <c r="A12" s="0" t="s">
        <v>942</v>
      </c>
      <c r="B12" s="0" t="n">
        <f aca="false">pb_3</f>
        <v>2</v>
      </c>
      <c r="C12" s="0" t="s">
        <v>943</v>
      </c>
      <c r="D12" s="0" t="s">
        <v>795</v>
      </c>
      <c r="E12" s="23" t="n">
        <f aca="false">Y!G28</f>
        <v>176736.309346958</v>
      </c>
      <c r="F12" s="23" t="n">
        <f aca="false">B12*E12</f>
        <v>353472.618693917</v>
      </c>
      <c r="G12" s="15" t="n">
        <f aca="false">F12/px-1</f>
        <v>0.640244170273397</v>
      </c>
    </row>
    <row r="13" customFormat="false" ht="17.15" hidden="false" customHeight="false" outlineLevel="0" collapsed="false">
      <c r="A13" s="0" t="s">
        <v>226</v>
      </c>
      <c r="B13" s="0" t="n">
        <f aca="false">pb_1</f>
        <v>1</v>
      </c>
      <c r="C13" s="0" t="s">
        <v>943</v>
      </c>
      <c r="D13" s="0" t="s">
        <v>796</v>
      </c>
      <c r="E13" s="23" t="n">
        <f aca="false">Y!J28</f>
        <v>176736.309346958</v>
      </c>
      <c r="F13" s="23" t="n">
        <f aca="false">B13*E13</f>
        <v>176736.309346958</v>
      </c>
      <c r="G13" s="15" t="n">
        <f aca="false">F13/px-1</f>
        <v>-0.179877914863302</v>
      </c>
    </row>
    <row r="14" customFormat="false" ht="17.15" hidden="false" customHeight="false" outlineLevel="0" collapsed="false">
      <c r="A14" s="0" t="s">
        <v>941</v>
      </c>
      <c r="B14" s="0" t="n">
        <f aca="false">pb_2</f>
        <v>1.4</v>
      </c>
      <c r="C14" s="0" t="s">
        <v>943</v>
      </c>
      <c r="D14" s="0" t="s">
        <v>796</v>
      </c>
      <c r="E14" s="23" t="n">
        <f aca="false">Y!J28</f>
        <v>176736.309346958</v>
      </c>
      <c r="F14" s="23" t="n">
        <f aca="false">B14*E14</f>
        <v>247430.833085742</v>
      </c>
      <c r="G14" s="15" t="n">
        <f aca="false">F14/px-1</f>
        <v>0.148170919191378</v>
      </c>
    </row>
    <row r="15" customFormat="false" ht="17.15" hidden="false" customHeight="false" outlineLevel="0" collapsed="false">
      <c r="A15" s="0" t="s">
        <v>942</v>
      </c>
      <c r="B15" s="0" t="n">
        <f aca="false">pb_3</f>
        <v>2</v>
      </c>
      <c r="C15" s="0" t="s">
        <v>943</v>
      </c>
      <c r="D15" s="0" t="s">
        <v>796</v>
      </c>
      <c r="E15" s="23" t="n">
        <f aca="false">Y!J28</f>
        <v>176736.309346958</v>
      </c>
      <c r="F15" s="23" t="n">
        <f aca="false">B15*E15</f>
        <v>353472.618693917</v>
      </c>
      <c r="G15" s="15" t="n">
        <f aca="false">F15/px-1</f>
        <v>0.640244170273397</v>
      </c>
    </row>
    <row r="16" customFormat="false" ht="17.15" hidden="false" customHeight="false" outlineLevel="0" collapsed="false">
      <c r="A16" s="0" t="s">
        <v>226</v>
      </c>
      <c r="B16" s="0" t="n">
        <f aca="false">pb_1</f>
        <v>1</v>
      </c>
      <c r="C16" s="0" t="s">
        <v>944</v>
      </c>
      <c r="D16" s="0" t="s">
        <v>794</v>
      </c>
      <c r="E16" s="23" t="n">
        <f aca="false">Y!E28</f>
        <v>290701.116257345</v>
      </c>
      <c r="F16" s="23" t="n">
        <f aca="false">B16*E16</f>
        <v>290701.116257345</v>
      </c>
      <c r="G16" s="15" t="n">
        <f aca="false">F16/px-1</f>
        <v>0.348961096321784</v>
      </c>
    </row>
    <row r="17" customFormat="false" ht="17.15" hidden="false" customHeight="false" outlineLevel="0" collapsed="false">
      <c r="A17" s="0" t="s">
        <v>941</v>
      </c>
      <c r="B17" s="0" t="n">
        <f aca="false">pb_2</f>
        <v>1.4</v>
      </c>
      <c r="C17" s="0" t="s">
        <v>944</v>
      </c>
      <c r="D17" s="0" t="s">
        <v>794</v>
      </c>
      <c r="E17" s="23" t="n">
        <f aca="false">Y!E28</f>
        <v>290701.116257345</v>
      </c>
      <c r="F17" s="23" t="n">
        <f aca="false">B17*E17</f>
        <v>406981.562760282</v>
      </c>
      <c r="G17" s="15" t="n">
        <f aca="false">F17/px-1</f>
        <v>0.888545534850498</v>
      </c>
    </row>
    <row r="18" customFormat="false" ht="17.15" hidden="false" customHeight="false" outlineLevel="0" collapsed="false">
      <c r="A18" s="0" t="s">
        <v>942</v>
      </c>
      <c r="B18" s="0" t="n">
        <f aca="false">pb_3</f>
        <v>2</v>
      </c>
      <c r="C18" s="0" t="s">
        <v>944</v>
      </c>
      <c r="D18" s="0" t="s">
        <v>794</v>
      </c>
      <c r="E18" s="23" t="n">
        <f aca="false">Y!E28</f>
        <v>290701.116257345</v>
      </c>
      <c r="F18" s="23" t="n">
        <f aca="false">B18*E18</f>
        <v>581402.232514689</v>
      </c>
      <c r="G18" s="15" t="n">
        <f aca="false">F18/px-1</f>
        <v>1.69792219264357</v>
      </c>
    </row>
    <row r="19" customFormat="false" ht="17.15" hidden="false" customHeight="false" outlineLevel="0" collapsed="false">
      <c r="A19" s="0" t="s">
        <v>226</v>
      </c>
      <c r="B19" s="0" t="n">
        <f aca="false">pb_1</f>
        <v>1</v>
      </c>
      <c r="C19" s="0" t="s">
        <v>944</v>
      </c>
      <c r="D19" s="0" t="s">
        <v>795</v>
      </c>
      <c r="E19" s="23" t="n">
        <f aca="false">Y!H28</f>
        <v>226973.495529916</v>
      </c>
      <c r="F19" s="23" t="n">
        <f aca="false">B19*E19</f>
        <v>226973.495529916</v>
      </c>
      <c r="G19" s="15" t="n">
        <f aca="false">F19/px-1</f>
        <v>0.0532412785610945</v>
      </c>
    </row>
    <row r="20" customFormat="false" ht="17.15" hidden="false" customHeight="false" outlineLevel="0" collapsed="false">
      <c r="A20" s="0" t="s">
        <v>941</v>
      </c>
      <c r="B20" s="0" t="n">
        <f aca="false">pb_2</f>
        <v>1.4</v>
      </c>
      <c r="C20" s="0" t="s">
        <v>944</v>
      </c>
      <c r="D20" s="0" t="s">
        <v>795</v>
      </c>
      <c r="E20" s="23" t="n">
        <f aca="false">Y!H28</f>
        <v>226973.495529916</v>
      </c>
      <c r="F20" s="23" t="n">
        <f aca="false">B20*E20</f>
        <v>317762.893741882</v>
      </c>
      <c r="G20" s="15" t="n">
        <f aca="false">F20/px-1</f>
        <v>0.474537789985532</v>
      </c>
    </row>
    <row r="21" customFormat="false" ht="17.15" hidden="false" customHeight="false" outlineLevel="0" collapsed="false">
      <c r="A21" s="0" t="s">
        <v>942</v>
      </c>
      <c r="B21" s="0" t="n">
        <f aca="false">pb_3</f>
        <v>2</v>
      </c>
      <c r="C21" s="0" t="s">
        <v>944</v>
      </c>
      <c r="D21" s="0" t="s">
        <v>795</v>
      </c>
      <c r="E21" s="23" t="n">
        <f aca="false">Y!H28</f>
        <v>226973.495529916</v>
      </c>
      <c r="F21" s="23" t="n">
        <f aca="false">B21*E21</f>
        <v>453946.991059832</v>
      </c>
      <c r="G21" s="15" t="n">
        <f aca="false">F21/px-1</f>
        <v>1.10648255712219</v>
      </c>
    </row>
    <row r="22" customFormat="false" ht="17.15" hidden="false" customHeight="false" outlineLevel="0" collapsed="false">
      <c r="A22" s="0" t="s">
        <v>226</v>
      </c>
      <c r="B22" s="0" t="n">
        <f aca="false">pb_1</f>
        <v>1</v>
      </c>
      <c r="C22" s="0" t="s">
        <v>944</v>
      </c>
      <c r="D22" s="0" t="s">
        <v>796</v>
      </c>
      <c r="E22" s="23" t="n">
        <f aca="false">Y!K28</f>
        <v>207328.395268472</v>
      </c>
      <c r="F22" s="23" t="n">
        <f aca="false">B22*E22</f>
        <v>207328.395268472</v>
      </c>
      <c r="G22" s="15" t="n">
        <f aca="false">F22/px-1</f>
        <v>-0.0379192794966509</v>
      </c>
    </row>
    <row r="23" customFormat="false" ht="17.15" hidden="false" customHeight="false" outlineLevel="0" collapsed="false">
      <c r="A23" s="0" t="s">
        <v>941</v>
      </c>
      <c r="B23" s="0" t="n">
        <f aca="false">pb_2</f>
        <v>1.4</v>
      </c>
      <c r="C23" s="0" t="s">
        <v>944</v>
      </c>
      <c r="D23" s="0" t="s">
        <v>796</v>
      </c>
      <c r="E23" s="23" t="n">
        <f aca="false">Y!K28</f>
        <v>207328.395268472</v>
      </c>
      <c r="F23" s="23" t="n">
        <f aca="false">B23*E23</f>
        <v>290259.75337586</v>
      </c>
      <c r="G23" s="15" t="n">
        <f aca="false">F23/px-1</f>
        <v>0.346913008704689</v>
      </c>
    </row>
    <row r="24" customFormat="false" ht="17.15" hidden="false" customHeight="false" outlineLevel="0" collapsed="false">
      <c r="A24" s="0" t="s">
        <v>942</v>
      </c>
      <c r="B24" s="0" t="n">
        <f aca="false">pb_3</f>
        <v>2</v>
      </c>
      <c r="C24" s="0" t="s">
        <v>944</v>
      </c>
      <c r="D24" s="0" t="s">
        <v>796</v>
      </c>
      <c r="E24" s="23" t="n">
        <f aca="false">Y!K28</f>
        <v>207328.395268472</v>
      </c>
      <c r="F24" s="23" t="n">
        <f aca="false">B24*E24</f>
        <v>414656.790536944</v>
      </c>
      <c r="G24" s="15" t="n">
        <f aca="false">F24/px-1</f>
        <v>0.924161441006698</v>
      </c>
    </row>
    <row r="25" customFormat="false" ht="17.15" hidden="false" customHeight="false" outlineLevel="0" collapsed="false">
      <c r="A25" s="0" t="s">
        <v>226</v>
      </c>
      <c r="B25" s="0" t="n">
        <f aca="false">pb_1</f>
        <v>1</v>
      </c>
      <c r="C25" s="0" t="s">
        <v>945</v>
      </c>
      <c r="D25" s="0" t="s">
        <v>794</v>
      </c>
      <c r="E25" s="23" t="n">
        <f aca="false">Y!F28</f>
        <v>492159.807277457</v>
      </c>
      <c r="F25" s="23" t="n">
        <f aca="false">B25*E25</f>
        <v>492159.807277457</v>
      </c>
      <c r="G25" s="15" t="n">
        <f aca="false">F25/px-1</f>
        <v>1.28380421010421</v>
      </c>
    </row>
    <row r="26" customFormat="false" ht="17.15" hidden="false" customHeight="false" outlineLevel="0" collapsed="false">
      <c r="A26" s="0" t="s">
        <v>941</v>
      </c>
      <c r="B26" s="0" t="n">
        <f aca="false">pb_2</f>
        <v>1.4</v>
      </c>
      <c r="C26" s="0" t="s">
        <v>945</v>
      </c>
      <c r="D26" s="0" t="s">
        <v>794</v>
      </c>
      <c r="E26" s="23" t="n">
        <f aca="false">Y!F28</f>
        <v>492159.807277457</v>
      </c>
      <c r="F26" s="23" t="n">
        <f aca="false">B26*E26</f>
        <v>689023.73018844</v>
      </c>
      <c r="G26" s="15" t="n">
        <f aca="false">F26/px-1</f>
        <v>2.19732589414589</v>
      </c>
    </row>
    <row r="27" customFormat="false" ht="17.15" hidden="false" customHeight="false" outlineLevel="0" collapsed="false">
      <c r="A27" s="0" t="s">
        <v>942</v>
      </c>
      <c r="B27" s="0" t="n">
        <f aca="false">pb_3</f>
        <v>2</v>
      </c>
      <c r="C27" s="0" t="s">
        <v>945</v>
      </c>
      <c r="D27" s="0" t="s">
        <v>794</v>
      </c>
      <c r="E27" s="23" t="n">
        <f aca="false">Y!F28</f>
        <v>492159.807277457</v>
      </c>
      <c r="F27" s="23" t="n">
        <f aca="false">B27*E27</f>
        <v>984319.614554914</v>
      </c>
      <c r="G27" s="15" t="n">
        <f aca="false">F27/px-1</f>
        <v>3.56760842020842</v>
      </c>
    </row>
    <row r="28" customFormat="false" ht="17.15" hidden="false" customHeight="false" outlineLevel="0" collapsed="false">
      <c r="A28" s="0" t="s">
        <v>226</v>
      </c>
      <c r="B28" s="0" t="n">
        <f aca="false">pb_1</f>
        <v>1</v>
      </c>
      <c r="C28" s="0" t="s">
        <v>945</v>
      </c>
      <c r="D28" s="0" t="s">
        <v>795</v>
      </c>
      <c r="E28" s="23" t="n">
        <f aca="false">Y!I28</f>
        <v>299004.963997315</v>
      </c>
      <c r="F28" s="23" t="n">
        <f aca="false">B28*E28</f>
        <v>299004.963997315</v>
      </c>
      <c r="G28" s="15" t="n">
        <f aca="false">F28/px-1</f>
        <v>0.387494032470141</v>
      </c>
    </row>
    <row r="29" customFormat="false" ht="17.15" hidden="false" customHeight="false" outlineLevel="0" collapsed="false">
      <c r="A29" s="0" t="s">
        <v>941</v>
      </c>
      <c r="B29" s="0" t="n">
        <f aca="false">pb_2</f>
        <v>1.4</v>
      </c>
      <c r="C29" s="0" t="s">
        <v>945</v>
      </c>
      <c r="D29" s="0" t="s">
        <v>795</v>
      </c>
      <c r="E29" s="23" t="n">
        <f aca="false">Y!I28</f>
        <v>299004.963997315</v>
      </c>
      <c r="F29" s="23" t="n">
        <f aca="false">B29*E29</f>
        <v>418606.949596242</v>
      </c>
      <c r="G29" s="15" t="n">
        <f aca="false">F29/px-1</f>
        <v>0.942491645458197</v>
      </c>
    </row>
    <row r="30" customFormat="false" ht="17.15" hidden="false" customHeight="false" outlineLevel="0" collapsed="false">
      <c r="A30" s="0" t="s">
        <v>942</v>
      </c>
      <c r="B30" s="0" t="n">
        <f aca="false">pb_3</f>
        <v>2</v>
      </c>
      <c r="C30" s="0" t="s">
        <v>945</v>
      </c>
      <c r="D30" s="0" t="s">
        <v>795</v>
      </c>
      <c r="E30" s="23" t="n">
        <f aca="false">Y!I28</f>
        <v>299004.963997315</v>
      </c>
      <c r="F30" s="23" t="n">
        <f aca="false">B30*E30</f>
        <v>598009.927994631</v>
      </c>
      <c r="G30" s="15" t="n">
        <f aca="false">F30/px-1</f>
        <v>1.77498806494028</v>
      </c>
    </row>
    <row r="31" customFormat="false" ht="17.15" hidden="false" customHeight="false" outlineLevel="0" collapsed="false">
      <c r="A31" s="0" t="s">
        <v>226</v>
      </c>
      <c r="B31" s="0" t="n">
        <f aca="false">pb_1</f>
        <v>1</v>
      </c>
      <c r="C31" s="0" t="s">
        <v>945</v>
      </c>
      <c r="D31" s="0" t="s">
        <v>796</v>
      </c>
      <c r="E31" s="23" t="n">
        <f aca="false">Y!L28</f>
        <v>235077.363596407</v>
      </c>
      <c r="F31" s="23" t="n">
        <f aca="false">B31*E31</f>
        <v>235077.363596407</v>
      </c>
      <c r="G31" s="15" t="n">
        <f aca="false">F31/px-1</f>
        <v>0.0908462347861132</v>
      </c>
    </row>
    <row r="32" customFormat="false" ht="17.15" hidden="false" customHeight="false" outlineLevel="0" collapsed="false">
      <c r="A32" s="0" t="s">
        <v>941</v>
      </c>
      <c r="B32" s="0" t="n">
        <f aca="false">pb_2</f>
        <v>1.4</v>
      </c>
      <c r="C32" s="0" t="s">
        <v>945</v>
      </c>
      <c r="D32" s="0" t="s">
        <v>796</v>
      </c>
      <c r="E32" s="23" t="n">
        <f aca="false">Y!L28</f>
        <v>235077.363596407</v>
      </c>
      <c r="F32" s="23" t="n">
        <f aca="false">B32*E32</f>
        <v>329108.30903497</v>
      </c>
      <c r="G32" s="15" t="n">
        <f aca="false">F32/px-1</f>
        <v>0.527184728700558</v>
      </c>
    </row>
    <row r="33" customFormat="false" ht="17.15" hidden="false" customHeight="false" outlineLevel="0" collapsed="false">
      <c r="A33" s="0" t="s">
        <v>942</v>
      </c>
      <c r="B33" s="0" t="n">
        <f aca="false">pb_3</f>
        <v>2</v>
      </c>
      <c r="C33" s="0" t="s">
        <v>945</v>
      </c>
      <c r="D33" s="0" t="s">
        <v>796</v>
      </c>
      <c r="E33" s="23" t="n">
        <f aca="false">Y!L28</f>
        <v>235077.363596407</v>
      </c>
      <c r="F33" s="23" t="n">
        <f aca="false">B33*E33</f>
        <v>470154.727192815</v>
      </c>
      <c r="G33" s="15" t="n">
        <f aca="false">F33/px-1</f>
        <v>1.18169246957223</v>
      </c>
    </row>
    <row r="34" customFormat="false" ht="15" hidden="false" customHeight="false" outlineLevel="0" collapsed="false">
      <c r="A34" s="0" t="s">
        <v>236</v>
      </c>
      <c r="B34" s="0" t="n">
        <f aca="false">pe_1</f>
        <v>4</v>
      </c>
      <c r="C34" s="0" t="s">
        <v>946</v>
      </c>
      <c r="D34" s="0" t="s">
        <v>794</v>
      </c>
      <c r="E34" s="23" t="n">
        <f aca="false">Y!D29</f>
        <v>97721.1696243594</v>
      </c>
      <c r="F34" s="23" t="n">
        <f aca="false">B34*E34</f>
        <v>390884.678497438</v>
      </c>
      <c r="G34" s="15" t="n">
        <f aca="false">F34/px-1</f>
        <v>0.813850016229408</v>
      </c>
    </row>
    <row r="35" customFormat="false" ht="15" hidden="false" customHeight="false" outlineLevel="0" collapsed="false">
      <c r="A35" s="0" t="s">
        <v>239</v>
      </c>
      <c r="B35" s="0" t="n">
        <f aca="false">pe_2</f>
        <v>8</v>
      </c>
      <c r="C35" s="0" t="s">
        <v>946</v>
      </c>
      <c r="D35" s="0" t="s">
        <v>794</v>
      </c>
      <c r="E35" s="23" t="n">
        <f aca="false">Y!D29</f>
        <v>97721.1696243594</v>
      </c>
      <c r="F35" s="23" t="n">
        <f aca="false">B35*E35</f>
        <v>781769.356994875</v>
      </c>
      <c r="G35" s="15" t="n">
        <f aca="false">F35/px-1</f>
        <v>2.62770003245882</v>
      </c>
    </row>
    <row r="36" customFormat="false" ht="15" hidden="false" customHeight="false" outlineLevel="0" collapsed="false">
      <c r="A36" s="0" t="s">
        <v>241</v>
      </c>
      <c r="B36" s="0" t="n">
        <f aca="false">pe_3</f>
        <v>12</v>
      </c>
      <c r="C36" s="0" t="s">
        <v>946</v>
      </c>
      <c r="D36" s="0" t="s">
        <v>794</v>
      </c>
      <c r="E36" s="23" t="n">
        <f aca="false">Y!D29</f>
        <v>97721.1696243594</v>
      </c>
      <c r="F36" s="23" t="n">
        <f aca="false">B36*E36</f>
        <v>1172654.03549231</v>
      </c>
      <c r="G36" s="15" t="n">
        <f aca="false">F36/px-1</f>
        <v>4.44155004868823</v>
      </c>
    </row>
    <row r="37" customFormat="false" ht="15" hidden="false" customHeight="false" outlineLevel="0" collapsed="false">
      <c r="A37" s="0" t="s">
        <v>236</v>
      </c>
      <c r="B37" s="0" t="n">
        <f aca="false">pe_1</f>
        <v>4</v>
      </c>
      <c r="C37" s="0" t="s">
        <v>946</v>
      </c>
      <c r="D37" s="0" t="s">
        <v>795</v>
      </c>
      <c r="E37" s="23" t="n">
        <f aca="false">Y!G29</f>
        <v>94786.7355557655</v>
      </c>
      <c r="F37" s="23" t="n">
        <f aca="false">B37*E37</f>
        <v>379146.942223062</v>
      </c>
      <c r="G37" s="15" t="n">
        <f aca="false">F37/px-1</f>
        <v>0.759382562520009</v>
      </c>
    </row>
    <row r="38" customFormat="false" ht="15" hidden="false" customHeight="false" outlineLevel="0" collapsed="false">
      <c r="A38" s="0" t="s">
        <v>239</v>
      </c>
      <c r="B38" s="0" t="n">
        <f aca="false">pe_2</f>
        <v>8</v>
      </c>
      <c r="C38" s="0" t="s">
        <v>946</v>
      </c>
      <c r="D38" s="0" t="s">
        <v>795</v>
      </c>
      <c r="E38" s="23" t="n">
        <f aca="false">Y!G29</f>
        <v>94786.7355557655</v>
      </c>
      <c r="F38" s="23" t="n">
        <f aca="false">B38*E38</f>
        <v>758293.884446124</v>
      </c>
      <c r="G38" s="15" t="n">
        <f aca="false">F38/px-1</f>
        <v>2.51876512504002</v>
      </c>
    </row>
    <row r="39" customFormat="false" ht="15" hidden="false" customHeight="false" outlineLevel="0" collapsed="false">
      <c r="A39" s="0" t="s">
        <v>241</v>
      </c>
      <c r="B39" s="0" t="n">
        <f aca="false">pe_3</f>
        <v>12</v>
      </c>
      <c r="C39" s="0" t="s">
        <v>946</v>
      </c>
      <c r="D39" s="0" t="s">
        <v>795</v>
      </c>
      <c r="E39" s="23" t="n">
        <f aca="false">Y!G29</f>
        <v>94786.7355557655</v>
      </c>
      <c r="F39" s="23" t="n">
        <f aca="false">B39*E39</f>
        <v>1137440.82666919</v>
      </c>
      <c r="G39" s="15" t="n">
        <f aca="false">F39/px-1</f>
        <v>4.27814768756003</v>
      </c>
    </row>
    <row r="40" customFormat="false" ht="15" hidden="false" customHeight="false" outlineLevel="0" collapsed="false">
      <c r="A40" s="0" t="s">
        <v>236</v>
      </c>
      <c r="B40" s="0" t="n">
        <f aca="false">pe_1</f>
        <v>4</v>
      </c>
      <c r="C40" s="0" t="s">
        <v>946</v>
      </c>
      <c r="D40" s="0" t="s">
        <v>796</v>
      </c>
      <c r="E40" s="23" t="n">
        <f aca="false">Y!J29</f>
        <v>94786.7355557655</v>
      </c>
      <c r="F40" s="23" t="n">
        <f aca="false">B40*E40</f>
        <v>379146.942223062</v>
      </c>
      <c r="G40" s="15" t="n">
        <f aca="false">F40/px-1</f>
        <v>0.759382562520009</v>
      </c>
    </row>
    <row r="41" customFormat="false" ht="15" hidden="false" customHeight="false" outlineLevel="0" collapsed="false">
      <c r="A41" s="0" t="s">
        <v>239</v>
      </c>
      <c r="B41" s="0" t="n">
        <f aca="false">pe_2</f>
        <v>8</v>
      </c>
      <c r="C41" s="0" t="s">
        <v>946</v>
      </c>
      <c r="D41" s="0" t="s">
        <v>796</v>
      </c>
      <c r="E41" s="23" t="n">
        <f aca="false">Y!J29</f>
        <v>94786.7355557655</v>
      </c>
      <c r="F41" s="23" t="n">
        <f aca="false">B41*E41</f>
        <v>758293.884446124</v>
      </c>
      <c r="G41" s="15" t="n">
        <f aca="false">F41/px-1</f>
        <v>2.51876512504002</v>
      </c>
    </row>
    <row r="42" customFormat="false" ht="15" hidden="false" customHeight="false" outlineLevel="0" collapsed="false">
      <c r="A42" s="0" t="s">
        <v>241</v>
      </c>
      <c r="B42" s="0" t="n">
        <f aca="false">pe_3</f>
        <v>12</v>
      </c>
      <c r="C42" s="0" t="s">
        <v>946</v>
      </c>
      <c r="D42" s="0" t="s">
        <v>796</v>
      </c>
      <c r="E42" s="23" t="n">
        <f aca="false">Y!J29</f>
        <v>94786.7355557655</v>
      </c>
      <c r="F42" s="23" t="n">
        <f aca="false">B42*E42</f>
        <v>1137440.82666919</v>
      </c>
      <c r="G42" s="15" t="n">
        <f aca="false">F42/px-1</f>
        <v>4.27814768756003</v>
      </c>
    </row>
    <row r="43" customFormat="false" ht="15" hidden="false" customHeight="false" outlineLevel="0" collapsed="false">
      <c r="A43" s="0" t="s">
        <v>236</v>
      </c>
      <c r="B43" s="0" t="n">
        <f aca="false">pe_1</f>
        <v>4</v>
      </c>
      <c r="C43" s="0" t="s">
        <v>947</v>
      </c>
      <c r="D43" s="0" t="s">
        <v>794</v>
      </c>
      <c r="E43" s="23" t="n">
        <f aca="false">Y!E29</f>
        <v>133356.146983556</v>
      </c>
      <c r="F43" s="23" t="n">
        <f aca="false">B43*E43</f>
        <v>533424.587934224</v>
      </c>
      <c r="G43" s="15" t="n">
        <f aca="false">F43/px-1</f>
        <v>1.47528811106368</v>
      </c>
    </row>
    <row r="44" customFormat="false" ht="15" hidden="false" customHeight="false" outlineLevel="0" collapsed="false">
      <c r="A44" s="0" t="s">
        <v>239</v>
      </c>
      <c r="B44" s="0" t="n">
        <f aca="false">pe_2</f>
        <v>8</v>
      </c>
      <c r="C44" s="0" t="s">
        <v>947</v>
      </c>
      <c r="D44" s="0" t="s">
        <v>794</v>
      </c>
      <c r="E44" s="23" t="n">
        <f aca="false">Y!E29</f>
        <v>133356.146983556</v>
      </c>
      <c r="F44" s="23" t="n">
        <f aca="false">B44*E44</f>
        <v>1066849.17586845</v>
      </c>
      <c r="G44" s="15" t="n">
        <f aca="false">F44/px-1</f>
        <v>3.95057622212736</v>
      </c>
    </row>
    <row r="45" customFormat="false" ht="15" hidden="false" customHeight="false" outlineLevel="0" collapsed="false">
      <c r="A45" s="0" t="s">
        <v>241</v>
      </c>
      <c r="B45" s="0" t="n">
        <f aca="false">pe_3</f>
        <v>12</v>
      </c>
      <c r="C45" s="0" t="s">
        <v>947</v>
      </c>
      <c r="D45" s="0" t="s">
        <v>794</v>
      </c>
      <c r="E45" s="23" t="n">
        <f aca="false">Y!E29</f>
        <v>133356.146983556</v>
      </c>
      <c r="F45" s="23" t="n">
        <f aca="false">B45*E45</f>
        <v>1600273.76380267</v>
      </c>
      <c r="G45" s="15" t="n">
        <f aca="false">F45/px-1</f>
        <v>6.42586433319105</v>
      </c>
    </row>
    <row r="46" customFormat="false" ht="15" hidden="false" customHeight="false" outlineLevel="0" collapsed="false">
      <c r="A46" s="0" t="s">
        <v>236</v>
      </c>
      <c r="B46" s="0" t="n">
        <f aca="false">pe_1</f>
        <v>4</v>
      </c>
      <c r="C46" s="0" t="s">
        <v>947</v>
      </c>
      <c r="D46" s="0" t="s">
        <v>795</v>
      </c>
      <c r="E46" s="23" t="n">
        <f aca="false">Y!H29</f>
        <v>60284.7346669836</v>
      </c>
      <c r="F46" s="23" t="n">
        <f aca="false">B46*E46</f>
        <v>241138.938667934</v>
      </c>
      <c r="G46" s="15" t="n">
        <f aca="false">F46/px-1</f>
        <v>0.118974193354683</v>
      </c>
    </row>
    <row r="47" customFormat="false" ht="15" hidden="false" customHeight="false" outlineLevel="0" collapsed="false">
      <c r="A47" s="0" t="s">
        <v>239</v>
      </c>
      <c r="B47" s="0" t="n">
        <f aca="false">pe_2</f>
        <v>8</v>
      </c>
      <c r="C47" s="0" t="s">
        <v>947</v>
      </c>
      <c r="D47" s="0" t="s">
        <v>795</v>
      </c>
      <c r="E47" s="23" t="n">
        <f aca="false">Y!H29</f>
        <v>60284.7346669836</v>
      </c>
      <c r="F47" s="23" t="n">
        <f aca="false">B47*E47</f>
        <v>482277.877335869</v>
      </c>
      <c r="G47" s="15" t="n">
        <f aca="false">F47/px-1</f>
        <v>1.23794838670937</v>
      </c>
    </row>
    <row r="48" customFormat="false" ht="15" hidden="false" customHeight="false" outlineLevel="0" collapsed="false">
      <c r="A48" s="0" t="s">
        <v>241</v>
      </c>
      <c r="B48" s="0" t="n">
        <f aca="false">pe_3</f>
        <v>12</v>
      </c>
      <c r="C48" s="0" t="s">
        <v>947</v>
      </c>
      <c r="D48" s="0" t="s">
        <v>795</v>
      </c>
      <c r="E48" s="23" t="n">
        <f aca="false">Y!H29</f>
        <v>60284.7346669836</v>
      </c>
      <c r="F48" s="23" t="n">
        <f aca="false">B48*E48</f>
        <v>723416.816003803</v>
      </c>
      <c r="G48" s="15" t="n">
        <f aca="false">F48/px-1</f>
        <v>2.35692258006405</v>
      </c>
    </row>
    <row r="49" customFormat="false" ht="15" hidden="false" customHeight="false" outlineLevel="0" collapsed="false">
      <c r="A49" s="0" t="s">
        <v>236</v>
      </c>
      <c r="B49" s="0" t="n">
        <f aca="false">pe_1</f>
        <v>4</v>
      </c>
      <c r="C49" s="0" t="s">
        <v>947</v>
      </c>
      <c r="D49" s="0" t="s">
        <v>796</v>
      </c>
      <c r="E49" s="23" t="n">
        <f aca="false">Y!K29</f>
        <v>36810.3903544667</v>
      </c>
      <c r="F49" s="23" t="n">
        <f aca="false">B49*E49</f>
        <v>147241.561417867</v>
      </c>
      <c r="G49" s="15" t="n">
        <f aca="false">F49/px-1</f>
        <v>-0.316744494580665</v>
      </c>
    </row>
    <row r="50" customFormat="false" ht="15" hidden="false" customHeight="false" outlineLevel="0" collapsed="false">
      <c r="A50" s="0" t="s">
        <v>239</v>
      </c>
      <c r="B50" s="0" t="n">
        <f aca="false">pe_2</f>
        <v>8</v>
      </c>
      <c r="C50" s="0" t="s">
        <v>947</v>
      </c>
      <c r="D50" s="0" t="s">
        <v>796</v>
      </c>
      <c r="E50" s="23" t="n">
        <f aca="false">Y!K29</f>
        <v>36810.3903544667</v>
      </c>
      <c r="F50" s="23" t="n">
        <f aca="false">B50*E50</f>
        <v>294483.122835734</v>
      </c>
      <c r="G50" s="15" t="n">
        <f aca="false">F50/px-1</f>
        <v>0.366511010838671</v>
      </c>
    </row>
    <row r="51" customFormat="false" ht="15" hidden="false" customHeight="false" outlineLevel="0" collapsed="false">
      <c r="A51" s="0" t="s">
        <v>241</v>
      </c>
      <c r="B51" s="0" t="n">
        <f aca="false">pe_3</f>
        <v>12</v>
      </c>
      <c r="C51" s="0" t="s">
        <v>947</v>
      </c>
      <c r="D51" s="0" t="s">
        <v>796</v>
      </c>
      <c r="E51" s="23" t="n">
        <f aca="false">Y!K29</f>
        <v>36810.3903544667</v>
      </c>
      <c r="F51" s="23" t="n">
        <f aca="false">B51*E51</f>
        <v>441724.6842536</v>
      </c>
      <c r="G51" s="15" t="n">
        <f aca="false">F51/px-1</f>
        <v>1.04976651625801</v>
      </c>
    </row>
    <row r="52" customFormat="false" ht="15" hidden="false" customHeight="false" outlineLevel="0" collapsed="false">
      <c r="A52" s="0" t="s">
        <v>236</v>
      </c>
      <c r="B52" s="0" t="n">
        <f aca="false">pe_1</f>
        <v>4</v>
      </c>
      <c r="C52" s="0" t="s">
        <v>948</v>
      </c>
      <c r="D52" s="0" t="s">
        <v>794</v>
      </c>
      <c r="E52" s="23" t="n">
        <f aca="false">Y!F29</f>
        <v>193465.73371047</v>
      </c>
      <c r="F52" s="23" t="n">
        <f aca="false">B52*E52</f>
        <v>773862.934841878</v>
      </c>
      <c r="G52" s="15" t="n">
        <f aca="false">F52/px-1</f>
        <v>2.5910112985702</v>
      </c>
    </row>
    <row r="53" customFormat="false" ht="15" hidden="false" customHeight="false" outlineLevel="0" collapsed="false">
      <c r="A53" s="0" t="s">
        <v>239</v>
      </c>
      <c r="B53" s="0" t="n">
        <f aca="false">pe_2</f>
        <v>8</v>
      </c>
      <c r="C53" s="0" t="s">
        <v>948</v>
      </c>
      <c r="D53" s="0" t="s">
        <v>794</v>
      </c>
      <c r="E53" s="23" t="n">
        <f aca="false">Y!F29</f>
        <v>193465.73371047</v>
      </c>
      <c r="F53" s="23" t="n">
        <f aca="false">B53*E53</f>
        <v>1547725.86968376</v>
      </c>
      <c r="G53" s="15" t="n">
        <f aca="false">F53/px-1</f>
        <v>6.1820225971404</v>
      </c>
    </row>
    <row r="54" customFormat="false" ht="15" hidden="false" customHeight="false" outlineLevel="0" collapsed="false">
      <c r="A54" s="0" t="s">
        <v>241</v>
      </c>
      <c r="B54" s="0" t="n">
        <f aca="false">pe_3</f>
        <v>12</v>
      </c>
      <c r="C54" s="0" t="s">
        <v>948</v>
      </c>
      <c r="D54" s="0" t="s">
        <v>794</v>
      </c>
      <c r="E54" s="23" t="n">
        <f aca="false">Y!F29</f>
        <v>193465.73371047</v>
      </c>
      <c r="F54" s="23" t="n">
        <f aca="false">B54*E54</f>
        <v>2321588.80452563</v>
      </c>
      <c r="G54" s="15" t="n">
        <f aca="false">F54/px-1</f>
        <v>9.7730338957106</v>
      </c>
    </row>
    <row r="55" customFormat="false" ht="15" hidden="false" customHeight="false" outlineLevel="0" collapsed="false">
      <c r="A55" s="0" t="s">
        <v>236</v>
      </c>
      <c r="B55" s="0" t="n">
        <f aca="false">pe_1</f>
        <v>4</v>
      </c>
      <c r="C55" s="0" t="s">
        <v>948</v>
      </c>
      <c r="D55" s="0" t="s">
        <v>795</v>
      </c>
      <c r="E55" s="23" t="n">
        <f aca="false">Y!I29</f>
        <v>78421.509916875</v>
      </c>
      <c r="F55" s="23" t="n">
        <f aca="false">B55*E55</f>
        <v>313686.0396675</v>
      </c>
      <c r="G55" s="15" t="n">
        <f aca="false">F55/px-1</f>
        <v>0.45561967363109</v>
      </c>
    </row>
    <row r="56" customFormat="false" ht="15" hidden="false" customHeight="false" outlineLevel="0" collapsed="false">
      <c r="A56" s="0" t="s">
        <v>239</v>
      </c>
      <c r="B56" s="0" t="n">
        <f aca="false">pe_2</f>
        <v>8</v>
      </c>
      <c r="C56" s="0" t="s">
        <v>948</v>
      </c>
      <c r="D56" s="0" t="s">
        <v>795</v>
      </c>
      <c r="E56" s="23" t="n">
        <f aca="false">Y!I29</f>
        <v>78421.509916875</v>
      </c>
      <c r="F56" s="23" t="n">
        <f aca="false">B56*E56</f>
        <v>627372.079335</v>
      </c>
      <c r="G56" s="15" t="n">
        <f aca="false">F56/px-1</f>
        <v>1.91123934726218</v>
      </c>
    </row>
    <row r="57" customFormat="false" ht="15" hidden="false" customHeight="false" outlineLevel="0" collapsed="false">
      <c r="A57" s="0" t="s">
        <v>241</v>
      </c>
      <c r="B57" s="0" t="n">
        <f aca="false">pe_3</f>
        <v>12</v>
      </c>
      <c r="C57" s="0" t="s">
        <v>948</v>
      </c>
      <c r="D57" s="0" t="s">
        <v>795</v>
      </c>
      <c r="E57" s="23" t="n">
        <f aca="false">Y!I29</f>
        <v>78421.509916875</v>
      </c>
      <c r="F57" s="23" t="n">
        <f aca="false">B57*E57</f>
        <v>941058.1190025</v>
      </c>
      <c r="G57" s="15" t="n">
        <f aca="false">F57/px-1</f>
        <v>3.36685902089327</v>
      </c>
    </row>
    <row r="58" customFormat="false" ht="15" hidden="false" customHeight="false" outlineLevel="0" collapsed="false">
      <c r="A58" s="0" t="s">
        <v>236</v>
      </c>
      <c r="B58" s="0" t="n">
        <f aca="false">pe_1</f>
        <v>4</v>
      </c>
      <c r="C58" s="0" t="s">
        <v>948</v>
      </c>
      <c r="D58" s="0" t="s">
        <v>796</v>
      </c>
      <c r="E58" s="23" t="n">
        <f aca="false">Y!L29</f>
        <v>31865.9823057484</v>
      </c>
      <c r="F58" s="23" t="n">
        <f aca="false">B58*E58</f>
        <v>127463.929222994</v>
      </c>
      <c r="G58" s="15" t="n">
        <f aca="false">F58/px-1</f>
        <v>-0.40852005000931</v>
      </c>
    </row>
    <row r="59" customFormat="false" ht="15" hidden="false" customHeight="false" outlineLevel="0" collapsed="false">
      <c r="A59" s="0" t="s">
        <v>239</v>
      </c>
      <c r="B59" s="0" t="n">
        <f aca="false">pe_2</f>
        <v>8</v>
      </c>
      <c r="C59" s="0" t="s">
        <v>948</v>
      </c>
      <c r="D59" s="0" t="s">
        <v>796</v>
      </c>
      <c r="E59" s="23" t="n">
        <f aca="false">Y!L29</f>
        <v>31865.9823057484</v>
      </c>
      <c r="F59" s="23" t="n">
        <f aca="false">B59*E59</f>
        <v>254927.858445987</v>
      </c>
      <c r="G59" s="15" t="n">
        <f aca="false">F59/px-1</f>
        <v>0.18295989998138</v>
      </c>
    </row>
    <row r="60" customFormat="false" ht="15" hidden="false" customHeight="false" outlineLevel="0" collapsed="false">
      <c r="A60" s="0" t="s">
        <v>241</v>
      </c>
      <c r="B60" s="0" t="n">
        <f aca="false">pe_3</f>
        <v>12</v>
      </c>
      <c r="C60" s="0" t="s">
        <v>948</v>
      </c>
      <c r="D60" s="0" t="s">
        <v>796</v>
      </c>
      <c r="E60" s="23" t="n">
        <f aca="false">Y!L29</f>
        <v>31865.9823057484</v>
      </c>
      <c r="F60" s="23" t="n">
        <f aca="false">B60*E60</f>
        <v>382391.787668981</v>
      </c>
      <c r="G60" s="15" t="n">
        <f aca="false">F60/px-1</f>
        <v>0.774439849972069</v>
      </c>
    </row>
    <row r="63" customFormat="false" ht="17.15" hidden="false" customHeight="false" outlineLevel="0" collapsed="false">
      <c r="A63" s="6" t="s">
        <v>949</v>
      </c>
    </row>
    <row r="64" customFormat="false" ht="17.15" hidden="false" customHeight="false" outlineLevel="0" collapsed="false">
      <c r="A64" s="4" t="s">
        <v>950</v>
      </c>
    </row>
    <row r="66" customFormat="false" ht="17.15" hidden="false" customHeight="false" outlineLevel="0" collapsed="false">
      <c r="A66" s="6" t="s">
        <v>951</v>
      </c>
    </row>
    <row r="67" customFormat="false" ht="15" hidden="false" customHeight="false" outlineLevel="0" collapsed="false">
      <c r="A67" s="5" t="s">
        <v>952</v>
      </c>
      <c r="B67" s="13" t="s">
        <v>953</v>
      </c>
      <c r="C67" s="5" t="s">
        <v>954</v>
      </c>
    </row>
    <row r="68" customFormat="false" ht="17.15" hidden="false" customHeight="false" outlineLevel="0" collapsed="false">
      <c r="A68" s="0" t="s">
        <v>955</v>
      </c>
      <c r="B68" s="18" t="n">
        <v>1.27</v>
      </c>
      <c r="C68" s="8" t="s">
        <v>956</v>
      </c>
    </row>
    <row r="69" customFormat="false" ht="17.15" hidden="false" customHeight="false" outlineLevel="0" collapsed="false">
      <c r="A69" s="0" t="s">
        <v>957</v>
      </c>
      <c r="B69" s="18" t="n">
        <v>1.59</v>
      </c>
      <c r="C69" s="4" t="s">
        <v>958</v>
      </c>
    </row>
    <row r="70" customFormat="false" ht="15" hidden="false" customHeight="false" outlineLevel="0" collapsed="false">
      <c r="A70" s="0" t="s">
        <v>959</v>
      </c>
      <c r="B70" s="18" t="n">
        <v>1.04</v>
      </c>
    </row>
    <row r="71" customFormat="false" ht="15" hidden="false" customHeight="false" outlineLevel="0" collapsed="false">
      <c r="A71" s="0" t="s">
        <v>960</v>
      </c>
      <c r="B71" s="18" t="n">
        <v>1.41</v>
      </c>
    </row>
    <row r="72" customFormat="false" ht="15" hidden="false" customHeight="false" outlineLevel="0" collapsed="false">
      <c r="A72" s="0" t="s">
        <v>961</v>
      </c>
      <c r="B72" s="18" t="n">
        <v>1.97</v>
      </c>
    </row>
    <row r="73" customFormat="false" ht="15" hidden="false" customHeight="false" outlineLevel="0" collapsed="false">
      <c r="A73" s="0" t="s">
        <v>962</v>
      </c>
      <c r="B73" s="18" t="n">
        <v>1.73</v>
      </c>
    </row>
    <row r="74" customFormat="false" ht="15" hidden="false" customHeight="false" outlineLevel="0" collapsed="false">
      <c r="A74" s="0" t="s">
        <v>963</v>
      </c>
      <c r="B74" s="18" t="n">
        <v>1.04</v>
      </c>
    </row>
    <row r="75" customFormat="false" ht="15" hidden="false" customHeight="false" outlineLevel="0" collapsed="false">
      <c r="A75" s="0" t="s">
        <v>964</v>
      </c>
      <c r="B75" s="18" t="n">
        <v>1.43</v>
      </c>
    </row>
    <row r="76" customFormat="false" ht="15" hidden="false" customHeight="false" outlineLevel="0" collapsed="false">
      <c r="A76" s="0" t="s">
        <v>965</v>
      </c>
      <c r="B76" s="18" t="n">
        <v>0.8865</v>
      </c>
    </row>
    <row r="77" customFormat="false" ht="15" hidden="false" customHeight="false" outlineLevel="0" collapsed="false">
      <c r="A77" s="0" t="s">
        <v>799</v>
      </c>
      <c r="B77" s="18" t="n">
        <v>1.96</v>
      </c>
    </row>
    <row r="78" customFormat="false" ht="17.15" hidden="false" customHeight="false" outlineLevel="0" collapsed="false">
      <c r="A78" s="0" t="s">
        <v>966</v>
      </c>
      <c r="B78" s="14" t="n">
        <f aca="false">PERCENTILE(B68:B77,0.25)</f>
        <v>1.0975</v>
      </c>
    </row>
    <row r="79" customFormat="false" ht="15" hidden="false" customHeight="false" outlineLevel="0" collapsed="false">
      <c r="A79" s="4" t="s">
        <v>967</v>
      </c>
      <c r="B79" s="14" t="n">
        <f aca="false">MEDIAN(B68:B77)</f>
        <v>1.42</v>
      </c>
    </row>
    <row r="80" customFormat="false" ht="17.15" hidden="false" customHeight="false" outlineLevel="0" collapsed="false">
      <c r="A80" s="0" t="s">
        <v>968</v>
      </c>
      <c r="B80" s="14" t="n">
        <f aca="false">PERCENTILE(B68:B77,0.75)</f>
        <v>1.695</v>
      </c>
    </row>
    <row r="81" customFormat="false" ht="15" hidden="false" customHeight="false" outlineLevel="0" collapsed="false">
      <c r="A81" s="4" t="s">
        <v>969</v>
      </c>
      <c r="B81" s="14" t="n">
        <f aca="false">MIN(B68:B77)</f>
        <v>0.8865</v>
      </c>
    </row>
    <row r="82" customFormat="false" ht="15" hidden="false" customHeight="false" outlineLevel="0" collapsed="false">
      <c r="A82" s="4" t="s">
        <v>970</v>
      </c>
      <c r="B82" s="14" t="n">
        <f aca="false">MAX(B68:B77)</f>
        <v>1.97</v>
      </c>
    </row>
    <row r="83" customFormat="false" ht="17.15" hidden="false" customHeight="false" outlineLevel="0" collapsed="false">
      <c r="A83" s="1" t="s">
        <v>971</v>
      </c>
      <c r="B83" s="14" t="n">
        <f aca="false">ROUND(AVERAGE(B78),2)</f>
        <v>1.1</v>
      </c>
    </row>
    <row r="84" customFormat="false" ht="17.15" hidden="false" customHeight="false" outlineLevel="0" collapsed="false">
      <c r="A84" s="1" t="s">
        <v>972</v>
      </c>
      <c r="B84" s="14" t="n">
        <f aca="false">ROUND(AVERAGE(B79),2)</f>
        <v>1.42</v>
      </c>
    </row>
    <row r="85" customFormat="false" ht="17.15" hidden="false" customHeight="false" outlineLevel="0" collapsed="false">
      <c r="A85" s="1" t="s">
        <v>973</v>
      </c>
      <c r="B85" s="14" t="n">
        <f aca="false">ROUND(AVERAGE(B80),2)</f>
        <v>1.7</v>
      </c>
    </row>
    <row r="86" customFormat="false" ht="17.15" hidden="false" customHeight="false" outlineLevel="0" collapsed="false">
      <c r="A86" s="1" t="s">
        <v>974</v>
      </c>
      <c r="B86" s="14" t="n">
        <f aca="false">ROUND(MIN(B81),2)</f>
        <v>0.89</v>
      </c>
    </row>
    <row r="87" customFormat="false" ht="17.15" hidden="false" customHeight="false" outlineLevel="0" collapsed="false">
      <c r="A87" s="1" t="s">
        <v>975</v>
      </c>
      <c r="B87" s="14" t="n">
        <f aca="false">ROUND(MAX(B82),2)</f>
        <v>1.97</v>
      </c>
    </row>
    <row r="89" customFormat="false" ht="17.15" hidden="false" customHeight="false" outlineLevel="0" collapsed="false">
      <c r="A89" s="6" t="s">
        <v>976</v>
      </c>
    </row>
    <row r="90" customFormat="false" ht="17.15" hidden="false" customHeight="false" outlineLevel="0" collapsed="false">
      <c r="A90" s="5" t="s">
        <v>977</v>
      </c>
      <c r="B90" s="5" t="s">
        <v>978</v>
      </c>
      <c r="C90" s="5" t="s">
        <v>935</v>
      </c>
      <c r="D90" s="5" t="s">
        <v>33</v>
      </c>
      <c r="E90" s="5" t="s">
        <v>936</v>
      </c>
      <c r="F90" s="5" t="s">
        <v>937</v>
      </c>
      <c r="G90" s="5" t="s">
        <v>938</v>
      </c>
      <c r="H90" s="5" t="s">
        <v>979</v>
      </c>
    </row>
    <row r="91" customFormat="false" ht="17.15" hidden="false" customHeight="false" outlineLevel="0" collapsed="false">
      <c r="A91" s="4" t="s">
        <v>980</v>
      </c>
      <c r="B91" s="4" t="s">
        <v>981</v>
      </c>
      <c r="C91" s="14" t="n">
        <f aca="false">B83</f>
        <v>1.1</v>
      </c>
      <c r="D91" s="8" t="s">
        <v>982</v>
      </c>
      <c r="E91" s="23" t="n">
        <f aca="false">Y!D28</f>
        <v>178816.901414144</v>
      </c>
      <c r="F91" s="26" t="n">
        <f aca="false">C91*E91</f>
        <v>196698.591555558</v>
      </c>
      <c r="G91" s="19" t="n">
        <f aca="false">F91/px-1</f>
        <v>-0.0872455148233955</v>
      </c>
      <c r="H91" s="14" t="n">
        <f aca="false">px/E91</f>
        <v>1.20514335219856</v>
      </c>
    </row>
    <row r="92" customFormat="false" ht="17.15" hidden="false" customHeight="false" outlineLevel="0" collapsed="false">
      <c r="A92" s="4" t="s">
        <v>983</v>
      </c>
      <c r="B92" s="4" t="s">
        <v>984</v>
      </c>
      <c r="C92" s="14" t="n">
        <f aca="false">B84</f>
        <v>1.42</v>
      </c>
      <c r="D92" s="8" t="s">
        <v>982</v>
      </c>
      <c r="E92" s="23" t="n">
        <f aca="false">Y!D28</f>
        <v>178816.901414144</v>
      </c>
      <c r="F92" s="26" t="n">
        <f aca="false">C92*E92</f>
        <v>253920.000008084</v>
      </c>
      <c r="G92" s="19" t="n">
        <f aca="false">F92/px-1</f>
        <v>0.178283062682526</v>
      </c>
      <c r="H92" s="14" t="n">
        <f aca="false">px/E92</f>
        <v>1.20514335219856</v>
      </c>
    </row>
    <row r="93" customFormat="false" ht="17.15" hidden="false" customHeight="false" outlineLevel="0" collapsed="false">
      <c r="A93" s="4" t="s">
        <v>985</v>
      </c>
      <c r="B93" s="4" t="s">
        <v>986</v>
      </c>
      <c r="C93" s="14" t="n">
        <f aca="false">B85</f>
        <v>1.7</v>
      </c>
      <c r="D93" s="8" t="s">
        <v>987</v>
      </c>
      <c r="E93" s="23" t="n">
        <f aca="false">Y!K28</f>
        <v>207328.395268472</v>
      </c>
      <c r="F93" s="26" t="n">
        <f aca="false">C93*E93</f>
        <v>352458.271956402</v>
      </c>
      <c r="G93" s="19" t="n">
        <f aca="false">F93/px-1</f>
        <v>0.635537224855693</v>
      </c>
      <c r="H93" s="14" t="n">
        <f aca="false">px/E93</f>
        <v>1.03941382327754</v>
      </c>
    </row>
    <row r="96" customFormat="false" ht="17.15" hidden="false" customHeight="false" outlineLevel="0" collapsed="false">
      <c r="A96" s="6" t="s">
        <v>988</v>
      </c>
    </row>
    <row r="97" customFormat="false" ht="17.15" hidden="false" customHeight="false" outlineLevel="0" collapsed="false">
      <c r="A97" s="5" t="s">
        <v>952</v>
      </c>
      <c r="B97" s="13" t="s">
        <v>989</v>
      </c>
      <c r="C97" s="13" t="s">
        <v>990</v>
      </c>
      <c r="D97" s="5" t="s">
        <v>954</v>
      </c>
    </row>
    <row r="98" customFormat="false" ht="17.15" hidden="false" customHeight="false" outlineLevel="0" collapsed="false">
      <c r="A98" s="0" t="s">
        <v>955</v>
      </c>
      <c r="B98" s="18" t="n">
        <v>9.15</v>
      </c>
      <c r="D98" s="8" t="s">
        <v>991</v>
      </c>
    </row>
    <row r="99" customFormat="false" ht="17.15" hidden="false" customHeight="false" outlineLevel="0" collapsed="false">
      <c r="A99" s="0" t="s">
        <v>957</v>
      </c>
      <c r="B99" s="18" t="n">
        <v>6.95</v>
      </c>
      <c r="D99" s="8" t="s">
        <v>992</v>
      </c>
    </row>
    <row r="100" customFormat="false" ht="15" hidden="false" customHeight="false" outlineLevel="0" collapsed="false">
      <c r="A100" s="0" t="s">
        <v>959</v>
      </c>
      <c r="B100" s="18" t="n">
        <v>5.06</v>
      </c>
    </row>
    <row r="101" customFormat="false" ht="15" hidden="false" customHeight="false" outlineLevel="0" collapsed="false">
      <c r="A101" s="0" t="s">
        <v>960</v>
      </c>
      <c r="B101" s="18" t="n">
        <v>15.3</v>
      </c>
    </row>
    <row r="102" customFormat="false" ht="15" hidden="false" customHeight="false" outlineLevel="0" collapsed="false">
      <c r="A102" s="0" t="s">
        <v>961</v>
      </c>
      <c r="B102" s="18" t="n">
        <v>19.1</v>
      </c>
    </row>
    <row r="103" customFormat="false" ht="15" hidden="false" customHeight="false" outlineLevel="0" collapsed="false">
      <c r="A103" s="0" t="s">
        <v>962</v>
      </c>
      <c r="B103" s="18" t="n">
        <v>12.5</v>
      </c>
      <c r="C103" s="18" t="n">
        <v>13.4</v>
      </c>
    </row>
    <row r="104" customFormat="false" ht="15" hidden="false" customHeight="false" outlineLevel="0" collapsed="false">
      <c r="A104" s="0" t="s">
        <v>963</v>
      </c>
      <c r="B104" s="18" t="n">
        <v>6.5</v>
      </c>
      <c r="C104" s="18" t="n">
        <v>6.79</v>
      </c>
    </row>
    <row r="105" customFormat="false" ht="15" hidden="false" customHeight="false" outlineLevel="0" collapsed="false">
      <c r="A105" s="0" t="s">
        <v>964</v>
      </c>
      <c r="B105" s="18" t="n">
        <v>36.1</v>
      </c>
      <c r="C105" s="18" t="n">
        <v>35.92</v>
      </c>
    </row>
    <row r="106" customFormat="false" ht="15" hidden="false" customHeight="false" outlineLevel="0" collapsed="false">
      <c r="A106" s="0" t="s">
        <v>965</v>
      </c>
      <c r="B106" s="18" t="n">
        <v>10.6</v>
      </c>
      <c r="C106" s="18" t="n">
        <v>10.53</v>
      </c>
    </row>
    <row r="107" customFormat="false" ht="15" hidden="false" customHeight="false" outlineLevel="0" collapsed="false">
      <c r="A107" s="0" t="s">
        <v>799</v>
      </c>
      <c r="B107" s="18" t="n">
        <v>18.2</v>
      </c>
      <c r="C107" s="18" t="n">
        <v>17.39</v>
      </c>
    </row>
    <row r="108" customFormat="false" ht="17.15" hidden="false" customHeight="false" outlineLevel="0" collapsed="false">
      <c r="A108" s="0" t="s">
        <v>966</v>
      </c>
      <c r="B108" s="14" t="n">
        <f aca="false">PERCENTILE(B98:B107,0.25)</f>
        <v>7.5</v>
      </c>
      <c r="C108" s="14" t="n">
        <f aca="false">PERCENTILE(C98:C107,0.25)</f>
        <v>10.53</v>
      </c>
    </row>
    <row r="109" customFormat="false" ht="15" hidden="false" customHeight="false" outlineLevel="0" collapsed="false">
      <c r="A109" s="4" t="s">
        <v>967</v>
      </c>
      <c r="B109" s="14" t="n">
        <f aca="false">MEDIAN(B98:B107)</f>
        <v>11.55</v>
      </c>
      <c r="C109" s="14" t="n">
        <f aca="false">MEDIAN(C98:C107)</f>
        <v>13.4</v>
      </c>
    </row>
    <row r="110" customFormat="false" ht="17.15" hidden="false" customHeight="false" outlineLevel="0" collapsed="false">
      <c r="A110" s="0" t="s">
        <v>968</v>
      </c>
      <c r="B110" s="14" t="n">
        <f aca="false">PERCENTILE(B98:B107,0.75)</f>
        <v>17.475</v>
      </c>
      <c r="C110" s="14" t="n">
        <f aca="false">PERCENTILE(C98:C107,0.75)</f>
        <v>17.39</v>
      </c>
    </row>
    <row r="111" customFormat="false" ht="15" hidden="false" customHeight="false" outlineLevel="0" collapsed="false">
      <c r="A111" s="4" t="s">
        <v>969</v>
      </c>
      <c r="B111" s="14" t="n">
        <f aca="false">MIN(B98:B107)</f>
        <v>5.06</v>
      </c>
      <c r="C111" s="14" t="n">
        <f aca="false">MIN(C98:C107)</f>
        <v>6.79</v>
      </c>
    </row>
    <row r="112" customFormat="false" ht="15" hidden="false" customHeight="false" outlineLevel="0" collapsed="false">
      <c r="A112" s="4" t="s">
        <v>970</v>
      </c>
      <c r="B112" s="14" t="n">
        <f aca="false">MAX(B98:B107)</f>
        <v>36.1</v>
      </c>
      <c r="C112" s="14" t="n">
        <f aca="false">MAX(C98:C107)</f>
        <v>35.92</v>
      </c>
    </row>
    <row r="113" customFormat="false" ht="17.15" hidden="false" customHeight="false" outlineLevel="0" collapsed="false">
      <c r="A113" s="1" t="s">
        <v>993</v>
      </c>
      <c r="B113" s="14" t="n">
        <f aca="false">ROUND(AVERAGE(B108),2)</f>
        <v>7.5</v>
      </c>
    </row>
    <row r="114" customFormat="false" ht="17.15" hidden="false" customHeight="false" outlineLevel="0" collapsed="false">
      <c r="A114" s="1" t="s">
        <v>994</v>
      </c>
      <c r="B114" s="14" t="n">
        <f aca="false">ROUND(AVERAGE(B109),2)</f>
        <v>11.55</v>
      </c>
    </row>
    <row r="115" customFormat="false" ht="17.15" hidden="false" customHeight="false" outlineLevel="0" collapsed="false">
      <c r="A115" s="1" t="s">
        <v>995</v>
      </c>
      <c r="B115" s="14" t="n">
        <f aca="false">ROUND(AVERAGE(B110),2)</f>
        <v>17.48</v>
      </c>
    </row>
    <row r="116" customFormat="false" ht="17.15" hidden="false" customHeight="false" outlineLevel="0" collapsed="false">
      <c r="A116" s="1" t="s">
        <v>996</v>
      </c>
      <c r="B116" s="14" t="n">
        <f aca="false">ROUND(MIN(B111),2)</f>
        <v>5.06</v>
      </c>
    </row>
    <row r="117" customFormat="false" ht="17.15" hidden="false" customHeight="false" outlineLevel="0" collapsed="false">
      <c r="A117" s="1" t="s">
        <v>997</v>
      </c>
      <c r="B117" s="14" t="n">
        <f aca="false">ROUND(MAX(B112),2)</f>
        <v>36.1</v>
      </c>
    </row>
    <row r="119" customFormat="false" ht="17.15" hidden="false" customHeight="false" outlineLevel="0" collapsed="false">
      <c r="A119" s="6" t="s">
        <v>998</v>
      </c>
    </row>
    <row r="120" customFormat="false" ht="17.15" hidden="false" customHeight="false" outlineLevel="0" collapsed="false">
      <c r="A120" s="5" t="s">
        <v>977</v>
      </c>
      <c r="B120" s="5" t="s">
        <v>978</v>
      </c>
      <c r="C120" s="5" t="s">
        <v>935</v>
      </c>
      <c r="D120" s="5" t="s">
        <v>33</v>
      </c>
      <c r="E120" s="5" t="s">
        <v>936</v>
      </c>
      <c r="F120" s="5" t="s">
        <v>937</v>
      </c>
      <c r="G120" s="5" t="s">
        <v>938</v>
      </c>
      <c r="H120" s="5" t="s">
        <v>979</v>
      </c>
    </row>
    <row r="121" customFormat="false" ht="17.15" hidden="false" customHeight="false" outlineLevel="0" collapsed="false">
      <c r="A121" s="4" t="s">
        <v>999</v>
      </c>
      <c r="B121" s="4" t="s">
        <v>981</v>
      </c>
      <c r="C121" s="14" t="n">
        <f aca="false">B113</f>
        <v>7.5</v>
      </c>
      <c r="D121" s="8" t="s">
        <v>1000</v>
      </c>
      <c r="E121" s="23" t="n">
        <f aca="false">Y!D29</f>
        <v>97721.1696243594</v>
      </c>
      <c r="F121" s="26" t="n">
        <f aca="false">C121*E121</f>
        <v>732908.772182695</v>
      </c>
      <c r="G121" s="19" t="n">
        <f aca="false">F121/px-1</f>
        <v>2.40096878043014</v>
      </c>
      <c r="H121" s="14" t="n">
        <f aca="false">px/E121</f>
        <v>2.20525399796567</v>
      </c>
    </row>
    <row r="122" customFormat="false" ht="17.15" hidden="false" customHeight="false" outlineLevel="0" collapsed="false">
      <c r="A122" s="4" t="s">
        <v>1001</v>
      </c>
      <c r="B122" s="4" t="s">
        <v>984</v>
      </c>
      <c r="C122" s="14" t="n">
        <f aca="false">B114</f>
        <v>11.55</v>
      </c>
      <c r="D122" s="8" t="s">
        <v>1000</v>
      </c>
      <c r="E122" s="23" t="n">
        <f aca="false">Y!D29</f>
        <v>97721.1696243594</v>
      </c>
      <c r="F122" s="26" t="n">
        <f aca="false">C122*E122</f>
        <v>1128679.50916135</v>
      </c>
      <c r="G122" s="19" t="n">
        <f aca="false">F122/px-1</f>
        <v>4.23749192186242</v>
      </c>
      <c r="H122" s="14" t="n">
        <f aca="false">px/E122</f>
        <v>2.20525399796567</v>
      </c>
    </row>
    <row r="123" customFormat="false" ht="17.15" hidden="false" customHeight="false" outlineLevel="0" collapsed="false">
      <c r="A123" s="4" t="s">
        <v>1002</v>
      </c>
      <c r="B123" s="4" t="s">
        <v>986</v>
      </c>
      <c r="C123" s="14" t="n">
        <f aca="false">B115</f>
        <v>17.48</v>
      </c>
      <c r="D123" s="8" t="s">
        <v>1003</v>
      </c>
      <c r="E123" s="23" t="n">
        <f aca="false">Y!K29</f>
        <v>36810.3903544667</v>
      </c>
      <c r="F123" s="26" t="n">
        <f aca="false">C123*E123</f>
        <v>643445.623396078</v>
      </c>
      <c r="G123" s="19" t="n">
        <f aca="false">F123/px-1</f>
        <v>1.9858265586825</v>
      </c>
      <c r="H123" s="14" t="n">
        <f aca="false">px/E123</f>
        <v>5.85432531208816</v>
      </c>
    </row>
    <row r="126" customFormat="false" ht="17.15" hidden="false" customHeight="false" outlineLevel="0" collapsed="false">
      <c r="A126" s="6" t="s">
        <v>1004</v>
      </c>
    </row>
    <row r="127" customFormat="false" ht="17.15" hidden="false" customHeight="false" outlineLevel="0" collapsed="false">
      <c r="A127" s="6" t="s">
        <v>1005</v>
      </c>
    </row>
    <row r="128" customFormat="false" ht="17.15" hidden="false" customHeight="false" outlineLevel="0" collapsed="false">
      <c r="A128" s="5" t="s">
        <v>30</v>
      </c>
      <c r="B128" s="13" t="s">
        <v>1006</v>
      </c>
      <c r="C128" s="13" t="s">
        <v>1007</v>
      </c>
      <c r="D128" s="13" t="s">
        <v>1008</v>
      </c>
      <c r="E128" s="5" t="s">
        <v>674</v>
      </c>
    </row>
    <row r="129" customFormat="false" ht="17.15" hidden="false" customHeight="false" outlineLevel="0" collapsed="false">
      <c r="A129" s="4" t="s">
        <v>1009</v>
      </c>
      <c r="E129" s="0" t="s">
        <v>1010</v>
      </c>
    </row>
    <row r="130" customFormat="false" ht="15" hidden="false" customHeight="false" outlineLevel="0" collapsed="false">
      <c r="A130" s="0" t="s">
        <v>1011</v>
      </c>
      <c r="B130" s="23" t="n">
        <f aca="false">Y!D29</f>
        <v>97721.1696243594</v>
      </c>
      <c r="C130" s="23" t="n">
        <f aca="false">Y!G29</f>
        <v>94786.7355557655</v>
      </c>
      <c r="D130" s="23" t="n">
        <f aca="false">Y!J29</f>
        <v>94786.7355557655</v>
      </c>
    </row>
    <row r="131" customFormat="false" ht="15" hidden="false" customHeight="false" outlineLevel="0" collapsed="false">
      <c r="A131" s="0" t="s">
        <v>1012</v>
      </c>
      <c r="B131" s="23" t="n">
        <f aca="false">Y!E29</f>
        <v>133356.146983556</v>
      </c>
      <c r="C131" s="23" t="n">
        <f aca="false">Y!H29</f>
        <v>60284.7346669836</v>
      </c>
      <c r="D131" s="23" t="n">
        <f aca="false">Y!K29</f>
        <v>36810.3903544667</v>
      </c>
    </row>
    <row r="132" customFormat="false" ht="15" hidden="false" customHeight="false" outlineLevel="0" collapsed="false">
      <c r="A132" s="0" t="s">
        <v>1013</v>
      </c>
      <c r="B132" s="23" t="n">
        <f aca="false">Y!F29</f>
        <v>193465.73371047</v>
      </c>
      <c r="C132" s="23" t="n">
        <f aca="false">Y!I29</f>
        <v>78421.509916875</v>
      </c>
      <c r="D132" s="23" t="n">
        <f aca="false">Y!L29</f>
        <v>31865.9823057484</v>
      </c>
    </row>
    <row r="133" customFormat="false" ht="15" hidden="false" customHeight="false" outlineLevel="0" collapsed="false">
      <c r="A133" s="0" t="s">
        <v>1014</v>
      </c>
      <c r="B133" s="23" t="n">
        <f aca="false">Y!M29</f>
        <v>157031.644541637</v>
      </c>
      <c r="C133" s="23" t="n">
        <f aca="false">Y!P29</f>
        <v>65185.3410800006</v>
      </c>
      <c r="D133" s="23" t="n">
        <f aca="false">Y!S29</f>
        <v>24524.4776793485</v>
      </c>
    </row>
    <row r="134" customFormat="false" ht="15" hidden="false" customHeight="false" outlineLevel="0" collapsed="false">
      <c r="A134" s="0" t="s">
        <v>1015</v>
      </c>
      <c r="B134" s="23" t="n">
        <f aca="false">Y!N29</f>
        <v>115143.896225821</v>
      </c>
      <c r="C134" s="23" t="n">
        <f aca="false">Y!Q29</f>
        <v>48263.8057633444</v>
      </c>
      <c r="D134" s="23" t="n">
        <f aca="false">Y!T29</f>
        <v>17901.6849228974</v>
      </c>
    </row>
    <row r="135" customFormat="false" ht="15" hidden="false" customHeight="false" outlineLevel="0" collapsed="false">
      <c r="A135" s="0" t="s">
        <v>1016</v>
      </c>
      <c r="B135" s="23" t="n">
        <f aca="false">Y!O29</f>
        <v>67451.8078113058</v>
      </c>
      <c r="C135" s="23" t="n">
        <f aca="false">Y!R29</f>
        <v>28442.9797435165</v>
      </c>
      <c r="D135" s="23" t="n">
        <f aca="false">Y!U29</f>
        <v>11548.9262230181</v>
      </c>
    </row>
    <row r="136" customFormat="false" ht="17.15" hidden="false" customHeight="false" outlineLevel="0" collapsed="false">
      <c r="A136" s="4" t="s">
        <v>1017</v>
      </c>
      <c r="E136" s="4" t="s">
        <v>1018</v>
      </c>
    </row>
    <row r="137" customFormat="false" ht="17.15" hidden="false" customHeight="false" outlineLevel="0" collapsed="false">
      <c r="A137" s="4" t="s">
        <v>1019</v>
      </c>
      <c r="B137" s="19" t="n">
        <f aca="false">MIN(tp_g/tp_roe,0.8)</f>
        <v>0.49813200498132</v>
      </c>
      <c r="E137" s="8" t="s">
        <v>1020</v>
      </c>
    </row>
    <row r="138" customFormat="false" ht="17.15" hidden="false" customHeight="false" outlineLevel="0" collapsed="false">
      <c r="A138" s="0" t="s">
        <v>1021</v>
      </c>
      <c r="B138" s="23" t="n">
        <f aca="false">Y!D22/Y!D27*1000000</f>
        <v>92933.7188174021</v>
      </c>
      <c r="C138" s="23" t="n">
        <f aca="false">Y!G22/Y!G27*1000000</f>
        <v>90021.8808247278</v>
      </c>
      <c r="D138" s="23" t="n">
        <f aca="false">Y!J22/Y!J27*1000000</f>
        <v>90021.8808247278</v>
      </c>
    </row>
    <row r="139" customFormat="false" ht="17.15" hidden="false" customHeight="false" outlineLevel="0" collapsed="false">
      <c r="A139" s="0" t="s">
        <v>1022</v>
      </c>
      <c r="B139" s="23" t="n">
        <f aca="false">Y!E22/Y!E27*1000000</f>
        <v>127289.361321565</v>
      </c>
      <c r="C139" s="23" t="n">
        <f aca="false">Y!H22/Y!H27*1000000</f>
        <v>54917.5477342824</v>
      </c>
      <c r="D139" s="23" t="n">
        <f aca="false">Y!K22/Y!K27*1000000</f>
        <v>31658.8366337468</v>
      </c>
    </row>
    <row r="140" customFormat="false" ht="17.15" hidden="false" customHeight="false" outlineLevel="0" collapsed="false">
      <c r="A140" s="0" t="s">
        <v>1023</v>
      </c>
      <c r="B140" s="23" t="n">
        <f aca="false">Y!F22/Y!F27*1000000</f>
        <v>186918.500066376</v>
      </c>
      <c r="C140" s="23" t="n">
        <f aca="false">Y!I22/Y!I27*1000000</f>
        <v>73552.9281068825</v>
      </c>
      <c r="D140" s="23" t="n">
        <f aca="false">Y!L22/Y!L27*1000000</f>
        <v>27552.7321659944</v>
      </c>
    </row>
    <row r="141" customFormat="false" ht="17.15" hidden="false" customHeight="false" outlineLevel="0" collapsed="false">
      <c r="A141" s="0" t="s">
        <v>1024</v>
      </c>
      <c r="B141" s="23" t="n">
        <f aca="false">B133*(1-$B$137)</f>
        <v>78809.1566005974</v>
      </c>
      <c r="C141" s="23" t="n">
        <f aca="false">C133*(1-$B$137)</f>
        <v>32714.4364324287</v>
      </c>
      <c r="D141" s="23" t="n">
        <f aca="false">D133*(1-$B$137)</f>
        <v>12308.050441815</v>
      </c>
    </row>
    <row r="142" customFormat="false" ht="17.15" hidden="false" customHeight="false" outlineLevel="0" collapsed="false">
      <c r="A142" s="0" t="s">
        <v>1025</v>
      </c>
      <c r="B142" s="23" t="n">
        <f aca="false">B134*(1-$B$137)</f>
        <v>57787.0363374919</v>
      </c>
      <c r="C142" s="23" t="n">
        <f aca="false">C134*(1-$B$137)</f>
        <v>24222.0594304206</v>
      </c>
      <c r="D142" s="23" t="n">
        <f aca="false">D134*(1-$B$137)</f>
        <v>8984.28271971065</v>
      </c>
    </row>
    <row r="143" customFormat="false" ht="17.15" hidden="false" customHeight="false" outlineLevel="0" collapsed="false">
      <c r="A143" s="0" t="s">
        <v>1026</v>
      </c>
      <c r="B143" s="23" t="n">
        <f aca="false">B135*(1-$B$137)</f>
        <v>33851.9035466454</v>
      </c>
      <c r="C143" s="23" t="n">
        <f aca="false">C135*(1-$B$137)</f>
        <v>14274.6212162355</v>
      </c>
      <c r="D143" s="23" t="n">
        <f aca="false">D135*(1-$B$137)</f>
        <v>5796.03644816474</v>
      </c>
    </row>
    <row r="144" customFormat="false" ht="17.15" hidden="false" customHeight="false" outlineLevel="0" collapsed="false">
      <c r="A144" s="0" t="s">
        <v>1027</v>
      </c>
      <c r="B144" s="23" t="n">
        <f aca="false">SUMPRODUCT(B138:B143,1/(1+tp_r)^{1;2;3;4;5;6})+B143*(1+tp_g)/(tp_r-tp_g)/(1+tp_r)^6</f>
        <v>770149.383587879</v>
      </c>
      <c r="C144" s="23" t="n">
        <f aca="false">SUMPRODUCT(C138:C143,1/(1+tp_r)^{1;2;3;4;5;6})+C143*(1+tp_g)/(tp_r-tp_g)/(1+tp_r)^6</f>
        <v>367593.885085569</v>
      </c>
      <c r="D144" s="23" t="n">
        <f aca="false">SUMPRODUCT(D138:D143,1/(1+tp_r)^{1;2;3;4;5;6})+D143*(1+tp_g)/(tp_r-tp_g)/(1+tp_r)^6</f>
        <v>202669.650527456</v>
      </c>
      <c r="E144" s="8" t="s">
        <v>1028</v>
      </c>
    </row>
    <row r="145" customFormat="false" ht="17.15" hidden="false" customHeight="false" outlineLevel="0" collapsed="false">
      <c r="A145" s="0" t="s">
        <v>1029</v>
      </c>
      <c r="B145" s="23" t="n">
        <f aca="false">B144*(1+tp_r)</f>
        <v>847164.321946667</v>
      </c>
      <c r="C145" s="23" t="n">
        <f aca="false">C144*(1+tp_r)</f>
        <v>404353.273594126</v>
      </c>
      <c r="D145" s="23" t="n">
        <f aca="false">D144*(1+tp_r)</f>
        <v>222936.615580202</v>
      </c>
    </row>
    <row r="146" customFormat="false" ht="17.15" hidden="false" customHeight="false" outlineLevel="0" collapsed="false">
      <c r="A146" s="0" t="s">
        <v>1030</v>
      </c>
      <c r="B146" s="27" t="n">
        <f aca="false">tp_wA*B145+tp_wB*C145+tp_wC*D145</f>
        <v>500913.256497103</v>
      </c>
      <c r="E146" s="8" t="s">
        <v>1031</v>
      </c>
    </row>
    <row r="148" customFormat="false" ht="17.15" hidden="false" customHeight="false" outlineLevel="0" collapsed="false">
      <c r="A148" s="6" t="s">
        <v>1032</v>
      </c>
    </row>
    <row r="149" customFormat="false" ht="17.15" hidden="false" customHeight="false" outlineLevel="0" collapsed="false">
      <c r="A149" s="5" t="s">
        <v>1033</v>
      </c>
      <c r="B149" s="5" t="s">
        <v>1034</v>
      </c>
      <c r="C149" s="5" t="s">
        <v>1035</v>
      </c>
      <c r="D149" s="5" t="s">
        <v>1036</v>
      </c>
      <c r="E149" s="5" t="s">
        <v>1037</v>
      </c>
      <c r="F149" s="5" t="s">
        <v>35</v>
      </c>
    </row>
    <row r="150" customFormat="false" ht="17.15" hidden="false" customHeight="false" outlineLevel="0" collapsed="false">
      <c r="A150" s="0" t="s">
        <v>1038</v>
      </c>
      <c r="B150" s="0" t="s">
        <v>1039</v>
      </c>
      <c r="C150" s="18" t="n">
        <v>1.35</v>
      </c>
      <c r="D150" s="8" t="s">
        <v>1040</v>
      </c>
      <c r="E150" s="8" t="s">
        <v>1041</v>
      </c>
      <c r="F150" s="8" t="s">
        <v>52</v>
      </c>
    </row>
    <row r="151" customFormat="false" ht="17.15" hidden="false" customHeight="false" outlineLevel="0" collapsed="false">
      <c r="A151" s="4" t="s">
        <v>1042</v>
      </c>
      <c r="B151" s="0" t="s">
        <v>1043</v>
      </c>
      <c r="C151" s="18" t="n">
        <v>3.35</v>
      </c>
      <c r="D151" s="8" t="s">
        <v>1040</v>
      </c>
      <c r="E151" s="8" t="s">
        <v>1044</v>
      </c>
      <c r="F151" s="8" t="s">
        <v>52</v>
      </c>
    </row>
    <row r="152" customFormat="false" ht="17.15" hidden="false" customHeight="false" outlineLevel="0" collapsed="false">
      <c r="A152" s="4" t="s">
        <v>1045</v>
      </c>
      <c r="B152" s="0" t="s">
        <v>1046</v>
      </c>
      <c r="C152" s="18" t="n">
        <v>2.22</v>
      </c>
      <c r="D152" s="8" t="s">
        <v>1047</v>
      </c>
      <c r="E152" s="8" t="s">
        <v>1048</v>
      </c>
      <c r="F152" s="8" t="s">
        <v>52</v>
      </c>
    </row>
    <row r="153" customFormat="false" ht="17.15" hidden="false" customHeight="false" outlineLevel="0" collapsed="false">
      <c r="A153" s="4" t="s">
        <v>1049</v>
      </c>
      <c r="B153" s="0" t="s">
        <v>1050</v>
      </c>
      <c r="C153" s="18" t="n">
        <v>1.66</v>
      </c>
      <c r="D153" s="8" t="s">
        <v>1051</v>
      </c>
      <c r="E153" s="8" t="s">
        <v>1041</v>
      </c>
      <c r="F153" s="8" t="s">
        <v>52</v>
      </c>
    </row>
    <row r="154" customFormat="false" ht="17.15" hidden="false" customHeight="false" outlineLevel="0" collapsed="false">
      <c r="A154" s="4" t="s">
        <v>1052</v>
      </c>
      <c r="B154" s="14" t="n">
        <f aca="false">MEDIAN(C150:C153)</f>
        <v>1.94</v>
      </c>
      <c r="E154" s="4" t="s">
        <v>1053</v>
      </c>
    </row>
    <row r="155" customFormat="false" ht="17.15" hidden="false" customHeight="false" outlineLevel="0" collapsed="false">
      <c r="A155" s="0" t="s">
        <v>1054</v>
      </c>
      <c r="B155" s="23" t="n">
        <f aca="false">tp_wA*Y!E28+tp_wB*Y!H28+tp_wC*Y!K28</f>
        <v>242162.761695856</v>
      </c>
      <c r="E155" s="4" t="s">
        <v>1055</v>
      </c>
    </row>
    <row r="156" customFormat="false" ht="17.15" hidden="false" customHeight="false" outlineLevel="0" collapsed="false">
      <c r="A156" s="0" t="s">
        <v>1056</v>
      </c>
      <c r="B156" s="27" t="n">
        <f aca="false">B154*B155</f>
        <v>469795.75768996</v>
      </c>
      <c r="E156" s="4" t="s">
        <v>1057</v>
      </c>
    </row>
    <row r="157" customFormat="false" ht="17.15" hidden="false" customHeight="false" outlineLevel="0" collapsed="false">
      <c r="A157" s="4" t="s">
        <v>1058</v>
      </c>
      <c r="B157" s="23" t="n">
        <f aca="false">tp_wA*(2/12*Y!D29+10/12*Y!E29)+tp_wB*(2/12*Y!G29+10/12*Y!H29)+tp_wC*(2/12*Y!J29+10/12*Y!K29)</f>
        <v>80537.2522122672</v>
      </c>
      <c r="E157" s="4" t="s">
        <v>1059</v>
      </c>
    </row>
    <row r="159" customFormat="false" ht="17.15" hidden="false" customHeight="false" outlineLevel="0" collapsed="false">
      <c r="A159" s="6" t="s">
        <v>1060</v>
      </c>
    </row>
    <row r="160" customFormat="false" ht="15" hidden="false" customHeight="false" outlineLevel="0" collapsed="false">
      <c r="A160" s="5" t="s">
        <v>30</v>
      </c>
      <c r="B160" s="5" t="s">
        <v>1061</v>
      </c>
      <c r="C160" s="5"/>
      <c r="D160" s="5"/>
      <c r="E160" s="5" t="s">
        <v>674</v>
      </c>
    </row>
    <row r="161" customFormat="false" ht="17.15" hidden="false" customHeight="false" outlineLevel="0" collapsed="false">
      <c r="A161" s="4" t="s">
        <v>1062</v>
      </c>
      <c r="B161" s="27" t="n">
        <f aca="false">tp_w_dcf*B146+(1-tp_w_dcf)*tp_comp_adj</f>
        <v>494190.939067784</v>
      </c>
      <c r="E161" s="8" t="s">
        <v>1063</v>
      </c>
    </row>
    <row r="162" customFormat="false" ht="17.15" hidden="false" customHeight="false" outlineLevel="0" collapsed="false">
      <c r="A162" s="0" t="s">
        <v>1064</v>
      </c>
      <c r="B162" s="23" t="n">
        <f aca="false">B156</f>
        <v>469795.75768996</v>
      </c>
    </row>
    <row r="163" customFormat="false" ht="17.15" hidden="false" customHeight="false" outlineLevel="0" collapsed="false">
      <c r="A163" s="4" t="s">
        <v>1065</v>
      </c>
      <c r="B163" s="23" t="n">
        <f aca="false">cons_tp</f>
        <v>478906</v>
      </c>
      <c r="E163" s="8" t="s">
        <v>662</v>
      </c>
    </row>
    <row r="164" customFormat="false" ht="17.15" hidden="false" customHeight="false" outlineLevel="0" collapsed="false">
      <c r="A164" s="4" t="s">
        <v>1066</v>
      </c>
      <c r="B164" s="19" t="n">
        <f aca="false">B161/px-1</f>
        <v>1.29322941562777</v>
      </c>
      <c r="E164" s="4" t="s">
        <v>1067</v>
      </c>
    </row>
    <row r="165" customFormat="false" ht="17.15" hidden="false" customHeight="false" outlineLevel="0" collapsed="false">
      <c r="A165" s="4" t="s">
        <v>1068</v>
      </c>
      <c r="B165" s="19" t="n">
        <f aca="false">B162/px-1</f>
        <v>1.18002671781884</v>
      </c>
    </row>
    <row r="166" customFormat="false" ht="17.15" hidden="false" customHeight="false" outlineLevel="0" collapsed="false">
      <c r="A166" s="0" t="s">
        <v>1069</v>
      </c>
      <c r="B166" s="28" t="n">
        <f aca="false">B145/px</f>
        <v>3.93115694638824</v>
      </c>
      <c r="C166" s="28" t="n">
        <f aca="false">C145/px</f>
        <v>1.87634929742054</v>
      </c>
      <c r="D166" s="28" t="n">
        <f aca="false">D145/px</f>
        <v>1.0345086569847</v>
      </c>
      <c r="E166" s="4" t="s">
        <v>1070</v>
      </c>
    </row>
    <row r="167" customFormat="false" ht="17.15" hidden="false" customHeight="false" outlineLevel="0" collapsed="false">
      <c r="A167" s="4" t="s">
        <v>1071</v>
      </c>
      <c r="B167" s="19" t="n">
        <f aca="false">B155/cons_bvps28-1</f>
        <v>0.0435576121861441</v>
      </c>
      <c r="E167" s="4" t="s">
        <v>1072</v>
      </c>
    </row>
    <row r="168" customFormat="false" ht="17.15" hidden="false" customHeight="false" outlineLevel="0" collapsed="false">
      <c r="A168" s="4" t="s">
        <v>1073</v>
      </c>
      <c r="B168" s="19" t="n">
        <f aca="false">B157/(2/12*cons_eps27+10/12*cons_eps28)-1</f>
        <v>0.0739875476705538</v>
      </c>
      <c r="E168" s="4" t="s">
        <v>1074</v>
      </c>
    </row>
    <row r="169" customFormat="false" ht="17.15" hidden="false" customHeight="false" outlineLevel="0" collapsed="false">
      <c r="A169" s="4" t="s">
        <v>1075</v>
      </c>
      <c r="B169" s="19" t="n">
        <f aca="false">(cons_tp/cons_bvps28)/B154-1</f>
        <v>0.0637941991622586</v>
      </c>
      <c r="E169" s="0" t="str">
        <f aca="false">"共識目標價隱含 P/B "&amp;TEXT(cons_tp/cons_bvps28,"0.00")&amp;"x（÷ 共識 2028 每股淨值），同業中位數 "&amp;TEXT(B154,"0.00")&amp;"x"</f>
        <v>共識目標價隱含 P/B 2.06x（÷ 共識 2028 每股淨值），同業中位數 1.94x</v>
      </c>
    </row>
    <row r="170" customFormat="false" ht="17.15" hidden="false" customHeight="false" outlineLevel="0" collapsed="false">
      <c r="A170" s="4" t="s">
        <v>1076</v>
      </c>
      <c r="B170" s="29" t="str">
        <f aca="false">TEXT(D145,"#,##0")&amp;"～"&amp;TEXT(B145,"#,##0")</f>
        <v>222,937～847,164</v>
      </c>
      <c r="E170" s="8" t="s">
        <v>1077</v>
      </c>
    </row>
    <row r="171" customFormat="false" ht="17.15" hidden="false" customHeight="false" outlineLevel="0" collapsed="false">
      <c r="A171" s="4" t="s">
        <v>1078</v>
      </c>
      <c r="B171" s="15" t="n">
        <f aca="false">IF(px/Y!E28&gt;=MAX($B$68:$B$77),1,IF(px/Y!E28&lt;=MIN($B$68:$B$77),0,PERCENTRANK($B$68:$B$77,px/Y!E28)))</f>
        <v>0</v>
      </c>
      <c r="C171" s="15" t="n">
        <f aca="false">IF(px/Y!H28&gt;=MAX($B$68:$B$77),1,IF(px/Y!H28&lt;=MIN($B$68:$B$77),0,PERCENTRANK($B$68:$B$77,px/Y!H28)))</f>
        <v>0.0456</v>
      </c>
      <c r="D171" s="15" t="n">
        <f aca="false">IF(px/Y!K28&gt;=MAX($B$68:$B$77),1,IF(px/Y!K28&lt;=MIN($B$68:$B$77),0,PERCENTRANK($B$68:$B$77,px/Y!K28)))</f>
        <v>0.111</v>
      </c>
      <c r="E171" s="4" t="s">
        <v>1079</v>
      </c>
    </row>
    <row r="172" customFormat="false" ht="17.15" hidden="false" customHeight="false" outlineLevel="0" collapsed="false">
      <c r="A172" s="4" t="s">
        <v>1080</v>
      </c>
      <c r="B172" s="0" t="str">
        <f aca="false">"DCF：股東現金流 2027–2029 用每股（淨利＋折舊－資本支出；折舊與資本支出為記憶體事業口徑，淨利為合併），2030–2032 收斂期用 EPS ×（1 − g／ROE），r 10%、g 4%、ROE 為 2023–2025 平均約 8%（再投資率約五成）；明確期＋永續，基準日 2026 年底。Comparable：SK 海力士、美光、鎧俠、南亞科前瞻 P/B 中位數 × 2028 年底每"&amp;"股淨值（情境加權）。收斂期（2030–2032）淨利率收斂到循環中段：A 十年平均 × 1.2、B 十年平均、C 十年平均 × 0.8（In 頁 cyc_mA／cyc_mC），永續期以 2032 中段水準為基礎。偏誤：2027–2029 仍為高峰期盈餘且權重大，DCF 仍可能偏高估；純記憶體同業倍數未含集團折價，Comparable 偏高估。情境對應：A＝順利、B＝平平、C＝不如預期（原為 Tre"&amp;"ndForce／BofA 型價格情境）。"&amp;IF(MAX(B166:D166)&gt;3,"注意：DCF ÷ 現價有情境高於 3 倍（見上方「DCF ÷ 現價」列）；DCF 對收斂期淨利率與永續假設敏感，宜與 Comparable、市場共識並讀。","")</f>
        <v>DCF：股東現金流 2027–2029 用每股（淨利＋折舊－資本支出；折舊與資本支出為記憶體事業口徑，淨利為合併），2030–2032 收斂期用 EPS ×（1 − g／ROE），r 10%、g 4%、ROE 為 2023–2025 平均約 8%（再投資率約五成）；明確期＋永續，基準日 2026 年底。Comparable：SK 海力士、美光、鎧俠、南亞科前瞻 P/B 中位數 × 2028 年底每股淨值（情境加權）。收斂期（2030–2032）淨利率收斂到循環中段：A 十年平均 × 1.2、B 十年平均、C 十年平均 × 0.8（In 頁 cyc_mA／cyc_mC），永續期以 2032 中段水準為基礎。偏誤：2027–2029 仍為高峰期盈餘且權重大，DCF 仍可能偏高估；純記憶體同業倍數未含集團折價，Comparable 偏高估。情境對應：A＝順利、B＝平平、C＝不如預期（原為 TrendForce／BofA 型價格情境）。注意：DCF ÷ 現價有情境高於 3 倍（見上方「DCF ÷ 現價」列）；DCF 對收斂期淨利率與永續假設敏感，宜與 Comparable、市場共識並讀。</v>
      </c>
    </row>
    <row r="174" customFormat="false" ht="15" hidden="false" customHeight="false" outlineLevel="0" collapsed="false">
      <c r="A174" s="1" t="s">
        <v>1081</v>
      </c>
    </row>
    <row r="175" customFormat="false" ht="15" hidden="false" customHeight="false" outlineLevel="0" collapsed="false">
      <c r="A175" s="5" t="s">
        <v>30</v>
      </c>
      <c r="B175" s="5" t="s">
        <v>1061</v>
      </c>
      <c r="C175" s="5"/>
      <c r="D175" s="5"/>
      <c r="E175" s="5" t="s">
        <v>674</v>
      </c>
    </row>
    <row r="176" customFormat="false" ht="17.15" hidden="false" customHeight="false" outlineLevel="0" collapsed="false">
      <c r="A176" s="4" t="s">
        <v>1082</v>
      </c>
      <c r="B176" s="23" t="n">
        <f aca="false">tp_wA*B178+tp_wB*B179+tp_wC*B180</f>
        <v>255561.387413885</v>
      </c>
      <c r="E176" s="4" t="s">
        <v>1083</v>
      </c>
    </row>
    <row r="177" customFormat="false" ht="17.15" hidden="false" customHeight="false" outlineLevel="0" collapsed="false">
      <c r="A177" s="4" t="s">
        <v>1084</v>
      </c>
      <c r="B177" s="19" t="n">
        <f aca="false">B176/px-1</f>
        <v>0.185899709577191</v>
      </c>
    </row>
    <row r="178" customFormat="false" ht="17.15" hidden="false" customHeight="false" outlineLevel="0" collapsed="false">
      <c r="A178" s="4" t="s">
        <v>1085</v>
      </c>
      <c r="B178" s="23" t="n">
        <f aca="false">B85*Y!D28</f>
        <v>303988.732404045</v>
      </c>
      <c r="E178" s="0" t="str">
        <f aca="false">"P/B 採用 75 分位 "&amp;TEXT(B85,"0.00")&amp;"x（第 6 節 B85）× Y 頁 D28"</f>
        <v>P/B 採用 75 分位 1.70x（第 6 節 B85）× Y 頁 D28</v>
      </c>
    </row>
    <row r="179" customFormat="false" ht="17.15" hidden="false" customHeight="false" outlineLevel="0" collapsed="false">
      <c r="A179" s="4" t="s">
        <v>1086</v>
      </c>
      <c r="B179" s="23" t="n">
        <f aca="false">B84*Y!G28</f>
        <v>250965.559272681</v>
      </c>
      <c r="E179" s="0" t="str">
        <f aca="false">"P/B 採用 中位數 "&amp;TEXT(B84,"0.00")&amp;"x（第 6 節 B84）× Y 頁 G28"</f>
        <v>P/B 採用 中位數 1.42x（第 6 節 B84）× Y 頁 G28</v>
      </c>
    </row>
    <row r="180" customFormat="false" ht="17.15" hidden="false" customHeight="false" outlineLevel="0" collapsed="false">
      <c r="A180" s="4" t="s">
        <v>1087</v>
      </c>
      <c r="B180" s="23" t="n">
        <f aca="false">B83*Y!J28</f>
        <v>194409.940281654</v>
      </c>
      <c r="E180" s="0" t="str">
        <f aca="false">"P/B 採用 25 分位 "&amp;TEXT(B83,"0.00")&amp;"x（第 6 節 B83）× Y 頁 J28"</f>
        <v>P/B 採用 25 分位 1.10x（第 6 節 B83）× Y 頁 J28</v>
      </c>
    </row>
    <row r="181" customFormat="false" ht="17.15" hidden="false" customHeight="false" outlineLevel="0" collapsed="false">
      <c r="A181" s="4" t="s">
        <v>1088</v>
      </c>
      <c r="B181" s="15" t="n">
        <f aca="false">tp_wA</f>
        <v>0.3</v>
      </c>
      <c r="C181" s="15" t="n">
        <f aca="false">tp_wB</f>
        <v>0.5</v>
      </c>
      <c r="D181" s="15" t="n">
        <f aca="false">tp_wC</f>
        <v>0.2</v>
      </c>
      <c r="E181" s="0" t="str">
        <f aca="false">"合計 "&amp;TEXT(B181+C181+D181,"0%")&amp;"；In 頁 tp_wA／tp_wB／tp_wC（Assumed，Andy 可改）"</f>
        <v>合計 100%；In 頁 tp_wA／tp_wB／tp_wC（Assumed，Andy 可改）</v>
      </c>
    </row>
    <row r="182" customFormat="false" ht="17.15" hidden="false" customHeight="false" outlineLevel="0" collapsed="false">
      <c r="A182" s="4" t="s">
        <v>1089</v>
      </c>
      <c r="B182" s="4" t="s">
        <v>1090</v>
      </c>
    </row>
    <row r="184" customFormat="false" ht="17.15" hidden="false" customHeight="false" outlineLevel="0" collapsed="false">
      <c r="A184" s="4" t="s">
        <v>1091</v>
      </c>
      <c r="B184" s="29" t="str">
        <f aca="false">IF(B164&gt;0.5,"大於 50%",IF(B164&gt;0.25,"25%–50%",IF(B164&gt;=0,"0%–25%",IF(B164&gt;=-0.25,"0%～−25%",IF(B164&gt;=-0.5,"−25%～−50%","小於 −50%")))))</f>
        <v>大於 50%</v>
      </c>
      <c r="E184" s="4" t="s">
        <v>1092</v>
      </c>
    </row>
    <row r="185" customFormat="false" ht="17.15" hidden="false" customHeight="false" outlineLevel="0" collapsed="false">
      <c r="A185" s="4" t="s">
        <v>1093</v>
      </c>
      <c r="B185" s="29" t="str">
        <f aca="false">IF(B164&gt;0.5,"強力買進",IF(B164&gt;0.25,"買進",IF(B164&gt;=-0.25,"中立",IF(B164&gt;=-0.5,"放空","強力放空"))))</f>
        <v>強力買進</v>
      </c>
      <c r="E185" s="4" t="s">
        <v>1094</v>
      </c>
    </row>
    <row r="188" customFormat="false" ht="17.15" hidden="false" customHeight="false" outlineLevel="0" collapsed="false">
      <c r="A188" s="6" t="s">
        <v>1095</v>
      </c>
    </row>
    <row r="189" customFormat="false" ht="17.15" hidden="false" customHeight="false" outlineLevel="0" collapsed="false">
      <c r="A189" s="4" t="s">
        <v>1096</v>
      </c>
    </row>
    <row r="190" customFormat="false" ht="17.15" hidden="false" customHeight="false" outlineLevel="0" collapsed="false">
      <c r="A190" s="5" t="s">
        <v>1097</v>
      </c>
      <c r="B190" s="5" t="s">
        <v>1034</v>
      </c>
      <c r="C190" s="5" t="s">
        <v>1098</v>
      </c>
      <c r="D190" s="13" t="s">
        <v>1099</v>
      </c>
      <c r="E190" s="13" t="s">
        <v>1100</v>
      </c>
      <c r="F190" s="13" t="s">
        <v>1101</v>
      </c>
      <c r="G190" s="13" t="s">
        <v>1102</v>
      </c>
      <c r="H190" s="13" t="s">
        <v>1103</v>
      </c>
      <c r="I190" s="13" t="s">
        <v>1104</v>
      </c>
      <c r="J190" s="13" t="s">
        <v>1105</v>
      </c>
      <c r="K190" s="13" t="s">
        <v>1106</v>
      </c>
      <c r="L190" s="13" t="s">
        <v>1107</v>
      </c>
      <c r="M190" s="13" t="s">
        <v>1108</v>
      </c>
      <c r="N190" s="5" t="s">
        <v>1109</v>
      </c>
      <c r="O190" s="13" t="s">
        <v>1110</v>
      </c>
      <c r="P190" s="5" t="s">
        <v>1111</v>
      </c>
      <c r="Q190" s="5" t="s">
        <v>1037</v>
      </c>
    </row>
    <row r="191" customFormat="false" ht="17.15" hidden="false" customHeight="false" outlineLevel="0" collapsed="false">
      <c r="A191" s="4" t="s">
        <v>1112</v>
      </c>
      <c r="B191" s="0" t="s">
        <v>1113</v>
      </c>
      <c r="C191" s="4" t="s">
        <v>1114</v>
      </c>
      <c r="D191" s="18" t="n">
        <v>1.4135</v>
      </c>
      <c r="E191" s="18" t="n">
        <v>1.2645</v>
      </c>
      <c r="F191" s="18" t="n">
        <v>1.152</v>
      </c>
      <c r="G191" s="18" t="n">
        <v>1.279</v>
      </c>
      <c r="H191" s="18" t="n">
        <v>1.7855</v>
      </c>
      <c r="I191" s="18" t="n">
        <v>1.3</v>
      </c>
      <c r="J191" s="18" t="n">
        <v>1.219</v>
      </c>
      <c r="K191" s="18" t="n">
        <v>1.303</v>
      </c>
      <c r="L191" s="18" t="n">
        <v>0.922</v>
      </c>
      <c r="M191" s="18" t="n">
        <v>1.8275</v>
      </c>
      <c r="N191" s="8" t="n">
        <f aca="false">COUNT(D191:M191)</f>
        <v>10</v>
      </c>
      <c r="O191" s="14" t="n">
        <f aca="false">IF(N191&gt;0,MEDIAN(D191:M191),"")</f>
        <v>1.2895</v>
      </c>
      <c r="P191" s="14" t="n">
        <f aca="false">IF(N191&gt;=7,O191,"")</f>
        <v>1.2895</v>
      </c>
      <c r="Q191" s="8" t="s">
        <v>1115</v>
      </c>
    </row>
    <row r="192" customFormat="false" ht="17.15" hidden="false" customHeight="false" outlineLevel="0" collapsed="false">
      <c r="A192" s="0" t="s">
        <v>1038</v>
      </c>
      <c r="B192" s="0" t="s">
        <v>1039</v>
      </c>
      <c r="C192" s="4" t="s">
        <v>1116</v>
      </c>
      <c r="D192" s="18" t="n">
        <v>1.213</v>
      </c>
      <c r="E192" s="18" t="n">
        <v>1.1395</v>
      </c>
      <c r="F192" s="18" t="n">
        <v>0.9995</v>
      </c>
      <c r="G192" s="18" t="n">
        <v>1.091</v>
      </c>
      <c r="H192" s="18" t="n">
        <v>1.373</v>
      </c>
      <c r="I192" s="18" t="n">
        <v>1.011</v>
      </c>
      <c r="J192" s="18" t="n">
        <v>1.2725</v>
      </c>
      <c r="K192" s="18" t="n">
        <v>1.6605</v>
      </c>
      <c r="L192" s="18" t="n">
        <v>1.3995</v>
      </c>
      <c r="M192" s="18" t="n">
        <v>2.3405</v>
      </c>
      <c r="N192" s="8" t="n">
        <f aca="false">COUNT(D192:M192)</f>
        <v>10</v>
      </c>
      <c r="O192" s="14" t="n">
        <f aca="false">IF(N192&gt;0,MEDIAN(D192:M192),"")</f>
        <v>1.24275</v>
      </c>
      <c r="P192" s="14" t="n">
        <f aca="false">IF(N192&gt;=7,O192,"")</f>
        <v>1.24275</v>
      </c>
      <c r="Q192" s="8" t="s">
        <v>1117</v>
      </c>
    </row>
    <row r="193" customFormat="false" ht="17.15" hidden="false" customHeight="false" outlineLevel="0" collapsed="false">
      <c r="A193" s="4" t="s">
        <v>1042</v>
      </c>
      <c r="B193" s="0" t="s">
        <v>1043</v>
      </c>
      <c r="C193" s="4" t="s">
        <v>1116</v>
      </c>
      <c r="D193" s="18" t="n">
        <v>1.584</v>
      </c>
      <c r="E193" s="18" t="n">
        <v>1.503</v>
      </c>
      <c r="F193" s="18" t="n">
        <v>1.2295</v>
      </c>
      <c r="G193" s="18" t="n">
        <v>1.3335</v>
      </c>
      <c r="H193" s="18" t="n">
        <v>1.802</v>
      </c>
      <c r="I193" s="18" t="n">
        <v>1.306</v>
      </c>
      <c r="J193" s="18" t="n">
        <v>1.656</v>
      </c>
      <c r="K193" s="18" t="n">
        <v>2.1515</v>
      </c>
      <c r="L193" s="18" t="n">
        <v>1.898</v>
      </c>
      <c r="M193" s="18" t="n">
        <v>3.5655</v>
      </c>
      <c r="N193" s="8" t="n">
        <f aca="false">COUNT(D193:M193)</f>
        <v>10</v>
      </c>
      <c r="O193" s="14" t="n">
        <f aca="false">IF(N193&gt;0,MEDIAN(D193:M193),"")</f>
        <v>1.62</v>
      </c>
      <c r="P193" s="14" t="n">
        <f aca="false">IF(N193&gt;=7,O193,"")</f>
        <v>1.62</v>
      </c>
      <c r="Q193" s="8" t="s">
        <v>1118</v>
      </c>
    </row>
    <row r="194" customFormat="false" ht="17.15" hidden="false" customHeight="false" outlineLevel="0" collapsed="false">
      <c r="A194" s="4" t="s">
        <v>1045</v>
      </c>
      <c r="B194" s="0" t="s">
        <v>1046</v>
      </c>
      <c r="C194" s="4" t="s">
        <v>1116</v>
      </c>
      <c r="L194" s="18" t="n">
        <v>1.494</v>
      </c>
      <c r="M194" s="18" t="n">
        <v>3.9425</v>
      </c>
      <c r="N194" s="8" t="n">
        <f aca="false">COUNT(D194:M194)</f>
        <v>2</v>
      </c>
      <c r="O194" s="14" t="n">
        <f aca="false">IF(N194&gt;0,MEDIAN(D194:M194),"")</f>
        <v>2.71825</v>
      </c>
      <c r="P194" s="14" t="str">
        <f aca="false">IF(N194&gt;=7,O194,"")</f>
        <v/>
      </c>
      <c r="Q194" s="8" t="s">
        <v>1119</v>
      </c>
    </row>
    <row r="195" customFormat="false" ht="17.15" hidden="false" customHeight="false" outlineLevel="0" collapsed="false">
      <c r="A195" s="4" t="s">
        <v>1049</v>
      </c>
      <c r="B195" s="0" t="s">
        <v>1050</v>
      </c>
      <c r="C195" s="4" t="s">
        <v>1116</v>
      </c>
      <c r="D195" s="18" t="n">
        <v>1.4325</v>
      </c>
      <c r="E195" s="18" t="n">
        <v>1.537</v>
      </c>
      <c r="F195" s="18" t="n">
        <v>1.203</v>
      </c>
      <c r="G195" s="18" t="n">
        <v>1.1455</v>
      </c>
      <c r="H195" s="18" t="n">
        <v>1.3955</v>
      </c>
      <c r="I195" s="18" t="n">
        <v>1.0635</v>
      </c>
      <c r="J195" s="18" t="n">
        <v>1.195</v>
      </c>
      <c r="K195" s="18" t="n">
        <v>1.1785</v>
      </c>
      <c r="L195" s="18" t="n">
        <v>0.782</v>
      </c>
      <c r="M195" s="18" t="n">
        <v>2.7665</v>
      </c>
      <c r="N195" s="8" t="n">
        <f aca="false">COUNT(D195:M195)</f>
        <v>10</v>
      </c>
      <c r="O195" s="14" t="n">
        <f aca="false">IF(N195&gt;0,MEDIAN(D195:M195),"")</f>
        <v>1.199</v>
      </c>
      <c r="P195" s="14" t="n">
        <f aca="false">IF(N195&gt;=7,O195,"")</f>
        <v>1.199</v>
      </c>
      <c r="Q195" s="8" t="s">
        <v>1120</v>
      </c>
    </row>
    <row r="197" customFormat="false" ht="17.15" hidden="false" customHeight="false" outlineLevel="0" collapsed="false">
      <c r="A197" s="4" t="s">
        <v>1121</v>
      </c>
      <c r="B197" s="14" t="n">
        <f aca="false">P191</f>
        <v>1.2895</v>
      </c>
      <c r="E197" s="4" t="s">
        <v>1122</v>
      </c>
    </row>
    <row r="198" customFormat="false" ht="15" hidden="false" customHeight="false" outlineLevel="0" collapsed="false">
      <c r="A198" s="4" t="s">
        <v>1123</v>
      </c>
      <c r="B198" s="16" t="n">
        <f aca="false">COUNT(P192:P195)</f>
        <v>3</v>
      </c>
    </row>
    <row r="199" customFormat="false" ht="17.15" hidden="false" customHeight="false" outlineLevel="0" collapsed="false">
      <c r="A199" s="4" t="s">
        <v>1124</v>
      </c>
      <c r="B199" s="14" t="n">
        <f aca="false">IF(B198&gt;0,MEDIAN(P192:P195),"")</f>
        <v>1.24275</v>
      </c>
    </row>
    <row r="200" customFormat="false" ht="17.15" hidden="false" customHeight="false" outlineLevel="0" collapsed="false">
      <c r="A200" s="4" t="s">
        <v>1125</v>
      </c>
      <c r="B200" s="14" t="n">
        <f aca="false">IF(AND(ISNUMBER(B197),B198&gt;=2),B197/B199,"")</f>
        <v>1.03761818547576</v>
      </c>
      <c r="E200" s="4" t="s">
        <v>1126</v>
      </c>
    </row>
    <row r="201" customFormat="false" ht="17.15" hidden="false" customHeight="false" outlineLevel="0" collapsed="false">
      <c r="A201" s="4" t="s">
        <v>1127</v>
      </c>
      <c r="B201" s="18" t="n">
        <v>0.5</v>
      </c>
      <c r="E201" s="8" t="s">
        <v>1128</v>
      </c>
    </row>
    <row r="202" customFormat="false" ht="17.15" hidden="false" customHeight="false" outlineLevel="0" collapsed="false">
      <c r="A202" s="4" t="s">
        <v>1129</v>
      </c>
      <c r="B202" s="18" t="n">
        <v>2</v>
      </c>
      <c r="E202" s="8" t="s">
        <v>1130</v>
      </c>
    </row>
    <row r="203" customFormat="false" ht="17.15" hidden="false" customHeight="false" outlineLevel="0" collapsed="false">
      <c r="A203" s="1" t="s">
        <v>1131</v>
      </c>
      <c r="B203" s="30" t="n">
        <f aca="false">IF(ISNUMBER(B200),MIN(MAX(B200,B201),B202),1)</f>
        <v>1.03761818547576</v>
      </c>
      <c r="E203" s="4" t="s">
        <v>1132</v>
      </c>
    </row>
    <row r="204" customFormat="false" ht="17.15" hidden="false" customHeight="false" outlineLevel="0" collapsed="false">
      <c r="A204" s="6" t="s">
        <v>1133</v>
      </c>
      <c r="B204" s="27" t="n">
        <f aca="false">Val!$B$156*B203</f>
        <v>487468.621638466</v>
      </c>
      <c r="E204" s="4" t="s">
        <v>1134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1135</v>
      </c>
    </row>
    <row r="3" customFormat="false" ht="17.15" hidden="false" customHeight="false" outlineLevel="0" collapsed="false">
      <c r="A3" s="5" t="s">
        <v>1136</v>
      </c>
      <c r="B3" s="5" t="s">
        <v>1137</v>
      </c>
      <c r="C3" s="13" t="s">
        <v>1138</v>
      </c>
      <c r="D3" s="5" t="s">
        <v>1139</v>
      </c>
      <c r="E3" s="5" t="s">
        <v>1140</v>
      </c>
    </row>
    <row r="4" customFormat="false" ht="15" hidden="false" customHeight="false" outlineLevel="0" collapsed="false">
      <c r="A4" s="6" t="s">
        <v>888</v>
      </c>
      <c r="B4" s="4" t="s">
        <v>33</v>
      </c>
      <c r="D4" s="17" t="n">
        <f aca="false">Y!D14</f>
        <v>664.715872073174</v>
      </c>
    </row>
    <row r="5" customFormat="false" ht="17.15" hidden="false" customHeight="false" outlineLevel="0" collapsed="false">
      <c r="A5" s="0" t="s">
        <v>888</v>
      </c>
      <c r="B5" s="4" t="s">
        <v>1141</v>
      </c>
      <c r="C5" s="17" t="n">
        <f aca="false">-0.2*Y!D5</f>
        <v>-97.3369380813164</v>
      </c>
      <c r="D5" s="17" t="n">
        <f aca="false">D4+C5*(1-opex_var)</f>
        <v>573.219150276736</v>
      </c>
      <c r="E5" s="15" t="n">
        <f aca="false">D5/D4-1</f>
        <v>-0.137647866766096</v>
      </c>
    </row>
    <row r="6" customFormat="false" ht="17.15" hidden="false" customHeight="false" outlineLevel="0" collapsed="false">
      <c r="A6" s="0" t="s">
        <v>888</v>
      </c>
      <c r="B6" s="4" t="s">
        <v>1142</v>
      </c>
      <c r="C6" s="17" t="n">
        <f aca="false">0.2*Y!D5</f>
        <v>97.3369380813164</v>
      </c>
      <c r="D6" s="17" t="n">
        <f aca="false">D4+C6*(1-opex_var)</f>
        <v>756.212593869611</v>
      </c>
      <c r="E6" s="15" t="n">
        <f aca="false">D6/D4-1</f>
        <v>0.137647866766096</v>
      </c>
    </row>
    <row r="7" customFormat="false" ht="17.15" hidden="false" customHeight="false" outlineLevel="0" collapsed="false">
      <c r="A7" s="0" t="s">
        <v>888</v>
      </c>
      <c r="B7" s="0" t="s">
        <v>1143</v>
      </c>
      <c r="C7" s="17" t="n">
        <f aca="false">-0.3*Y!D6</f>
        <v>-24.9431661812844</v>
      </c>
      <c r="D7" s="17" t="n">
        <f aca="false">D4+C7*(1-opex_var)</f>
        <v>641.269295862766</v>
      </c>
      <c r="E7" s="15" t="n">
        <f aca="false">D7/D4-1</f>
        <v>-0.0352730801165919</v>
      </c>
    </row>
    <row r="8" customFormat="false" ht="17.15" hidden="false" customHeight="false" outlineLevel="0" collapsed="false">
      <c r="A8" s="0" t="s">
        <v>888</v>
      </c>
      <c r="B8" s="0" t="s">
        <v>1144</v>
      </c>
      <c r="C8" s="17" t="n">
        <f aca="false">0.3*Y!D6</f>
        <v>24.9431661812844</v>
      </c>
      <c r="D8" s="17" t="n">
        <f aca="false">D4+C8*(1-opex_var)</f>
        <v>688.162448283581</v>
      </c>
      <c r="E8" s="15" t="n">
        <f aca="false">D8/D4-1</f>
        <v>0.0352730801165919</v>
      </c>
    </row>
    <row r="9" customFormat="false" ht="17.15" hidden="false" customHeight="false" outlineLevel="0" collapsed="false">
      <c r="A9" s="0" t="s">
        <v>888</v>
      </c>
      <c r="B9" s="0" t="s">
        <v>1145</v>
      </c>
      <c r="C9" s="17" t="n">
        <f aca="false">-0.3*Y!D7</f>
        <v>-74.1642395005339</v>
      </c>
      <c r="D9" s="17" t="n">
        <f aca="false">D4+C9*(1-opex_var)</f>
        <v>595.001486942672</v>
      </c>
      <c r="E9" s="15" t="n">
        <f aca="false">D9/D4-1</f>
        <v>-0.104878472230655</v>
      </c>
    </row>
    <row r="10" customFormat="false" ht="17.15" hidden="false" customHeight="false" outlineLevel="0" collapsed="false">
      <c r="A10" s="0" t="s">
        <v>888</v>
      </c>
      <c r="B10" s="0" t="s">
        <v>1146</v>
      </c>
      <c r="C10" s="17" t="n">
        <f aca="false">0.3*Y!D7</f>
        <v>74.1642395005339</v>
      </c>
      <c r="D10" s="17" t="n">
        <f aca="false">D4+C10*(1-opex_var)</f>
        <v>734.430257203676</v>
      </c>
      <c r="E10" s="15" t="n">
        <f aca="false">D10/D4-1</f>
        <v>0.104878472230655</v>
      </c>
    </row>
    <row r="12" customFormat="false" ht="15" hidden="false" customHeight="false" outlineLevel="0" collapsed="false">
      <c r="A12" s="6" t="s">
        <v>892</v>
      </c>
      <c r="B12" s="4" t="s">
        <v>33</v>
      </c>
      <c r="D12" s="17" t="n">
        <f aca="false">Y!H14</f>
        <v>359.20352236999</v>
      </c>
    </row>
    <row r="13" customFormat="false" ht="17.15" hidden="false" customHeight="false" outlineLevel="0" collapsed="false">
      <c r="A13" s="0" t="s">
        <v>892</v>
      </c>
      <c r="B13" s="4" t="s">
        <v>1141</v>
      </c>
      <c r="C13" s="17" t="n">
        <f aca="false">-0.2*Y!H5</f>
        <v>-59.5518225493169</v>
      </c>
      <c r="D13" s="17" t="n">
        <f aca="false">D12+C13*(1-opex_var)</f>
        <v>303.224809173632</v>
      </c>
      <c r="E13" s="15" t="n">
        <f aca="false">D13/D12-1</f>
        <v>-0.155841214548832</v>
      </c>
    </row>
    <row r="14" customFormat="false" ht="17.15" hidden="false" customHeight="false" outlineLevel="0" collapsed="false">
      <c r="A14" s="0" t="s">
        <v>892</v>
      </c>
      <c r="B14" s="4" t="s">
        <v>1142</v>
      </c>
      <c r="C14" s="17" t="n">
        <f aca="false">0.2*Y!H5</f>
        <v>59.5518225493169</v>
      </c>
      <c r="D14" s="17" t="n">
        <f aca="false">D12+C14*(1-opex_var)</f>
        <v>415.182235566348</v>
      </c>
      <c r="E14" s="15" t="n">
        <f aca="false">D14/D12-1</f>
        <v>0.155841214548832</v>
      </c>
    </row>
    <row r="15" customFormat="false" ht="17.15" hidden="false" customHeight="false" outlineLevel="0" collapsed="false">
      <c r="A15" s="0" t="s">
        <v>892</v>
      </c>
      <c r="B15" s="0" t="s">
        <v>1143</v>
      </c>
      <c r="C15" s="17" t="n">
        <f aca="false">-0.3*Y!H6</f>
        <v>-27.61750188864</v>
      </c>
      <c r="D15" s="17" t="n">
        <f aca="false">D12+C15*(1-opex_var)</f>
        <v>333.243070594669</v>
      </c>
      <c r="E15" s="15" t="n">
        <f aca="false">D15/D12-1</f>
        <v>-0.0722722639356013</v>
      </c>
    </row>
    <row r="16" customFormat="false" ht="17.15" hidden="false" customHeight="false" outlineLevel="0" collapsed="false">
      <c r="A16" s="0" t="s">
        <v>892</v>
      </c>
      <c r="B16" s="0" t="s">
        <v>1144</v>
      </c>
      <c r="C16" s="17" t="n">
        <f aca="false">0.3*Y!H6</f>
        <v>27.61750188864</v>
      </c>
      <c r="D16" s="17" t="n">
        <f aca="false">D12+C16*(1-opex_var)</f>
        <v>385.163974145312</v>
      </c>
      <c r="E16" s="15" t="n">
        <f aca="false">D16/D12-1</f>
        <v>0.0722722639356013</v>
      </c>
    </row>
    <row r="17" customFormat="false" ht="17.15" hidden="false" customHeight="false" outlineLevel="0" collapsed="false">
      <c r="A17" s="0" t="s">
        <v>892</v>
      </c>
      <c r="B17" s="0" t="s">
        <v>1145</v>
      </c>
      <c r="C17" s="17" t="n">
        <f aca="false">-0.3*Y!H7</f>
        <v>-34.5749621028738</v>
      </c>
      <c r="D17" s="17" t="n">
        <f aca="false">D12+C17*(1-opex_var)</f>
        <v>326.703057993289</v>
      </c>
      <c r="E17" s="15" t="n">
        <f aca="false">D17/D12-1</f>
        <v>-0.0904792474257113</v>
      </c>
    </row>
    <row r="18" customFormat="false" ht="17.15" hidden="false" customHeight="false" outlineLevel="0" collapsed="false">
      <c r="A18" s="0" t="s">
        <v>892</v>
      </c>
      <c r="B18" s="0" t="s">
        <v>1146</v>
      </c>
      <c r="C18" s="17" t="n">
        <f aca="false">0.3*Y!H7</f>
        <v>34.5749621028738</v>
      </c>
      <c r="D18" s="17" t="n">
        <f aca="false">D12+C18*(1-opex_var)</f>
        <v>391.703986746692</v>
      </c>
      <c r="E18" s="15" t="n">
        <f aca="false">D18/D12-1</f>
        <v>0.0904792474257112</v>
      </c>
    </row>
    <row r="20" customFormat="false" ht="15" hidden="false" customHeight="false" outlineLevel="0" collapsed="false">
      <c r="A20" s="6" t="s">
        <v>895</v>
      </c>
      <c r="B20" s="4" t="s">
        <v>33</v>
      </c>
      <c r="D20" s="17" t="n">
        <f aca="false">Y!K14</f>
        <v>219.768777313099</v>
      </c>
    </row>
    <row r="21" customFormat="false" ht="17.15" hidden="false" customHeight="false" outlineLevel="0" collapsed="false">
      <c r="A21" s="0" t="s">
        <v>895</v>
      </c>
      <c r="B21" s="4" t="s">
        <v>1141</v>
      </c>
      <c r="C21" s="17" t="n">
        <f aca="false">-0.2*Y!K5</f>
        <v>-40.850640499903</v>
      </c>
      <c r="D21" s="17" t="n">
        <f aca="false">D20+C21*(1-opex_var)</f>
        <v>181.369175243191</v>
      </c>
      <c r="E21" s="15" t="n">
        <f aca="false">D21/D20-1</f>
        <v>-0.174727286284174</v>
      </c>
    </row>
    <row r="22" customFormat="false" ht="17.15" hidden="false" customHeight="false" outlineLevel="0" collapsed="false">
      <c r="A22" s="0" t="s">
        <v>895</v>
      </c>
      <c r="B22" s="4" t="s">
        <v>1142</v>
      </c>
      <c r="C22" s="17" t="n">
        <f aca="false">0.2*Y!K5</f>
        <v>40.850640499903</v>
      </c>
      <c r="D22" s="17" t="n">
        <f aca="false">D20+C22*(1-opex_var)</f>
        <v>258.168379383008</v>
      </c>
      <c r="E22" s="15" t="n">
        <f aca="false">D22/D20-1</f>
        <v>0.174727286284174</v>
      </c>
    </row>
    <row r="23" customFormat="false" ht="17.15" hidden="false" customHeight="false" outlineLevel="0" collapsed="false">
      <c r="A23" s="0" t="s">
        <v>895</v>
      </c>
      <c r="B23" s="0" t="s">
        <v>1143</v>
      </c>
      <c r="C23" s="17" t="n">
        <f aca="false">-0.3*Y!K6</f>
        <v>-16.570501133184</v>
      </c>
      <c r="D23" s="17" t="n">
        <f aca="false">D20+C23*(1-opex_var)</f>
        <v>204.192506247907</v>
      </c>
      <c r="E23" s="15" t="n">
        <f aca="false">D23/D20-1</f>
        <v>-0.0708757233653888</v>
      </c>
    </row>
    <row r="24" customFormat="false" ht="17.15" hidden="false" customHeight="false" outlineLevel="0" collapsed="false">
      <c r="A24" s="0" t="s">
        <v>895</v>
      </c>
      <c r="B24" s="0" t="s">
        <v>1144</v>
      </c>
      <c r="C24" s="17" t="n">
        <f aca="false">0.3*Y!K6</f>
        <v>16.570501133184</v>
      </c>
      <c r="D24" s="17" t="n">
        <f aca="false">D20+C24*(1-opex_var)</f>
        <v>235.345048378292</v>
      </c>
      <c r="E24" s="15" t="n">
        <f aca="false">D24/D20-1</f>
        <v>0.0708757233653887</v>
      </c>
    </row>
    <row r="25" customFormat="false" ht="17.15" hidden="false" customHeight="false" outlineLevel="0" collapsed="false">
      <c r="A25" s="0" t="s">
        <v>895</v>
      </c>
      <c r="B25" s="0" t="s">
        <v>1145</v>
      </c>
      <c r="C25" s="17" t="n">
        <f aca="false">-0.3*Y!K7</f>
        <v>-28.0782703236573</v>
      </c>
      <c r="D25" s="17" t="n">
        <f aca="false">D20+C25*(1-opex_var)</f>
        <v>193.375203208862</v>
      </c>
      <c r="E25" s="15" t="n">
        <f aca="false">D25/D20-1</f>
        <v>-0.120097014812234</v>
      </c>
    </row>
    <row r="26" customFormat="false" ht="17.15" hidden="false" customHeight="false" outlineLevel="0" collapsed="false">
      <c r="A26" s="0" t="s">
        <v>895</v>
      </c>
      <c r="B26" s="0" t="s">
        <v>1146</v>
      </c>
      <c r="C26" s="17" t="n">
        <f aca="false">0.3*Y!K7</f>
        <v>28.0782703236573</v>
      </c>
      <c r="D26" s="17" t="n">
        <f aca="false">D20+C26*(1-opex_var)</f>
        <v>246.162351417337</v>
      </c>
      <c r="E26" s="15" t="n">
        <f aca="false">D26/D20-1</f>
        <v>0.120097014812234</v>
      </c>
    </row>
    <row r="28" customFormat="false" ht="15" hidden="false" customHeight="false" outlineLevel="0" collapsed="false">
      <c r="A28" s="6" t="s">
        <v>896</v>
      </c>
      <c r="B28" s="4" t="s">
        <v>33</v>
      </c>
      <c r="D28" s="17" t="n">
        <f aca="false">Y!L14</f>
        <v>175.109238087897</v>
      </c>
    </row>
    <row r="29" customFormat="false" ht="17.15" hidden="false" customHeight="false" outlineLevel="0" collapsed="false">
      <c r="A29" s="0" t="s">
        <v>896</v>
      </c>
      <c r="B29" s="4" t="s">
        <v>1141</v>
      </c>
      <c r="C29" s="17" t="n">
        <f aca="false">-0.2*Y!L5</f>
        <v>-33.0568356046667</v>
      </c>
      <c r="D29" s="17" t="n">
        <f aca="false">D28+C29*(1-opex_var)</f>
        <v>144.03581261951</v>
      </c>
      <c r="E29" s="15" t="n">
        <f aca="false">D29/D28-1</f>
        <v>-0.177451662788854</v>
      </c>
    </row>
    <row r="30" customFormat="false" ht="17.15" hidden="false" customHeight="false" outlineLevel="0" collapsed="false">
      <c r="A30" s="0" t="s">
        <v>896</v>
      </c>
      <c r="B30" s="4" t="s">
        <v>1142</v>
      </c>
      <c r="C30" s="17" t="n">
        <f aca="false">0.2*Y!L5</f>
        <v>33.0568356046667</v>
      </c>
      <c r="D30" s="17" t="n">
        <f aca="false">D28+C30*(1-opex_var)</f>
        <v>206.182663556284</v>
      </c>
      <c r="E30" s="15" t="n">
        <f aca="false">D30/D28-1</f>
        <v>0.177451662788854</v>
      </c>
    </row>
    <row r="31" customFormat="false" ht="17.15" hidden="false" customHeight="false" outlineLevel="0" collapsed="false">
      <c r="A31" s="0" t="s">
        <v>896</v>
      </c>
      <c r="B31" s="0" t="s">
        <v>1143</v>
      </c>
      <c r="C31" s="17" t="n">
        <f aca="false">-0.3*Y!L6</f>
        <v>-22.6187340467962</v>
      </c>
      <c r="D31" s="17" t="n">
        <f aca="false">D28+C31*(1-opex_var)</f>
        <v>153.847628083909</v>
      </c>
      <c r="E31" s="15" t="n">
        <f aca="false">D31/D28-1</f>
        <v>-0.121419122349879</v>
      </c>
    </row>
    <row r="32" customFormat="false" ht="17.15" hidden="false" customHeight="false" outlineLevel="0" collapsed="false">
      <c r="A32" s="0" t="s">
        <v>896</v>
      </c>
      <c r="B32" s="0" t="s">
        <v>1144</v>
      </c>
      <c r="C32" s="17" t="n">
        <f aca="false">0.3*Y!L6</f>
        <v>22.6187340467962</v>
      </c>
      <c r="D32" s="17" t="n">
        <f aca="false">D28+C32*(1-opex_var)</f>
        <v>196.370848091885</v>
      </c>
      <c r="E32" s="15" t="n">
        <f aca="false">D32/D28-1</f>
        <v>0.121419122349879</v>
      </c>
    </row>
    <row r="33" customFormat="false" ht="17.15" hidden="false" customHeight="false" outlineLevel="0" collapsed="false">
      <c r="A33" s="0" t="s">
        <v>896</v>
      </c>
      <c r="B33" s="0" t="s">
        <v>1145</v>
      </c>
      <c r="C33" s="17" t="n">
        <f aca="false">-0.3*Y!L7</f>
        <v>-22.6551402101127</v>
      </c>
      <c r="D33" s="17" t="n">
        <f aca="false">D28+C33*(1-opex_var)</f>
        <v>153.813406290391</v>
      </c>
      <c r="E33" s="15" t="n">
        <f aca="false">D33/D28-1</f>
        <v>-0.121614553464143</v>
      </c>
    </row>
    <row r="34" customFormat="false" ht="17.15" hidden="false" customHeight="false" outlineLevel="0" collapsed="false">
      <c r="A34" s="0" t="s">
        <v>896</v>
      </c>
      <c r="B34" s="0" t="s">
        <v>1146</v>
      </c>
      <c r="C34" s="17" t="n">
        <f aca="false">0.3*Y!L7</f>
        <v>22.6551402101127</v>
      </c>
      <c r="D34" s="17" t="n">
        <f aca="false">D28+C34*(1-opex_var)</f>
        <v>196.405069885403</v>
      </c>
      <c r="E34" s="15" t="n">
        <f aca="false">D34/D28-1</f>
        <v>0.121614553464143</v>
      </c>
    </row>
    <row r="36" customFormat="false" ht="17.15" hidden="false" customHeight="false" outlineLevel="0" collapsed="false">
      <c r="A36" s="4" t="s">
        <v>1147</v>
      </c>
    </row>
    <row r="38" customFormat="false" ht="17.15" hidden="false" customHeight="false" outlineLevel="0" collapsed="false">
      <c r="A38" s="1" t="s">
        <v>1148</v>
      </c>
    </row>
    <row r="39" customFormat="false" ht="17.15" hidden="false" customHeight="false" outlineLevel="0" collapsed="false">
      <c r="A39" s="5" t="s">
        <v>1149</v>
      </c>
      <c r="B39" s="5" t="s">
        <v>1150</v>
      </c>
      <c r="C39" s="13" t="s">
        <v>1151</v>
      </c>
      <c r="D39" s="13" t="s">
        <v>1133</v>
      </c>
      <c r="E39" s="5" t="s">
        <v>1152</v>
      </c>
      <c r="F39" s="5" t="s">
        <v>1140</v>
      </c>
    </row>
    <row r="40" customFormat="false" ht="17.15" hidden="false" customHeight="false" outlineLevel="0" collapsed="false">
      <c r="A40" s="4" t="s">
        <v>33</v>
      </c>
      <c r="B40" s="0" t="s">
        <v>1153</v>
      </c>
      <c r="C40" s="23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500913.256497103</v>
      </c>
      <c r="D40" s="23" t="n">
        <f aca="false">tp_comp_adj</f>
        <v>487468.621638466</v>
      </c>
      <c r="E40" s="23" t="n">
        <f aca="false">tp_w_dcf*C40+(1-tp_w_dcf)*D40</f>
        <v>494190.939067784</v>
      </c>
      <c r="F40" s="19" t="n">
        <f aca="false">E40/E$40-1</f>
        <v>0</v>
      </c>
    </row>
    <row r="41" customFormat="false" ht="17.15" hidden="false" customHeight="false" outlineLevel="0" collapsed="false">
      <c r="A41" s="4" t="s">
        <v>1154</v>
      </c>
      <c r="B41" s="0" t="s">
        <v>1155</v>
      </c>
      <c r="C41" s="23" t="n">
        <f aca="false">(tp_wA*(Val!B138/(1+(tp_r+0.01))^1+Val!B139/(1+(tp_r+0.01))^2+Val!B140/(1+(tp_r+0.01))^3+Val!B133*(1-MIN(tp_g/tp_roe,0.8))/(1+(tp_r+0.01))^4+Val!B134*(1-MIN(tp_g/tp_roe,0.8))/(1+(tp_r+0.01))^5+Val!B135*(1-MIN(tp_g/tp_roe,0.8))/(1+(tp_r+0.01))^6+Val!B135*(1-MIN(tp_g/tp_roe,0.8))*(1+tp_g)/((tp_r+0.01)-tp_g)/(1+(tp_r+0.01))^6)+tp_wB*(Val!C138/(1+(tp_r+0.01))^1+Val!C139/(1+(tp_r+0.01))^2+Val!C140/(1+(tp_r+0.01))^3+Val!C133*(1-MIN(tp_g/tp_roe,0.8))/(1+(tp_r+0.01))^4+Val!C134*(1-MIN(tp_g/tp_roe,0.8))/(1+(tp_r+0.01))^5+Val!C135*(1-MIN(tp_g/tp_roe,0.8))/(1+(tp_r+0.01))^6+Val!C135*(1-MIN(tp_g/tp_roe,0.8))*(1+tp_g)/((tp_r+0.01)-tp_g)/(1+(tp_r+0.01))^6)+tp_wC*(Val!D138/(1+(tp_r+0.01))^1+Val!D139/(1+(tp_r+0.01))^2+Val!D140/(1+(tp_r+0.01))^3+Val!D133*(1-MIN(tp_g/tp_roe,0.8))/(1+(tp_r+0.01))^4+Val!D134*(1-MIN(tp_g/tp_roe,0.8))/(1+(tp_r+0.01))^5+Val!D135*(1-MIN(tp_g/tp_roe,0.8))/(1+(tp_r+0.01))^6+Val!D135*(1-MIN(tp_g/tp_roe,0.8))*(1+tp_g)/((tp_r+0.01)-tp_g)/(1+(tp_r+0.01))^6))*(1+(tp_r+0.01))</f>
        <v>460844.400535719</v>
      </c>
      <c r="D41" s="23" t="n">
        <f aca="false">tp_comp_adj</f>
        <v>487468.621638466</v>
      </c>
      <c r="E41" s="23" t="n">
        <f aca="false">tp_w_dcf*C41+(1-tp_w_dcf)*D41</f>
        <v>474156.511087092</v>
      </c>
      <c r="F41" s="19" t="n">
        <f aca="false">E41/E$40-1</f>
        <v>-0.0405398529128929</v>
      </c>
    </row>
    <row r="42" customFormat="false" ht="17.15" hidden="false" customHeight="false" outlineLevel="0" collapsed="false">
      <c r="A42" s="4" t="s">
        <v>1156</v>
      </c>
      <c r="B42" s="0" t="s">
        <v>1157</v>
      </c>
      <c r="C42" s="23" t="n">
        <f aca="false">(tp_wA*(Val!B138/(1+(tp_r-0.01))^1+Val!B139/(1+(tp_r-0.01))^2+Val!B140/(1+(tp_r-0.01))^3+Val!B133*(1-MIN(tp_g/tp_roe,0.8))/(1+(tp_r-0.01))^4+Val!B134*(1-MIN(tp_g/tp_roe,0.8))/(1+(tp_r-0.01))^5+Val!B135*(1-MIN(tp_g/tp_roe,0.8))/(1+(tp_r-0.01))^6+Val!B135*(1-MIN(tp_g/tp_roe,0.8))*(1+tp_g)/((tp_r-0.01)-tp_g)/(1+(tp_r-0.01))^6)+tp_wB*(Val!C138/(1+(tp_r-0.01))^1+Val!C139/(1+(tp_r-0.01))^2+Val!C140/(1+(tp_r-0.01))^3+Val!C133*(1-MIN(tp_g/tp_roe,0.8))/(1+(tp_r-0.01))^4+Val!C134*(1-MIN(tp_g/tp_roe,0.8))/(1+(tp_r-0.01))^5+Val!C135*(1-MIN(tp_g/tp_roe,0.8))/(1+(tp_r-0.01))^6+Val!C135*(1-MIN(tp_g/tp_roe,0.8))*(1+tp_g)/((tp_r-0.01)-tp_g)/(1+(tp_r-0.01))^6)+tp_wC*(Val!D138/(1+(tp_r-0.01))^1+Val!D139/(1+(tp_r-0.01))^2+Val!D140/(1+(tp_r-0.01))^3+Val!D133*(1-MIN(tp_g/tp_roe,0.8))/(1+(tp_r-0.01))^4+Val!D134*(1-MIN(tp_g/tp_roe,0.8))/(1+(tp_r-0.01))^5+Val!D135*(1-MIN(tp_g/tp_roe,0.8))/(1+(tp_r-0.01))^6+Val!D135*(1-MIN(tp_g/tp_roe,0.8))*(1+tp_g)/((tp_r-0.01)-tp_g)/(1+(tp_r-0.01))^6))*(1+(tp_r-0.01))</f>
        <v>556080.159768082</v>
      </c>
      <c r="D42" s="23" t="n">
        <f aca="false">tp_comp_adj</f>
        <v>487468.621638466</v>
      </c>
      <c r="E42" s="23" t="n">
        <f aca="false">tp_w_dcf*C42+(1-tp_w_dcf)*D42</f>
        <v>521774.390703274</v>
      </c>
      <c r="F42" s="19" t="n">
        <f aca="false">E42/E$40-1</f>
        <v>0.055815373077299</v>
      </c>
    </row>
    <row r="43" customFormat="false" ht="17.15" hidden="false" customHeight="false" outlineLevel="0" collapsed="false">
      <c r="A43" s="4" t="s">
        <v>1158</v>
      </c>
      <c r="B43" s="0" t="s">
        <v>1159</v>
      </c>
      <c r="C43" s="23" t="n">
        <f aca="false">(tp_wA*(Val!B138/(1+tp_r)^1+Val!B139/(1+tp_r)^2+Val!B140/(1+tp_r)^3+Val!B133*(1-MIN((tp_g+0.01)/tp_roe,0.8))/(1+tp_r)^4+Val!B134*(1-MIN((tp_g+0.01)/tp_roe,0.8))/(1+tp_r)^5+Val!B135*(1-MIN((tp_g+0.01)/tp_roe,0.8))/(1+tp_r)^6+Val!B135*(1-MIN((tp_g+0.01)/tp_roe,0.8))*(1+(tp_g+0.01))/(tp_r-(tp_g+0.01))/(1+tp_r)^6)+tp_wB*(Val!C138/(1+tp_r)^1+Val!C139/(1+tp_r)^2+Val!C140/(1+tp_r)^3+Val!C133*(1-MIN((tp_g+0.01)/tp_roe,0.8))/(1+tp_r)^4+Val!C134*(1-MIN((tp_g+0.01)/tp_roe,0.8))/(1+tp_r)^5+Val!C135*(1-MIN((tp_g+0.01)/tp_roe,0.8))/(1+tp_r)^6+Val!C135*(1-MIN((tp_g+0.01)/tp_roe,0.8))*(1+(tp_g+0.01))/(tp_r-(tp_g+0.01))/(1+tp_r)^6)+tp_wC*(Val!D138/(1+tp_r)^1+Val!D139/(1+tp_r)^2+Val!D140/(1+tp_r)^3+Val!D133*(1-MIN((tp_g+0.01)/tp_roe,0.8))/(1+tp_r)^4+Val!D134*(1-MIN((tp_g+0.01)/tp_roe,0.8))/(1+tp_r)^5+Val!D135*(1-MIN((tp_g+0.01)/tp_roe,0.8))/(1+tp_r)^6+Val!D135*(1-MIN((tp_g+0.01)/tp_roe,0.8))*(1+(tp_g+0.01))/(tp_r-(tp_g+0.01))/(1+tp_r)^6))*(1+tp_r)</f>
        <v>467165.875635227</v>
      </c>
      <c r="D43" s="23" t="n">
        <f aca="false">tp_comp_adj</f>
        <v>487468.621638466</v>
      </c>
      <c r="E43" s="23" t="n">
        <f aca="false">tp_w_dcf*C43+(1-tp_w_dcf)*D43</f>
        <v>477317.248636846</v>
      </c>
      <c r="F43" s="19" t="n">
        <f aca="false">E43/E$40-1</f>
        <v>-0.0341440708378176</v>
      </c>
    </row>
    <row r="44" customFormat="false" ht="17.15" hidden="false" customHeight="false" outlineLevel="0" collapsed="false">
      <c r="A44" s="4" t="s">
        <v>1160</v>
      </c>
      <c r="B44" s="0" t="s">
        <v>1161</v>
      </c>
      <c r="C44" s="23" t="n">
        <f aca="false">(tp_wA*(Val!B138/(1+tp_r)^1+Val!B139/(1+tp_r)^2+Val!B140/(1+tp_r)^3+Val!B133*(1-MIN((tp_g-0.01)/tp_roe,0.8))/(1+tp_r)^4+Val!B134*(1-MIN((tp_g-0.01)/tp_roe,0.8))/(1+tp_r)^5+Val!B135*(1-MIN((tp_g-0.01)/tp_roe,0.8))/(1+tp_r)^6+Val!B135*(1-MIN((tp_g-0.01)/tp_roe,0.8))*(1+(tp_g-0.01))/(tp_r-(tp_g-0.01))/(1+tp_r)^6)+tp_wB*(Val!C138/(1+tp_r)^1+Val!C139/(1+tp_r)^2+Val!C140/(1+tp_r)^3+Val!C133*(1-MIN((tp_g-0.01)/tp_roe,0.8))/(1+tp_r)^4+Val!C134*(1-MIN((tp_g-0.01)/tp_roe,0.8))/(1+tp_r)^5+Val!C135*(1-MIN((tp_g-0.01)/tp_roe,0.8))/(1+tp_r)^6+Val!C135*(1-MIN((tp_g-0.01)/tp_roe,0.8))*(1+(tp_g-0.01))/(tp_r-(tp_g-0.01))/(1+tp_r)^6)+tp_wC*(Val!D138/(1+tp_r)^1+Val!D139/(1+tp_r)^2+Val!D140/(1+tp_r)^3+Val!D133*(1-MIN((tp_g-0.01)/tp_roe,0.8))/(1+tp_r)^4+Val!D134*(1-MIN((tp_g-0.01)/tp_roe,0.8))/(1+tp_r)^5+Val!D135*(1-MIN((tp_g-0.01)/tp_roe,0.8))/(1+tp_r)^6+Val!D135*(1-MIN((tp_g-0.01)/tp_roe,0.8))*(1+(tp_g-0.01))/(tp_r-(tp_g-0.01))/(1+tp_r)^6))*(1+tp_r)</f>
        <v>528793.224070614</v>
      </c>
      <c r="D44" s="23" t="n">
        <f aca="false">tp_comp_adj</f>
        <v>487468.621638466</v>
      </c>
      <c r="E44" s="23" t="n">
        <f aca="false">tp_w_dcf*C44+(1-tp_w_dcf)*D44</f>
        <v>508130.92285454</v>
      </c>
      <c r="F44" s="19" t="n">
        <f aca="false">E44/E$40-1</f>
        <v>0.0282076879293887</v>
      </c>
    </row>
    <row r="45" customFormat="false" ht="17.15" hidden="false" customHeight="false" outlineLevel="0" collapsed="false">
      <c r="A45" s="0" t="s">
        <v>1162</v>
      </c>
      <c r="B45" s="0" t="s">
        <v>1163</v>
      </c>
      <c r="C45" s="23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500913.256497103</v>
      </c>
      <c r="D45" s="23" t="n">
        <f aca="false">tp_comp_adj</f>
        <v>487468.621638466</v>
      </c>
      <c r="E45" s="23" t="n">
        <f aca="false">0.3*C45+(1-0.3)*D45</f>
        <v>491502.012096057</v>
      </c>
      <c r="F45" s="19" t="n">
        <f aca="false">E45/E$40-1</f>
        <v>-0.00544106894553709</v>
      </c>
    </row>
    <row r="46" customFormat="false" ht="17.15" hidden="false" customHeight="false" outlineLevel="0" collapsed="false">
      <c r="A46" s="0" t="s">
        <v>1164</v>
      </c>
      <c r="B46" s="0" t="s">
        <v>1165</v>
      </c>
      <c r="C46" s="23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500913.256497103</v>
      </c>
      <c r="D46" s="23" t="n">
        <f aca="false">tp_comp_adj</f>
        <v>487468.621638466</v>
      </c>
      <c r="E46" s="23" t="n">
        <f aca="false">0.7*C46+(1-0.7)*D46</f>
        <v>496879.866039512</v>
      </c>
      <c r="F46" s="19" t="n">
        <f aca="false">E46/E$40-1</f>
        <v>0.00544106894553686</v>
      </c>
    </row>
    <row r="47" customFormat="false" ht="17.15" hidden="false" customHeight="false" outlineLevel="0" collapsed="false">
      <c r="A47" s="4" t="s">
        <v>1166</v>
      </c>
      <c r="C47" s="31" t="n">
        <f aca="false">C40-Val!B146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1167</v>
      </c>
    </row>
    <row r="3" customFormat="false" ht="15" hidden="false" customHeight="false" outlineLevel="0" collapsed="false">
      <c r="A3" s="5" t="s">
        <v>30</v>
      </c>
      <c r="B3" s="5" t="s">
        <v>1168</v>
      </c>
      <c r="C3" s="5" t="s">
        <v>1169</v>
      </c>
      <c r="D3" s="5" t="s">
        <v>1170</v>
      </c>
      <c r="E3" s="5" t="s">
        <v>1171</v>
      </c>
    </row>
    <row r="4" customFormat="false" ht="17.15" hidden="false" customHeight="false" outlineLevel="0" collapsed="false">
      <c r="A4" s="0" t="s">
        <v>1172</v>
      </c>
      <c r="B4" s="17" t="n">
        <f aca="false">Y!C18</f>
        <v>743.621256</v>
      </c>
      <c r="C4" s="7" t="n">
        <v>711.7</v>
      </c>
      <c r="D4" s="15" t="n">
        <f aca="false">B4/C4-1</f>
        <v>0.0448521230855696</v>
      </c>
      <c r="E4" s="8" t="s">
        <v>1173</v>
      </c>
    </row>
    <row r="5" customFormat="false" ht="17.15" hidden="false" customHeight="false" outlineLevel="0" collapsed="false">
      <c r="A5" s="0" t="s">
        <v>1174</v>
      </c>
      <c r="B5" s="17" t="n">
        <f aca="false">Y!C19</f>
        <v>401.831578354</v>
      </c>
      <c r="C5" s="7" t="n">
        <v>373.7</v>
      </c>
      <c r="D5" s="15" t="n">
        <f aca="false">B5/C5-1</f>
        <v>0.0752785077709393</v>
      </c>
      <c r="E5" s="8" t="s">
        <v>1175</v>
      </c>
    </row>
    <row r="6" customFormat="false" ht="17.15" hidden="false" customHeight="false" outlineLevel="0" collapsed="false">
      <c r="A6" s="0" t="s">
        <v>1176</v>
      </c>
      <c r="B6" s="17" t="n">
        <f aca="false">Y!C20</f>
        <v>312.5852626832</v>
      </c>
      <c r="C6" s="7" t="n">
        <v>303.3</v>
      </c>
      <c r="D6" s="15" t="n">
        <f aca="false">B6/C6-1</f>
        <v>0.0306141202875041</v>
      </c>
      <c r="E6" s="8" t="s">
        <v>1177</v>
      </c>
    </row>
    <row r="7" customFormat="false" ht="17.15" hidden="false" customHeight="false" outlineLevel="0" collapsed="false">
      <c r="A7" s="0" t="s">
        <v>1178</v>
      </c>
      <c r="B7" s="17" t="n">
        <f aca="false">Y!D19</f>
        <v>670.715872073174</v>
      </c>
      <c r="C7" s="7" t="n">
        <v>568.7</v>
      </c>
      <c r="D7" s="15" t="n">
        <f aca="false">B7/C7-1</f>
        <v>0.179384336334049</v>
      </c>
      <c r="E7" s="8" t="s">
        <v>1179</v>
      </c>
    </row>
    <row r="8" customFormat="false" ht="17.15" hidden="false" customHeight="false" outlineLevel="0" collapsed="false">
      <c r="A8" s="0" t="s">
        <v>1180</v>
      </c>
      <c r="B8" s="17" t="n">
        <f aca="false">Y!D20</f>
        <v>543.365903962936</v>
      </c>
      <c r="C8" s="7" t="n">
        <v>454.7</v>
      </c>
      <c r="D8" s="15" t="n">
        <f aca="false">B8/C8-1</f>
        <v>0.194998689164143</v>
      </c>
      <c r="E8" s="8" t="s">
        <v>1177</v>
      </c>
    </row>
    <row r="9" customFormat="false" ht="17.15" hidden="false" customHeight="false" outlineLevel="0" collapsed="false">
      <c r="A9" s="0" t="s">
        <v>1181</v>
      </c>
      <c r="B9" s="17" t="n">
        <f aca="false">Y!E19</f>
        <v>733.761010397101</v>
      </c>
      <c r="C9" s="7" t="n">
        <v>578.4</v>
      </c>
      <c r="D9" s="15" t="n">
        <f aca="false">B9/C9-1</f>
        <v>0.268604789759857</v>
      </c>
      <c r="E9" s="8" t="s">
        <v>1182</v>
      </c>
    </row>
    <row r="10" customFormat="false" ht="17.15" hidden="false" customHeight="false" outlineLevel="0" collapsed="false">
      <c r="A10" s="0" t="s">
        <v>1183</v>
      </c>
      <c r="B10" s="17" t="n">
        <f aca="false">Q!H10</f>
        <v>108</v>
      </c>
      <c r="C10" s="7" t="n">
        <v>111.9</v>
      </c>
      <c r="D10" s="15" t="n">
        <f aca="false">B10/C10-1</f>
        <v>-0.0348525469168901</v>
      </c>
      <c r="E10" s="8" t="s">
        <v>1184</v>
      </c>
    </row>
    <row r="11" customFormat="false" ht="17.15" hidden="false" customHeight="false" outlineLevel="0" collapsed="false">
      <c r="A11" s="0" t="s">
        <v>1185</v>
      </c>
      <c r="B11" s="17" t="n">
        <f aca="false">Y!D29</f>
        <v>97721.1696243594</v>
      </c>
      <c r="C11" s="7" t="n">
        <f aca="false">cons_eps27</f>
        <v>72279</v>
      </c>
      <c r="D11" s="15" t="n">
        <f aca="false">B11/C11-1</f>
        <v>0.351999469062375</v>
      </c>
      <c r="E11" s="8" t="s">
        <v>665</v>
      </c>
    </row>
    <row r="12" customFormat="false" ht="17.15" hidden="false" customHeight="false" outlineLevel="0" collapsed="false">
      <c r="A12" s="0" t="s">
        <v>1186</v>
      </c>
      <c r="B12" s="17" t="n">
        <f aca="false">Y!E29</f>
        <v>133356.146983556</v>
      </c>
      <c r="C12" s="7" t="n">
        <f aca="false">cons_eps28</f>
        <v>75531</v>
      </c>
      <c r="D12" s="15" t="n">
        <f aca="false">B12/C12-1</f>
        <v>0.765581641757105</v>
      </c>
      <c r="E12" s="8" t="s">
        <v>665</v>
      </c>
    </row>
    <row r="13" customFormat="false" ht="17.15" hidden="false" customHeight="false" outlineLevel="0" collapsed="false">
      <c r="A13" s="0" t="s">
        <v>1187</v>
      </c>
      <c r="B13" s="17" t="n">
        <f aca="false">Y!E28</f>
        <v>290701.116257345</v>
      </c>
      <c r="C13" s="7" t="n">
        <f aca="false">cons_bvps28</f>
        <v>232055</v>
      </c>
      <c r="D13" s="15" t="n">
        <f aca="false">B13/C13-1</f>
        <v>0.252725070596818</v>
      </c>
      <c r="E13" s="8" t="s">
        <v>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6" t="s">
        <v>1188</v>
      </c>
    </row>
    <row r="3" customFormat="false" ht="17.15" hidden="false" customHeight="false" outlineLevel="0" collapsed="false">
      <c r="A3" s="4" t="s">
        <v>1189</v>
      </c>
      <c r="B3" s="0" t="n">
        <f aca="false">nv_hbm</f>
        <v>4.46</v>
      </c>
      <c r="C3" s="0" t="s">
        <v>603</v>
      </c>
    </row>
    <row r="4" customFormat="false" ht="17.15" hidden="false" customHeight="false" outlineLevel="0" collapsed="false">
      <c r="A4" s="4" t="s">
        <v>1190</v>
      </c>
      <c r="B4" s="0" t="str">
        <f aca="false">TEXT(Mkt!D16,"0")&amp;" ／ "&amp;TEXT(Mkt!E16,"0")</f>
        <v>216 ／ 260</v>
      </c>
      <c r="C4" s="0" t="s">
        <v>437</v>
      </c>
    </row>
    <row r="5" customFormat="false" ht="17.15" hidden="false" customHeight="false" outlineLevel="0" collapsed="false">
      <c r="A5" s="0" t="s">
        <v>1191</v>
      </c>
      <c r="B5" s="0" t="str">
        <f aca="false">TEXT(Mkt!D33,"0")&amp;" ／ "&amp;TEXT(Mkt!E33,"0")</f>
        <v>55 ／ 154</v>
      </c>
      <c r="C5" s="0" t="s">
        <v>552</v>
      </c>
    </row>
    <row r="6" customFormat="false" ht="17.15" hidden="false" customHeight="false" outlineLevel="0" collapsed="false">
      <c r="A6" s="0" t="s">
        <v>1192</v>
      </c>
      <c r="B6" s="14" t="n">
        <f aca="false">Mkt!E27</f>
        <v>1.23255275</v>
      </c>
      <c r="C6" s="8" t="s">
        <v>820</v>
      </c>
    </row>
    <row r="7" customFormat="false" ht="17.15" hidden="false" customHeight="false" outlineLevel="0" collapsed="false">
      <c r="A7" s="4" t="s">
        <v>1193</v>
      </c>
      <c r="B7" s="4" t="s">
        <v>1194</v>
      </c>
      <c r="C7" s="0" t="s">
        <v>1195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1037</v>
      </c>
    </row>
    <row r="2" customFormat="false" ht="17.15" hidden="false" customHeight="false" outlineLevel="0" collapsed="false">
      <c r="A2" s="4" t="s">
        <v>1196</v>
      </c>
      <c r="B2" s="0" t="s">
        <v>1197</v>
      </c>
    </row>
    <row r="3" customFormat="false" ht="17.15" hidden="false" customHeight="false" outlineLevel="0" collapsed="false">
      <c r="A3" s="0" t="s">
        <v>1198</v>
      </c>
      <c r="B3" s="0" t="s">
        <v>1199</v>
      </c>
    </row>
    <row r="4" customFormat="false" ht="17.15" hidden="false" customHeight="false" outlineLevel="0" collapsed="false">
      <c r="A4" s="4" t="s">
        <v>1200</v>
      </c>
      <c r="B4" s="0" t="s">
        <v>1201</v>
      </c>
    </row>
    <row r="5" customFormat="false" ht="17.15" hidden="false" customHeight="false" outlineLevel="0" collapsed="false">
      <c r="A5" s="4" t="s">
        <v>1202</v>
      </c>
      <c r="B5" s="0" t="s">
        <v>1203</v>
      </c>
    </row>
    <row r="6" customFormat="false" ht="17.15" hidden="false" customHeight="false" outlineLevel="0" collapsed="false">
      <c r="A6" s="4" t="s">
        <v>1204</v>
      </c>
      <c r="B6" s="0" t="s">
        <v>1205</v>
      </c>
    </row>
    <row r="7" customFormat="false" ht="17.15" hidden="false" customHeight="false" outlineLevel="0" collapsed="false">
      <c r="A7" s="4" t="s">
        <v>1206</v>
      </c>
      <c r="B7" s="0" t="s">
        <v>1207</v>
      </c>
    </row>
    <row r="8" customFormat="false" ht="17.15" hidden="false" customHeight="false" outlineLevel="0" collapsed="false">
      <c r="A8" s="4" t="s">
        <v>1208</v>
      </c>
      <c r="B8" s="0" t="s">
        <v>1209</v>
      </c>
    </row>
    <row r="9" customFormat="false" ht="17.15" hidden="false" customHeight="false" outlineLevel="0" collapsed="false">
      <c r="A9" s="4" t="s">
        <v>1210</v>
      </c>
      <c r="B9" s="0" t="s">
        <v>1211</v>
      </c>
    </row>
    <row r="10" customFormat="false" ht="17.15" hidden="false" customHeight="false" outlineLevel="0" collapsed="false">
      <c r="A10" s="0" t="s">
        <v>1212</v>
      </c>
      <c r="B10" s="0" t="s">
        <v>1213</v>
      </c>
    </row>
    <row r="11" customFormat="false" ht="17.15" hidden="false" customHeight="false" outlineLevel="0" collapsed="false">
      <c r="A11" s="0" t="s">
        <v>1214</v>
      </c>
      <c r="B11" s="0" t="s">
        <v>1215</v>
      </c>
    </row>
    <row r="12" customFormat="false" ht="17.15" hidden="false" customHeight="false" outlineLevel="0" collapsed="false">
      <c r="A12" s="0" t="s">
        <v>1216</v>
      </c>
      <c r="B12" s="0" t="s">
        <v>1217</v>
      </c>
    </row>
    <row r="13" customFormat="false" ht="15" hidden="false" customHeight="false" outlineLevel="0" collapsed="false">
      <c r="A13" s="0" t="s">
        <v>1218</v>
      </c>
      <c r="B13" s="0" t="s">
        <v>1219</v>
      </c>
    </row>
    <row r="14" customFormat="false" ht="17.15" hidden="false" customHeight="false" outlineLevel="0" collapsed="false">
      <c r="A14" s="0" t="s">
        <v>1220</v>
      </c>
      <c r="B14" s="0" t="s">
        <v>1221</v>
      </c>
    </row>
    <row r="15" customFormat="false" ht="17.15" hidden="false" customHeight="false" outlineLevel="0" collapsed="false">
      <c r="A15" s="0" t="s">
        <v>1222</v>
      </c>
      <c r="B15" s="4" t="s">
        <v>1223</v>
      </c>
    </row>
    <row r="16" customFormat="false" ht="17.15" hidden="false" customHeight="false" outlineLevel="0" collapsed="false">
      <c r="A16" s="0" t="s">
        <v>1224</v>
      </c>
      <c r="B16" s="4" t="s">
        <v>1223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2026-10-31T02:44:52Z</dcterms:created>
  <dc:creator>openpyxl</dc:creator>
  <dc:description/>
  <dc:language>en-US</dc:language>
  <cp:lastModifiedBy/>
  <dcterms:modified xsi:type="dcterms:W3CDTF">2026-10-31T02:44:52Z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